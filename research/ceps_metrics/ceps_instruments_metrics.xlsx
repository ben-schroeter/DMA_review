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ments" sheetId="1" state="visible" r:id="rId1"/>
    <sheet xmlns:r="http://schemas.openxmlformats.org/officeDocument/2006/relationships" name="secondary_acts" sheetId="2" state="visible" r:id="rId2"/>
    <sheet xmlns:r="http://schemas.openxmlformats.org/officeDocument/2006/relationships" name="amendments" sheetId="3" state="visible" r:id="rId3"/>
    <sheet xmlns:r="http://schemas.openxmlformats.org/officeDocument/2006/relationships" name="guidance_web" sheetId="4" state="visible" r:id="rId4"/>
    <sheet xmlns:r="http://schemas.openxmlformats.org/officeDocument/2006/relationships" name="guidance_agencies" sheetId="5" state="visible" r:id="rId5"/>
    <sheet xmlns:r="http://schemas.openxmlformats.org/officeDocument/2006/relationships" name="benchmarks" sheetId="6" state="visible" r:id="rId6"/>
    <sheet xmlns:r="http://schemas.openxmlformats.org/officeDocument/2006/relationships" name="proposal_indicators" sheetId="7" state="visible" r:id="rId7"/>
    <sheet xmlns:r="http://schemas.openxmlformats.org/officeDocument/2006/relationships" name="impact_literature" sheetId="8" state="visible" r:id="rId8"/>
    <sheet xmlns:r="http://schemas.openxmlformats.org/officeDocument/2006/relationships" name="us_counterparts" sheetId="9" state="visible" r:id="rId9"/>
    <sheet xmlns:r="http://schemas.openxmlformats.org/officeDocument/2006/relationships" name="us_comparison" sheetId="10" state="visible" r:id="rId10"/>
    <sheet xmlns:r="http://schemas.openxmlformats.org/officeDocument/2006/relationships" name="method" sheetId="11" state="visible" r:id="rId11"/>
    <sheet xmlns:r="http://schemas.openxmlformats.org/officeDocument/2006/relationships" name="validation" sheetId="12" state="visible" r:id="rId12"/>
  </sheets>
  <definedNames>
    <definedName name="_xlnm._FilterDatabase" localSheetId="0" hidden="1">'instruments'!$A$1:$BR$117</definedName>
    <definedName name="_xlnm._FilterDatabase" localSheetId="1" hidden="1">'secondary_acts'!$A$1:$AC$771</definedName>
    <definedName name="_xlnm._FilterDatabase" localSheetId="2" hidden="1">'amendments'!$A$1:$H$544</definedName>
    <definedName name="_xlnm._FilterDatabase" localSheetId="3" hidden="1">'guidance_web'!$A$1:$H$7</definedName>
    <definedName name="_xlnm._FilterDatabase" localSheetId="4" hidden="1">'guidance_agencies'!$A$1:$V$81</definedName>
    <definedName name="_xlnm._FilterDatabase" localSheetId="5" hidden="1">'benchmarks'!$A$1:$P$5</definedName>
    <definedName name="_xlnm._FilterDatabase" localSheetId="6" hidden="1">'proposal_indicators'!$A$1:$K$549</definedName>
    <definedName name="_xlnm._FilterDatabase" localSheetId="7" hidden="1">'impact_literature'!$A$1:$W$607</definedName>
    <definedName name="_xlnm._FilterDatabase" localSheetId="8" hidden="1">'us_counterparts'!$A$1:$N$116</definedName>
    <definedName name="_xlnm._FilterDatabase" localSheetId="9" hidden="1">'us_comparison'!$A$1:$T$23</definedName>
    <definedName name="_xlnm._FilterDatabase" localSheetId="11" hidden="1">'validation'!$A$1:$I$6</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color rgb="00FFFFFF"/>
    </font>
    <font>
      <name val="Arial"/>
      <sz val="10"/>
    </font>
    <font>
      <name val="Arial"/>
      <b val="1"/>
    </font>
    <font>
      <name val="Arial"/>
      <b val="1"/>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2" fillId="0" borderId="0" pivotButton="0" quotePrefix="0" xfId="0"/>
    <xf numFmtId="3" fontId="2" fillId="0" borderId="0" pivotButton="0" quotePrefix="0" xfId="0"/>
    <xf numFmtId="164" fontId="2" fillId="0" borderId="0" pivotButton="0" quotePrefix="0" xfId="0"/>
    <xf numFmtId="0" fontId="4" fillId="0" borderId="0" pivotButton="0" quotePrefix="0" xfId="0"/>
    <xf numFmtId="3" fontId="4" fillId="0" borderId="0" pivotButton="0" quotePrefix="0" xfId="0"/>
    <xf numFmtId="0" fontId="2" fillId="0" borderId="0" applyAlignment="1" pivotButton="0" quotePrefix="0" xfId="0">
      <alignment vertical="top" wrapText="1"/>
    </xf>
    <xf numFmtId="0" fontId="4" fillId="0" borderId="0" applyAlignment="1" pivotButton="0" quotePrefix="0" xfId="0">
      <alignment wrapText="1"/>
    </xf>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R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2" customWidth="1" min="3" max="3"/>
    <col width="18" customWidth="1" min="4" max="4"/>
    <col width="12" customWidth="1" min="5" max="5"/>
    <col width="11" customWidth="1" min="6" max="6"/>
    <col width="9" customWidth="1" min="7" max="7"/>
    <col width="11" customWidth="1" min="8" max="8"/>
    <col width="11" customWidth="1" min="9" max="9"/>
    <col width="11" customWidth="1" min="10" max="10"/>
    <col width="10" customWidth="1" min="11" max="11"/>
    <col width="10" customWidth="1" min="12" max="12"/>
    <col width="16" customWidth="1" min="13" max="13"/>
    <col width="18" customWidth="1" min="14" max="14"/>
    <col width="3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20" customWidth="1" min="34" max="34"/>
    <col width="11" customWidth="1" min="35" max="35"/>
    <col width="11"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12" customWidth="1" min="45" max="45"/>
    <col width="11" customWidth="1" min="46" max="46"/>
    <col width="10" customWidth="1" min="47" max="47"/>
    <col width="9" customWidth="1" min="48" max="48"/>
    <col width="11" customWidth="1" min="49" max="49"/>
    <col width="11" customWidth="1" min="50" max="50"/>
    <col width="9" customWidth="1" min="51" max="51"/>
    <col width="16" customWidth="1" min="52" max="52"/>
    <col width="18" customWidth="1" min="53" max="53"/>
    <col width="10" customWidth="1" min="54" max="54"/>
    <col width="10" customWidth="1" min="55" max="55"/>
    <col width="10" customWidth="1" min="56" max="56"/>
    <col width="10" customWidth="1" min="57" max="57"/>
    <col width="9" customWidth="1" min="58" max="58"/>
    <col width="10" customWidth="1" min="59" max="59"/>
    <col width="9" customWidth="1" min="60" max="60"/>
    <col width="10" customWidth="1" min="61" max="61"/>
    <col width="30" customWidth="1" min="62" max="62"/>
    <col width="50" customWidth="1" min="63" max="63"/>
    <col width="9" customWidth="1" min="64" max="64"/>
    <col width="9" customWidth="1" min="65" max="65"/>
    <col width="9" customWidth="1" min="66" max="66"/>
    <col width="9" customWidth="1" min="67" max="67"/>
    <col width="60" customWidth="1" min="68" max="68"/>
  </cols>
  <sheetData>
    <row r="1" ht="45" customHeight="1">
      <c r="A1" s="1" t="inlineStr">
        <is>
          <t>row_id</t>
        </is>
      </c>
      <c r="B1" s="1" t="inlineStr">
        <is>
          <t>name</t>
        </is>
      </c>
      <c r="C1" s="1" t="inlineStr">
        <is>
          <t>objectives</t>
        </is>
      </c>
      <c r="D1" s="1" t="inlineStr">
        <is>
          <t>identifier</t>
        </is>
      </c>
      <c r="E1" s="1" t="inlineStr">
        <is>
          <t>policy_area_ceps</t>
        </is>
      </c>
      <c r="F1" s="1" t="inlineStr">
        <is>
          <t>ceps_table_status</t>
        </is>
      </c>
      <c r="G1" s="1" t="inlineStr">
        <is>
          <t>proposal_date</t>
        </is>
      </c>
      <c r="H1" s="1" t="inlineStr">
        <is>
          <t>confidence_proposal_date</t>
        </is>
      </c>
      <c r="I1" s="1" t="inlineStr">
        <is>
          <t>adoption_date</t>
        </is>
      </c>
      <c r="J1" s="1" t="inlineStr">
        <is>
          <t>oj_publication_date</t>
        </is>
      </c>
      <c r="K1" s="1" t="inlineStr">
        <is>
          <t>entry_into_force</t>
        </is>
      </c>
      <c r="L1" s="1" t="inlineStr">
        <is>
          <t>status_ceps_jul2025</t>
        </is>
      </c>
      <c r="M1" s="1" t="inlineStr">
        <is>
          <t>status_oct2026</t>
        </is>
      </c>
      <c r="N1" s="1" t="inlineStr">
        <is>
          <t>celex_measured</t>
        </is>
      </c>
      <c r="O1" s="1" t="inlineStr">
        <is>
          <t>text_measured</t>
        </is>
      </c>
      <c r="P1" s="1" t="inlineStr">
        <is>
          <t>source_url</t>
        </is>
      </c>
      <c r="Q1" s="1" t="inlineStr">
        <is>
          <t>pages</t>
        </is>
      </c>
      <c r="R1" s="1" t="inlineStr">
        <is>
          <t>words_legal_text</t>
        </is>
      </c>
      <c r="S1" s="1" t="inlineStr">
        <is>
          <t>words_preamble</t>
        </is>
      </c>
      <c r="T1" s="1" t="inlineStr">
        <is>
          <t>words_recitals</t>
        </is>
      </c>
      <c r="U1" s="1" t="inlineStr">
        <is>
          <t>words_articles</t>
        </is>
      </c>
      <c r="V1" s="1" t="inlineStr">
        <is>
          <t>words_annexes</t>
        </is>
      </c>
      <c r="W1" s="1" t="inlineStr">
        <is>
          <t>words_memorandum</t>
        </is>
      </c>
      <c r="X1" s="1" t="inlineStr">
        <is>
          <t>words_financial_statement</t>
        </is>
      </c>
      <c r="Y1" s="1" t="inlineStr">
        <is>
          <t>restrictions_total</t>
        </is>
      </c>
      <c r="Z1" s="1" t="inlineStr">
        <is>
          <t>r_obligation</t>
        </is>
      </c>
      <c r="AA1" s="1" t="inlineStr">
        <is>
          <t>r_prohibition</t>
        </is>
      </c>
      <c r="AB1" s="1" t="inlineStr">
        <is>
          <t>r_restricted_permission</t>
        </is>
      </c>
      <c r="AC1" s="1" t="inlineStr">
        <is>
          <t>r_explicit_requirement</t>
        </is>
      </c>
      <c r="AD1" s="1" t="inlineStr">
        <is>
          <t>r_duty_of_result</t>
        </is>
      </c>
      <c r="AE1" s="1" t="inlineStr">
        <is>
          <t>addr_private_parties</t>
        </is>
      </c>
      <c r="AF1" s="1" t="inlineStr">
        <is>
          <t>addr_member_states</t>
        </is>
      </c>
      <c r="AG1" s="1" t="inlineStr">
        <is>
          <t>addr_eu_institutions</t>
        </is>
      </c>
      <c r="AH1" s="1" t="inlineStr">
        <is>
          <t>addr_unclear</t>
        </is>
      </c>
      <c r="AI1" s="1" t="inlineStr">
        <is>
          <t>consolidated_celex</t>
        </is>
      </c>
      <c r="AJ1" s="1" t="inlineStr">
        <is>
          <t>consolidated_restrictions_total</t>
        </is>
      </c>
      <c r="AK1" s="1" t="inlineStr">
        <is>
          <t>consolidated_addr_private_parties</t>
        </is>
      </c>
      <c r="AL1" s="1" t="inlineStr">
        <is>
          <t>n_implementing_acts</t>
        </is>
      </c>
      <c r="AM1" s="1" t="inlineStr">
        <is>
          <t>n_delegated_acts</t>
        </is>
      </c>
      <c r="AN1" s="1" t="inlineStr">
        <is>
          <t>n_other_commission_council_acts</t>
        </is>
      </c>
      <c r="AO1" s="1" t="inlineStr">
        <is>
          <t>n_guidance_eurlex</t>
        </is>
      </c>
      <c r="AP1" s="1" t="inlineStr">
        <is>
          <t>n_guidance_web</t>
        </is>
      </c>
      <c r="AQ1" s="1" t="inlineStr">
        <is>
          <t>n_guidance_edpb</t>
        </is>
      </c>
      <c r="AR1" s="1" t="inlineStr">
        <is>
          <t>n_guidance_eba</t>
        </is>
      </c>
      <c r="AS1" s="1" t="inlineStr">
        <is>
          <t>n_guidance_esma</t>
        </is>
      </c>
      <c r="AT1" s="1" t="inlineStr">
        <is>
          <t>restrictions_in_implementing_and_delegated_acts</t>
        </is>
      </c>
      <c r="AU1" s="1" t="inlineStr">
        <is>
          <t>national_transposition_measures</t>
        </is>
      </c>
      <c r="AV1" s="1" t="inlineStr">
        <is>
          <t>member_states_with_measures</t>
        </is>
      </c>
      <c r="AW1" s="1" t="inlineStr">
        <is>
          <t>n_amending_acts</t>
        </is>
      </c>
      <c r="AX1" s="1" t="inlineStr">
        <is>
          <t>first_amendment_date</t>
        </is>
      </c>
      <c r="AY1" s="1" t="inlineStr">
        <is>
          <t>latest_amendment_date</t>
        </is>
      </c>
      <c r="AZ1" s="1" t="inlineStr">
        <is>
          <t>n_corrigenda</t>
        </is>
      </c>
      <c r="BA1" s="1" t="inlineStr">
        <is>
          <t>proposal_celex</t>
        </is>
      </c>
      <c r="BB1" s="1" t="inlineStr">
        <is>
          <t>proposal_text_source</t>
        </is>
      </c>
      <c r="BC1" s="1" t="inlineStr">
        <is>
          <t>proposal_words_legal_text</t>
        </is>
      </c>
      <c r="BD1" s="1" t="inlineStr">
        <is>
          <t>proposal_restrictions_total</t>
        </is>
      </c>
      <c r="BE1" s="1" t="inlineStr">
        <is>
          <t>proposal_addr_private_parties</t>
        </is>
      </c>
      <c r="BF1" s="1" t="inlineStr">
        <is>
          <t>change_words</t>
        </is>
      </c>
      <c r="BG1" s="1" t="inlineStr">
        <is>
          <t>change_words_pct</t>
        </is>
      </c>
      <c r="BH1" s="1" t="inlineStr">
        <is>
          <t>change_restrictions</t>
        </is>
      </c>
      <c r="BI1" s="1" t="inlineStr">
        <is>
          <t>change_restrictions_pct</t>
        </is>
      </c>
      <c r="BJ1" s="1" t="inlineStr">
        <is>
          <t>change_restrictions_private</t>
        </is>
      </c>
      <c r="BK1" s="1" t="inlineStr">
        <is>
          <t>impact_evidence_level</t>
        </is>
      </c>
      <c r="BL1" s="1" t="inlineStr">
        <is>
          <t>impact_evidence_rating</t>
        </is>
      </c>
      <c r="BM1" s="1" t="inlineStr">
        <is>
          <t>impact_summary</t>
        </is>
      </c>
      <c r="BN1" s="1" t="inlineStr">
        <is>
          <t>n_promised_indicators</t>
        </is>
      </c>
      <c r="BO1" s="1" t="inlineStr">
        <is>
          <t>n_indicators_measured</t>
        </is>
      </c>
      <c r="BP1" s="1" t="inlineStr">
        <is>
          <t>n_impact_studies</t>
        </is>
      </c>
      <c r="BQ1" s="1" t="inlineStr">
        <is>
          <t>n_causal_studies</t>
        </is>
      </c>
      <c r="BR1" s="1" t="inlineStr">
        <is>
          <t>note</t>
        </is>
      </c>
    </row>
    <row r="2">
      <c r="A2" s="2" t="n">
        <v>1</v>
      </c>
      <c r="B2" s="2" t="inlineStr">
        <is>
          <t>Frequency Bands Directive (GSM)</t>
        </is>
      </c>
      <c r="C2" s="2" t="inlineStr">
        <is>
          <t>Aims to enable a common pan-European digital mobile phone service (GSM) across the Community. It requires Member States to reserve specified frequency bands in the 900 MHz range exclusively for this service and to plan for it to occupy the wider band as demand grows. The Commission must report to the Council on implementation.</t>
        </is>
      </c>
      <c r="D2" s="2" t="inlineStr">
        <is>
          <t>Directive 87/372/EEC</t>
        </is>
      </c>
      <c r="E2" s="2" t="inlineStr">
        <is>
          <t>Connectivity</t>
        </is>
      </c>
      <c r="F2" s="2" t="inlineStr">
        <is>
          <t>enacted</t>
        </is>
      </c>
      <c r="G2" s="2" t="inlineStr">
        <is>
          <t>1986-09-01</t>
        </is>
      </c>
      <c r="H2" s="2" t="inlineStr">
        <is>
          <t>low</t>
        </is>
      </c>
      <c r="I2" s="2" t="inlineStr">
        <is>
          <t>1987-06-25</t>
        </is>
      </c>
      <c r="J2" s="2" t="inlineStr">
        <is>
          <t>1987-06-25</t>
        </is>
      </c>
      <c r="K2" s="2" t="inlineStr">
        <is>
          <t>1987-06-30</t>
        </is>
      </c>
      <c r="L2" s="2" t="inlineStr">
        <is>
          <t>adopted</t>
        </is>
      </c>
      <c r="M2" s="2" t="inlineStr">
        <is>
          <t>adopted</t>
        </is>
      </c>
      <c r="N2" s="2" t="inlineStr">
        <is>
          <t>31987L0372</t>
        </is>
      </c>
      <c r="O2" s="2" t="inlineStr">
        <is>
          <t>Original act as published in the OJ</t>
        </is>
      </c>
      <c r="P2" s="2" t="inlineStr">
        <is>
          <t>https://eur-lex.europa.eu/legal-content/EN/TXT/?uri=CELEX:31987L0372</t>
        </is>
      </c>
      <c r="Q2" s="3" t="n">
        <v>2</v>
      </c>
      <c r="R2" s="3" t="n">
        <v>866</v>
      </c>
      <c r="S2" s="3" t="n">
        <v>618</v>
      </c>
      <c r="T2" s="3" t="n">
        <v>483</v>
      </c>
      <c r="U2" s="3" t="n">
        <v>248</v>
      </c>
      <c r="V2" s="3" t="n">
        <v>0</v>
      </c>
      <c r="W2" s="3" t="n">
        <v>0</v>
      </c>
      <c r="X2" s="3" t="n">
        <v>0</v>
      </c>
      <c r="Y2" s="3" t="n">
        <v>6</v>
      </c>
      <c r="Z2" s="3" t="n">
        <v>4</v>
      </c>
      <c r="AA2" s="3" t="n">
        <v>0</v>
      </c>
      <c r="AB2" s="3" t="n">
        <v>0</v>
      </c>
      <c r="AC2" s="3" t="n">
        <v>0</v>
      </c>
      <c r="AD2" s="3" t="n">
        <v>2</v>
      </c>
      <c r="AE2" s="3" t="n">
        <v>0</v>
      </c>
      <c r="AF2" s="3" t="n">
        <v>5</v>
      </c>
      <c r="AG2" s="3" t="n">
        <v>1</v>
      </c>
      <c r="AH2" s="3" t="n">
        <v>0</v>
      </c>
      <c r="AI2" s="2" t="inlineStr">
        <is>
          <t>01987L0372-19870630</t>
        </is>
      </c>
      <c r="AJ2" s="3" t="n">
        <v>0</v>
      </c>
      <c r="AK2" s="2" t="n">
        <v>0</v>
      </c>
      <c r="AL2" s="2">
        <f>COUNTIFS(secondary_acts!$A$2:$A$771,$A2,secondary_acts!$E$2:$E$771,"implementing")</f>
        <v/>
      </c>
      <c r="AM2" s="2">
        <f>COUNTIFS(secondary_acts!$A$2:$A$771,$A2,secondary_acts!$E$2:$E$771,"delegated")</f>
        <v/>
      </c>
      <c r="AN2" s="2">
        <f>COUNTIFS(secondary_acts!$A$2:$A$771,$A2,secondary_acts!$E$2:$E$771,"other Commission/Council act")</f>
        <v/>
      </c>
      <c r="AO2" s="2">
        <f>COUNTIFS(secondary_acts!$A$2:$A$771,$A2,secondary_acts!$E$2:$E$771,"guidance")</f>
        <v/>
      </c>
      <c r="AP2" s="2">
        <f>COUNTIF(guidance_web!$A$2:$A$7,$A2)</f>
        <v/>
      </c>
      <c r="AQ2" s="2">
        <f>COUNTIFS(guidance_agencies!$A$2:$A$81,$A2,guidance_agencies!$D$2:$D$81,"EDPB")</f>
        <v/>
      </c>
      <c r="AR2" s="2">
        <f>COUNTIFS(guidance_agencies!$A$2:$A$81,$A2,guidance_agencies!$D$2:$D$81,"EBA")</f>
        <v/>
      </c>
      <c r="AS2" s="2">
        <f>COUNTIFS(guidance_agencies!$A$2:$A$81,$A2,guidance_agencies!$D$2:$D$81,"ESMA")</f>
        <v/>
      </c>
      <c r="AT2" s="3">
        <f>SUMIFS(secondary_acts!$S$2:$S$771,secondary_acts!$A$2:$A$771,$A2,secondary_acts!$E$2:$E$771,"implementing")+SUMIFS(secondary_acts!$S$2:$S$771,secondary_acts!$A$2:$A$771,$A2,secondary_acts!$E$2:$E$771,"delegated")</f>
        <v/>
      </c>
      <c r="AU2" s="3" t="n">
        <v>207</v>
      </c>
      <c r="AV2" s="2" t="n">
        <v>24</v>
      </c>
      <c r="AW2" s="2" t="n">
        <v>1</v>
      </c>
      <c r="AX2" s="2" t="inlineStr">
        <is>
          <t>2009-09-16</t>
        </is>
      </c>
      <c r="AY2" s="2" t="inlineStr">
        <is>
          <t>2009-09-16</t>
        </is>
      </c>
      <c r="AZ2" s="2" t="n">
        <v>2</v>
      </c>
      <c r="BA2" s="2" t="inlineStr">
        <is>
          <t>51987PC0035(02)</t>
        </is>
      </c>
      <c r="BB2" s="2" t="inlineStr">
        <is>
          <t>PDF text (approximate)</t>
        </is>
      </c>
      <c r="BC2" s="2" t="n">
        <v>841</v>
      </c>
      <c r="BD2" s="2" t="n">
        <v>5</v>
      </c>
      <c r="BE2" s="2" t="n">
        <v>0</v>
      </c>
      <c r="BF2" s="2">
        <f>IF(ISNUMBER(BC2),R2-BC2,"")</f>
        <v/>
      </c>
      <c r="BG2" s="4">
        <f>IF(AND(ISNUMBER(BC2),BC2&gt;0),(R2-BC2)/BC2,"")</f>
        <v/>
      </c>
      <c r="BH2" s="2">
        <f>IF(ISNUMBER(BD2),Y2-BD2,"")</f>
        <v/>
      </c>
      <c r="BI2" s="4">
        <f>IF(AND(ISNUMBER(BD2),BD2&gt;0),(Y2-BD2)/BD2,"")</f>
        <v/>
      </c>
      <c r="BJ2" s="2">
        <f>IF(ISNUMBER(BE2),AE2-BE2,"")</f>
        <v/>
      </c>
      <c r="BK2" s="2" t="inlineStr">
        <is>
          <t>thin</t>
        </is>
      </c>
      <c r="BL2" s="2" t="inlineStr">
        <is>
          <t>thin: two older econometric diffusion studies (mixed on the value of a single mandated standard); no ex-post evaluation</t>
        </is>
      </c>
      <c r="BM2" s="2" t="inlineStr">
        <is>
          <t>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is>
      </c>
      <c r="BN2" s="2" t="n">
        <v>2</v>
      </c>
      <c r="BO2" s="2" t="n">
        <v>1</v>
      </c>
      <c r="BP2" s="2" t="n">
        <v>3</v>
      </c>
      <c r="BQ2" s="2" t="n">
        <v>1</v>
      </c>
      <c r="BR2" s="2" t="inlineStr"/>
    </row>
    <row r="3">
      <c r="A3" s="2" t="n">
        <v>2</v>
      </c>
      <c r="B3" s="2" t="inlineStr">
        <is>
          <t>Unfair Contract Terms Directive</t>
        </is>
      </c>
      <c r="C3" s="2" t="inlineStr">
        <is>
          <t>Aims to protect consumers from unfair terms in contracts with sellers and suppliers by approximating national laws. It applies to contract terms that have not been individually negotiated, provides that unfair terms do not bind the consumer, requires written terms to be in plain, intelligible language, and requires Member States to provide means to stop the continued use of unfair terms.</t>
        </is>
      </c>
      <c r="D3" s="2" t="inlineStr">
        <is>
          <t>Directive 93/13/EEC</t>
        </is>
      </c>
      <c r="E3" s="2" t="inlineStr">
        <is>
          <t>E-commerce &amp; Consumer Protection</t>
        </is>
      </c>
      <c r="F3" s="2" t="inlineStr">
        <is>
          <t>enacted</t>
        </is>
      </c>
      <c r="G3" s="2" t="inlineStr">
        <is>
          <t>1990-07-24</t>
        </is>
      </c>
      <c r="H3" s="2" t="inlineStr">
        <is>
          <t>medium</t>
        </is>
      </c>
      <c r="I3" s="2" t="inlineStr">
        <is>
          <t>1993-04-05</t>
        </is>
      </c>
      <c r="J3" s="2" t="inlineStr">
        <is>
          <t>1993-04-21</t>
        </is>
      </c>
      <c r="K3" s="2" t="inlineStr">
        <is>
          <t>1993-04-16</t>
        </is>
      </c>
      <c r="L3" s="2" t="inlineStr">
        <is>
          <t>adopted</t>
        </is>
      </c>
      <c r="M3" s="2" t="inlineStr">
        <is>
          <t>adopted</t>
        </is>
      </c>
      <c r="N3" s="2" t="inlineStr">
        <is>
          <t>31993L0013</t>
        </is>
      </c>
      <c r="O3" s="2" t="inlineStr">
        <is>
          <t>Original act as published in the OJ</t>
        </is>
      </c>
      <c r="P3" s="2" t="inlineStr">
        <is>
          <t>https://eur-lex.europa.eu/legal-content/EN/TXT/?uri=CELEX:31993L0013</t>
        </is>
      </c>
      <c r="Q3" s="3" t="n">
        <v>6</v>
      </c>
      <c r="R3" s="3" t="n">
        <v>3320</v>
      </c>
      <c r="S3" s="3" t="n">
        <v>1402</v>
      </c>
      <c r="T3" s="3" t="n">
        <v>1323</v>
      </c>
      <c r="U3" s="3" t="n">
        <v>1008</v>
      </c>
      <c r="V3" s="3" t="n">
        <v>910</v>
      </c>
      <c r="W3" s="3" t="n">
        <v>0</v>
      </c>
      <c r="X3" s="3" t="n">
        <v>0</v>
      </c>
      <c r="Y3" s="3" t="n">
        <v>26</v>
      </c>
      <c r="Z3" s="3" t="n">
        <v>20</v>
      </c>
      <c r="AA3" s="3" t="n">
        <v>2</v>
      </c>
      <c r="AB3" s="3" t="n">
        <v>0</v>
      </c>
      <c r="AC3" s="3" t="n">
        <v>3</v>
      </c>
      <c r="AD3" s="3" t="n">
        <v>1</v>
      </c>
      <c r="AE3" s="3" t="n">
        <v>6</v>
      </c>
      <c r="AF3" s="3" t="n">
        <v>11</v>
      </c>
      <c r="AG3" s="3" t="n">
        <v>1</v>
      </c>
      <c r="AH3" s="3" t="n">
        <v>8</v>
      </c>
      <c r="AI3" s="2" t="inlineStr">
        <is>
          <t>01993L0013-20220528</t>
        </is>
      </c>
      <c r="AJ3" s="3" t="n">
        <v>39</v>
      </c>
      <c r="AK3" s="2" t="n">
        <v>6</v>
      </c>
      <c r="AL3" s="2">
        <f>COUNTIFS(secondary_acts!$A$2:$A$771,$A3,secondary_acts!$E$2:$E$771,"implementing")</f>
        <v/>
      </c>
      <c r="AM3" s="2">
        <f>COUNTIFS(secondary_acts!$A$2:$A$771,$A3,secondary_acts!$E$2:$E$771,"delegated")</f>
        <v/>
      </c>
      <c r="AN3" s="2">
        <f>COUNTIFS(secondary_acts!$A$2:$A$771,$A3,secondary_acts!$E$2:$E$771,"other Commission/Council act")</f>
        <v/>
      </c>
      <c r="AO3" s="2">
        <f>COUNTIFS(secondary_acts!$A$2:$A$771,$A3,secondary_acts!$E$2:$E$771,"guidance")</f>
        <v/>
      </c>
      <c r="AP3" s="2">
        <f>COUNTIF(guidance_web!$A$2:$A$7,$A3)</f>
        <v/>
      </c>
      <c r="AQ3" s="2">
        <f>COUNTIFS(guidance_agencies!$A$2:$A$81,$A3,guidance_agencies!$D$2:$D$81,"EDPB")</f>
        <v/>
      </c>
      <c r="AR3" s="2">
        <f>COUNTIFS(guidance_agencies!$A$2:$A$81,$A3,guidance_agencies!$D$2:$D$81,"EBA")</f>
        <v/>
      </c>
      <c r="AS3" s="2">
        <f>COUNTIFS(guidance_agencies!$A$2:$A$81,$A3,guidance_agencies!$D$2:$D$81,"ESMA")</f>
        <v/>
      </c>
      <c r="AT3" s="3">
        <f>SUMIFS(secondary_acts!$S$2:$S$771,secondary_acts!$A$2:$A$771,$A3,secondary_acts!$E$2:$E$771,"implementing")+SUMIFS(secondary_acts!$S$2:$S$771,secondary_acts!$A$2:$A$771,$A3,secondary_acts!$E$2:$E$771,"delegated")</f>
        <v/>
      </c>
      <c r="AU3" s="3" t="n">
        <v>1342</v>
      </c>
      <c r="AV3" s="2" t="n">
        <v>25</v>
      </c>
      <c r="AW3" s="2" t="n">
        <v>2</v>
      </c>
      <c r="AX3" s="2" t="inlineStr">
        <is>
          <t>2011-10-25</t>
        </is>
      </c>
      <c r="AY3" s="2" t="inlineStr">
        <is>
          <t>2019-11-27</t>
        </is>
      </c>
      <c r="AZ3" s="2" t="n">
        <v>13</v>
      </c>
      <c r="BA3" s="2" t="inlineStr">
        <is>
          <t>51990PC0322</t>
        </is>
      </c>
      <c r="BB3" s="2" t="inlineStr">
        <is>
          <t>PDF text (approximate)</t>
        </is>
      </c>
      <c r="BC3" s="2" t="n">
        <v>2059</v>
      </c>
      <c r="BD3" s="2" t="n">
        <v>11</v>
      </c>
      <c r="BE3" s="2" t="n">
        <v>0</v>
      </c>
      <c r="BF3" s="2">
        <f>IF(ISNUMBER(BC3),R3-BC3,"")</f>
        <v/>
      </c>
      <c r="BG3" s="4">
        <f>IF(AND(ISNUMBER(BC3),BC3&gt;0),(R3-BC3)/BC3,"")</f>
        <v/>
      </c>
      <c r="BH3" s="2">
        <f>IF(ISNUMBER(BD3),Y3-BD3,"")</f>
        <v/>
      </c>
      <c r="BI3" s="4">
        <f>IF(AND(ISNUMBER(BD3),BD3&gt;0),(Y3-BD3)/BD3,"")</f>
        <v/>
      </c>
      <c r="BJ3" s="2">
        <f>IF(ISNUMBER(BE3),AE3-BE3,"")</f>
        <v/>
      </c>
      <c r="BK3" s="2" t="inlineStr">
        <is>
          <t>thin</t>
        </is>
      </c>
      <c r="BL3" s="2" t="inlineStr">
        <is>
          <t>thin: Commission implementation reports and fitness checks plus legal studies; no causal studies of economic effects</t>
        </is>
      </c>
      <c r="BM3" s="2" t="inlineStr">
        <is>
          <t>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is>
      </c>
      <c r="BN3" s="2" t="n">
        <v>3</v>
      </c>
      <c r="BO3" s="2" t="n">
        <v>2</v>
      </c>
      <c r="BP3" s="2" t="n">
        <v>4</v>
      </c>
      <c r="BQ3" s="2" t="n">
        <v>0</v>
      </c>
      <c r="BR3" s="2" t="inlineStr"/>
    </row>
    <row r="4">
      <c r="A4" s="2" t="n">
        <v>3</v>
      </c>
      <c r="B4" s="2" t="inlineStr">
        <is>
          <t>Satellite and Cable Directive</t>
        </is>
      </c>
      <c r="C4" s="2" t="inlineStr">
        <is>
          <t>Aims to ease the cross-border satellite broadcasting and cable retransmission of programmes by coordinating copyright rules. It gives authors an exclusive right over communication to the public by satellite and locates that act in the Member State where the signal is introduced. It requires cable retransmission rights to be exercised only through collecting societies and provides for mediation in negotiations.</t>
        </is>
      </c>
      <c r="D4" s="2" t="inlineStr">
        <is>
          <t>Directive 93/83/EEC</t>
        </is>
      </c>
      <c r="E4" s="2" t="inlineStr">
        <is>
          <t>Media</t>
        </is>
      </c>
      <c r="F4" s="2" t="inlineStr">
        <is>
          <t>enacted</t>
        </is>
      </c>
      <c r="G4" s="2" t="inlineStr">
        <is>
          <t>1991-09-11</t>
        </is>
      </c>
      <c r="H4" s="2" t="inlineStr">
        <is>
          <t>medium</t>
        </is>
      </c>
      <c r="I4" s="2" t="inlineStr">
        <is>
          <t>1993-09-27</t>
        </is>
      </c>
      <c r="J4" s="2" t="inlineStr">
        <is>
          <t>1993-10-06</t>
        </is>
      </c>
      <c r="K4" s="2" t="inlineStr">
        <is>
          <t>1993-10-04</t>
        </is>
      </c>
      <c r="L4" s="2" t="inlineStr">
        <is>
          <t>adopted</t>
        </is>
      </c>
      <c r="M4" s="2" t="inlineStr">
        <is>
          <t>adopted</t>
        </is>
      </c>
      <c r="N4" s="2" t="inlineStr">
        <is>
          <t>31993L0083</t>
        </is>
      </c>
      <c r="O4" s="2" t="inlineStr">
        <is>
          <t>Original act as published in the OJ</t>
        </is>
      </c>
      <c r="P4" s="2" t="inlineStr">
        <is>
          <t>https://eur-lex.europa.eu/legal-content/EN/TXT/?uri=CELEX:31993L0083</t>
        </is>
      </c>
      <c r="Q4" s="3" t="n">
        <v>7</v>
      </c>
      <c r="R4" s="3" t="n">
        <v>4550</v>
      </c>
      <c r="S4" s="3" t="n">
        <v>2545</v>
      </c>
      <c r="T4" s="3" t="n">
        <v>2449</v>
      </c>
      <c r="U4" s="3" t="n">
        <v>2005</v>
      </c>
      <c r="V4" s="3" t="n">
        <v>0</v>
      </c>
      <c r="W4" s="3" t="n">
        <v>0</v>
      </c>
      <c r="X4" s="3" t="n">
        <v>0</v>
      </c>
      <c r="Y4" s="3" t="n">
        <v>35</v>
      </c>
      <c r="Z4" s="3" t="n">
        <v>27</v>
      </c>
      <c r="AA4" s="3" t="n">
        <v>1</v>
      </c>
      <c r="AB4" s="3" t="n">
        <v>1</v>
      </c>
      <c r="AC4" s="3" t="n">
        <v>0</v>
      </c>
      <c r="AD4" s="3" t="n">
        <v>6</v>
      </c>
      <c r="AE4" s="3" t="n">
        <v>4</v>
      </c>
      <c r="AF4" s="3" t="n">
        <v>18</v>
      </c>
      <c r="AG4" s="3" t="n">
        <v>2</v>
      </c>
      <c r="AH4" s="3" t="n">
        <v>11</v>
      </c>
      <c r="AI4" s="2" t="inlineStr">
        <is>
          <t>01993L0083-19931004</t>
        </is>
      </c>
      <c r="AJ4" s="3" t="n">
        <v>35</v>
      </c>
      <c r="AK4" s="2" t="n">
        <v>4</v>
      </c>
      <c r="AL4" s="2">
        <f>COUNTIFS(secondary_acts!$A$2:$A$771,$A4,secondary_acts!$E$2:$E$771,"implementing")</f>
        <v/>
      </c>
      <c r="AM4" s="2">
        <f>COUNTIFS(secondary_acts!$A$2:$A$771,$A4,secondary_acts!$E$2:$E$771,"delegated")</f>
        <v/>
      </c>
      <c r="AN4" s="2">
        <f>COUNTIFS(secondary_acts!$A$2:$A$771,$A4,secondary_acts!$E$2:$E$771,"other Commission/Council act")</f>
        <v/>
      </c>
      <c r="AO4" s="2">
        <f>COUNTIFS(secondary_acts!$A$2:$A$771,$A4,secondary_acts!$E$2:$E$771,"guidance")</f>
        <v/>
      </c>
      <c r="AP4" s="2">
        <f>COUNTIF(guidance_web!$A$2:$A$7,$A4)</f>
        <v/>
      </c>
      <c r="AQ4" s="2">
        <f>COUNTIFS(guidance_agencies!$A$2:$A$81,$A4,guidance_agencies!$D$2:$D$81,"EDPB")</f>
        <v/>
      </c>
      <c r="AR4" s="2">
        <f>COUNTIFS(guidance_agencies!$A$2:$A$81,$A4,guidance_agencies!$D$2:$D$81,"EBA")</f>
        <v/>
      </c>
      <c r="AS4" s="2">
        <f>COUNTIFS(guidance_agencies!$A$2:$A$81,$A4,guidance_agencies!$D$2:$D$81,"ESMA")</f>
        <v/>
      </c>
      <c r="AT4" s="3">
        <f>SUMIFS(secondary_acts!$S$2:$S$771,secondary_acts!$A$2:$A$771,$A4,secondary_acts!$E$2:$E$771,"implementing")+SUMIFS(secondary_acts!$S$2:$S$771,secondary_acts!$A$2:$A$771,$A4,secondary_acts!$E$2:$E$771,"delegated")</f>
        <v/>
      </c>
      <c r="AU4" s="3" t="n">
        <v>207</v>
      </c>
      <c r="AV4" s="2" t="n">
        <v>23</v>
      </c>
      <c r="AW4" s="2" t="n">
        <v>1</v>
      </c>
      <c r="AX4" s="2" t="inlineStr">
        <is>
          <t>2019-04-17</t>
        </is>
      </c>
      <c r="AY4" s="2" t="inlineStr">
        <is>
          <t>2019-04-17</t>
        </is>
      </c>
      <c r="AZ4" s="2" t="n">
        <v>1</v>
      </c>
      <c r="BA4" s="2" t="inlineStr">
        <is>
          <t>51991PC0276</t>
        </is>
      </c>
      <c r="BB4" s="2" t="inlineStr">
        <is>
          <t>PDF text (approximate)</t>
        </is>
      </c>
      <c r="BC4" s="2" t="n">
        <v>3122</v>
      </c>
      <c r="BD4" s="2" t="n">
        <v>30</v>
      </c>
      <c r="BE4" s="2" t="n">
        <v>0</v>
      </c>
      <c r="BF4" s="2">
        <f>IF(ISNUMBER(BC4),R4-BC4,"")</f>
        <v/>
      </c>
      <c r="BG4" s="4">
        <f>IF(AND(ISNUMBER(BC4),BC4&gt;0),(R4-BC4)/BC4,"")</f>
        <v/>
      </c>
      <c r="BH4" s="2">
        <f>IF(ISNUMBER(BD4),Y4-BD4,"")</f>
        <v/>
      </c>
      <c r="BI4" s="4">
        <f>IF(AND(ISNUMBER(BD4),BD4&gt;0),(Y4-BD4)/BD4,"")</f>
        <v/>
      </c>
      <c r="BJ4" s="2">
        <f>IF(ISNUMBER(BE4),AE4-BE4,"")</f>
        <v/>
      </c>
      <c r="BK4" s="2" t="inlineStr">
        <is>
          <t>thin</t>
        </is>
      </c>
      <c r="BL4" s="2" t="inlineStr">
        <is>
          <t>thin: Commission reviews only; no independent quantitative studies found</t>
        </is>
      </c>
      <c r="BM4" s="2" t="inlineStr">
        <is>
          <t>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is>
      </c>
      <c r="BN4" s="2" t="n">
        <v>3</v>
      </c>
      <c r="BO4" s="2" t="n">
        <v>2</v>
      </c>
      <c r="BP4" s="2" t="n">
        <v>2</v>
      </c>
      <c r="BQ4" s="2" t="n">
        <v>0</v>
      </c>
      <c r="BR4" s="2" t="inlineStr">
        <is>
          <t>no consolidated text with amendments in EUR-Lex; consolidated count = original</t>
        </is>
      </c>
    </row>
    <row r="5">
      <c r="A5" s="2" t="n">
        <v>4</v>
      </c>
      <c r="B5" s="2" t="inlineStr">
        <is>
          <t>Database Directive</t>
        </is>
      </c>
      <c r="C5" s="2" t="inlineStr">
        <is>
          <t>Aims to harmonise the legal protection of databases in any form across the internal market. It protects databases that reflect their author's own intellectual creation by copyright, and creates a separate sui generis right allowing makers who have made a substantial investment to prevent extraction or re-use of the whole or a substantial part of the contents, subject to exceptions.</t>
        </is>
      </c>
      <c r="D5" s="2" t="inlineStr">
        <is>
          <t>Directive 96/9/EC</t>
        </is>
      </c>
      <c r="E5" s="2" t="inlineStr">
        <is>
          <t>IPR</t>
        </is>
      </c>
      <c r="F5" s="2" t="inlineStr">
        <is>
          <t>enacted</t>
        </is>
      </c>
      <c r="G5" s="2" t="inlineStr">
        <is>
          <t>1992-05-13</t>
        </is>
      </c>
      <c r="H5" s="2" t="inlineStr">
        <is>
          <t>medium</t>
        </is>
      </c>
      <c r="I5" s="2" t="inlineStr">
        <is>
          <t>1996-03-11</t>
        </is>
      </c>
      <c r="J5" s="2" t="inlineStr">
        <is>
          <t>1996-03-27</t>
        </is>
      </c>
      <c r="K5" s="2" t="inlineStr">
        <is>
          <t>1996-04-16</t>
        </is>
      </c>
      <c r="L5" s="2" t="inlineStr">
        <is>
          <t>adopted</t>
        </is>
      </c>
      <c r="M5" s="2" t="inlineStr">
        <is>
          <t>adopted</t>
        </is>
      </c>
      <c r="N5" s="2" t="inlineStr">
        <is>
          <t>31996L0009</t>
        </is>
      </c>
      <c r="O5" s="2" t="inlineStr">
        <is>
          <t>Original act as published in the OJ</t>
        </is>
      </c>
      <c r="P5" s="2" t="inlineStr">
        <is>
          <t>https://eur-lex.europa.eu/legal-content/EN/TXT/?uri=CELEX:31996L0009</t>
        </is>
      </c>
      <c r="Q5" s="3" t="n">
        <v>9</v>
      </c>
      <c r="R5" s="3" t="n">
        <v>5494</v>
      </c>
      <c r="S5" s="3" t="n">
        <v>3257</v>
      </c>
      <c r="T5" s="3" t="n">
        <v>3156</v>
      </c>
      <c r="U5" s="3" t="n">
        <v>2237</v>
      </c>
      <c r="V5" s="3" t="n">
        <v>0</v>
      </c>
      <c r="W5" s="3" t="n">
        <v>0</v>
      </c>
      <c r="X5" s="3" t="n">
        <v>0</v>
      </c>
      <c r="Y5" s="3" t="n">
        <v>33</v>
      </c>
      <c r="Z5" s="3" t="n">
        <v>24</v>
      </c>
      <c r="AA5" s="3" t="n">
        <v>9</v>
      </c>
      <c r="AB5" s="3" t="n">
        <v>0</v>
      </c>
      <c r="AC5" s="3" t="n">
        <v>0</v>
      </c>
      <c r="AD5" s="3" t="n">
        <v>0</v>
      </c>
      <c r="AE5" s="3" t="n">
        <v>8</v>
      </c>
      <c r="AF5" s="3" t="n">
        <v>10</v>
      </c>
      <c r="AG5" s="3" t="n">
        <v>2</v>
      </c>
      <c r="AH5" s="3" t="n">
        <v>13</v>
      </c>
      <c r="AI5" s="2" t="inlineStr">
        <is>
          <t>01996L0009-20190606</t>
        </is>
      </c>
      <c r="AJ5" s="3" t="n">
        <v>33</v>
      </c>
      <c r="AK5" s="2" t="n">
        <v>8</v>
      </c>
      <c r="AL5" s="2">
        <f>COUNTIFS(secondary_acts!$A$2:$A$771,$A5,secondary_acts!$E$2:$E$771,"implementing")</f>
        <v/>
      </c>
      <c r="AM5" s="2">
        <f>COUNTIFS(secondary_acts!$A$2:$A$771,$A5,secondary_acts!$E$2:$E$771,"delegated")</f>
        <v/>
      </c>
      <c r="AN5" s="2">
        <f>COUNTIFS(secondary_acts!$A$2:$A$771,$A5,secondary_acts!$E$2:$E$771,"other Commission/Council act")</f>
        <v/>
      </c>
      <c r="AO5" s="2">
        <f>COUNTIFS(secondary_acts!$A$2:$A$771,$A5,secondary_acts!$E$2:$E$771,"guidance")</f>
        <v/>
      </c>
      <c r="AP5" s="2">
        <f>COUNTIF(guidance_web!$A$2:$A$7,$A5)</f>
        <v/>
      </c>
      <c r="AQ5" s="2">
        <f>COUNTIFS(guidance_agencies!$A$2:$A$81,$A5,guidance_agencies!$D$2:$D$81,"EDPB")</f>
        <v/>
      </c>
      <c r="AR5" s="2">
        <f>COUNTIFS(guidance_agencies!$A$2:$A$81,$A5,guidance_agencies!$D$2:$D$81,"EBA")</f>
        <v/>
      </c>
      <c r="AS5" s="2">
        <f>COUNTIFS(guidance_agencies!$A$2:$A$81,$A5,guidance_agencies!$D$2:$D$81,"ESMA")</f>
        <v/>
      </c>
      <c r="AT5" s="3">
        <f>SUMIFS(secondary_acts!$S$2:$S$771,secondary_acts!$A$2:$A$771,$A5,secondary_acts!$E$2:$E$771,"implementing")+SUMIFS(secondary_acts!$S$2:$S$771,secondary_acts!$A$2:$A$771,$A5,secondary_acts!$E$2:$E$771,"delegated")</f>
        <v/>
      </c>
      <c r="AU5" s="3" t="n">
        <v>1049</v>
      </c>
      <c r="AV5" s="2" t="n">
        <v>22</v>
      </c>
      <c r="AW5" s="2" t="n">
        <v>1</v>
      </c>
      <c r="AX5" s="2" t="inlineStr">
        <is>
          <t>2019-04-17</t>
        </is>
      </c>
      <c r="AY5" s="2" t="inlineStr">
        <is>
          <t>2019-04-17</t>
        </is>
      </c>
      <c r="AZ5" s="2" t="n">
        <v>1</v>
      </c>
      <c r="BA5" s="2" t="inlineStr">
        <is>
          <t>51992PC0024</t>
        </is>
      </c>
      <c r="BB5" s="2" t="inlineStr">
        <is>
          <t>PDF text (approximate)</t>
        </is>
      </c>
      <c r="BC5" s="2" t="n">
        <v>4314</v>
      </c>
      <c r="BD5" s="2" t="n">
        <v>28</v>
      </c>
      <c r="BE5" s="2" t="n">
        <v>2</v>
      </c>
      <c r="BF5" s="2">
        <f>IF(ISNUMBER(BC5),R5-BC5,"")</f>
        <v/>
      </c>
      <c r="BG5" s="4">
        <f>IF(AND(ISNUMBER(BC5),BC5&gt;0),(R5-BC5)/BC5,"")</f>
        <v/>
      </c>
      <c r="BH5" s="2">
        <f>IF(ISNUMBER(BD5),Y5-BD5,"")</f>
        <v/>
      </c>
      <c r="BI5" s="4">
        <f>IF(AND(ISNUMBER(BD5),BD5&gt;0),(Y5-BD5)/BD5,"")</f>
        <v/>
      </c>
      <c r="BJ5" s="2">
        <f>IF(ISNUMBER(BE5),AE5-BE5,"")</f>
        <v/>
      </c>
      <c r="BK5" s="2" t="inlineStr">
        <is>
          <t>thin</t>
        </is>
      </c>
      <c r="BL5" s="2" t="inlineStr">
        <is>
          <t>thin but consistent: two Commission evaluations (2005, 2018) with descriptive data find no proven effect on database production; no causal academic study</t>
        </is>
      </c>
      <c r="BM5" s="2" t="inlineStr">
        <is>
          <t>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is>
      </c>
      <c r="BN5" s="2" t="n">
        <v>2</v>
      </c>
      <c r="BO5" s="2" t="n">
        <v>2</v>
      </c>
      <c r="BP5" s="2" t="n">
        <v>4</v>
      </c>
      <c r="BQ5" s="2" t="n">
        <v>0</v>
      </c>
      <c r="BR5" s="2" t="inlineStr"/>
    </row>
    <row r="6">
      <c r="A6" s="2" t="n">
        <v>5</v>
      </c>
      <c r="B6" s="2" t="inlineStr">
        <is>
          <t>Community Design Regulation</t>
        </is>
      </c>
      <c r="C6" s="2" t="inlineStr">
        <is>
          <t>Creates a unitary Community design with equal effect throughout the EU, so that designs can be protected by a single right rather than separate national ones. It establishes both registered designs, filed with the EU's trade mark and designs office, and unregistered designs protected from first disclosure to the public, and sets out conditions for protection, rights conferred and invalidity procedures.</t>
        </is>
      </c>
      <c r="D6" s="2" t="inlineStr">
        <is>
          <t>Regulation (EC) 6/2002</t>
        </is>
      </c>
      <c r="E6" s="2" t="inlineStr">
        <is>
          <t>IPR</t>
        </is>
      </c>
      <c r="F6" s="2" t="inlineStr">
        <is>
          <t>enacted</t>
        </is>
      </c>
      <c r="G6" s="2" t="inlineStr">
        <is>
          <t>1993-12-03</t>
        </is>
      </c>
      <c r="H6" s="2" t="inlineStr">
        <is>
          <t>medium</t>
        </is>
      </c>
      <c r="I6" s="2" t="inlineStr">
        <is>
          <t>2001-12-12</t>
        </is>
      </c>
      <c r="J6" s="2" t="inlineStr">
        <is>
          <t>2002-01-09</t>
        </is>
      </c>
      <c r="K6" s="2" t="inlineStr">
        <is>
          <t>2002-03-06</t>
        </is>
      </c>
      <c r="L6" s="2" t="inlineStr">
        <is>
          <t>adopted</t>
        </is>
      </c>
      <c r="M6" s="2" t="inlineStr">
        <is>
          <t>adopted</t>
        </is>
      </c>
      <c r="N6" s="2" t="inlineStr">
        <is>
          <t>32002R0006</t>
        </is>
      </c>
      <c r="O6" s="2" t="inlineStr">
        <is>
          <t>Original act as published in the OJ</t>
        </is>
      </c>
      <c r="P6" s="2" t="inlineStr">
        <is>
          <t>https://eur-lex.europa.eu/legal-content/EN/TXT/?uri=CELEX:32002R0006</t>
        </is>
      </c>
      <c r="Q6" s="3" t="n">
        <v>24</v>
      </c>
      <c r="R6" s="3" t="n">
        <v>17870</v>
      </c>
      <c r="S6" s="3" t="n">
        <v>2070</v>
      </c>
      <c r="T6" s="3" t="n">
        <v>1978</v>
      </c>
      <c r="U6" s="3" t="n">
        <v>15800</v>
      </c>
      <c r="V6" s="3" t="n">
        <v>0</v>
      </c>
      <c r="W6" s="3" t="n">
        <v>0</v>
      </c>
      <c r="X6" s="3" t="n">
        <v>0</v>
      </c>
      <c r="Y6" s="3" t="n">
        <v>280</v>
      </c>
      <c r="Z6" s="3" t="n">
        <v>241</v>
      </c>
      <c r="AA6" s="3" t="n">
        <v>31</v>
      </c>
      <c r="AB6" s="3" t="n">
        <v>7</v>
      </c>
      <c r="AC6" s="3" t="n">
        <v>1</v>
      </c>
      <c r="AD6" s="3" t="n">
        <v>0</v>
      </c>
      <c r="AE6" s="3" t="n">
        <v>29</v>
      </c>
      <c r="AF6" s="3" t="n">
        <v>50</v>
      </c>
      <c r="AG6" s="3" t="n">
        <v>65</v>
      </c>
      <c r="AH6" s="3" t="n">
        <v>136</v>
      </c>
      <c r="AI6" s="2" t="inlineStr">
        <is>
          <t>02002R0006-20260701</t>
        </is>
      </c>
      <c r="AJ6" s="3" t="n">
        <v>481</v>
      </c>
      <c r="AK6" s="2" t="n">
        <v>51</v>
      </c>
      <c r="AL6" s="2">
        <f>COUNTIFS(secondary_acts!$A$2:$A$771,$A6,secondary_acts!$E$2:$E$771,"implementing")</f>
        <v/>
      </c>
      <c r="AM6" s="2">
        <f>COUNTIFS(secondary_acts!$A$2:$A$771,$A6,secondary_acts!$E$2:$E$771,"delegated")</f>
        <v/>
      </c>
      <c r="AN6" s="2">
        <f>COUNTIFS(secondary_acts!$A$2:$A$771,$A6,secondary_acts!$E$2:$E$771,"other Commission/Council act")</f>
        <v/>
      </c>
      <c r="AO6" s="2">
        <f>COUNTIFS(secondary_acts!$A$2:$A$771,$A6,secondary_acts!$E$2:$E$771,"guidance")</f>
        <v/>
      </c>
      <c r="AP6" s="2">
        <f>COUNTIF(guidance_web!$A$2:$A$7,$A6)</f>
        <v/>
      </c>
      <c r="AQ6" s="2">
        <f>COUNTIFS(guidance_agencies!$A$2:$A$81,$A6,guidance_agencies!$D$2:$D$81,"EDPB")</f>
        <v/>
      </c>
      <c r="AR6" s="2">
        <f>COUNTIFS(guidance_agencies!$A$2:$A$81,$A6,guidance_agencies!$D$2:$D$81,"EBA")</f>
        <v/>
      </c>
      <c r="AS6" s="2">
        <f>COUNTIFS(guidance_agencies!$A$2:$A$81,$A6,guidance_agencies!$D$2:$D$81,"ESMA")</f>
        <v/>
      </c>
      <c r="AT6" s="3">
        <f>SUMIFS(secondary_acts!$S$2:$S$771,secondary_acts!$A$2:$A$771,$A6,secondary_acts!$E$2:$E$771,"implementing")+SUMIFS(secondary_acts!$S$2:$S$771,secondary_acts!$A$2:$A$771,$A6,secondary_acts!$E$2:$E$771,"delegated")</f>
        <v/>
      </c>
      <c r="AU6" s="3" t="n"/>
      <c r="AV6" s="2" t="n"/>
      <c r="AW6" s="2" t="n">
        <v>2</v>
      </c>
      <c r="AX6" s="2" t="inlineStr">
        <is>
          <t>2006-12-18</t>
        </is>
      </c>
      <c r="AY6" s="2" t="inlineStr">
        <is>
          <t>2024-10-23</t>
        </is>
      </c>
      <c r="AZ6" s="2" t="n">
        <v>20</v>
      </c>
      <c r="BA6" s="2" t="inlineStr">
        <is>
          <t>51993PC0342</t>
        </is>
      </c>
      <c r="BB6" s="2" t="inlineStr">
        <is>
          <t>not comparable: 1993 proposal PDF bundles the companion Design Directive proposal</t>
        </is>
      </c>
      <c r="BC6" s="2" t="n"/>
      <c r="BD6" s="2" t="n"/>
      <c r="BE6" s="2" t="n"/>
      <c r="BF6" s="2">
        <f>IF(ISNUMBER(BC6),R6-BC6,"")</f>
        <v/>
      </c>
      <c r="BG6" s="4">
        <f>IF(AND(ISNUMBER(BC6),BC6&gt;0),(R6-BC6)/BC6,"")</f>
        <v/>
      </c>
      <c r="BH6" s="2">
        <f>IF(ISNUMBER(BD6),Y6-BD6,"")</f>
        <v/>
      </c>
      <c r="BI6" s="4">
        <f>IF(AND(ISNUMBER(BD6),BD6&gt;0),(Y6-BD6)/BD6,"")</f>
        <v/>
      </c>
      <c r="BJ6" s="2">
        <f>IF(ISNUMBER(BE6),AE6-BE6,"")</f>
        <v/>
      </c>
      <c r="BK6" s="2" t="inlineStr">
        <is>
          <t>thin</t>
        </is>
      </c>
      <c r="BL6" s="2" t="inlineStr">
        <is>
          <t>thin: Commission evaluation and impact assessment; independent research mostly descriptive; no causal studies</t>
        </is>
      </c>
      <c r="BM6" s="2" t="inlineStr">
        <is>
          <t>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is>
      </c>
      <c r="BN6" s="2" t="n">
        <v>3</v>
      </c>
      <c r="BO6" s="2" t="n">
        <v>2</v>
      </c>
      <c r="BP6" s="2" t="n">
        <v>2</v>
      </c>
      <c r="BQ6" s="2" t="n">
        <v>0</v>
      </c>
      <c r="BR6" s="2" t="inlineStr"/>
    </row>
    <row r="7">
      <c r="A7" s="2" t="n">
        <v>6</v>
      </c>
      <c r="B7" s="2" t="inlineStr">
        <is>
          <t>Price Indication Directive</t>
        </is>
      </c>
      <c r="C7" s="2" t="inlineStr">
        <is>
          <t>Aims to improve consumer information and make it easier to compare prices. It requires traders offering products to consumers to indicate both the selling price and the unit price (for example per kilogram or litre) in a clear, unambiguous and easily legible way, with limited exemptions set by Member States.</t>
        </is>
      </c>
      <c r="D7" s="2" t="inlineStr">
        <is>
          <t>Directive 98/6/EC</t>
        </is>
      </c>
      <c r="E7" s="2" t="inlineStr">
        <is>
          <t>E-commerce &amp; Consumer Protection</t>
        </is>
      </c>
      <c r="F7" s="2" t="inlineStr">
        <is>
          <t>enacted</t>
        </is>
      </c>
      <c r="G7" s="2" t="inlineStr">
        <is>
          <t>1995-07-24</t>
        </is>
      </c>
      <c r="H7" s="2" t="inlineStr">
        <is>
          <t>low</t>
        </is>
      </c>
      <c r="I7" s="2" t="inlineStr">
        <is>
          <t>1998-02-16</t>
        </is>
      </c>
      <c r="J7" s="2" t="inlineStr">
        <is>
          <t>1998-03-25</t>
        </is>
      </c>
      <c r="K7" s="2" t="inlineStr">
        <is>
          <t>1998-03-18</t>
        </is>
      </c>
      <c r="L7" s="2" t="inlineStr">
        <is>
          <t>adopted</t>
        </is>
      </c>
      <c r="M7" s="2" t="inlineStr">
        <is>
          <t>adopted</t>
        </is>
      </c>
      <c r="N7" s="2" t="inlineStr">
        <is>
          <t>31998L0006</t>
        </is>
      </c>
      <c r="O7" s="2" t="inlineStr">
        <is>
          <t>Original act as published in the OJ</t>
        </is>
      </c>
      <c r="P7" s="2" t="inlineStr">
        <is>
          <t>https://eur-lex.europa.eu/legal-content/EN/TXT/?uri=CELEX:31998L0006</t>
        </is>
      </c>
      <c r="Q7" s="3" t="n">
        <v>5</v>
      </c>
      <c r="R7" s="3" t="n">
        <v>1901</v>
      </c>
      <c r="S7" s="3" t="n">
        <v>853</v>
      </c>
      <c r="T7" s="3" t="n">
        <v>731</v>
      </c>
      <c r="U7" s="3" t="n">
        <v>1048</v>
      </c>
      <c r="V7" s="3" t="n">
        <v>0</v>
      </c>
      <c r="W7" s="3" t="n">
        <v>0</v>
      </c>
      <c r="X7" s="3" t="n">
        <v>0</v>
      </c>
      <c r="Y7" s="3" t="n">
        <v>23</v>
      </c>
      <c r="Z7" s="3" t="n">
        <v>22</v>
      </c>
      <c r="AA7" s="3" t="n">
        <v>1</v>
      </c>
      <c r="AB7" s="3" t="n">
        <v>0</v>
      </c>
      <c r="AC7" s="3" t="n">
        <v>0</v>
      </c>
      <c r="AD7" s="3" t="n">
        <v>0</v>
      </c>
      <c r="AE7" s="3" t="n">
        <v>1</v>
      </c>
      <c r="AF7" s="3" t="n">
        <v>10</v>
      </c>
      <c r="AG7" s="3" t="n">
        <v>3</v>
      </c>
      <c r="AH7" s="3" t="n">
        <v>9</v>
      </c>
      <c r="AI7" s="2" t="inlineStr">
        <is>
          <t>01998L0006-20220528</t>
        </is>
      </c>
      <c r="AJ7" s="3" t="n">
        <v>27</v>
      </c>
      <c r="AK7" s="2" t="n">
        <v>0</v>
      </c>
      <c r="AL7" s="2">
        <f>COUNTIFS(secondary_acts!$A$2:$A$771,$A7,secondary_acts!$E$2:$E$771,"implementing")</f>
        <v/>
      </c>
      <c r="AM7" s="2">
        <f>COUNTIFS(secondary_acts!$A$2:$A$771,$A7,secondary_acts!$E$2:$E$771,"delegated")</f>
        <v/>
      </c>
      <c r="AN7" s="2">
        <f>COUNTIFS(secondary_acts!$A$2:$A$771,$A7,secondary_acts!$E$2:$E$771,"other Commission/Council act")</f>
        <v/>
      </c>
      <c r="AO7" s="2">
        <f>COUNTIFS(secondary_acts!$A$2:$A$771,$A7,secondary_acts!$E$2:$E$771,"guidance")</f>
        <v/>
      </c>
      <c r="AP7" s="2">
        <f>COUNTIF(guidance_web!$A$2:$A$7,$A7)</f>
        <v/>
      </c>
      <c r="AQ7" s="2">
        <f>COUNTIFS(guidance_agencies!$A$2:$A$81,$A7,guidance_agencies!$D$2:$D$81,"EDPB")</f>
        <v/>
      </c>
      <c r="AR7" s="2">
        <f>COUNTIFS(guidance_agencies!$A$2:$A$81,$A7,guidance_agencies!$D$2:$D$81,"EBA")</f>
        <v/>
      </c>
      <c r="AS7" s="2">
        <f>COUNTIFS(guidance_agencies!$A$2:$A$81,$A7,guidance_agencies!$D$2:$D$81,"ESMA")</f>
        <v/>
      </c>
      <c r="AT7" s="3">
        <f>SUMIFS(secondary_acts!$S$2:$S$771,secondary_acts!$A$2:$A$771,$A7,secondary_acts!$E$2:$E$771,"implementing")+SUMIFS(secondary_acts!$S$2:$S$771,secondary_acts!$A$2:$A$771,$A7,secondary_acts!$E$2:$E$771,"delegated")</f>
        <v/>
      </c>
      <c r="AU7" s="3" t="n">
        <v>359</v>
      </c>
      <c r="AV7" s="2" t="n">
        <v>26</v>
      </c>
      <c r="AW7" s="2" t="n">
        <v>1</v>
      </c>
      <c r="AX7" s="2" t="inlineStr">
        <is>
          <t>2019-11-27</t>
        </is>
      </c>
      <c r="AY7" s="2" t="inlineStr">
        <is>
          <t>2019-11-27</t>
        </is>
      </c>
      <c r="AZ7" s="2" t="n">
        <v>1</v>
      </c>
      <c r="BA7" s="2" t="inlineStr">
        <is>
          <t>51995PC0276</t>
        </is>
      </c>
      <c r="BB7" s="2" t="inlineStr">
        <is>
          <t>EUR-Lex HTML</t>
        </is>
      </c>
      <c r="BC7" s="2" t="n">
        <v>1809</v>
      </c>
      <c r="BD7" s="2" t="n">
        <v>21</v>
      </c>
      <c r="BE7" s="2" t="n">
        <v>0</v>
      </c>
      <c r="BF7" s="2">
        <f>IF(ISNUMBER(BC7),R7-BC7,"")</f>
        <v/>
      </c>
      <c r="BG7" s="4">
        <f>IF(AND(ISNUMBER(BC7),BC7&gt;0),(R7-BC7)/BC7,"")</f>
        <v/>
      </c>
      <c r="BH7" s="2">
        <f>IF(ISNUMBER(BD7),Y7-BD7,"")</f>
        <v/>
      </c>
      <c r="BI7" s="4">
        <f>IF(AND(ISNUMBER(BD7),BD7&gt;0),(Y7-BD7)/BD7,"")</f>
        <v/>
      </c>
      <c r="BJ7" s="2">
        <f>IF(ISNUMBER(BE7),AE7-BE7,"")</f>
        <v/>
      </c>
      <c r="BK7" s="2" t="inlineStr">
        <is>
          <t>thin</t>
        </is>
      </c>
      <c r="BL7" s="2" t="inlineStr">
        <is>
          <t>thin: Commission implementation reports and enforcement sweeps; no independent studies of effects on prices or competition found</t>
        </is>
      </c>
      <c r="BM7" s="2" t="inlineStr">
        <is>
          <t>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is>
      </c>
      <c r="BN7" s="2" t="n">
        <v>2</v>
      </c>
      <c r="BO7" s="2" t="n">
        <v>2</v>
      </c>
      <c r="BP7" s="2" t="n">
        <v>3</v>
      </c>
      <c r="BQ7" s="2" t="n">
        <v>0</v>
      </c>
      <c r="BR7" s="2" t="inlineStr"/>
    </row>
    <row r="8">
      <c r="A8" s="2" t="n">
        <v>7</v>
      </c>
      <c r="B8" s="2" t="inlineStr">
        <is>
          <t>Information Society (InfoSoc) Directive</t>
        </is>
      </c>
      <c r="C8" s="2" t="inlineStr">
        <is>
          <t>Aims to harmonise copyright and related rights in the internal market, with particular attention to the information society. It grants authors and other rightholders exclusive rights of reproduction, communication to the public and distribution, sets out an exhaustive list of permitted exceptions, and requires legal protection against the circumvention of technological protection measures and the removal of rights-management information.</t>
        </is>
      </c>
      <c r="D8" s="2" t="inlineStr">
        <is>
          <t>Directive 2001/29/EC</t>
        </is>
      </c>
      <c r="E8" s="2" t="inlineStr">
        <is>
          <t>Media</t>
        </is>
      </c>
      <c r="F8" s="2" t="inlineStr">
        <is>
          <t>enacted</t>
        </is>
      </c>
      <c r="G8" s="2" t="inlineStr">
        <is>
          <t>1997-12-10</t>
        </is>
      </c>
      <c r="H8" s="2" t="inlineStr">
        <is>
          <t>high</t>
        </is>
      </c>
      <c r="I8" s="2" t="inlineStr">
        <is>
          <t>2001-05-22</t>
        </is>
      </c>
      <c r="J8" s="2" t="inlineStr">
        <is>
          <t>2001-06-25</t>
        </is>
      </c>
      <c r="K8" s="2" t="inlineStr">
        <is>
          <t>2001-06-22</t>
        </is>
      </c>
      <c r="L8" s="2" t="inlineStr">
        <is>
          <t>adopted</t>
        </is>
      </c>
      <c r="M8" s="2" t="inlineStr">
        <is>
          <t>adopted</t>
        </is>
      </c>
      <c r="N8" s="2" t="inlineStr">
        <is>
          <t>32001L0029</t>
        </is>
      </c>
      <c r="O8" s="2" t="inlineStr">
        <is>
          <t>Original act as published in the OJ</t>
        </is>
      </c>
      <c r="P8" s="2" t="inlineStr">
        <is>
          <t>https://eur-lex.europa.eu/legal-content/EN/TXT/?uri=CELEX:32001L0029</t>
        </is>
      </c>
      <c r="Q8" s="3" t="n">
        <v>10</v>
      </c>
      <c r="R8" s="3" t="n">
        <v>8127</v>
      </c>
      <c r="S8" s="3" t="n">
        <v>4811</v>
      </c>
      <c r="T8" s="3" t="n">
        <v>4670</v>
      </c>
      <c r="U8" s="3" t="n">
        <v>3316</v>
      </c>
      <c r="V8" s="3" t="n">
        <v>0</v>
      </c>
      <c r="W8" s="3" t="n">
        <v>0</v>
      </c>
      <c r="X8" s="3" t="n">
        <v>0</v>
      </c>
      <c r="Y8" s="3" t="n">
        <v>35</v>
      </c>
      <c r="Z8" s="3" t="n">
        <v>29</v>
      </c>
      <c r="AA8" s="3" t="n">
        <v>3</v>
      </c>
      <c r="AB8" s="3" t="n">
        <v>2</v>
      </c>
      <c r="AC8" s="3" t="n">
        <v>0</v>
      </c>
      <c r="AD8" s="3" t="n">
        <v>1</v>
      </c>
      <c r="AE8" s="3" t="n">
        <v>0</v>
      </c>
      <c r="AF8" s="3" t="n">
        <v>21</v>
      </c>
      <c r="AG8" s="3" t="n">
        <v>3</v>
      </c>
      <c r="AH8" s="3" t="n">
        <v>11</v>
      </c>
      <c r="AI8" s="2" t="inlineStr">
        <is>
          <t>02001L0029-20190606</t>
        </is>
      </c>
      <c r="AJ8" s="3" t="n">
        <v>35</v>
      </c>
      <c r="AK8" s="2" t="n">
        <v>0</v>
      </c>
      <c r="AL8" s="2">
        <f>COUNTIFS(secondary_acts!$A$2:$A$771,$A8,secondary_acts!$E$2:$E$771,"implementing")</f>
        <v/>
      </c>
      <c r="AM8" s="2">
        <f>COUNTIFS(secondary_acts!$A$2:$A$771,$A8,secondary_acts!$E$2:$E$771,"delegated")</f>
        <v/>
      </c>
      <c r="AN8" s="2">
        <f>COUNTIFS(secondary_acts!$A$2:$A$771,$A8,secondary_acts!$E$2:$E$771,"other Commission/Council act")</f>
        <v/>
      </c>
      <c r="AO8" s="2">
        <f>COUNTIFS(secondary_acts!$A$2:$A$771,$A8,secondary_acts!$E$2:$E$771,"guidance")</f>
        <v/>
      </c>
      <c r="AP8" s="2">
        <f>COUNTIF(guidance_web!$A$2:$A$7,$A8)</f>
        <v/>
      </c>
      <c r="AQ8" s="2">
        <f>COUNTIFS(guidance_agencies!$A$2:$A$81,$A8,guidance_agencies!$D$2:$D$81,"EDPB")</f>
        <v/>
      </c>
      <c r="AR8" s="2">
        <f>COUNTIFS(guidance_agencies!$A$2:$A$81,$A8,guidance_agencies!$D$2:$D$81,"EBA")</f>
        <v/>
      </c>
      <c r="AS8" s="2">
        <f>COUNTIFS(guidance_agencies!$A$2:$A$81,$A8,guidance_agencies!$D$2:$D$81,"ESMA")</f>
        <v/>
      </c>
      <c r="AT8" s="3">
        <f>SUMIFS(secondary_acts!$S$2:$S$771,secondary_acts!$A$2:$A$771,$A8,secondary_acts!$E$2:$E$771,"implementing")+SUMIFS(secondary_acts!$S$2:$S$771,secondary_acts!$A$2:$A$771,$A8,secondary_acts!$E$2:$E$771,"delegated")</f>
        <v/>
      </c>
      <c r="AU8" s="3" t="n">
        <v>1103</v>
      </c>
      <c r="AV8" s="2" t="n">
        <v>28</v>
      </c>
      <c r="AW8" s="2" t="n">
        <v>2</v>
      </c>
      <c r="AX8" s="2" t="inlineStr">
        <is>
          <t>2017-09-13</t>
        </is>
      </c>
      <c r="AY8" s="2" t="inlineStr">
        <is>
          <t>2019-04-17</t>
        </is>
      </c>
      <c r="AZ8" s="2" t="n">
        <v>8</v>
      </c>
      <c r="BA8" s="2" t="inlineStr">
        <is>
          <t>51997PC0628</t>
        </is>
      </c>
      <c r="BB8" s="2" t="inlineStr">
        <is>
          <t>EUR-Lex HTML</t>
        </is>
      </c>
      <c r="BC8" s="2" t="n">
        <v>5152</v>
      </c>
      <c r="BD8" s="2" t="n">
        <v>27</v>
      </c>
      <c r="BE8" s="2" t="n">
        <v>0</v>
      </c>
      <c r="BF8" s="2">
        <f>IF(ISNUMBER(BC8),R8-BC8,"")</f>
        <v/>
      </c>
      <c r="BG8" s="4">
        <f>IF(AND(ISNUMBER(BC8),BC8&gt;0),(R8-BC8)/BC8,"")</f>
        <v/>
      </c>
      <c r="BH8" s="2">
        <f>IF(ISNUMBER(BD8),Y8-BD8,"")</f>
        <v/>
      </c>
      <c r="BI8" s="4">
        <f>IF(AND(ISNUMBER(BD8),BD8&gt;0),(Y8-BD8)/BD8,"")</f>
        <v/>
      </c>
      <c r="BJ8" s="2">
        <f>IF(ISNUMBER(BE8),AE8-BE8,"")</f>
        <v/>
      </c>
      <c r="BK8" s="2" t="inlineStr">
        <is>
          <t>thin</t>
        </is>
      </c>
      <c r="BL8" s="2" t="inlineStr">
        <is>
          <t>thin: Commission-commissioned legal evaluation and later IA diagnosis; no causal study of the Directive itself; indirect causal evidence on DRM and correlational evidence on research exceptions</t>
        </is>
      </c>
      <c r="BM8" s="2" t="inlineStr">
        <is>
          <t>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is>
      </c>
      <c r="BN8" s="2" t="n">
        <v>4</v>
      </c>
      <c r="BO8" s="2" t="n">
        <v>3</v>
      </c>
      <c r="BP8" s="2" t="n">
        <v>4</v>
      </c>
      <c r="BQ8" s="2" t="n">
        <v>1</v>
      </c>
      <c r="BR8" s="2" t="inlineStr"/>
    </row>
    <row r="9">
      <c r="A9" s="2" t="n">
        <v>8</v>
      </c>
      <c r="B9" s="2" t="inlineStr">
        <is>
          <t>E-commerce Directive</t>
        </is>
      </c>
      <c r="C9" s="2" t="inlineStr">
        <is>
          <t>Aims to ensure the free movement of information society services between Member States. It subjects online service providers to the rules of the Member State where they are established, sets information requirements for providers and commercial communications, enables contracts to be concluded electronically, and limits the liability of intermediaries that host, cache or transmit third-party content.</t>
        </is>
      </c>
      <c r="D9" s="2" t="inlineStr">
        <is>
          <t>Directive 2000/31/EC</t>
        </is>
      </c>
      <c r="E9" s="2" t="inlineStr">
        <is>
          <t>E-commerce &amp; Consumer Protection</t>
        </is>
      </c>
      <c r="F9" s="2" t="inlineStr">
        <is>
          <t>enacted</t>
        </is>
      </c>
      <c r="G9" s="2" t="inlineStr">
        <is>
          <t>1998-11-18</t>
        </is>
      </c>
      <c r="H9" s="2" t="inlineStr">
        <is>
          <t>high</t>
        </is>
      </c>
      <c r="I9" s="2" t="inlineStr">
        <is>
          <t>2000-06-08</t>
        </is>
      </c>
      <c r="J9" s="2" t="inlineStr">
        <is>
          <t>2000-06-08</t>
        </is>
      </c>
      <c r="K9" s="2" t="inlineStr">
        <is>
          <t>2000-07-17</t>
        </is>
      </c>
      <c r="L9" s="2" t="inlineStr">
        <is>
          <t>adopted</t>
        </is>
      </c>
      <c r="M9" s="2" t="inlineStr">
        <is>
          <t>adopted</t>
        </is>
      </c>
      <c r="N9" s="2" t="inlineStr">
        <is>
          <t>32000L0031</t>
        </is>
      </c>
      <c r="O9" s="2" t="inlineStr">
        <is>
          <t>Original act as published in the OJ</t>
        </is>
      </c>
      <c r="P9" s="2" t="inlineStr">
        <is>
          <t>https://eur-lex.europa.eu/legal-content/EN/TXT/?uri=CELEX:32000L0031</t>
        </is>
      </c>
      <c r="Q9" s="3" t="n">
        <v>16</v>
      </c>
      <c r="R9" s="3" t="n">
        <v>10148</v>
      </c>
      <c r="S9" s="3" t="n">
        <v>5471</v>
      </c>
      <c r="T9" s="3" t="n">
        <v>5320</v>
      </c>
      <c r="U9" s="3" t="n">
        <v>4370</v>
      </c>
      <c r="V9" s="3" t="n">
        <v>307</v>
      </c>
      <c r="W9" s="3" t="n">
        <v>0</v>
      </c>
      <c r="X9" s="3" t="n">
        <v>0</v>
      </c>
      <c r="Y9" s="3" t="n">
        <v>72</v>
      </c>
      <c r="Z9" s="3" t="n">
        <v>50</v>
      </c>
      <c r="AA9" s="3" t="n">
        <v>3</v>
      </c>
      <c r="AB9" s="3" t="n">
        <v>0</v>
      </c>
      <c r="AC9" s="3" t="n">
        <v>2</v>
      </c>
      <c r="AD9" s="3" t="n">
        <v>17</v>
      </c>
      <c r="AE9" s="3" t="n">
        <v>6</v>
      </c>
      <c r="AF9" s="3" t="n">
        <v>42</v>
      </c>
      <c r="AG9" s="3" t="n">
        <v>9</v>
      </c>
      <c r="AH9" s="3" t="n">
        <v>15</v>
      </c>
      <c r="AI9" s="2" t="inlineStr">
        <is>
          <t>02000L0031-20240217</t>
        </is>
      </c>
      <c r="AJ9" s="3" t="n">
        <v>68</v>
      </c>
      <c r="AK9" s="2" t="n">
        <v>6</v>
      </c>
      <c r="AL9" s="2">
        <f>COUNTIFS(secondary_acts!$A$2:$A$771,$A9,secondary_acts!$E$2:$E$771,"implementing")</f>
        <v/>
      </c>
      <c r="AM9" s="2">
        <f>COUNTIFS(secondary_acts!$A$2:$A$771,$A9,secondary_acts!$E$2:$E$771,"delegated")</f>
        <v/>
      </c>
      <c r="AN9" s="2">
        <f>COUNTIFS(secondary_acts!$A$2:$A$771,$A9,secondary_acts!$E$2:$E$771,"other Commission/Council act")</f>
        <v/>
      </c>
      <c r="AO9" s="2">
        <f>COUNTIFS(secondary_acts!$A$2:$A$771,$A9,secondary_acts!$E$2:$E$771,"guidance")</f>
        <v/>
      </c>
      <c r="AP9" s="2">
        <f>COUNTIF(guidance_web!$A$2:$A$7,$A9)</f>
        <v/>
      </c>
      <c r="AQ9" s="2">
        <f>COUNTIFS(guidance_agencies!$A$2:$A$81,$A9,guidance_agencies!$D$2:$D$81,"EDPB")</f>
        <v/>
      </c>
      <c r="AR9" s="2">
        <f>COUNTIFS(guidance_agencies!$A$2:$A$81,$A9,guidance_agencies!$D$2:$D$81,"EBA")</f>
        <v/>
      </c>
      <c r="AS9" s="2">
        <f>COUNTIFS(guidance_agencies!$A$2:$A$81,$A9,guidance_agencies!$D$2:$D$81,"ESMA")</f>
        <v/>
      </c>
      <c r="AT9" s="3">
        <f>SUMIFS(secondary_acts!$S$2:$S$771,secondary_acts!$A$2:$A$771,$A9,secondary_acts!$E$2:$E$771,"implementing")+SUMIFS(secondary_acts!$S$2:$S$771,secondary_acts!$A$2:$A$771,$A9,secondary_acts!$E$2:$E$771,"delegated")</f>
        <v/>
      </c>
      <c r="AU9" s="3" t="n">
        <v>2522</v>
      </c>
      <c r="AV9" s="2" t="n">
        <v>27</v>
      </c>
      <c r="AW9" s="2" t="n">
        <v>1</v>
      </c>
      <c r="AX9" s="2" t="inlineStr">
        <is>
          <t>2022-10-19</t>
        </is>
      </c>
      <c r="AY9" s="2" t="inlineStr">
        <is>
          <t>2022-10-19</t>
        </is>
      </c>
      <c r="AZ9" s="2" t="n">
        <v>4</v>
      </c>
      <c r="BA9" s="2" t="inlineStr">
        <is>
          <t>51998PC0586</t>
        </is>
      </c>
      <c r="BB9" s="2" t="inlineStr">
        <is>
          <t>EUR-Lex HTML</t>
        </is>
      </c>
      <c r="BC9" s="2" t="n">
        <v>7063</v>
      </c>
      <c r="BD9" s="2" t="n">
        <v>78</v>
      </c>
      <c r="BE9" s="2" t="n">
        <v>7</v>
      </c>
      <c r="BF9" s="2">
        <f>IF(ISNUMBER(BC9),R9-BC9,"")</f>
        <v/>
      </c>
      <c r="BG9" s="4">
        <f>IF(AND(ISNUMBER(BC9),BC9&gt;0),(R9-BC9)/BC9,"")</f>
        <v/>
      </c>
      <c r="BH9" s="2">
        <f>IF(ISNUMBER(BD9),Y9-BD9,"")</f>
        <v/>
      </c>
      <c r="BI9" s="4">
        <f>IF(AND(ISNUMBER(BD9),BD9&gt;0),(Y9-BD9)/BD9,"")</f>
        <v/>
      </c>
      <c r="BJ9" s="2">
        <f>IF(ISNUMBER(BE9),AE9-BE9,"")</f>
        <v/>
      </c>
      <c r="BK9" s="2" t="inlineStr">
        <is>
          <t>thin</t>
        </is>
      </c>
      <c r="BL9" s="2" t="inlineStr">
        <is>
          <t>thin: Commission evaluations are qualitative; no causal study isolates the Directive's or its safe harbours' effect on trade, investment or innovation; main quantitative estimate is industry-funded</t>
        </is>
      </c>
      <c r="BM9" s="2" t="inlineStr">
        <is>
          <t>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is>
      </c>
      <c r="BN9" s="2" t="n">
        <v>3</v>
      </c>
      <c r="BO9" s="2" t="n">
        <v>3</v>
      </c>
      <c r="BP9" s="2" t="n">
        <v>6</v>
      </c>
      <c r="BQ9" s="2" t="n">
        <v>0</v>
      </c>
      <c r="BR9" s="2" t="inlineStr"/>
    </row>
    <row r="10">
      <c r="A10" s="2" t="n">
        <v>9</v>
      </c>
      <c r="B10" s="2" t="inlineStr">
        <is>
          <t>ePrivacy Directive</t>
        </is>
      </c>
      <c r="C10" s="2" t="inlineStr">
        <is>
          <t>Aims to ensure an equivalent level of protection of privacy and personal data in electronic communications across the EU, complementing general data protection rules. It requires providers to keep communications confidential and secure, restricts the use of traffic and location data, requires consent for storing information such as cookies on users' devices, and regulates unsolicited marketing communications.</t>
        </is>
      </c>
      <c r="D10" s="2" t="inlineStr">
        <is>
          <t>Directive 2002/58/EC</t>
        </is>
      </c>
      <c r="E10" s="2" t="inlineStr">
        <is>
          <t>Data &amp; Privacy</t>
        </is>
      </c>
      <c r="F10" s="2" t="inlineStr">
        <is>
          <t>enacted</t>
        </is>
      </c>
      <c r="G10" s="2" t="inlineStr">
        <is>
          <t>2000-07-12</t>
        </is>
      </c>
      <c r="H10" s="2" t="inlineStr">
        <is>
          <t>high</t>
        </is>
      </c>
      <c r="I10" s="2" t="inlineStr">
        <is>
          <t>2002-07-12</t>
        </is>
      </c>
      <c r="J10" s="2" t="inlineStr">
        <is>
          <t>2002-08-01</t>
        </is>
      </c>
      <c r="K10" s="2" t="inlineStr">
        <is>
          <t>2002-07-31</t>
        </is>
      </c>
      <c r="L10" s="2" t="inlineStr">
        <is>
          <t>adopted</t>
        </is>
      </c>
      <c r="M10" s="2" t="inlineStr">
        <is>
          <t>adopted</t>
        </is>
      </c>
      <c r="N10" s="2" t="inlineStr">
        <is>
          <t>32002L0058</t>
        </is>
      </c>
      <c r="O10" s="2" t="inlineStr">
        <is>
          <t>Original act as published in the OJ</t>
        </is>
      </c>
      <c r="P10" s="2" t="inlineStr">
        <is>
          <t>https://eur-lex.europa.eu/legal-content/EN/TXT/?uri=CELEX:32002L0058</t>
        </is>
      </c>
      <c r="Q10" s="3" t="n">
        <v>11</v>
      </c>
      <c r="R10" s="3" t="n">
        <v>8620</v>
      </c>
      <c r="S10" s="3" t="n">
        <v>5001</v>
      </c>
      <c r="T10" s="3" t="n">
        <v>4843</v>
      </c>
      <c r="U10" s="3" t="n">
        <v>3619</v>
      </c>
      <c r="V10" s="3" t="n">
        <v>0</v>
      </c>
      <c r="W10" s="3" t="n">
        <v>0</v>
      </c>
      <c r="X10" s="3" t="n">
        <v>0</v>
      </c>
      <c r="Y10" s="3" t="n">
        <v>49</v>
      </c>
      <c r="Z10" s="3" t="n">
        <v>34</v>
      </c>
      <c r="AA10" s="3" t="n">
        <v>3</v>
      </c>
      <c r="AB10" s="3" t="n">
        <v>2</v>
      </c>
      <c r="AC10" s="3" t="n">
        <v>1</v>
      </c>
      <c r="AD10" s="3" t="n">
        <v>9</v>
      </c>
      <c r="AE10" s="3" t="n">
        <v>17</v>
      </c>
      <c r="AF10" s="3" t="n">
        <v>23</v>
      </c>
      <c r="AG10" s="3" t="n">
        <v>4</v>
      </c>
      <c r="AH10" s="3" t="n">
        <v>5</v>
      </c>
      <c r="AI10" s="2" t="inlineStr">
        <is>
          <t>02002L0058-20091219</t>
        </is>
      </c>
      <c r="AJ10" s="3" t="n">
        <v>79</v>
      </c>
      <c r="AK10" s="2" t="n">
        <v>29</v>
      </c>
      <c r="AL10" s="2">
        <f>COUNTIFS(secondary_acts!$A$2:$A$771,$A10,secondary_acts!$E$2:$E$771,"implementing")</f>
        <v/>
      </c>
      <c r="AM10" s="2">
        <f>COUNTIFS(secondary_acts!$A$2:$A$771,$A10,secondary_acts!$E$2:$E$771,"delegated")</f>
        <v/>
      </c>
      <c r="AN10" s="2">
        <f>COUNTIFS(secondary_acts!$A$2:$A$771,$A10,secondary_acts!$E$2:$E$771,"other Commission/Council act")</f>
        <v/>
      </c>
      <c r="AO10" s="2">
        <f>COUNTIFS(secondary_acts!$A$2:$A$771,$A10,secondary_acts!$E$2:$E$771,"guidance")</f>
        <v/>
      </c>
      <c r="AP10" s="2">
        <f>COUNTIF(guidance_web!$A$2:$A$7,$A10)</f>
        <v/>
      </c>
      <c r="AQ10" s="2">
        <f>COUNTIFS(guidance_agencies!$A$2:$A$81,$A10,guidance_agencies!$D$2:$D$81,"EDPB")</f>
        <v/>
      </c>
      <c r="AR10" s="2">
        <f>COUNTIFS(guidance_agencies!$A$2:$A$81,$A10,guidance_agencies!$D$2:$D$81,"EBA")</f>
        <v/>
      </c>
      <c r="AS10" s="2">
        <f>COUNTIFS(guidance_agencies!$A$2:$A$81,$A10,guidance_agencies!$D$2:$D$81,"ESMA")</f>
        <v/>
      </c>
      <c r="AT10" s="3">
        <f>SUMIFS(secondary_acts!$S$2:$S$771,secondary_acts!$A$2:$A$771,$A10,secondary_acts!$E$2:$E$771,"implementing")+SUMIFS(secondary_acts!$S$2:$S$771,secondary_acts!$A$2:$A$771,$A10,secondary_acts!$E$2:$E$771,"delegated")</f>
        <v/>
      </c>
      <c r="AU10" s="3" t="n">
        <v>1004</v>
      </c>
      <c r="AV10" s="2" t="n">
        <v>28</v>
      </c>
      <c r="AW10" s="2" t="n">
        <v>2</v>
      </c>
      <c r="AX10" s="2" t="inlineStr">
        <is>
          <t>2006-03-15</t>
        </is>
      </c>
      <c r="AY10" s="2" t="inlineStr">
        <is>
          <t>2009-11-25</t>
        </is>
      </c>
      <c r="AZ10" s="2" t="n">
        <v>4</v>
      </c>
      <c r="BA10" s="2" t="inlineStr">
        <is>
          <t>52000PC0385</t>
        </is>
      </c>
      <c r="BB10" s="2" t="inlineStr">
        <is>
          <t>EUR-Lex HTML</t>
        </is>
      </c>
      <c r="BC10" s="2" t="n">
        <v>5154</v>
      </c>
      <c r="BD10" s="2" t="n">
        <v>39</v>
      </c>
      <c r="BE10" s="2" t="n">
        <v>14</v>
      </c>
      <c r="BF10" s="2">
        <f>IF(ISNUMBER(BC10),R10-BC10,"")</f>
        <v/>
      </c>
      <c r="BG10" s="4">
        <f>IF(AND(ISNUMBER(BC10),BC10&gt;0),(R10-BC10)/BC10,"")</f>
        <v/>
      </c>
      <c r="BH10" s="2">
        <f>IF(ISNUMBER(BD10),Y10-BD10,"")</f>
        <v/>
      </c>
      <c r="BI10" s="4">
        <f>IF(AND(ISNUMBER(BD10),BD10&gt;0),(Y10-BD10)/BD10,"")</f>
        <v/>
      </c>
      <c r="BJ10" s="2">
        <f>IF(ISNUMBER(BE10),AE10-BE10,"")</f>
        <v/>
      </c>
      <c r="BK10" s="2" t="inlineStr">
        <is>
          <t>moderate</t>
        </is>
      </c>
      <c r="BL10" s="2" t="inlineStr">
        <is>
          <t>moderate: one influential peer-reviewed causal study; Commission evaluation with acknowledged data gaps</t>
        </is>
      </c>
      <c r="BM10" s="2" t="inlineStr">
        <is>
          <t>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is>
      </c>
      <c r="BN10" s="2" t="n">
        <v>2</v>
      </c>
      <c r="BO10" s="2" t="n">
        <v>2</v>
      </c>
      <c r="BP10" s="2" t="n">
        <v>2</v>
      </c>
      <c r="BQ10" s="2" t="n">
        <v>1</v>
      </c>
      <c r="BR10" s="2" t="inlineStr"/>
    </row>
    <row r="11">
      <c r="A11" s="2" t="n">
        <v>10</v>
      </c>
      <c r="B11" s="2" t="inlineStr">
        <is>
          <t>Radio Spectrum Decision</t>
        </is>
      </c>
      <c r="C11" s="2" t="inlineStr">
        <is>
          <t>Establishes a policy and legal framework to coordinate radio spectrum use in the EU and, where appropriate, harmonise conditions for its availability and efficient use. It sets procedures for strategic spectrum planning, creates a Radio Spectrum Committee to help the Commission adopt harmonisation measures, and requires information on spectrum use to be made publicly available.</t>
        </is>
      </c>
      <c r="D11" s="2" t="inlineStr">
        <is>
          <t>Decision 676/2002/EC</t>
        </is>
      </c>
      <c r="E11" s="2" t="inlineStr">
        <is>
          <t>Connectivity</t>
        </is>
      </c>
      <c r="F11" s="2" t="inlineStr">
        <is>
          <t>enacted</t>
        </is>
      </c>
      <c r="G11" s="2" t="inlineStr">
        <is>
          <t>2000-07-12</t>
        </is>
      </c>
      <c r="H11" s="2" t="inlineStr">
        <is>
          <t>medium</t>
        </is>
      </c>
      <c r="I11" s="2" t="inlineStr">
        <is>
          <t>2002-03-07</t>
        </is>
      </c>
      <c r="J11" s="2" t="inlineStr">
        <is>
          <t>2002-04-25</t>
        </is>
      </c>
      <c r="K11" s="2" t="inlineStr">
        <is>
          <t>2002-04-24</t>
        </is>
      </c>
      <c r="L11" s="2" t="inlineStr">
        <is>
          <t>adopted</t>
        </is>
      </c>
      <c r="M11" s="2" t="inlineStr">
        <is>
          <t>adopted</t>
        </is>
      </c>
      <c r="N11" s="2" t="inlineStr">
        <is>
          <t>32002D0676</t>
        </is>
      </c>
      <c r="O11" s="2" t="inlineStr">
        <is>
          <t>Original act as published in the OJ</t>
        </is>
      </c>
      <c r="P11" s="2" t="inlineStr">
        <is>
          <t>https://eur-lex.europa.eu/legal-content/EN/TXT/?uri=CELEX:32002D0676</t>
        </is>
      </c>
      <c r="Q11" s="3" t="n">
        <v>6</v>
      </c>
      <c r="R11" s="3" t="n">
        <v>4197</v>
      </c>
      <c r="S11" s="3" t="n">
        <v>2770</v>
      </c>
      <c r="T11" s="3" t="n">
        <v>2631</v>
      </c>
      <c r="U11" s="3" t="n">
        <v>1427</v>
      </c>
      <c r="V11" s="3" t="n">
        <v>0</v>
      </c>
      <c r="W11" s="3" t="n">
        <v>0</v>
      </c>
      <c r="X11" s="3" t="n">
        <v>0</v>
      </c>
      <c r="Y11" s="3" t="n">
        <v>26</v>
      </c>
      <c r="Z11" s="3" t="n">
        <v>24</v>
      </c>
      <c r="AA11" s="3" t="n">
        <v>1</v>
      </c>
      <c r="AB11" s="3" t="n">
        <v>0</v>
      </c>
      <c r="AC11" s="3" t="n">
        <v>0</v>
      </c>
      <c r="AD11" s="3" t="n">
        <v>1</v>
      </c>
      <c r="AE11" s="3" t="n">
        <v>0</v>
      </c>
      <c r="AF11" s="3" t="n">
        <v>10</v>
      </c>
      <c r="AG11" s="3" t="n">
        <v>11</v>
      </c>
      <c r="AH11" s="3" t="n">
        <v>5</v>
      </c>
      <c r="AI11" s="2" t="inlineStr">
        <is>
          <t>02002D0676-20020424</t>
        </is>
      </c>
      <c r="AJ11" s="3" t="n">
        <v>26</v>
      </c>
      <c r="AK11" s="2" t="n">
        <v>0</v>
      </c>
      <c r="AL11" s="2">
        <f>COUNTIFS(secondary_acts!$A$2:$A$771,$A11,secondary_acts!$E$2:$E$771,"implementing")</f>
        <v/>
      </c>
      <c r="AM11" s="2">
        <f>COUNTIFS(secondary_acts!$A$2:$A$771,$A11,secondary_acts!$E$2:$E$771,"delegated")</f>
        <v/>
      </c>
      <c r="AN11" s="2">
        <f>COUNTIFS(secondary_acts!$A$2:$A$771,$A11,secondary_acts!$E$2:$E$771,"other Commission/Council act")</f>
        <v/>
      </c>
      <c r="AO11" s="2">
        <f>COUNTIFS(secondary_acts!$A$2:$A$771,$A11,secondary_acts!$E$2:$E$771,"guidance")</f>
        <v/>
      </c>
      <c r="AP11" s="2">
        <f>COUNTIF(guidance_web!$A$2:$A$7,$A11)</f>
        <v/>
      </c>
      <c r="AQ11" s="2">
        <f>COUNTIFS(guidance_agencies!$A$2:$A$81,$A11,guidance_agencies!$D$2:$D$81,"EDPB")</f>
        <v/>
      </c>
      <c r="AR11" s="2">
        <f>COUNTIFS(guidance_agencies!$A$2:$A$81,$A11,guidance_agencies!$D$2:$D$81,"EBA")</f>
        <v/>
      </c>
      <c r="AS11" s="2">
        <f>COUNTIFS(guidance_agencies!$A$2:$A$81,$A11,guidance_agencies!$D$2:$D$81,"ESMA")</f>
        <v/>
      </c>
      <c r="AT11" s="3">
        <f>SUMIFS(secondary_acts!$S$2:$S$771,secondary_acts!$A$2:$A$771,$A11,secondary_acts!$E$2:$E$771,"implementing")+SUMIFS(secondary_acts!$S$2:$S$771,secondary_acts!$A$2:$A$771,$A11,secondary_acts!$E$2:$E$771,"delegated")</f>
        <v/>
      </c>
      <c r="AU11" s="3" t="n"/>
      <c r="AV11" s="2" t="n"/>
      <c r="AW11" s="2" t="n">
        <v>0</v>
      </c>
      <c r="AX11" s="2" t="n"/>
      <c r="AY11" s="2" t="n"/>
      <c r="AZ11" s="2" t="n">
        <v>1</v>
      </c>
      <c r="BA11" s="2" t="inlineStr">
        <is>
          <t>52000PC0407</t>
        </is>
      </c>
      <c r="BB11" s="2" t="inlineStr">
        <is>
          <t>PDF text (approximate)</t>
        </is>
      </c>
      <c r="BC11" s="2" t="n">
        <v>4076</v>
      </c>
      <c r="BD11" s="2" t="n">
        <v>33</v>
      </c>
      <c r="BE11" s="2" t="n">
        <v>0</v>
      </c>
      <c r="BF11" s="2">
        <f>IF(ISNUMBER(BC11),R11-BC11,"")</f>
        <v/>
      </c>
      <c r="BG11" s="4">
        <f>IF(AND(ISNUMBER(BC11),BC11&gt;0),(R11-BC11)/BC11,"")</f>
        <v/>
      </c>
      <c r="BH11" s="2">
        <f>IF(ISNUMBER(BD11),Y11-BD11,"")</f>
        <v/>
      </c>
      <c r="BI11" s="4">
        <f>IF(AND(ISNUMBER(BD11),BD11&gt;0),(Y11-BD11)/BD11,"")</f>
        <v/>
      </c>
      <c r="BJ11" s="2">
        <f>IF(ISNUMBER(BE11),AE11-BE11,"")</f>
        <v/>
      </c>
      <c r="BK11" s="2" t="inlineStr">
        <is>
          <t>thin</t>
        </is>
      </c>
      <c r="BL11" s="2" t="inlineStr">
        <is>
          <t>thin: Commission implementation reports and evaluations only; no independent causal studies found</t>
        </is>
      </c>
      <c r="BM11" s="2" t="inlineStr">
        <is>
          <t>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is>
      </c>
      <c r="BN11" s="2" t="n">
        <v>3</v>
      </c>
      <c r="BO11" s="2" t="n">
        <v>3</v>
      </c>
      <c r="BP11" s="2" t="n">
        <v>2</v>
      </c>
      <c r="BQ11" s="2" t="n">
        <v>0</v>
      </c>
      <c r="BR11" s="2" t="inlineStr">
        <is>
          <t>no consolidated text with amendments in EUR-Lex; consolidated count = original</t>
        </is>
      </c>
    </row>
    <row r="12">
      <c r="A12" s="2" t="n">
        <v>11</v>
      </c>
      <c r="B12" s="2" t="inlineStr">
        <is>
          <t>EC Merger Regulation</t>
        </is>
      </c>
      <c r="C12" s="2" t="inlineStr">
        <is>
          <t>Aims to ensure that mergers and acquisitions do not distort competition in the internal market. It requires concentrations above set turnover thresholds to be notified to the Commission before completion, which assesses whether they would significantly impede effective competition and may clear, condition or prohibit them. It establishes a one-stop review at EU level and rules for referrals to and from national authorities.</t>
        </is>
      </c>
      <c r="D12" s="2" t="inlineStr">
        <is>
          <t>Regulation (EC) 139/2004</t>
        </is>
      </c>
      <c r="E12" s="2" t="inlineStr">
        <is>
          <t>Competition &amp; Single Market</t>
        </is>
      </c>
      <c r="F12" s="2" t="inlineStr">
        <is>
          <t>enacted</t>
        </is>
      </c>
      <c r="G12" s="2" t="inlineStr">
        <is>
          <t>2002-12-11</t>
        </is>
      </c>
      <c r="H12" s="2" t="inlineStr">
        <is>
          <t>high</t>
        </is>
      </c>
      <c r="I12" s="2" t="inlineStr">
        <is>
          <t>2004-01-20</t>
        </is>
      </c>
      <c r="J12" s="2" t="inlineStr">
        <is>
          <t>2004-01-30</t>
        </is>
      </c>
      <c r="K12" s="2" t="inlineStr">
        <is>
          <t>2004-02-18</t>
        </is>
      </c>
      <c r="L12" s="2" t="inlineStr">
        <is>
          <t>adopted</t>
        </is>
      </c>
      <c r="M12" s="2" t="inlineStr">
        <is>
          <t>adopted</t>
        </is>
      </c>
      <c r="N12" s="2" t="inlineStr">
        <is>
          <t>32004R0139</t>
        </is>
      </c>
      <c r="O12" s="2" t="inlineStr">
        <is>
          <t>Original act as published in the OJ</t>
        </is>
      </c>
      <c r="P12" s="2" t="inlineStr">
        <is>
          <t>https://eur-lex.europa.eu/legal-content/EN/TXT/?uri=CELEX:32004R0139</t>
        </is>
      </c>
      <c r="Q12" s="3" t="n">
        <v>22</v>
      </c>
      <c r="R12" s="3" t="n">
        <v>14967</v>
      </c>
      <c r="S12" s="3" t="n">
        <v>4554</v>
      </c>
      <c r="T12" s="3" t="n">
        <v>4435</v>
      </c>
      <c r="U12" s="3" t="n">
        <v>10409</v>
      </c>
      <c r="V12" s="3" t="n">
        <v>4</v>
      </c>
      <c r="W12" s="3" t="n">
        <v>0</v>
      </c>
      <c r="X12" s="3" t="n">
        <v>0</v>
      </c>
      <c r="Y12" s="3" t="n">
        <v>157</v>
      </c>
      <c r="Z12" s="3" t="n">
        <v>142</v>
      </c>
      <c r="AA12" s="3" t="n">
        <v>13</v>
      </c>
      <c r="AB12" s="3" t="n">
        <v>0</v>
      </c>
      <c r="AC12" s="3" t="n">
        <v>1</v>
      </c>
      <c r="AD12" s="3" t="n">
        <v>1</v>
      </c>
      <c r="AE12" s="3" t="n">
        <v>12</v>
      </c>
      <c r="AF12" s="3" t="n">
        <v>26</v>
      </c>
      <c r="AG12" s="3" t="n">
        <v>67</v>
      </c>
      <c r="AH12" s="3" t="n">
        <v>52</v>
      </c>
      <c r="AI12" s="2" t="inlineStr">
        <is>
          <t>02004R0139-20040218</t>
        </is>
      </c>
      <c r="AJ12" s="3" t="n">
        <v>157</v>
      </c>
      <c r="AK12" s="2" t="n">
        <v>12</v>
      </c>
      <c r="AL12" s="2">
        <f>COUNTIFS(secondary_acts!$A$2:$A$771,$A12,secondary_acts!$E$2:$E$771,"implementing")</f>
        <v/>
      </c>
      <c r="AM12" s="2">
        <f>COUNTIFS(secondary_acts!$A$2:$A$771,$A12,secondary_acts!$E$2:$E$771,"delegated")</f>
        <v/>
      </c>
      <c r="AN12" s="2">
        <f>COUNTIFS(secondary_acts!$A$2:$A$771,$A12,secondary_acts!$E$2:$E$771,"other Commission/Council act")</f>
        <v/>
      </c>
      <c r="AO12" s="2">
        <f>COUNTIFS(secondary_acts!$A$2:$A$771,$A12,secondary_acts!$E$2:$E$771,"guidance")</f>
        <v/>
      </c>
      <c r="AP12" s="2">
        <f>COUNTIF(guidance_web!$A$2:$A$7,$A12)</f>
        <v/>
      </c>
      <c r="AQ12" s="2">
        <f>COUNTIFS(guidance_agencies!$A$2:$A$81,$A12,guidance_agencies!$D$2:$D$81,"EDPB")</f>
        <v/>
      </c>
      <c r="AR12" s="2">
        <f>COUNTIFS(guidance_agencies!$A$2:$A$81,$A12,guidance_agencies!$D$2:$D$81,"EBA")</f>
        <v/>
      </c>
      <c r="AS12" s="2">
        <f>COUNTIFS(guidance_agencies!$A$2:$A$81,$A12,guidance_agencies!$D$2:$D$81,"ESMA")</f>
        <v/>
      </c>
      <c r="AT12" s="3">
        <f>SUMIFS(secondary_acts!$S$2:$S$771,secondary_acts!$A$2:$A$771,$A12,secondary_acts!$E$2:$E$771,"implementing")+SUMIFS(secondary_acts!$S$2:$S$771,secondary_acts!$A$2:$A$771,$A12,secondary_acts!$E$2:$E$771,"delegated")</f>
        <v/>
      </c>
      <c r="AU12" s="3" t="n"/>
      <c r="AV12" s="2" t="n"/>
      <c r="AW12" s="2" t="n">
        <v>0</v>
      </c>
      <c r="AX12" s="2" t="n"/>
      <c r="AY12" s="2" t="n"/>
      <c r="AZ12" s="2" t="n">
        <v>8</v>
      </c>
      <c r="BA12" s="2" t="n"/>
      <c r="BB12" s="2" t="inlineStr">
        <is>
          <t>not comparable: proposal COM(2002) 711 not available in EUR-Lex</t>
        </is>
      </c>
      <c r="BC12" s="2" t="n"/>
      <c r="BD12" s="2" t="n"/>
      <c r="BE12" s="2" t="n"/>
      <c r="BF12" s="2">
        <f>IF(ISNUMBER(BC12),R12-BC12,"")</f>
        <v/>
      </c>
      <c r="BG12" s="4">
        <f>IF(AND(ISNUMBER(BC12),BC12&gt;0),(R12-BC12)/BC12,"")</f>
        <v/>
      </c>
      <c r="BH12" s="2">
        <f>IF(ISNUMBER(BD12),Y12-BD12,"")</f>
        <v/>
      </c>
      <c r="BI12" s="4">
        <f>IF(AND(ISNUMBER(BD12),BD12&gt;0),(Y12-BD12)/BD12,"")</f>
        <v/>
      </c>
      <c r="BJ12" s="2">
        <f>IF(ISNUMBER(BE12),AE12-BE12,"")</f>
        <v/>
      </c>
      <c r="BK12" s="2" t="inlineStr">
        <is>
          <t>moderate</t>
        </is>
      </c>
      <c r="BL12" s="2" t="inlineStr">
        <is>
          <t>moderate: peer-reviewed causal studies (event study, sector panels) and a large merger-case dataset, mostly on the predecessor regime or specific sectors; Commission evaluations are procedural and its savings estimates are ex-ante self-assessments</t>
        </is>
      </c>
      <c r="BM12" s="2" t="inlineStr">
        <is>
          <t>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is>
      </c>
      <c r="BN12" s="2" t="n">
        <v>3</v>
      </c>
      <c r="BO12" s="2" t="n">
        <v>3</v>
      </c>
      <c r="BP12" s="2" t="n">
        <v>7</v>
      </c>
      <c r="BQ12" s="2" t="n">
        <v>3</v>
      </c>
      <c r="BR12" s="2" t="inlineStr">
        <is>
          <t>no consolidated text with amendments in EUR-Lex; consolidated count = original</t>
        </is>
      </c>
    </row>
    <row r="13">
      <c r="A13" s="2" t="n">
        <v>12</v>
      </c>
      <c r="B13" s="2" t="inlineStr">
        <is>
          <t>IPR Enforcement Directive</t>
        </is>
      </c>
      <c r="C13" s="2" t="inlineStr">
        <is>
          <t>Aims to ensure a high, equivalent and homogeneous level of protection of intellectual property in the internal market by harmonising the measures, procedures and remedies for enforcing those rights. It requires Member States to provide fair and effective remedies, including evidence-gathering and preservation, rights of information, provisional measures, injunctions, corrective measures and damages for rightholders.</t>
        </is>
      </c>
      <c r="D13" s="2" t="inlineStr">
        <is>
          <t>Directive 2004/48/EC</t>
        </is>
      </c>
      <c r="E13" s="2" t="inlineStr">
        <is>
          <t>IPR</t>
        </is>
      </c>
      <c r="F13" s="2" t="inlineStr">
        <is>
          <t>enacted</t>
        </is>
      </c>
      <c r="G13" s="2" t="inlineStr">
        <is>
          <t>2003-01-30</t>
        </is>
      </c>
      <c r="H13" s="2" t="inlineStr">
        <is>
          <t>high</t>
        </is>
      </c>
      <c r="I13" s="2" t="inlineStr">
        <is>
          <t>2004-04-29</t>
        </is>
      </c>
      <c r="J13" s="2" t="inlineStr">
        <is>
          <t>2004-07-08</t>
        </is>
      </c>
      <c r="K13" s="2" t="inlineStr">
        <is>
          <t>2004-05-20</t>
        </is>
      </c>
      <c r="L13" s="2" t="inlineStr">
        <is>
          <t>adopted</t>
        </is>
      </c>
      <c r="M13" s="2" t="inlineStr">
        <is>
          <t>adopted</t>
        </is>
      </c>
      <c r="N13" s="2" t="inlineStr">
        <is>
          <t>32004L0048</t>
        </is>
      </c>
      <c r="O13" s="2" t="inlineStr">
        <is>
          <t>Original act as published in the OJ</t>
        </is>
      </c>
      <c r="P13" s="2" t="inlineStr">
        <is>
          <t>https://eur-lex.europa.eu/legal-content/EN/TXT/?uri=CELEX:32004L0048</t>
        </is>
      </c>
      <c r="Q13" s="3" t="n">
        <v>42</v>
      </c>
      <c r="R13" s="3" t="n">
        <v>5981</v>
      </c>
      <c r="S13" s="3" t="n">
        <v>2560</v>
      </c>
      <c r="T13" s="3" t="n">
        <v>2452</v>
      </c>
      <c r="U13" s="3" t="n">
        <v>3421</v>
      </c>
      <c r="V13" s="3" t="n">
        <v>0</v>
      </c>
      <c r="W13" s="3" t="n">
        <v>0</v>
      </c>
      <c r="X13" s="3" t="n">
        <v>0</v>
      </c>
      <c r="Y13" s="3" t="n">
        <v>54</v>
      </c>
      <c r="Z13" s="3" t="n">
        <v>39</v>
      </c>
      <c r="AA13" s="3" t="n">
        <v>1</v>
      </c>
      <c r="AB13" s="3" t="n">
        <v>0</v>
      </c>
      <c r="AC13" s="3" t="n">
        <v>0</v>
      </c>
      <c r="AD13" s="3" t="n">
        <v>14</v>
      </c>
      <c r="AE13" s="3" t="n">
        <v>4</v>
      </c>
      <c r="AF13" s="3" t="n">
        <v>37</v>
      </c>
      <c r="AG13" s="3" t="n">
        <v>2</v>
      </c>
      <c r="AH13" s="3" t="n">
        <v>11</v>
      </c>
      <c r="AI13" s="2" t="inlineStr">
        <is>
          <t>02004L0048-20040430</t>
        </is>
      </c>
      <c r="AJ13" s="3" t="n">
        <v>54</v>
      </c>
      <c r="AK13" s="2" t="n">
        <v>4</v>
      </c>
      <c r="AL13" s="2">
        <f>COUNTIFS(secondary_acts!$A$2:$A$771,$A13,secondary_acts!$E$2:$E$771,"implementing")</f>
        <v/>
      </c>
      <c r="AM13" s="2">
        <f>COUNTIFS(secondary_acts!$A$2:$A$771,$A13,secondary_acts!$E$2:$E$771,"delegated")</f>
        <v/>
      </c>
      <c r="AN13" s="2">
        <f>COUNTIFS(secondary_acts!$A$2:$A$771,$A13,secondary_acts!$E$2:$E$771,"other Commission/Council act")</f>
        <v/>
      </c>
      <c r="AO13" s="2">
        <f>COUNTIFS(secondary_acts!$A$2:$A$771,$A13,secondary_acts!$E$2:$E$771,"guidance")</f>
        <v/>
      </c>
      <c r="AP13" s="2">
        <f>COUNTIF(guidance_web!$A$2:$A$7,$A13)</f>
        <v/>
      </c>
      <c r="AQ13" s="2">
        <f>COUNTIFS(guidance_agencies!$A$2:$A$81,$A13,guidance_agencies!$D$2:$D$81,"EDPB")</f>
        <v/>
      </c>
      <c r="AR13" s="2">
        <f>COUNTIFS(guidance_agencies!$A$2:$A$81,$A13,guidance_agencies!$D$2:$D$81,"EBA")</f>
        <v/>
      </c>
      <c r="AS13" s="2">
        <f>COUNTIFS(guidance_agencies!$A$2:$A$81,$A13,guidance_agencies!$D$2:$D$81,"ESMA")</f>
        <v/>
      </c>
      <c r="AT13" s="3">
        <f>SUMIFS(secondary_acts!$S$2:$S$771,secondary_acts!$A$2:$A$771,$A13,secondary_acts!$E$2:$E$771,"implementing")+SUMIFS(secondary_acts!$S$2:$S$771,secondary_acts!$A$2:$A$771,$A13,secondary_acts!$E$2:$E$771,"delegated")</f>
        <v/>
      </c>
      <c r="AU13" s="3" t="n">
        <v>2025</v>
      </c>
      <c r="AV13" s="2" t="n">
        <v>28</v>
      </c>
      <c r="AW13" s="2" t="n">
        <v>0</v>
      </c>
      <c r="AX13" s="2" t="n"/>
      <c r="AY13" s="2" t="n"/>
      <c r="AZ13" s="2" t="n">
        <v>4</v>
      </c>
      <c r="BA13" s="2" t="inlineStr">
        <is>
          <t>52003PC0046</t>
        </is>
      </c>
      <c r="BB13" s="2" t="inlineStr">
        <is>
          <t>PDF text (approximate)</t>
        </is>
      </c>
      <c r="BC13" s="2" t="n">
        <v>8819</v>
      </c>
      <c r="BD13" s="2" t="n">
        <v>77</v>
      </c>
      <c r="BE13" s="2" t="n">
        <v>5</v>
      </c>
      <c r="BF13" s="2">
        <f>IF(ISNUMBER(BC13),R13-BC13,"")</f>
        <v/>
      </c>
      <c r="BG13" s="4">
        <f>IF(AND(ISNUMBER(BC13),BC13&gt;0),(R13-BC13)/BC13,"")</f>
        <v/>
      </c>
      <c r="BH13" s="2">
        <f>IF(ISNUMBER(BD13),Y13-BD13,"")</f>
        <v/>
      </c>
      <c r="BI13" s="4">
        <f>IF(AND(ISNUMBER(BD13),BD13&gt;0),(Y13-BD13)/BD13,"")</f>
        <v/>
      </c>
      <c r="BJ13" s="2">
        <f>IF(ISNUMBER(BE13),AE13-BE13,"")</f>
        <v/>
      </c>
      <c r="BK13" s="2" t="inlineStr">
        <is>
          <t>thin</t>
        </is>
      </c>
      <c r="BL13" s="2" t="inlineStr">
        <is>
          <t>thin to moderate: one credible natural-experiment study (Sweden) plus Commission reviews that found no measurable effect on litigation</t>
        </is>
      </c>
      <c r="BM13" s="2" t="inlineStr">
        <is>
          <t>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is>
      </c>
      <c r="BN13" s="2" t="n">
        <v>1</v>
      </c>
      <c r="BO13" s="2" t="n">
        <v>1</v>
      </c>
      <c r="BP13" s="2" t="n">
        <v>3</v>
      </c>
      <c r="BQ13" s="2" t="n">
        <v>1</v>
      </c>
      <c r="BR13" s="2" t="inlineStr"/>
    </row>
    <row r="14">
      <c r="A14" s="2" t="n">
        <v>13</v>
      </c>
      <c r="B14" s="2" t="inlineStr">
        <is>
          <t>Unfair Commercial Practices Directive</t>
        </is>
      </c>
      <c r="C14" s="2" t="inlineStr">
        <is>
          <t>Aims to achieve a high level of consumer protection and a properly functioning internal market by approximating national rules on unfair business-to-consumer commercial practices. It sets a general ban on unfair practices, specifically prohibits misleading and aggressive practices, and lists practices considered unfair in all circumstances. Member States must provide effective means to enforce compliance.</t>
        </is>
      </c>
      <c r="D14" s="2" t="inlineStr">
        <is>
          <t>Directive 2005/29/EC</t>
        </is>
      </c>
      <c r="E14" s="2" t="inlineStr">
        <is>
          <t>E-commerce &amp; Consumer Protection</t>
        </is>
      </c>
      <c r="F14" s="2" t="inlineStr">
        <is>
          <t>enacted</t>
        </is>
      </c>
      <c r="G14" s="2" t="inlineStr">
        <is>
          <t>2003-06-18</t>
        </is>
      </c>
      <c r="H14" s="2" t="inlineStr">
        <is>
          <t>high</t>
        </is>
      </c>
      <c r="I14" s="2" t="inlineStr">
        <is>
          <t>2005-05-11</t>
        </is>
      </c>
      <c r="J14" s="2" t="inlineStr">
        <is>
          <t>2005-06-16</t>
        </is>
      </c>
      <c r="K14" s="2" t="inlineStr">
        <is>
          <t>2005-06-12</t>
        </is>
      </c>
      <c r="L14" s="2" t="inlineStr">
        <is>
          <t>adopted</t>
        </is>
      </c>
      <c r="M14" s="2" t="inlineStr">
        <is>
          <t>adopted</t>
        </is>
      </c>
      <c r="N14" s="2" t="inlineStr">
        <is>
          <t>32005L0029</t>
        </is>
      </c>
      <c r="O14" s="2" t="inlineStr">
        <is>
          <t>Original act as published in the OJ</t>
        </is>
      </c>
      <c r="P14" s="2" t="inlineStr">
        <is>
          <t>https://eur-lex.europa.eu/legal-content/EN/TXT/?uri=CELEX:32005L0029</t>
        </is>
      </c>
      <c r="Q14" s="3" t="n">
        <v>18</v>
      </c>
      <c r="R14" s="3" t="n">
        <v>9287</v>
      </c>
      <c r="S14" s="3" t="n">
        <v>3037</v>
      </c>
      <c r="T14" s="3" t="n">
        <v>2890</v>
      </c>
      <c r="U14" s="3" t="n">
        <v>4387</v>
      </c>
      <c r="V14" s="3" t="n">
        <v>1863</v>
      </c>
      <c r="W14" s="3" t="n">
        <v>0</v>
      </c>
      <c r="X14" s="3" t="n">
        <v>0</v>
      </c>
      <c r="Y14" s="3" t="n">
        <v>48</v>
      </c>
      <c r="Z14" s="3" t="n">
        <v>44</v>
      </c>
      <c r="AA14" s="3" t="n">
        <v>1</v>
      </c>
      <c r="AB14" s="3" t="n">
        <v>1</v>
      </c>
      <c r="AC14" s="3" t="n">
        <v>0</v>
      </c>
      <c r="AD14" s="3" t="n">
        <v>2</v>
      </c>
      <c r="AE14" s="3" t="n">
        <v>5</v>
      </c>
      <c r="AF14" s="3" t="n">
        <v>29</v>
      </c>
      <c r="AG14" s="3" t="n">
        <v>2</v>
      </c>
      <c r="AH14" s="3" t="n">
        <v>12</v>
      </c>
      <c r="AI14" s="2" t="inlineStr">
        <is>
          <t>02005L0029-20260927</t>
        </is>
      </c>
      <c r="AJ14" s="3" t="n">
        <v>56</v>
      </c>
      <c r="AK14" s="2" t="n">
        <v>5</v>
      </c>
      <c r="AL14" s="2">
        <f>COUNTIFS(secondary_acts!$A$2:$A$771,$A14,secondary_acts!$E$2:$E$771,"implementing")</f>
        <v/>
      </c>
      <c r="AM14" s="2">
        <f>COUNTIFS(secondary_acts!$A$2:$A$771,$A14,secondary_acts!$E$2:$E$771,"delegated")</f>
        <v/>
      </c>
      <c r="AN14" s="2">
        <f>COUNTIFS(secondary_acts!$A$2:$A$771,$A14,secondary_acts!$E$2:$E$771,"other Commission/Council act")</f>
        <v/>
      </c>
      <c r="AO14" s="2">
        <f>COUNTIFS(secondary_acts!$A$2:$A$771,$A14,secondary_acts!$E$2:$E$771,"guidance")</f>
        <v/>
      </c>
      <c r="AP14" s="2">
        <f>COUNTIF(guidance_web!$A$2:$A$7,$A14)</f>
        <v/>
      </c>
      <c r="AQ14" s="2">
        <f>COUNTIFS(guidance_agencies!$A$2:$A$81,$A14,guidance_agencies!$D$2:$D$81,"EDPB")</f>
        <v/>
      </c>
      <c r="AR14" s="2">
        <f>COUNTIFS(guidance_agencies!$A$2:$A$81,$A14,guidance_agencies!$D$2:$D$81,"EBA")</f>
        <v/>
      </c>
      <c r="AS14" s="2">
        <f>COUNTIFS(guidance_agencies!$A$2:$A$81,$A14,guidance_agencies!$D$2:$D$81,"ESMA")</f>
        <v/>
      </c>
      <c r="AT14" s="3">
        <f>SUMIFS(secondary_acts!$S$2:$S$771,secondary_acts!$A$2:$A$771,$A14,secondary_acts!$E$2:$E$771,"implementing")+SUMIFS(secondary_acts!$S$2:$S$771,secondary_acts!$A$2:$A$771,$A14,secondary_acts!$E$2:$E$771,"delegated")</f>
        <v/>
      </c>
      <c r="AU14" s="3" t="n">
        <v>3206</v>
      </c>
      <c r="AV14" s="2" t="n">
        <v>28</v>
      </c>
      <c r="AW14" s="2" t="n">
        <v>2</v>
      </c>
      <c r="AX14" s="2" t="inlineStr">
        <is>
          <t>2019-11-27</t>
        </is>
      </c>
      <c r="AY14" s="2" t="inlineStr">
        <is>
          <t>2024-02-28</t>
        </is>
      </c>
      <c r="AZ14" s="2" t="n">
        <v>4</v>
      </c>
      <c r="BA14" s="2" t="inlineStr">
        <is>
          <t>52003PC0356</t>
        </is>
      </c>
      <c r="BB14" s="2" t="inlineStr">
        <is>
          <t>PDF text (approximate)</t>
        </is>
      </c>
      <c r="BC14" s="2" t="n">
        <v>6830</v>
      </c>
      <c r="BD14" s="2" t="n">
        <v>33</v>
      </c>
      <c r="BE14" s="2" t="n">
        <v>1</v>
      </c>
      <c r="BF14" s="2">
        <f>IF(ISNUMBER(BC14),R14-BC14,"")</f>
        <v/>
      </c>
      <c r="BG14" s="4">
        <f>IF(AND(ISNUMBER(BC14),BC14&gt;0),(R14-BC14)/BC14,"")</f>
        <v/>
      </c>
      <c r="BH14" s="2">
        <f>IF(ISNUMBER(BD14),Y14-BD14,"")</f>
        <v/>
      </c>
      <c r="BI14" s="4">
        <f>IF(AND(ISNUMBER(BD14),BD14&gt;0),(Y14-BD14)/BD14,"")</f>
        <v/>
      </c>
      <c r="BJ14" s="2">
        <f>IF(ISNUMBER(BE14),AE14-BE14,"")</f>
        <v/>
      </c>
      <c r="BK14" s="2" t="inlineStr">
        <is>
          <t>moderate</t>
        </is>
      </c>
      <c r="BL14" s="2" t="inlineStr">
        <is>
          <t>moderate: one causal study (DiD) on trust and cross-border shopping; two Commission fitness checks with cost and detriment estimates; prevalence studies show persistent online harm</t>
        </is>
      </c>
      <c r="BM14" s="2" t="inlineStr">
        <is>
          <t>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is>
      </c>
      <c r="BN14" s="2" t="n">
        <v>4</v>
      </c>
      <c r="BO14" s="2" t="n">
        <v>4</v>
      </c>
      <c r="BP14" s="2" t="n">
        <v>6</v>
      </c>
      <c r="BQ14" s="2" t="n">
        <v>1</v>
      </c>
      <c r="BR14" s="2" t="inlineStr"/>
    </row>
    <row r="15">
      <c r="A15" s="2" t="n">
        <v>14</v>
      </c>
      <c r="B15" s="2" t="inlineStr">
        <is>
          <t>Common VAT system Directive</t>
        </is>
      </c>
      <c r="C15" s="2" t="inlineStr">
        <is>
          <t>Establishes the common system of value added tax in the EU, a general consumption tax charged on goods and services in proportion to their price, with tax paid at each stage deductible. It defines taxable persons and transactions, the place of supply, the chargeable event and taxable amount, rates, exemptions, deduction rights and the obligations of taxable persons.</t>
        </is>
      </c>
      <c r="D15" s="2" t="inlineStr">
        <is>
          <t>Directive 2006/112/EC</t>
        </is>
      </c>
      <c r="E15" s="2" t="inlineStr">
        <is>
          <t>Finance</t>
        </is>
      </c>
      <c r="F15" s="2" t="inlineStr">
        <is>
          <t>enacted</t>
        </is>
      </c>
      <c r="G15" s="2" t="inlineStr">
        <is>
          <t>2004-04-15</t>
        </is>
      </c>
      <c r="H15" s="2" t="inlineStr">
        <is>
          <t>medium</t>
        </is>
      </c>
      <c r="I15" s="2" t="inlineStr">
        <is>
          <t>2006-11-28</t>
        </is>
      </c>
      <c r="J15" s="2" t="inlineStr">
        <is>
          <t>2006-12-12</t>
        </is>
      </c>
      <c r="K15" s="2" t="inlineStr">
        <is>
          <t>2007-01-01</t>
        </is>
      </c>
      <c r="L15" s="2" t="inlineStr">
        <is>
          <t>adopted</t>
        </is>
      </c>
      <c r="M15" s="2" t="inlineStr">
        <is>
          <t>adopted</t>
        </is>
      </c>
      <c r="N15" s="2" t="inlineStr">
        <is>
          <t>32006L0112</t>
        </is>
      </c>
      <c r="O15" s="2" t="inlineStr">
        <is>
          <t>Original act as published in the OJ</t>
        </is>
      </c>
      <c r="P15" s="2" t="inlineStr">
        <is>
          <t>https://eur-lex.europa.eu/legal-content/EN/TXT/?uri=CELEX:32006L0112</t>
        </is>
      </c>
      <c r="Q15" s="3" t="n">
        <v>118</v>
      </c>
      <c r="R15" s="3" t="n">
        <v>58443</v>
      </c>
      <c r="S15" s="3" t="n">
        <v>3612</v>
      </c>
      <c r="T15" s="3" t="n">
        <v>3532</v>
      </c>
      <c r="U15" s="3" t="n">
        <v>43412</v>
      </c>
      <c r="V15" s="3" t="n">
        <v>11419</v>
      </c>
      <c r="W15" s="3" t="n">
        <v>0</v>
      </c>
      <c r="X15" s="3" t="n">
        <v>0</v>
      </c>
      <c r="Y15" s="3" t="n">
        <v>406</v>
      </c>
      <c r="Z15" s="3" t="n">
        <v>349</v>
      </c>
      <c r="AA15" s="3" t="n">
        <v>48</v>
      </c>
      <c r="AB15" s="3" t="n">
        <v>0</v>
      </c>
      <c r="AC15" s="3" t="n">
        <v>6</v>
      </c>
      <c r="AD15" s="3" t="n">
        <v>3</v>
      </c>
      <c r="AE15" s="3" t="n">
        <v>57</v>
      </c>
      <c r="AF15" s="3" t="n">
        <v>144</v>
      </c>
      <c r="AG15" s="3" t="n">
        <v>40</v>
      </c>
      <c r="AH15" s="3" t="n">
        <v>165</v>
      </c>
      <c r="AI15" s="2" t="inlineStr">
        <is>
          <t>02006L0112-20100811</t>
        </is>
      </c>
      <c r="AJ15" s="3" t="n">
        <v>425</v>
      </c>
      <c r="AK15" s="2" t="n">
        <v>64</v>
      </c>
      <c r="AL15" s="2">
        <f>COUNTIFS(secondary_acts!$A$2:$A$771,$A15,secondary_acts!$E$2:$E$771,"implementing")</f>
        <v/>
      </c>
      <c r="AM15" s="2">
        <f>COUNTIFS(secondary_acts!$A$2:$A$771,$A15,secondary_acts!$E$2:$E$771,"delegated")</f>
        <v/>
      </c>
      <c r="AN15" s="2">
        <f>COUNTIFS(secondary_acts!$A$2:$A$771,$A15,secondary_acts!$E$2:$E$771,"other Commission/Council act")</f>
        <v/>
      </c>
      <c r="AO15" s="2">
        <f>COUNTIFS(secondary_acts!$A$2:$A$771,$A15,secondary_acts!$E$2:$E$771,"guidance")</f>
        <v/>
      </c>
      <c r="AP15" s="2">
        <f>COUNTIF(guidance_web!$A$2:$A$7,$A15)</f>
        <v/>
      </c>
      <c r="AQ15" s="2">
        <f>COUNTIFS(guidance_agencies!$A$2:$A$81,$A15,guidance_agencies!$D$2:$D$81,"EDPB")</f>
        <v/>
      </c>
      <c r="AR15" s="2">
        <f>COUNTIFS(guidance_agencies!$A$2:$A$81,$A15,guidance_agencies!$D$2:$D$81,"EBA")</f>
        <v/>
      </c>
      <c r="AS15" s="2">
        <f>COUNTIFS(guidance_agencies!$A$2:$A$81,$A15,guidance_agencies!$D$2:$D$81,"ESMA")</f>
        <v/>
      </c>
      <c r="AT15" s="3">
        <f>SUMIFS(secondary_acts!$S$2:$S$771,secondary_acts!$A$2:$A$771,$A15,secondary_acts!$E$2:$E$771,"implementing")+SUMIFS(secondary_acts!$S$2:$S$771,secondary_acts!$A$2:$A$771,$A15,secondary_acts!$E$2:$E$771,"delegated")</f>
        <v/>
      </c>
      <c r="AU15" s="3" t="n">
        <v>1745</v>
      </c>
      <c r="AV15" s="2" t="n">
        <v>26</v>
      </c>
      <c r="AW15" s="2" t="n">
        <v>35</v>
      </c>
      <c r="AX15" s="2" t="inlineStr">
        <is>
          <t>2006-12-19</t>
        </is>
      </c>
      <c r="AY15" s="2" t="inlineStr">
        <is>
          <t>2025-07-18</t>
        </is>
      </c>
      <c r="AZ15" s="2" t="n">
        <v>23</v>
      </c>
      <c r="BA15" s="2" t="inlineStr">
        <is>
          <t>52004PC0246</t>
        </is>
      </c>
      <c r="BB15" s="2" t="inlineStr">
        <is>
          <t>not comparable: recast proposal: PDF includes struck-through and correlation material</t>
        </is>
      </c>
      <c r="BC15" s="2" t="n"/>
      <c r="BD15" s="2" t="n"/>
      <c r="BE15" s="2" t="n"/>
      <c r="BF15" s="2">
        <f>IF(ISNUMBER(BC15),R15-BC15,"")</f>
        <v/>
      </c>
      <c r="BG15" s="4">
        <f>IF(AND(ISNUMBER(BC15),BC15&gt;0),(R15-BC15)/BC15,"")</f>
        <v/>
      </c>
      <c r="BH15" s="2">
        <f>IF(ISNUMBER(BD15),Y15-BD15,"")</f>
        <v/>
      </c>
      <c r="BI15" s="4">
        <f>IF(AND(ISNUMBER(BD15),BD15&gt;0),(Y15-BD15)/BD15,"")</f>
        <v/>
      </c>
      <c r="BJ15" s="2">
        <f>IF(ISNUMBER(BE15),AE15-BE15,"")</f>
        <v/>
      </c>
      <c r="BK15" s="2" t="inlineStr">
        <is>
          <t>moderate</t>
        </is>
      </c>
      <c r="BL15" s="2" t="inlineStr">
        <is>
          <t>moderate for VAT in general, thin for the Directive's digital rules: Commission forecasts and collection data, one strong causal study on VAT incidence</t>
        </is>
      </c>
      <c r="BM15" s="2" t="inlineStr">
        <is>
          <t>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is>
      </c>
      <c r="BN15" s="2" t="n">
        <v>2</v>
      </c>
      <c r="BO15" s="2" t="n">
        <v>1</v>
      </c>
      <c r="BP15" s="2" t="n">
        <v>2</v>
      </c>
      <c r="BQ15" s="2" t="n">
        <v>0</v>
      </c>
      <c r="BR15" s="2" t="inlineStr"/>
    </row>
    <row r="16">
      <c r="A16" s="2" t="n">
        <v>15</v>
      </c>
      <c r="B16" s="2" t="inlineStr">
        <is>
          <t>Audiovisual Media Services Directive</t>
        </is>
      </c>
      <c r="C16" s="2" t="inlineStr">
        <is>
          <t>Aims to create a single market for audiovisual media services, covering television broadcasts and on-demand services. It places providers under the jurisdiction of the Member State where they are established and requires other Member States to ensure freedom of reception. It sets common minimum rules on protecting minors, commercial communications and advertising, accessibility and the promotion of European works.</t>
        </is>
      </c>
      <c r="D16" s="2" t="inlineStr">
        <is>
          <t>Directive 2010/13/EU</t>
        </is>
      </c>
      <c r="E16" s="2" t="inlineStr">
        <is>
          <t>Media</t>
        </is>
      </c>
      <c r="F16" s="2" t="inlineStr">
        <is>
          <t>enacted</t>
        </is>
      </c>
      <c r="G16" s="2" t="inlineStr">
        <is>
          <t>2005-12-13</t>
        </is>
      </c>
      <c r="H16" s="2" t="inlineStr">
        <is>
          <t>medium</t>
        </is>
      </c>
      <c r="I16" s="2" t="inlineStr">
        <is>
          <t>2010-03-10</t>
        </is>
      </c>
      <c r="J16" s="2" t="inlineStr">
        <is>
          <t>2010-03-10</t>
        </is>
      </c>
      <c r="K16" s="2" t="inlineStr">
        <is>
          <t>2010-05-05</t>
        </is>
      </c>
      <c r="L16" s="2" t="inlineStr">
        <is>
          <t>adopted</t>
        </is>
      </c>
      <c r="M16" s="2" t="inlineStr">
        <is>
          <t>adopted</t>
        </is>
      </c>
      <c r="N16" s="2" t="inlineStr">
        <is>
          <t>32010L0013</t>
        </is>
      </c>
      <c r="O16" s="2" t="inlineStr">
        <is>
          <t>Original act as published in the OJ</t>
        </is>
      </c>
      <c r="P16" s="2" t="inlineStr">
        <is>
          <t>https://eur-lex.europa.eu/legal-content/EN/TXT/?uri=CELEX:32010L0013</t>
        </is>
      </c>
      <c r="Q16" s="3" t="n">
        <v>24</v>
      </c>
      <c r="R16" s="3" t="n">
        <v>15640</v>
      </c>
      <c r="S16" s="3" t="n">
        <v>8388</v>
      </c>
      <c r="T16" s="3" t="n">
        <v>8276</v>
      </c>
      <c r="U16" s="3" t="n">
        <v>6686</v>
      </c>
      <c r="V16" s="3" t="n">
        <v>566</v>
      </c>
      <c r="W16" s="3" t="n">
        <v>0</v>
      </c>
      <c r="X16" s="3" t="n">
        <v>0</v>
      </c>
      <c r="Y16" s="3" t="n">
        <v>117</v>
      </c>
      <c r="Z16" s="3" t="n">
        <v>67</v>
      </c>
      <c r="AA16" s="3" t="n">
        <v>29</v>
      </c>
      <c r="AB16" s="3" t="n">
        <v>2</v>
      </c>
      <c r="AC16" s="3" t="n">
        <v>1</v>
      </c>
      <c r="AD16" s="3" t="n">
        <v>18</v>
      </c>
      <c r="AE16" s="3" t="n">
        <v>9</v>
      </c>
      <c r="AF16" s="3" t="n">
        <v>52</v>
      </c>
      <c r="AG16" s="3" t="n">
        <v>14</v>
      </c>
      <c r="AH16" s="3" t="n">
        <v>42</v>
      </c>
      <c r="AI16" s="2" t="inlineStr">
        <is>
          <t>02010L0013-20250208</t>
        </is>
      </c>
      <c r="AJ16" s="3" t="n">
        <v>235</v>
      </c>
      <c r="AK16" s="2" t="n">
        <v>17</v>
      </c>
      <c r="AL16" s="2">
        <f>COUNTIFS(secondary_acts!$A$2:$A$771,$A16,secondary_acts!$E$2:$E$771,"implementing")</f>
        <v/>
      </c>
      <c r="AM16" s="2">
        <f>COUNTIFS(secondary_acts!$A$2:$A$771,$A16,secondary_acts!$E$2:$E$771,"delegated")</f>
        <v/>
      </c>
      <c r="AN16" s="2">
        <f>COUNTIFS(secondary_acts!$A$2:$A$771,$A16,secondary_acts!$E$2:$E$771,"other Commission/Council act")</f>
        <v/>
      </c>
      <c r="AO16" s="2">
        <f>COUNTIFS(secondary_acts!$A$2:$A$771,$A16,secondary_acts!$E$2:$E$771,"guidance")</f>
        <v/>
      </c>
      <c r="AP16" s="2">
        <f>COUNTIF(guidance_web!$A$2:$A$7,$A16)</f>
        <v/>
      </c>
      <c r="AQ16" s="2">
        <f>COUNTIFS(guidance_agencies!$A$2:$A$81,$A16,guidance_agencies!$D$2:$D$81,"EDPB")</f>
        <v/>
      </c>
      <c r="AR16" s="2">
        <f>COUNTIFS(guidance_agencies!$A$2:$A$81,$A16,guidance_agencies!$D$2:$D$81,"EBA")</f>
        <v/>
      </c>
      <c r="AS16" s="2">
        <f>COUNTIFS(guidance_agencies!$A$2:$A$81,$A16,guidance_agencies!$D$2:$D$81,"ESMA")</f>
        <v/>
      </c>
      <c r="AT16" s="3">
        <f>SUMIFS(secondary_acts!$S$2:$S$771,secondary_acts!$A$2:$A$771,$A16,secondary_acts!$E$2:$E$771,"implementing")+SUMIFS(secondary_acts!$S$2:$S$771,secondary_acts!$A$2:$A$771,$A16,secondary_acts!$E$2:$E$771,"delegated")</f>
        <v/>
      </c>
      <c r="AU16" s="3" t="n">
        <v>471</v>
      </c>
      <c r="AV16" s="2" t="n">
        <v>19</v>
      </c>
      <c r="AW16" s="2" t="n">
        <v>2</v>
      </c>
      <c r="AX16" s="2" t="inlineStr">
        <is>
          <t>2018-11-14</t>
        </is>
      </c>
      <c r="AY16" s="2" t="inlineStr">
        <is>
          <t>2024-04-11</t>
        </is>
      </c>
      <c r="AZ16" s="2" t="n">
        <v>3</v>
      </c>
      <c r="BA16" s="2" t="inlineStr">
        <is>
          <t>52009PC0185</t>
        </is>
      </c>
      <c r="BB16" s="2" t="inlineStr">
        <is>
          <t>EUR-Lex HTML</t>
        </is>
      </c>
      <c r="BC16" s="2" t="n">
        <v>17291</v>
      </c>
      <c r="BD16" s="2" t="n">
        <v>117</v>
      </c>
      <c r="BE16" s="2" t="n">
        <v>9</v>
      </c>
      <c r="BF16" s="2">
        <f>IF(ISNUMBER(BC16),R16-BC16,"")</f>
        <v/>
      </c>
      <c r="BG16" s="4">
        <f>IF(AND(ISNUMBER(BC16),BC16&gt;0),(R16-BC16)/BC16,"")</f>
        <v/>
      </c>
      <c r="BH16" s="2">
        <f>IF(ISNUMBER(BD16),Y16-BD16,"")</f>
        <v/>
      </c>
      <c r="BI16" s="4">
        <f>IF(AND(ISNUMBER(BD16),BD16&gt;0),(Y16-BD16)/BD16,"")</f>
        <v/>
      </c>
      <c r="BJ16" s="2">
        <f>IF(ISNUMBER(BE16),AE16-BE16,"")</f>
        <v/>
      </c>
      <c r="BK16" s="2" t="inlineStr">
        <is>
          <t>thin</t>
        </is>
      </c>
      <c r="BL16" s="2" t="inlineStr">
        <is>
          <t>thin: Commission evaluation and monitoring reports with conflicting figures; no independent causal studies of quotas or other rules found</t>
        </is>
      </c>
      <c r="BM16" s="2" t="inlineStr">
        <is>
          <t>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is>
      </c>
      <c r="BN16" s="2" t="n">
        <v>3</v>
      </c>
      <c r="BO16" s="2" t="n">
        <v>3</v>
      </c>
      <c r="BP16" s="2" t="n">
        <v>2</v>
      </c>
      <c r="BQ16" s="2" t="n">
        <v>0</v>
      </c>
      <c r="BR16" s="2" t="inlineStr"/>
    </row>
    <row r="17">
      <c r="A17" s="2" t="n">
        <v>16</v>
      </c>
      <c r="B17" s="2" t="inlineStr">
        <is>
          <t>European Statistics Regulation</t>
        </is>
      </c>
      <c r="C17" s="2" t="inlineStr">
        <is>
          <t>Establishes a legal framework for the development, production and dissemination of European statistics. It sets statistical principles such as professional independence, impartiality, reliability and statistical confidentiality, defines the European Statistical System of Eurostat and national statistical authorities, and governs the European statistical programme, data access and the protection of confidential data.</t>
        </is>
      </c>
      <c r="D17" s="2" t="inlineStr">
        <is>
          <t>Regulation (EC) 223/2009</t>
        </is>
      </c>
      <c r="E17" s="2" t="inlineStr">
        <is>
          <t>Data &amp; Privacy</t>
        </is>
      </c>
      <c r="F17" s="2" t="inlineStr">
        <is>
          <t>enacted</t>
        </is>
      </c>
      <c r="G17" s="2" t="inlineStr">
        <is>
          <t>2007-10-16</t>
        </is>
      </c>
      <c r="H17" s="2" t="inlineStr">
        <is>
          <t>high</t>
        </is>
      </c>
      <c r="I17" s="2" t="inlineStr">
        <is>
          <t>2009-03-11</t>
        </is>
      </c>
      <c r="J17" s="2" t="inlineStr">
        <is>
          <t>2009-04-02</t>
        </is>
      </c>
      <c r="K17" s="2" t="inlineStr">
        <is>
          <t>2009-04-01</t>
        </is>
      </c>
      <c r="L17" s="2" t="inlineStr">
        <is>
          <t>adopted</t>
        </is>
      </c>
      <c r="M17" s="2" t="inlineStr">
        <is>
          <t>adopted</t>
        </is>
      </c>
      <c r="N17" s="2" t="inlineStr">
        <is>
          <t>32009R0223</t>
        </is>
      </c>
      <c r="O17" s="2" t="inlineStr">
        <is>
          <t>Original act as published in the OJ</t>
        </is>
      </c>
      <c r="P17" s="2" t="inlineStr">
        <is>
          <t>https://eur-lex.europa.eu/legal-content/EN/TXT/?uri=CELEX:32009R0223</t>
        </is>
      </c>
      <c r="Q17" s="3" t="n">
        <v>10</v>
      </c>
      <c r="R17" s="3" t="n">
        <v>6514</v>
      </c>
      <c r="S17" s="3" t="n">
        <v>2317</v>
      </c>
      <c r="T17" s="3" t="n">
        <v>2143</v>
      </c>
      <c r="U17" s="3" t="n">
        <v>4197</v>
      </c>
      <c r="V17" s="3" t="n">
        <v>0</v>
      </c>
      <c r="W17" s="3" t="n">
        <v>0</v>
      </c>
      <c r="X17" s="3" t="n">
        <v>0</v>
      </c>
      <c r="Y17" s="3" t="n">
        <v>85</v>
      </c>
      <c r="Z17" s="3" t="n">
        <v>81</v>
      </c>
      <c r="AA17" s="3" t="n">
        <v>1</v>
      </c>
      <c r="AB17" s="3" t="n">
        <v>0</v>
      </c>
      <c r="AC17" s="3" t="n">
        <v>2</v>
      </c>
      <c r="AD17" s="3" t="n">
        <v>1</v>
      </c>
      <c r="AE17" s="3" t="n">
        <v>5</v>
      </c>
      <c r="AF17" s="3" t="n">
        <v>5</v>
      </c>
      <c r="AG17" s="3" t="n">
        <v>37</v>
      </c>
      <c r="AH17" s="3" t="n">
        <v>38</v>
      </c>
      <c r="AI17" s="2" t="inlineStr">
        <is>
          <t>02009R0223-20241226</t>
        </is>
      </c>
      <c r="AJ17" s="3" t="n">
        <v>175</v>
      </c>
      <c r="AK17" s="2" t="n">
        <v>10</v>
      </c>
      <c r="AL17" s="2">
        <f>COUNTIFS(secondary_acts!$A$2:$A$771,$A17,secondary_acts!$E$2:$E$771,"implementing")</f>
        <v/>
      </c>
      <c r="AM17" s="2">
        <f>COUNTIFS(secondary_acts!$A$2:$A$771,$A17,secondary_acts!$E$2:$E$771,"delegated")</f>
        <v/>
      </c>
      <c r="AN17" s="2">
        <f>COUNTIFS(secondary_acts!$A$2:$A$771,$A17,secondary_acts!$E$2:$E$771,"other Commission/Council act")</f>
        <v/>
      </c>
      <c r="AO17" s="2">
        <f>COUNTIFS(secondary_acts!$A$2:$A$771,$A17,secondary_acts!$E$2:$E$771,"guidance")</f>
        <v/>
      </c>
      <c r="AP17" s="2">
        <f>COUNTIF(guidance_web!$A$2:$A$7,$A17)</f>
        <v/>
      </c>
      <c r="AQ17" s="2">
        <f>COUNTIFS(guidance_agencies!$A$2:$A$81,$A17,guidance_agencies!$D$2:$D$81,"EDPB")</f>
        <v/>
      </c>
      <c r="AR17" s="2">
        <f>COUNTIFS(guidance_agencies!$A$2:$A$81,$A17,guidance_agencies!$D$2:$D$81,"EBA")</f>
        <v/>
      </c>
      <c r="AS17" s="2">
        <f>COUNTIFS(guidance_agencies!$A$2:$A$81,$A17,guidance_agencies!$D$2:$D$81,"ESMA")</f>
        <v/>
      </c>
      <c r="AT17" s="3">
        <f>SUMIFS(secondary_acts!$S$2:$S$771,secondary_acts!$A$2:$A$771,$A17,secondary_acts!$E$2:$E$771,"implementing")+SUMIFS(secondary_acts!$S$2:$S$771,secondary_acts!$A$2:$A$771,$A17,secondary_acts!$E$2:$E$771,"delegated")</f>
        <v/>
      </c>
      <c r="AU17" s="3" t="n"/>
      <c r="AV17" s="2" t="n"/>
      <c r="AW17" s="2" t="n">
        <v>2</v>
      </c>
      <c r="AX17" s="2" t="inlineStr">
        <is>
          <t>2015-04-29</t>
        </is>
      </c>
      <c r="AY17" s="2" t="inlineStr">
        <is>
          <t>2024-11-27</t>
        </is>
      </c>
      <c r="AZ17" s="2" t="n">
        <v>2</v>
      </c>
      <c r="BA17" s="2" t="inlineStr">
        <is>
          <t>52007PC0625</t>
        </is>
      </c>
      <c r="BB17" s="2" t="inlineStr">
        <is>
          <t>EUR-Lex HTML</t>
        </is>
      </c>
      <c r="BC17" s="2" t="n">
        <v>5421</v>
      </c>
      <c r="BD17" s="2" t="n">
        <v>68</v>
      </c>
      <c r="BE17" s="2" t="n">
        <v>4</v>
      </c>
      <c r="BF17" s="2">
        <f>IF(ISNUMBER(BC17),R17-BC17,"")</f>
        <v/>
      </c>
      <c r="BG17" s="4">
        <f>IF(AND(ISNUMBER(BC17),BC17&gt;0),(R17-BC17)/BC17,"")</f>
        <v/>
      </c>
      <c r="BH17" s="2">
        <f>IF(ISNUMBER(BD17),Y17-BD17,"")</f>
        <v/>
      </c>
      <c r="BI17" s="4">
        <f>IF(AND(ISNUMBER(BD17),BD17&gt;0),(Y17-BD17)/BD17,"")</f>
        <v/>
      </c>
      <c r="BJ17" s="2">
        <f>IF(ISNUMBER(BE17),AE17-BE17,"")</f>
        <v/>
      </c>
      <c r="BK17" s="2" t="inlineStr">
        <is>
          <t>thin</t>
        </is>
      </c>
      <c r="BL17" s="2" t="inlineStr">
        <is>
          <t>thin: audit and peer-review evidence on governance; no studies of economic effects</t>
        </is>
      </c>
      <c r="BM17" s="2" t="inlineStr">
        <is>
          <t>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is>
      </c>
      <c r="BN17" s="2" t="n">
        <v>2</v>
      </c>
      <c r="BO17" s="2" t="n">
        <v>1</v>
      </c>
      <c r="BP17" s="2" t="n">
        <v>2</v>
      </c>
      <c r="BQ17" s="2" t="n">
        <v>0</v>
      </c>
      <c r="BR17" s="2" t="inlineStr"/>
    </row>
    <row r="18">
      <c r="A18" s="2" t="n">
        <v>17</v>
      </c>
      <c r="B18" s="2" t="inlineStr">
        <is>
          <t>Toys Safety Directive</t>
        </is>
      </c>
      <c r="C18" s="2" t="inlineStr">
        <is>
          <t>Lays down rules on the safety of toys and their free movement in the EU. It applies to products designed or intended for play by children under 14. It sets essential safety requirements, including limits on chemicals, and assigns obligations to manufacturers, importers and distributors, including conformity assessment, CE marking, warnings and technical documentation, backed by market surveillance.</t>
        </is>
      </c>
      <c r="D18" s="2" t="inlineStr">
        <is>
          <t>Directive 2009/48/EC</t>
        </is>
      </c>
      <c r="E18" s="2" t="inlineStr">
        <is>
          <t>Trust &amp; Safety</t>
        </is>
      </c>
      <c r="F18" s="2" t="inlineStr">
        <is>
          <t>enacted</t>
        </is>
      </c>
      <c r="G18" s="2" t="inlineStr">
        <is>
          <t>2008-01-25</t>
        </is>
      </c>
      <c r="H18" s="2" t="inlineStr">
        <is>
          <t>high</t>
        </is>
      </c>
      <c r="I18" s="2" t="inlineStr">
        <is>
          <t>2009-06-18</t>
        </is>
      </c>
      <c r="J18" s="2" t="inlineStr">
        <is>
          <t>2009-06-18</t>
        </is>
      </c>
      <c r="K18" s="2" t="inlineStr">
        <is>
          <t>2009-07-20</t>
        </is>
      </c>
      <c r="L18" s="2" t="inlineStr">
        <is>
          <t>adopted</t>
        </is>
      </c>
      <c r="M18" s="2" t="inlineStr">
        <is>
          <t>adopted</t>
        </is>
      </c>
      <c r="N18" s="2" t="inlineStr">
        <is>
          <t>32009L0048</t>
        </is>
      </c>
      <c r="O18" s="2" t="inlineStr">
        <is>
          <t>Original act as published in the OJ</t>
        </is>
      </c>
      <c r="P18" s="2" t="inlineStr">
        <is>
          <t>https://eur-lex.europa.eu/legal-content/EN/TXT/?uri=CELEX:32009L0048</t>
        </is>
      </c>
      <c r="Q18" s="3" t="n">
        <v>37</v>
      </c>
      <c r="R18" s="3" t="n">
        <v>19379</v>
      </c>
      <c r="S18" s="3" t="n">
        <v>3870</v>
      </c>
      <c r="T18" s="3" t="n">
        <v>3771</v>
      </c>
      <c r="U18" s="3" t="n">
        <v>9594</v>
      </c>
      <c r="V18" s="3" t="n">
        <v>5915</v>
      </c>
      <c r="W18" s="3" t="n">
        <v>0</v>
      </c>
      <c r="X18" s="3" t="n">
        <v>0</v>
      </c>
      <c r="Y18" s="3" t="n">
        <v>329</v>
      </c>
      <c r="Z18" s="3" t="n">
        <v>270</v>
      </c>
      <c r="AA18" s="3" t="n">
        <v>37</v>
      </c>
      <c r="AB18" s="3" t="n">
        <v>3</v>
      </c>
      <c r="AC18" s="3" t="n">
        <v>0</v>
      </c>
      <c r="AD18" s="3" t="n">
        <v>19</v>
      </c>
      <c r="AE18" s="3" t="n">
        <v>88</v>
      </c>
      <c r="AF18" s="3" t="n">
        <v>59</v>
      </c>
      <c r="AG18" s="3" t="n">
        <v>37</v>
      </c>
      <c r="AH18" s="3" t="n">
        <v>145</v>
      </c>
      <c r="AI18" s="2" t="inlineStr">
        <is>
          <t>02009L0048-20260829</t>
        </is>
      </c>
      <c r="AJ18" s="3" t="n">
        <v>329</v>
      </c>
      <c r="AK18" s="2" t="n">
        <v>88</v>
      </c>
      <c r="AL18" s="2">
        <f>COUNTIFS(secondary_acts!$A$2:$A$771,$A18,secondary_acts!$E$2:$E$771,"implementing")</f>
        <v/>
      </c>
      <c r="AM18" s="2">
        <f>COUNTIFS(secondary_acts!$A$2:$A$771,$A18,secondary_acts!$E$2:$E$771,"delegated")</f>
        <v/>
      </c>
      <c r="AN18" s="2">
        <f>COUNTIFS(secondary_acts!$A$2:$A$771,$A18,secondary_acts!$E$2:$E$771,"other Commission/Council act")</f>
        <v/>
      </c>
      <c r="AO18" s="2">
        <f>COUNTIFS(secondary_acts!$A$2:$A$771,$A18,secondary_acts!$E$2:$E$771,"guidance")</f>
        <v/>
      </c>
      <c r="AP18" s="2">
        <f>COUNTIF(guidance_web!$A$2:$A$7,$A18)</f>
        <v/>
      </c>
      <c r="AQ18" s="2">
        <f>COUNTIFS(guidance_agencies!$A$2:$A$81,$A18,guidance_agencies!$D$2:$D$81,"EDPB")</f>
        <v/>
      </c>
      <c r="AR18" s="2">
        <f>COUNTIFS(guidance_agencies!$A$2:$A$81,$A18,guidance_agencies!$D$2:$D$81,"EBA")</f>
        <v/>
      </c>
      <c r="AS18" s="2">
        <f>COUNTIFS(guidance_agencies!$A$2:$A$81,$A18,guidance_agencies!$D$2:$D$81,"ESMA")</f>
        <v/>
      </c>
      <c r="AT18" s="3">
        <f>SUMIFS(secondary_acts!$S$2:$S$771,secondary_acts!$A$2:$A$771,$A18,secondary_acts!$E$2:$E$771,"implementing")+SUMIFS(secondary_acts!$S$2:$S$771,secondary_acts!$A$2:$A$771,$A18,secondary_acts!$E$2:$E$771,"delegated")</f>
        <v/>
      </c>
      <c r="AU18" s="3" t="n">
        <v>1613</v>
      </c>
      <c r="AV18" s="2" t="n">
        <v>15</v>
      </c>
      <c r="AW18" s="2" t="n">
        <v>18</v>
      </c>
      <c r="AX18" s="2" t="inlineStr">
        <is>
          <t>2012-03-02</t>
        </is>
      </c>
      <c r="AY18" s="2" t="inlineStr">
        <is>
          <t>2026-01-28</t>
        </is>
      </c>
      <c r="AZ18" s="2" t="n">
        <v>5</v>
      </c>
      <c r="BA18" s="2" t="inlineStr">
        <is>
          <t>52008PC0009</t>
        </is>
      </c>
      <c r="BB18" s="2" t="inlineStr">
        <is>
          <t>EUR-Lex HTML</t>
        </is>
      </c>
      <c r="BC18" s="2" t="n">
        <v>14934</v>
      </c>
      <c r="BD18" s="2" t="n">
        <v>283</v>
      </c>
      <c r="BE18" s="2" t="n">
        <v>85</v>
      </c>
      <c r="BF18" s="2">
        <f>IF(ISNUMBER(BC18),R18-BC18,"")</f>
        <v/>
      </c>
      <c r="BG18" s="4">
        <f>IF(AND(ISNUMBER(BC18),BC18&gt;0),(R18-BC18)/BC18,"")</f>
        <v/>
      </c>
      <c r="BH18" s="2">
        <f>IF(ISNUMBER(BD18),Y18-BD18,"")</f>
        <v/>
      </c>
      <c r="BI18" s="4">
        <f>IF(AND(ISNUMBER(BD18),BD18&gt;0),(Y18-BD18)/BD18,"")</f>
        <v/>
      </c>
      <c r="BJ18" s="2">
        <f>IF(ISNUMBER(BE18),AE18-BE18,"")</f>
        <v/>
      </c>
      <c r="BK18" s="2" t="inlineStr">
        <is>
          <t>thin</t>
        </is>
      </c>
      <c r="BL18" s="2" t="inlineStr">
        <is>
          <t>thin: Commission impact assessments and evaluation only; no data on injuries and no independent studies found</t>
        </is>
      </c>
      <c r="BM18" s="2" t="inlineStr">
        <is>
          <t>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is>
      </c>
      <c r="BN18" s="2" t="n">
        <v>3</v>
      </c>
      <c r="BO18" s="2" t="n">
        <v>1</v>
      </c>
      <c r="BP18" s="2" t="n">
        <v>1</v>
      </c>
      <c r="BQ18" s="2" t="n">
        <v>0</v>
      </c>
      <c r="BR18" s="2" t="inlineStr"/>
    </row>
    <row r="19">
      <c r="A19" s="2" t="n">
        <v>18</v>
      </c>
      <c r="B19" s="2" t="inlineStr">
        <is>
          <t>Consumer Rights Directive</t>
        </is>
      </c>
      <c r="C19" s="2" t="inlineStr">
        <is>
          <t>Aims to achieve a high level of consumer protection and contribute to the internal market by harmonising aspects of contracts between consumers and traders. It requires traders to give consumers key pre-contractual information, gives a 14-day right of withdrawal for distance and off-premises contracts, and sets rules on delivery, risk, payment fees and additional charges.</t>
        </is>
      </c>
      <c r="D19" s="2" t="inlineStr">
        <is>
          <t>Directive 2011/83/EU</t>
        </is>
      </c>
      <c r="E19" s="2" t="inlineStr">
        <is>
          <t>E-commerce &amp; Consumer Protection</t>
        </is>
      </c>
      <c r="F19" s="2" t="inlineStr">
        <is>
          <t>enacted</t>
        </is>
      </c>
      <c r="G19" s="2" t="inlineStr">
        <is>
          <t>2008-10-08</t>
        </is>
      </c>
      <c r="H19" s="2" t="inlineStr">
        <is>
          <t>high</t>
        </is>
      </c>
      <c r="I19" s="2" t="inlineStr">
        <is>
          <t>2011-10-25</t>
        </is>
      </c>
      <c r="J19" s="2" t="inlineStr">
        <is>
          <t>2011-11-22</t>
        </is>
      </c>
      <c r="K19" s="2" t="inlineStr">
        <is>
          <t>2011-12-12</t>
        </is>
      </c>
      <c r="L19" s="2" t="inlineStr">
        <is>
          <t>adopted</t>
        </is>
      </c>
      <c r="M19" s="2" t="inlineStr">
        <is>
          <t>adopted</t>
        </is>
      </c>
      <c r="N19" s="2" t="inlineStr">
        <is>
          <t>32011L0083</t>
        </is>
      </c>
      <c r="O19" s="2" t="inlineStr">
        <is>
          <t>Original act as published in the OJ</t>
        </is>
      </c>
      <c r="P19" s="2" t="inlineStr">
        <is>
          <t>https://eur-lex.europa.eu/legal-content/EN/TXT/?uri=CELEX:32011L0083</t>
        </is>
      </c>
      <c r="Q19" s="3" t="n">
        <v>25</v>
      </c>
      <c r="R19" s="3" t="n">
        <v>16782</v>
      </c>
      <c r="S19" s="3" t="n">
        <v>7167</v>
      </c>
      <c r="T19" s="3" t="n">
        <v>7021</v>
      </c>
      <c r="U19" s="3" t="n">
        <v>7762</v>
      </c>
      <c r="V19" s="3" t="n">
        <v>1853</v>
      </c>
      <c r="W19" s="3" t="n">
        <v>0</v>
      </c>
      <c r="X19" s="3" t="n">
        <v>0</v>
      </c>
      <c r="Y19" s="3" t="n">
        <v>105</v>
      </c>
      <c r="Z19" s="3" t="n">
        <v>82</v>
      </c>
      <c r="AA19" s="3" t="n">
        <v>17</v>
      </c>
      <c r="AB19" s="3" t="n">
        <v>1</v>
      </c>
      <c r="AC19" s="3" t="n">
        <v>1</v>
      </c>
      <c r="AD19" s="3" t="n">
        <v>4</v>
      </c>
      <c r="AE19" s="3" t="n">
        <v>47</v>
      </c>
      <c r="AF19" s="3" t="n">
        <v>23</v>
      </c>
      <c r="AG19" s="3" t="n">
        <v>5</v>
      </c>
      <c r="AH19" s="3" t="n">
        <v>30</v>
      </c>
      <c r="AI19" s="2" t="inlineStr">
        <is>
          <t>02011L0083-20260927</t>
        </is>
      </c>
      <c r="AJ19" s="3" t="n">
        <v>182</v>
      </c>
      <c r="AK19" s="2" t="n">
        <v>87</v>
      </c>
      <c r="AL19" s="2">
        <f>COUNTIFS(secondary_acts!$A$2:$A$771,$A19,secondary_acts!$E$2:$E$771,"implementing")</f>
        <v/>
      </c>
      <c r="AM19" s="2">
        <f>COUNTIFS(secondary_acts!$A$2:$A$771,$A19,secondary_acts!$E$2:$E$771,"delegated")</f>
        <v/>
      </c>
      <c r="AN19" s="2">
        <f>COUNTIFS(secondary_acts!$A$2:$A$771,$A19,secondary_acts!$E$2:$E$771,"other Commission/Council act")</f>
        <v/>
      </c>
      <c r="AO19" s="2">
        <f>COUNTIFS(secondary_acts!$A$2:$A$771,$A19,secondary_acts!$E$2:$E$771,"guidance")</f>
        <v/>
      </c>
      <c r="AP19" s="2">
        <f>COUNTIF(guidance_web!$A$2:$A$7,$A19)</f>
        <v/>
      </c>
      <c r="AQ19" s="2">
        <f>COUNTIFS(guidance_agencies!$A$2:$A$81,$A19,guidance_agencies!$D$2:$D$81,"EDPB")</f>
        <v/>
      </c>
      <c r="AR19" s="2">
        <f>COUNTIFS(guidance_agencies!$A$2:$A$81,$A19,guidance_agencies!$D$2:$D$81,"EBA")</f>
        <v/>
      </c>
      <c r="AS19" s="2">
        <f>COUNTIFS(guidance_agencies!$A$2:$A$81,$A19,guidance_agencies!$D$2:$D$81,"ESMA")</f>
        <v/>
      </c>
      <c r="AT19" s="3">
        <f>SUMIFS(secondary_acts!$S$2:$S$771,secondary_acts!$A$2:$A$771,$A19,secondary_acts!$E$2:$E$771,"implementing")+SUMIFS(secondary_acts!$S$2:$S$771,secondary_acts!$A$2:$A$771,$A19,secondary_acts!$E$2:$E$771,"delegated")</f>
        <v/>
      </c>
      <c r="AU19" s="3" t="n">
        <v>1559</v>
      </c>
      <c r="AV19" s="2" t="n">
        <v>28</v>
      </c>
      <c r="AW19" s="2" t="n">
        <v>4</v>
      </c>
      <c r="AX19" s="2" t="inlineStr">
        <is>
          <t>2015-11-25</t>
        </is>
      </c>
      <c r="AY19" s="2" t="inlineStr">
        <is>
          <t>2024-02-28</t>
        </is>
      </c>
      <c r="AZ19" s="2" t="n">
        <v>6</v>
      </c>
      <c r="BA19" s="2" t="inlineStr">
        <is>
          <t>52008PC0614</t>
        </is>
      </c>
      <c r="BB19" s="2" t="inlineStr">
        <is>
          <t>EUR-Lex HTML</t>
        </is>
      </c>
      <c r="BC19" s="2" t="n">
        <v>14168</v>
      </c>
      <c r="BD19" s="2" t="n">
        <v>98</v>
      </c>
      <c r="BE19" s="2" t="n">
        <v>40</v>
      </c>
      <c r="BF19" s="2">
        <f>IF(ISNUMBER(BC19),R19-BC19,"")</f>
        <v/>
      </c>
      <c r="BG19" s="4">
        <f>IF(AND(ISNUMBER(BC19),BC19&gt;0),(R19-BC19)/BC19,"")</f>
        <v/>
      </c>
      <c r="BH19" s="2">
        <f>IF(ISNUMBER(BD19),Y19-BD19,"")</f>
        <v/>
      </c>
      <c r="BI19" s="4">
        <f>IF(AND(ISNUMBER(BD19),BD19&gt;0),(Y19-BD19)/BD19,"")</f>
        <v/>
      </c>
      <c r="BJ19" s="2">
        <f>IF(ISNUMBER(BE19),AE19-BE19,"")</f>
        <v/>
      </c>
      <c r="BK19" s="2" t="inlineStr">
        <is>
          <t>thin</t>
        </is>
      </c>
      <c r="BL19" s="2" t="inlineStr">
        <is>
          <t>thin: Commission evaluations and national assessments only; no causal study of the CRD's effect on cross-border trade, prices or returns</t>
        </is>
      </c>
      <c r="BM19" s="2" t="inlineStr">
        <is>
          <t>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is>
      </c>
      <c r="BN19" s="2" t="n">
        <v>3</v>
      </c>
      <c r="BO19" s="2" t="n">
        <v>2</v>
      </c>
      <c r="BP19" s="2" t="n">
        <v>4</v>
      </c>
      <c r="BQ19" s="2" t="n">
        <v>1</v>
      </c>
      <c r="BR19" s="2" t="inlineStr"/>
    </row>
    <row r="20">
      <c r="A20" s="2" t="n">
        <v>19</v>
      </c>
      <c r="B20" s="2" t="inlineStr">
        <is>
          <t>Administrative cooperation in taxation (DAC)</t>
        </is>
      </c>
      <c r="C20" s="2" t="inlineStr">
        <is>
          <t>Lays down rules and procedures for Member States to cooperate in exchanging information foreseeably relevant to administering and enforcing their tax laws. It covers taxes of all kinds except VAT, customs and excise duties, and compulsory social contributions. It provides for exchange on request, automatic and spontaneous exchange, simultaneous controls and administrative enquiries, using electronic means.</t>
        </is>
      </c>
      <c r="D20" s="2" t="inlineStr">
        <is>
          <t>Directive 2011/16/EU</t>
        </is>
      </c>
      <c r="E20" s="2" t="inlineStr">
        <is>
          <t>Finance</t>
        </is>
      </c>
      <c r="F20" s="2" t="inlineStr">
        <is>
          <t>enacted</t>
        </is>
      </c>
      <c r="G20" s="2" t="inlineStr">
        <is>
          <t>2009-02-02</t>
        </is>
      </c>
      <c r="H20" s="2" t="inlineStr">
        <is>
          <t>high</t>
        </is>
      </c>
      <c r="I20" s="2" t="inlineStr">
        <is>
          <t>2011-02-15</t>
        </is>
      </c>
      <c r="J20" s="2" t="inlineStr">
        <is>
          <t>2011-02-15</t>
        </is>
      </c>
      <c r="K20" s="2" t="inlineStr">
        <is>
          <t>2011-03-11</t>
        </is>
      </c>
      <c r="L20" s="2" t="inlineStr">
        <is>
          <t>adopted</t>
        </is>
      </c>
      <c r="M20" s="2" t="inlineStr">
        <is>
          <t>adopted</t>
        </is>
      </c>
      <c r="N20" s="2" t="inlineStr">
        <is>
          <t>32011L0016</t>
        </is>
      </c>
      <c r="O20" s="2" t="inlineStr">
        <is>
          <t>Original act as published in the OJ</t>
        </is>
      </c>
      <c r="P20" s="2" t="inlineStr">
        <is>
          <t>https://eur-lex.europa.eu/legal-content/EN/TXT/?uri=CELEX:32011L0016</t>
        </is>
      </c>
      <c r="Q20" s="3" t="n">
        <v>12</v>
      </c>
      <c r="R20" s="3" t="n">
        <v>7830</v>
      </c>
      <c r="S20" s="3" t="n">
        <v>1814</v>
      </c>
      <c r="T20" s="3" t="n">
        <v>1712</v>
      </c>
      <c r="U20" s="3" t="n">
        <v>6016</v>
      </c>
      <c r="V20" s="3" t="n">
        <v>0</v>
      </c>
      <c r="W20" s="3" t="n">
        <v>0</v>
      </c>
      <c r="X20" s="3" t="n">
        <v>0</v>
      </c>
      <c r="Y20" s="3" t="n">
        <v>111</v>
      </c>
      <c r="Z20" s="3" t="n">
        <v>100</v>
      </c>
      <c r="AA20" s="3" t="n">
        <v>5</v>
      </c>
      <c r="AB20" s="3" t="n">
        <v>3</v>
      </c>
      <c r="AC20" s="3" t="n">
        <v>3</v>
      </c>
      <c r="AD20" s="3" t="n">
        <v>0</v>
      </c>
      <c r="AE20" s="3" t="n">
        <v>2</v>
      </c>
      <c r="AF20" s="3" t="n">
        <v>69</v>
      </c>
      <c r="AG20" s="3" t="n">
        <v>17</v>
      </c>
      <c r="AH20" s="3" t="n">
        <v>23</v>
      </c>
      <c r="AI20" s="2" t="inlineStr">
        <is>
          <t>02011L0016-20260101</t>
        </is>
      </c>
      <c r="AJ20" s="3" t="n">
        <v>613</v>
      </c>
      <c r="AK20" s="2" t="n">
        <v>158</v>
      </c>
      <c r="AL20" s="2">
        <f>COUNTIFS(secondary_acts!$A$2:$A$771,$A20,secondary_acts!$E$2:$E$771,"implementing")</f>
        <v/>
      </c>
      <c r="AM20" s="2">
        <f>COUNTIFS(secondary_acts!$A$2:$A$771,$A20,secondary_acts!$E$2:$E$771,"delegated")</f>
        <v/>
      </c>
      <c r="AN20" s="2">
        <f>COUNTIFS(secondary_acts!$A$2:$A$771,$A20,secondary_acts!$E$2:$E$771,"other Commission/Council act")</f>
        <v/>
      </c>
      <c r="AO20" s="2">
        <f>COUNTIFS(secondary_acts!$A$2:$A$771,$A20,secondary_acts!$E$2:$E$771,"guidance")</f>
        <v/>
      </c>
      <c r="AP20" s="2">
        <f>COUNTIF(guidance_web!$A$2:$A$7,$A20)</f>
        <v/>
      </c>
      <c r="AQ20" s="2">
        <f>COUNTIFS(guidance_agencies!$A$2:$A$81,$A20,guidance_agencies!$D$2:$D$81,"EDPB")</f>
        <v/>
      </c>
      <c r="AR20" s="2">
        <f>COUNTIFS(guidance_agencies!$A$2:$A$81,$A20,guidance_agencies!$D$2:$D$81,"EBA")</f>
        <v/>
      </c>
      <c r="AS20" s="2">
        <f>COUNTIFS(guidance_agencies!$A$2:$A$81,$A20,guidance_agencies!$D$2:$D$81,"ESMA")</f>
        <v/>
      </c>
      <c r="AT20" s="3">
        <f>SUMIFS(secondary_acts!$S$2:$S$771,secondary_acts!$A$2:$A$771,$A20,secondary_acts!$E$2:$E$771,"implementing")+SUMIFS(secondary_acts!$S$2:$S$771,secondary_acts!$A$2:$A$771,$A20,secondary_acts!$E$2:$E$771,"delegated")</f>
        <v/>
      </c>
      <c r="AU20" s="3" t="n">
        <v>380</v>
      </c>
      <c r="AV20" s="2" t="n">
        <v>28</v>
      </c>
      <c r="AW20" s="2" t="n">
        <v>9</v>
      </c>
      <c r="AX20" s="2" t="inlineStr">
        <is>
          <t>2014-12-09</t>
        </is>
      </c>
      <c r="AY20" s="2" t="inlineStr">
        <is>
          <t>2025-04-14</t>
        </is>
      </c>
      <c r="AZ20" s="2" t="n">
        <v>5</v>
      </c>
      <c r="BA20" s="2" t="inlineStr">
        <is>
          <t>52009PC0029</t>
        </is>
      </c>
      <c r="BB20" s="2" t="inlineStr">
        <is>
          <t>EUR-Lex HTML</t>
        </is>
      </c>
      <c r="BC20" s="2" t="n">
        <v>6065</v>
      </c>
      <c r="BD20" s="2" t="n">
        <v>93</v>
      </c>
      <c r="BE20" s="2" t="n">
        <v>2</v>
      </c>
      <c r="BF20" s="2">
        <f>IF(ISNUMBER(BC20),R20-BC20,"")</f>
        <v/>
      </c>
      <c r="BG20" s="4">
        <f>IF(AND(ISNUMBER(BC20),BC20&gt;0),(R20-BC20)/BC20,"")</f>
        <v/>
      </c>
      <c r="BH20" s="2">
        <f>IF(ISNUMBER(BD20),Y20-BD20,"")</f>
        <v/>
      </c>
      <c r="BI20" s="4">
        <f>IF(AND(ISNUMBER(BD20),BD20&gt;0),(Y20-BD20)/BD20,"")</f>
        <v/>
      </c>
      <c r="BJ20" s="2">
        <f>IF(ISNUMBER(BE20),AE20-BE20,"")</f>
        <v/>
      </c>
      <c r="BK20" s="2" t="inlineStr">
        <is>
          <t>moderate</t>
        </is>
      </c>
      <c r="BL20" s="2" t="inlineStr">
        <is>
          <t>moderate: two Commission evaluations with cost/benefit estimates, ECA audit, and causal evidence on the CRS (DAC2) deposit effect; benefit attribution remains weak</t>
        </is>
      </c>
      <c r="BM20" s="2" t="inlineStr">
        <is>
          <t>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is>
      </c>
      <c r="BN20" s="2" t="n">
        <v>4</v>
      </c>
      <c r="BO20" s="2" t="n">
        <v>4</v>
      </c>
      <c r="BP20" s="2" t="n">
        <v>4</v>
      </c>
      <c r="BQ20" s="2" t="n">
        <v>1</v>
      </c>
      <c r="BR20" s="2" t="inlineStr"/>
    </row>
    <row r="21">
      <c r="A21" s="2" t="n">
        <v>20</v>
      </c>
      <c r="B21" s="2" t="inlineStr">
        <is>
          <t>General Data Protection Regulation</t>
        </is>
      </c>
      <c r="C21" s="2" t="inlineStr">
        <is>
          <t>Lays down rules to protect people with regard to the processing of personal data and to ensure the free movement of such data within the EU. It applies to controllers and processors, including those outside the EU targeting people in the EU. It sets processing principles and legal bases, grants individuals rights such as access and erasure, and creates independent supervisory authorities with corrective powers.</t>
        </is>
      </c>
      <c r="D21" s="2" t="inlineStr">
        <is>
          <t>Regulation (EU) 2016/679</t>
        </is>
      </c>
      <c r="E21" s="2" t="inlineStr">
        <is>
          <t>Data &amp; Privacy</t>
        </is>
      </c>
      <c r="F21" s="2" t="inlineStr">
        <is>
          <t>enacted</t>
        </is>
      </c>
      <c r="G21" s="2" t="inlineStr">
        <is>
          <t>2012-01-25</t>
        </is>
      </c>
      <c r="H21" s="2" t="inlineStr">
        <is>
          <t>high</t>
        </is>
      </c>
      <c r="I21" s="2" t="inlineStr">
        <is>
          <t>2016-04-27</t>
        </is>
      </c>
      <c r="J21" s="2" t="inlineStr">
        <is>
          <t>2016-05-04</t>
        </is>
      </c>
      <c r="K21" s="2" t="inlineStr">
        <is>
          <t>2016-05-24</t>
        </is>
      </c>
      <c r="L21" s="2" t="inlineStr">
        <is>
          <t>adopted</t>
        </is>
      </c>
      <c r="M21" s="2" t="inlineStr">
        <is>
          <t>adopted</t>
        </is>
      </c>
      <c r="N21" s="2" t="inlineStr">
        <is>
          <t>32016R0679</t>
        </is>
      </c>
      <c r="O21" s="2" t="inlineStr">
        <is>
          <t>Original act as published in the OJ</t>
        </is>
      </c>
      <c r="P21" s="2" t="inlineStr">
        <is>
          <t>https://eur-lex.europa.eu/legal-content/EN/TXT/?uri=CELEX:32016R0679</t>
        </is>
      </c>
      <c r="Q21" s="3" t="n">
        <v>88</v>
      </c>
      <c r="R21" s="3" t="n">
        <v>54331</v>
      </c>
      <c r="S21" s="3" t="n">
        <v>23839</v>
      </c>
      <c r="T21" s="3" t="n">
        <v>23692</v>
      </c>
      <c r="U21" s="3" t="n">
        <v>30492</v>
      </c>
      <c r="V21" s="3" t="n">
        <v>0</v>
      </c>
      <c r="W21" s="3" t="n">
        <v>0</v>
      </c>
      <c r="X21" s="3" t="n">
        <v>0</v>
      </c>
      <c r="Y21" s="3" t="n">
        <v>417</v>
      </c>
      <c r="Z21" s="3" t="n">
        <v>370</v>
      </c>
      <c r="AA21" s="3" t="n">
        <v>24</v>
      </c>
      <c r="AB21" s="3" t="n">
        <v>3</v>
      </c>
      <c r="AC21" s="3" t="n">
        <v>8</v>
      </c>
      <c r="AD21" s="3" t="n">
        <v>12</v>
      </c>
      <c r="AE21" s="3" t="n">
        <v>99</v>
      </c>
      <c r="AF21" s="3" t="n">
        <v>129</v>
      </c>
      <c r="AG21" s="3" t="n">
        <v>81</v>
      </c>
      <c r="AH21" s="3" t="n">
        <v>108</v>
      </c>
      <c r="AI21" s="2" t="inlineStr">
        <is>
          <t>02016R0679-20160504</t>
        </is>
      </c>
      <c r="AJ21" s="3" t="n">
        <v>415</v>
      </c>
      <c r="AK21" s="2" t="n">
        <v>99</v>
      </c>
      <c r="AL21" s="2">
        <f>COUNTIFS(secondary_acts!$A$2:$A$771,$A21,secondary_acts!$E$2:$E$771,"implementing")</f>
        <v/>
      </c>
      <c r="AM21" s="2">
        <f>COUNTIFS(secondary_acts!$A$2:$A$771,$A21,secondary_acts!$E$2:$E$771,"delegated")</f>
        <v/>
      </c>
      <c r="AN21" s="2">
        <f>COUNTIFS(secondary_acts!$A$2:$A$771,$A21,secondary_acts!$E$2:$E$771,"other Commission/Council act")</f>
        <v/>
      </c>
      <c r="AO21" s="2">
        <f>COUNTIFS(secondary_acts!$A$2:$A$771,$A21,secondary_acts!$E$2:$E$771,"guidance")</f>
        <v/>
      </c>
      <c r="AP21" s="2">
        <f>COUNTIF(guidance_web!$A$2:$A$7,$A21)</f>
        <v/>
      </c>
      <c r="AQ21" s="2">
        <f>COUNTIFS(guidance_agencies!$A$2:$A$81,$A21,guidance_agencies!$D$2:$D$81,"EDPB")</f>
        <v/>
      </c>
      <c r="AR21" s="2">
        <f>COUNTIFS(guidance_agencies!$A$2:$A$81,$A21,guidance_agencies!$D$2:$D$81,"EBA")</f>
        <v/>
      </c>
      <c r="AS21" s="2">
        <f>COUNTIFS(guidance_agencies!$A$2:$A$81,$A21,guidance_agencies!$D$2:$D$81,"ESMA")</f>
        <v/>
      </c>
      <c r="AT21" s="3">
        <f>SUMIFS(secondary_acts!$S$2:$S$771,secondary_acts!$A$2:$A$771,$A21,secondary_acts!$E$2:$E$771,"implementing")+SUMIFS(secondary_acts!$S$2:$S$771,secondary_acts!$A$2:$A$771,$A21,secondary_acts!$E$2:$E$771,"delegated")</f>
        <v/>
      </c>
      <c r="AU21" s="3" t="n"/>
      <c r="AV21" s="2" t="n"/>
      <c r="AW21" s="2" t="n">
        <v>0</v>
      </c>
      <c r="AX21" s="2" t="n"/>
      <c r="AY21" s="2" t="n"/>
      <c r="AZ21" s="2" t="n">
        <v>3</v>
      </c>
      <c r="BA21" s="2" t="inlineStr">
        <is>
          <t>52012PC0011</t>
        </is>
      </c>
      <c r="BB21" s="2" t="inlineStr">
        <is>
          <t>EUR-Lex HTML</t>
        </is>
      </c>
      <c r="BC21" s="2" t="n">
        <v>35380</v>
      </c>
      <c r="BD21" s="2" t="n">
        <v>362</v>
      </c>
      <c r="BE21" s="2" t="n">
        <v>78</v>
      </c>
      <c r="BF21" s="2">
        <f>IF(ISNUMBER(BC21),R21-BC21,"")</f>
        <v/>
      </c>
      <c r="BG21" s="4">
        <f>IF(AND(ISNUMBER(BC21),BC21&gt;0),(R21-BC21)/BC21,"")</f>
        <v/>
      </c>
      <c r="BH21" s="2">
        <f>IF(ISNUMBER(BD21),Y21-BD21,"")</f>
        <v/>
      </c>
      <c r="BI21" s="4">
        <f>IF(AND(ISNUMBER(BD21),BD21&gt;0),(Y21-BD21)/BD21,"")</f>
        <v/>
      </c>
      <c r="BJ21" s="2">
        <f>IF(ISNUMBER(BE21),AE21-BE21,"")</f>
        <v/>
      </c>
      <c r="BK21" s="2" t="inlineStr">
        <is>
          <t>strong</t>
        </is>
      </c>
      <c r="BL21" s="2" t="inlineStr">
        <is>
          <t>strong: several peer-reviewed causal studies (mostly short-run, digital sector); Commission reviews give enforcement statistics but no cost-benefit estimate</t>
        </is>
      </c>
      <c r="BM21" s="2" t="inlineStr">
        <is>
          <t>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is>
      </c>
      <c r="BN21" s="2" t="n">
        <v>8</v>
      </c>
      <c r="BO21" s="2" t="n">
        <v>3</v>
      </c>
      <c r="BP21" s="2" t="n">
        <v>30</v>
      </c>
      <c r="BQ21" s="2" t="n">
        <v>14</v>
      </c>
      <c r="BR21" s="2" t="inlineStr"/>
    </row>
    <row r="22">
      <c r="A22" s="2" t="n">
        <v>21</v>
      </c>
      <c r="B22" s="2" t="inlineStr">
        <is>
          <t>Law Enforcement Directive</t>
        </is>
      </c>
      <c r="C22" s="2" t="inlineStr">
        <is>
          <t>Lays down rules to protect people with regard to the processing of personal data by competent authorities for preventing, investigating, detecting or prosecuting criminal offences and executing criminal penalties. It aims to protect personal data rights while ensuring data exchange between authorities. It sets processing principles, data subject rights, controller obligations and independent supervision.</t>
        </is>
      </c>
      <c r="D22" s="2" t="inlineStr">
        <is>
          <t>Directive (EU) 2016/680</t>
        </is>
      </c>
      <c r="E22" s="2" t="inlineStr">
        <is>
          <t>Law Enforcement</t>
        </is>
      </c>
      <c r="F22" s="2" t="inlineStr">
        <is>
          <t>enacted</t>
        </is>
      </c>
      <c r="G22" s="2" t="inlineStr">
        <is>
          <t>2012-01-25</t>
        </is>
      </c>
      <c r="H22" s="2" t="inlineStr">
        <is>
          <t>high</t>
        </is>
      </c>
      <c r="I22" s="2" t="inlineStr">
        <is>
          <t>2016-04-27</t>
        </is>
      </c>
      <c r="J22" s="2" t="inlineStr">
        <is>
          <t>2016-05-04</t>
        </is>
      </c>
      <c r="K22" s="2" t="inlineStr">
        <is>
          <t>2016-05-05</t>
        </is>
      </c>
      <c r="L22" s="2" t="inlineStr">
        <is>
          <t>adopted</t>
        </is>
      </c>
      <c r="M22" s="2" t="inlineStr">
        <is>
          <t>adopted</t>
        </is>
      </c>
      <c r="N22" s="2" t="inlineStr">
        <is>
          <t>32016L0680</t>
        </is>
      </c>
      <c r="O22" s="2" t="inlineStr">
        <is>
          <t>Original act as published in the OJ</t>
        </is>
      </c>
      <c r="P22" s="2" t="inlineStr">
        <is>
          <t>https://eur-lex.europa.eu/legal-content/EN/TXT/?uri=CELEX:32016L0680</t>
        </is>
      </c>
      <c r="Q22" s="3" t="n">
        <v>43</v>
      </c>
      <c r="R22" s="3" t="n">
        <v>26710</v>
      </c>
      <c r="S22" s="3" t="n">
        <v>12941</v>
      </c>
      <c r="T22" s="3" t="n">
        <v>12790</v>
      </c>
      <c r="U22" s="3" t="n">
        <v>13769</v>
      </c>
      <c r="V22" s="3" t="n">
        <v>0</v>
      </c>
      <c r="W22" s="3" t="n">
        <v>0</v>
      </c>
      <c r="X22" s="3" t="n">
        <v>0</v>
      </c>
      <c r="Y22" s="3" t="n">
        <v>225</v>
      </c>
      <c r="Z22" s="3" t="n">
        <v>206</v>
      </c>
      <c r="AA22" s="3" t="n">
        <v>11</v>
      </c>
      <c r="AB22" s="3" t="n">
        <v>1</v>
      </c>
      <c r="AC22" s="3" t="n">
        <v>2</v>
      </c>
      <c r="AD22" s="3" t="n">
        <v>5</v>
      </c>
      <c r="AE22" s="3" t="n">
        <v>25</v>
      </c>
      <c r="AF22" s="3" t="n">
        <v>129</v>
      </c>
      <c r="AG22" s="3" t="n">
        <v>26</v>
      </c>
      <c r="AH22" s="3" t="n">
        <v>45</v>
      </c>
      <c r="AI22" s="2" t="inlineStr">
        <is>
          <t>02016L0680-20160504</t>
        </is>
      </c>
      <c r="AJ22" s="3" t="n">
        <v>225</v>
      </c>
      <c r="AK22" s="2" t="n">
        <v>25</v>
      </c>
      <c r="AL22" s="2">
        <f>COUNTIFS(secondary_acts!$A$2:$A$771,$A22,secondary_acts!$E$2:$E$771,"implementing")</f>
        <v/>
      </c>
      <c r="AM22" s="2">
        <f>COUNTIFS(secondary_acts!$A$2:$A$771,$A22,secondary_acts!$E$2:$E$771,"delegated")</f>
        <v/>
      </c>
      <c r="AN22" s="2">
        <f>COUNTIFS(secondary_acts!$A$2:$A$771,$A22,secondary_acts!$E$2:$E$771,"other Commission/Council act")</f>
        <v/>
      </c>
      <c r="AO22" s="2">
        <f>COUNTIFS(secondary_acts!$A$2:$A$771,$A22,secondary_acts!$E$2:$E$771,"guidance")</f>
        <v/>
      </c>
      <c r="AP22" s="2">
        <f>COUNTIF(guidance_web!$A$2:$A$7,$A22)</f>
        <v/>
      </c>
      <c r="AQ22" s="2">
        <f>COUNTIFS(guidance_agencies!$A$2:$A$81,$A22,guidance_agencies!$D$2:$D$81,"EDPB")</f>
        <v/>
      </c>
      <c r="AR22" s="2">
        <f>COUNTIFS(guidance_agencies!$A$2:$A$81,$A22,guidance_agencies!$D$2:$D$81,"EBA")</f>
        <v/>
      </c>
      <c r="AS22" s="2">
        <f>COUNTIFS(guidance_agencies!$A$2:$A$81,$A22,guidance_agencies!$D$2:$D$81,"ESMA")</f>
        <v/>
      </c>
      <c r="AT22" s="3">
        <f>SUMIFS(secondary_acts!$S$2:$S$771,secondary_acts!$A$2:$A$771,$A22,secondary_acts!$E$2:$E$771,"implementing")+SUMIFS(secondary_acts!$S$2:$S$771,secondary_acts!$A$2:$A$771,$A22,secondary_acts!$E$2:$E$771,"delegated")</f>
        <v/>
      </c>
      <c r="AU22" s="3" t="n">
        <v>3772</v>
      </c>
      <c r="AV22" s="2" t="n">
        <v>28</v>
      </c>
      <c r="AW22" s="2" t="n">
        <v>0</v>
      </c>
      <c r="AX22" s="2" t="n"/>
      <c r="AY22" s="2" t="n"/>
      <c r="AZ22" s="2" t="n">
        <v>3</v>
      </c>
      <c r="BA22" s="2" t="inlineStr">
        <is>
          <t>52012PC0010</t>
        </is>
      </c>
      <c r="BB22" s="2" t="inlineStr">
        <is>
          <t>EUR-Lex HTML</t>
        </is>
      </c>
      <c r="BC22" s="2" t="n">
        <v>16067</v>
      </c>
      <c r="BD22" s="2" t="n">
        <v>193</v>
      </c>
      <c r="BE22" s="2" t="n">
        <v>26</v>
      </c>
      <c r="BF22" s="2">
        <f>IF(ISNUMBER(BC22),R22-BC22,"")</f>
        <v/>
      </c>
      <c r="BG22" s="4">
        <f>IF(AND(ISNUMBER(BC22),BC22&gt;0),(R22-BC22)/BC22,"")</f>
        <v/>
      </c>
      <c r="BH22" s="2">
        <f>IF(ISNUMBER(BD22),Y22-BD22,"")</f>
        <v/>
      </c>
      <c r="BI22" s="4">
        <f>IF(AND(ISNUMBER(BD22),BD22&gt;0),(Y22-BD22)/BD22,"")</f>
        <v/>
      </c>
      <c r="BJ22" s="2">
        <f>IF(ISNUMBER(BE22),AE22-BE22,"")</f>
        <v/>
      </c>
      <c r="BK22" s="2" t="inlineStr">
        <is>
          <t>thin</t>
        </is>
      </c>
      <c r="BL22" s="2" t="inlineStr">
        <is>
          <t>thin: transposition and complaint statistics only; no independent or causal evidence on protection outcomes or law-enforcement effectiveness found</t>
        </is>
      </c>
      <c r="BM22" s="2" t="inlineStr">
        <is>
          <t>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is>
      </c>
      <c r="BN22" s="2" t="n">
        <v>3</v>
      </c>
      <c r="BO22" s="2" t="n">
        <v>2</v>
      </c>
      <c r="BP22" s="2" t="n">
        <v>4</v>
      </c>
      <c r="BQ22" s="2" t="n">
        <v>0</v>
      </c>
      <c r="BR22" s="2" t="inlineStr"/>
    </row>
    <row r="23">
      <c r="A23" s="2" t="n">
        <v>22</v>
      </c>
      <c r="B23" s="2" t="inlineStr">
        <is>
          <t>eIDAS Regulation</t>
        </is>
      </c>
      <c r="C23" s="2" t="inlineStr">
        <is>
          <t>Aims to enhance trust in electronic transactions in the internal market. It requires Member States to recognise notified electronic identification means of other Member States for access to online public services, lays down rules for trust service providers, and establishes a legal framework for electronic signatures, seals, time stamps, documents, registered delivery services and website authentication certificates.</t>
        </is>
      </c>
      <c r="D23" s="2" t="inlineStr">
        <is>
          <t>Regulation (EU) 910/2014</t>
        </is>
      </c>
      <c r="E23" s="2" t="inlineStr">
        <is>
          <t>Trust &amp; Safety</t>
        </is>
      </c>
      <c r="F23" s="2" t="inlineStr">
        <is>
          <t>enacted</t>
        </is>
      </c>
      <c r="G23" s="2" t="inlineStr">
        <is>
          <t>2012-06-04</t>
        </is>
      </c>
      <c r="H23" s="2" t="inlineStr">
        <is>
          <t>high</t>
        </is>
      </c>
      <c r="I23" s="2" t="inlineStr">
        <is>
          <t>2014-07-23</t>
        </is>
      </c>
      <c r="J23" s="2" t="inlineStr">
        <is>
          <t>2014-08-28</t>
        </is>
      </c>
      <c r="K23" s="2" t="inlineStr">
        <is>
          <t>2014-09-17</t>
        </is>
      </c>
      <c r="L23" s="2" t="inlineStr">
        <is>
          <t>adopted</t>
        </is>
      </c>
      <c r="M23" s="2" t="inlineStr">
        <is>
          <t>adopted</t>
        </is>
      </c>
      <c r="N23" s="2" t="inlineStr">
        <is>
          <t>32014R0910</t>
        </is>
      </c>
      <c r="O23" s="2" t="inlineStr">
        <is>
          <t>Original act as published in the OJ</t>
        </is>
      </c>
      <c r="P23" s="2" t="inlineStr">
        <is>
          <t>https://eur-lex.europa.eu/legal-content/EN/TXT/?uri=CELEX:32014R0910</t>
        </is>
      </c>
      <c r="Q23" s="3" t="n">
        <v>42</v>
      </c>
      <c r="R23" s="3" t="n">
        <v>18535</v>
      </c>
      <c r="S23" s="3" t="n">
        <v>5975</v>
      </c>
      <c r="T23" s="3" t="n">
        <v>5856</v>
      </c>
      <c r="U23" s="3" t="n">
        <v>11516</v>
      </c>
      <c r="V23" s="3" t="n">
        <v>1044</v>
      </c>
      <c r="W23" s="3" t="n">
        <v>0</v>
      </c>
      <c r="X23" s="3" t="n">
        <v>0</v>
      </c>
      <c r="Y23" s="3" t="n">
        <v>181</v>
      </c>
      <c r="Z23" s="3" t="n">
        <v>154</v>
      </c>
      <c r="AA23" s="3" t="n">
        <v>16</v>
      </c>
      <c r="AB23" s="3" t="n">
        <v>5</v>
      </c>
      <c r="AC23" s="3" t="n">
        <v>2</v>
      </c>
      <c r="AD23" s="3" t="n">
        <v>4</v>
      </c>
      <c r="AE23" s="3" t="n">
        <v>26</v>
      </c>
      <c r="AF23" s="3" t="n">
        <v>45</v>
      </c>
      <c r="AG23" s="3" t="n">
        <v>52</v>
      </c>
      <c r="AH23" s="3" t="n">
        <v>58</v>
      </c>
      <c r="AI23" s="2" t="inlineStr">
        <is>
          <t>02014R0910-20240520</t>
        </is>
      </c>
      <c r="AJ23" s="3" t="n">
        <v>428</v>
      </c>
      <c r="AK23" s="2" t="n">
        <v>76</v>
      </c>
      <c r="AL23" s="2">
        <f>COUNTIFS(secondary_acts!$A$2:$A$771,$A23,secondary_acts!$E$2:$E$771,"implementing")</f>
        <v/>
      </c>
      <c r="AM23" s="2">
        <f>COUNTIFS(secondary_acts!$A$2:$A$771,$A23,secondary_acts!$E$2:$E$771,"delegated")</f>
        <v/>
      </c>
      <c r="AN23" s="2">
        <f>COUNTIFS(secondary_acts!$A$2:$A$771,$A23,secondary_acts!$E$2:$E$771,"other Commission/Council act")</f>
        <v/>
      </c>
      <c r="AO23" s="2">
        <f>COUNTIFS(secondary_acts!$A$2:$A$771,$A23,secondary_acts!$E$2:$E$771,"guidance")</f>
        <v/>
      </c>
      <c r="AP23" s="2">
        <f>COUNTIF(guidance_web!$A$2:$A$7,$A23)</f>
        <v/>
      </c>
      <c r="AQ23" s="2">
        <f>COUNTIFS(guidance_agencies!$A$2:$A$81,$A23,guidance_agencies!$D$2:$D$81,"EDPB")</f>
        <v/>
      </c>
      <c r="AR23" s="2">
        <f>COUNTIFS(guidance_agencies!$A$2:$A$81,$A23,guidance_agencies!$D$2:$D$81,"EBA")</f>
        <v/>
      </c>
      <c r="AS23" s="2">
        <f>COUNTIFS(guidance_agencies!$A$2:$A$81,$A23,guidance_agencies!$D$2:$D$81,"ESMA")</f>
        <v/>
      </c>
      <c r="AT23" s="3">
        <f>SUMIFS(secondary_acts!$S$2:$S$771,secondary_acts!$A$2:$A$771,$A23,secondary_acts!$E$2:$E$771,"implementing")+SUMIFS(secondary_acts!$S$2:$S$771,secondary_acts!$A$2:$A$771,$A23,secondary_acts!$E$2:$E$771,"delegated")</f>
        <v/>
      </c>
      <c r="AU23" s="3" t="n"/>
      <c r="AV23" s="2" t="n"/>
      <c r="AW23" s="2" t="n">
        <v>2</v>
      </c>
      <c r="AX23" s="2" t="inlineStr">
        <is>
          <t>2022-12-14</t>
        </is>
      </c>
      <c r="AY23" s="2" t="inlineStr">
        <is>
          <t>2024-04-11</t>
        </is>
      </c>
      <c r="AZ23" s="2" t="n">
        <v>12</v>
      </c>
      <c r="BA23" s="2" t="inlineStr">
        <is>
          <t>52012PC0238</t>
        </is>
      </c>
      <c r="BB23" s="2" t="inlineStr">
        <is>
          <t>EUR-Lex HTML</t>
        </is>
      </c>
      <c r="BC23" s="2" t="n">
        <v>12741</v>
      </c>
      <c r="BD23" s="2" t="n">
        <v>163</v>
      </c>
      <c r="BE23" s="2" t="n">
        <v>15</v>
      </c>
      <c r="BF23" s="2">
        <f>IF(ISNUMBER(BC23),R23-BC23,"")</f>
        <v/>
      </c>
      <c r="BG23" s="4">
        <f>IF(AND(ISNUMBER(BC23),BC23&gt;0),(R23-BC23)/BC23,"")</f>
        <v/>
      </c>
      <c r="BH23" s="2">
        <f>IF(ISNUMBER(BD23),Y23-BD23,"")</f>
        <v/>
      </c>
      <c r="BI23" s="4">
        <f>IF(AND(ISNUMBER(BD23),BD23&gt;0),(Y23-BD23)/BD23,"")</f>
        <v/>
      </c>
      <c r="BJ23" s="2">
        <f>IF(ISNUMBER(BE23),AE23-BE23,"")</f>
        <v/>
      </c>
      <c r="BK23" s="2" t="inlineStr">
        <is>
          <t>thin</t>
        </is>
      </c>
      <c r="BL23" s="2" t="inlineStr">
        <is>
          <t>thin but direct: Commission evaluation with usage counts and cost-benefit baseline; no independent quantitative or causal studies</t>
        </is>
      </c>
      <c r="BM23" s="2" t="inlineStr">
        <is>
          <t>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is>
      </c>
      <c r="BN23" s="2" t="n">
        <v>5</v>
      </c>
      <c r="BO23" s="2" t="n">
        <v>5</v>
      </c>
      <c r="BP23" s="2" t="n">
        <v>5</v>
      </c>
      <c r="BQ23" s="2" t="n">
        <v>0</v>
      </c>
      <c r="BR23" s="2" t="inlineStr"/>
    </row>
    <row r="24">
      <c r="A24" s="2" t="n">
        <v>23</v>
      </c>
      <c r="B24" s="2" t="inlineStr">
        <is>
          <t>Payment Services Directive 2 (PSD2)</t>
        </is>
      </c>
      <c r="C24" s="2" t="inlineStr">
        <is>
          <t>Aims to develop an integrated, secure and efficient market for electronic payments in the EU. It sets categories and authorisation rules for payment service providers, including new payment initiation and account information services, and rules on transparency and the rights and obligations of users and providers. It requires strong customer authentication and gives authorised third parties access to payment accounts.</t>
        </is>
      </c>
      <c r="D24" s="2" t="inlineStr">
        <is>
          <t>Directive (EU) 2015/2366</t>
        </is>
      </c>
      <c r="E24" s="2" t="inlineStr">
        <is>
          <t>Finance</t>
        </is>
      </c>
      <c r="F24" s="2" t="inlineStr">
        <is>
          <t>enacted</t>
        </is>
      </c>
      <c r="G24" s="2" t="inlineStr">
        <is>
          <t>2013-07-24</t>
        </is>
      </c>
      <c r="H24" s="2" t="inlineStr">
        <is>
          <t>high</t>
        </is>
      </c>
      <c r="I24" s="2" t="inlineStr">
        <is>
          <t>2015-11-25</t>
        </is>
      </c>
      <c r="J24" s="2" t="inlineStr">
        <is>
          <t>2015-12-23</t>
        </is>
      </c>
      <c r="K24" s="2" t="inlineStr">
        <is>
          <t>2016-01-12</t>
        </is>
      </c>
      <c r="L24" s="2" t="inlineStr">
        <is>
          <t>adopted</t>
        </is>
      </c>
      <c r="M24" s="2" t="inlineStr">
        <is>
          <t>adopted</t>
        </is>
      </c>
      <c r="N24" s="2" t="inlineStr">
        <is>
          <t>32015L2366</t>
        </is>
      </c>
      <c r="O24" s="2" t="inlineStr">
        <is>
          <t>Original act as published in the OJ</t>
        </is>
      </c>
      <c r="P24" s="2" t="inlineStr">
        <is>
          <t>https://eur-lex.europa.eu/legal-content/EN/TXT/?uri=CELEX:32015L2366</t>
        </is>
      </c>
      <c r="Q24" s="3" t="n">
        <v>93</v>
      </c>
      <c r="R24" s="3" t="n">
        <v>47656</v>
      </c>
      <c r="S24" s="3" t="n">
        <v>14399</v>
      </c>
      <c r="T24" s="3" t="n">
        <v>14254</v>
      </c>
      <c r="U24" s="3" t="n">
        <v>31276</v>
      </c>
      <c r="V24" s="3" t="n">
        <v>1981</v>
      </c>
      <c r="W24" s="3" t="n">
        <v>0</v>
      </c>
      <c r="X24" s="3" t="n">
        <v>0</v>
      </c>
      <c r="Y24" s="3" t="n">
        <v>462</v>
      </c>
      <c r="Z24" s="3" t="n">
        <v>354</v>
      </c>
      <c r="AA24" s="3" t="n">
        <v>46</v>
      </c>
      <c r="AB24" s="3" t="n">
        <v>7</v>
      </c>
      <c r="AC24" s="3" t="n">
        <v>4</v>
      </c>
      <c r="AD24" s="3" t="n">
        <v>51</v>
      </c>
      <c r="AE24" s="3" t="n">
        <v>172</v>
      </c>
      <c r="AF24" s="3" t="n">
        <v>171</v>
      </c>
      <c r="AG24" s="3" t="n">
        <v>44</v>
      </c>
      <c r="AH24" s="3" t="n">
        <v>75</v>
      </c>
      <c r="AI24" s="2" t="inlineStr">
        <is>
          <t>02015L2366-20250117</t>
        </is>
      </c>
      <c r="AJ24" s="3" t="n">
        <v>470</v>
      </c>
      <c r="AK24" s="2" t="n">
        <v>173</v>
      </c>
      <c r="AL24" s="2">
        <f>COUNTIFS(secondary_acts!$A$2:$A$771,$A24,secondary_acts!$E$2:$E$771,"implementing")</f>
        <v/>
      </c>
      <c r="AM24" s="2">
        <f>COUNTIFS(secondary_acts!$A$2:$A$771,$A24,secondary_acts!$E$2:$E$771,"delegated")</f>
        <v/>
      </c>
      <c r="AN24" s="2">
        <f>COUNTIFS(secondary_acts!$A$2:$A$771,$A24,secondary_acts!$E$2:$E$771,"other Commission/Council act")</f>
        <v/>
      </c>
      <c r="AO24" s="2">
        <f>COUNTIFS(secondary_acts!$A$2:$A$771,$A24,secondary_acts!$E$2:$E$771,"guidance")</f>
        <v/>
      </c>
      <c r="AP24" s="2">
        <f>COUNTIF(guidance_web!$A$2:$A$7,$A24)</f>
        <v/>
      </c>
      <c r="AQ24" s="2">
        <f>COUNTIFS(guidance_agencies!$A$2:$A$81,$A24,guidance_agencies!$D$2:$D$81,"EDPB")</f>
        <v/>
      </c>
      <c r="AR24" s="2">
        <f>COUNTIFS(guidance_agencies!$A$2:$A$81,$A24,guidance_agencies!$D$2:$D$81,"EBA")</f>
        <v/>
      </c>
      <c r="AS24" s="2">
        <f>COUNTIFS(guidance_agencies!$A$2:$A$81,$A24,guidance_agencies!$D$2:$D$81,"ESMA")</f>
        <v/>
      </c>
      <c r="AT24" s="3">
        <f>SUMIFS(secondary_acts!$S$2:$S$771,secondary_acts!$A$2:$A$771,$A24,secondary_acts!$E$2:$E$771,"implementing")+SUMIFS(secondary_acts!$S$2:$S$771,secondary_acts!$A$2:$A$771,$A24,secondary_acts!$E$2:$E$771,"delegated")</f>
        <v/>
      </c>
      <c r="AU24" s="3" t="n">
        <v>2499</v>
      </c>
      <c r="AV24" s="2" t="n">
        <v>28</v>
      </c>
      <c r="AW24" s="2" t="n">
        <v>2</v>
      </c>
      <c r="AX24" s="2" t="inlineStr">
        <is>
          <t>2022-12-14</t>
        </is>
      </c>
      <c r="AY24" s="2" t="inlineStr">
        <is>
          <t>2024-03-13</t>
        </is>
      </c>
      <c r="AZ24" s="2" t="n">
        <v>8</v>
      </c>
      <c r="BA24" s="2" t="inlineStr">
        <is>
          <t>52013PC0547</t>
        </is>
      </c>
      <c r="BB24" s="2" t="inlineStr">
        <is>
          <t>EUR-Lex HTML</t>
        </is>
      </c>
      <c r="BC24" s="2" t="n">
        <v>34397</v>
      </c>
      <c r="BD24" s="2" t="n">
        <v>360</v>
      </c>
      <c r="BE24" s="2" t="n">
        <v>116</v>
      </c>
      <c r="BF24" s="2">
        <f>IF(ISNUMBER(BC24),R24-BC24,"")</f>
        <v/>
      </c>
      <c r="BG24" s="4">
        <f>IF(AND(ISNUMBER(BC24),BC24&gt;0),(R24-BC24)/BC24,"")</f>
        <v/>
      </c>
      <c r="BH24" s="2">
        <f>IF(ISNUMBER(BD24),Y24-BD24,"")</f>
        <v/>
      </c>
      <c r="BI24" s="4">
        <f>IF(AND(ISNUMBER(BD24),BD24&gt;0),(Y24-BD24)/BD24,"")</f>
        <v/>
      </c>
      <c r="BJ24" s="2">
        <f>IF(ISNUMBER(BE24),AE24-BE24,"")</f>
        <v/>
      </c>
      <c r="BK24" s="2" t="inlineStr">
        <is>
          <t>moderate</t>
        </is>
      </c>
      <c r="BL24" s="2" t="inlineStr">
        <is>
          <t>moderate: Commission evaluation with market data; cross-country causal evidence on open banking; little independent evidence on prices or SCA trade-offs</t>
        </is>
      </c>
      <c r="BM24" s="2" t="inlineStr">
        <is>
          <t>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is>
      </c>
      <c r="BN24" s="2" t="n">
        <v>5</v>
      </c>
      <c r="BO24" s="2" t="n">
        <v>5</v>
      </c>
      <c r="BP24" s="2" t="n">
        <v>3</v>
      </c>
      <c r="BQ24" s="2" t="n">
        <v>1</v>
      </c>
      <c r="BR24" s="2" t="inlineStr"/>
    </row>
    <row r="25">
      <c r="A25" s="2" t="n">
        <v>24</v>
      </c>
      <c r="B25" s="2" t="inlineStr">
        <is>
          <t>Open Internet Access Regulation</t>
        </is>
      </c>
      <c r="C25" s="2" t="inlineStr">
        <is>
          <t>Establishes common rules to safeguard equal and non-discriminatory treatment of traffic in internet access services and related end-user rights. It requires providers to treat all traffic equally, subject to limited reasonable traffic management, and to be transparent about speeds. It also creates a retail pricing mechanism to abolish roaming surcharges within the EU.</t>
        </is>
      </c>
      <c r="D25" s="2" t="inlineStr">
        <is>
          <t>Regulation (EU) 2015/2120</t>
        </is>
      </c>
      <c r="E25" s="2" t="inlineStr">
        <is>
          <t>Connectivity</t>
        </is>
      </c>
      <c r="F25" s="2" t="inlineStr">
        <is>
          <t>enacted</t>
        </is>
      </c>
      <c r="G25" s="2" t="inlineStr">
        <is>
          <t>2013-09-11</t>
        </is>
      </c>
      <c r="H25" s="2" t="inlineStr">
        <is>
          <t>high</t>
        </is>
      </c>
      <c r="I25" s="2" t="inlineStr">
        <is>
          <t>2015-11-25</t>
        </is>
      </c>
      <c r="J25" s="2" t="inlineStr">
        <is>
          <t>2015-11-26</t>
        </is>
      </c>
      <c r="K25" s="2" t="inlineStr">
        <is>
          <t>2015-11-29</t>
        </is>
      </c>
      <c r="L25" s="2" t="inlineStr">
        <is>
          <t>adopted</t>
        </is>
      </c>
      <c r="M25" s="2" t="inlineStr">
        <is>
          <t>adopted</t>
        </is>
      </c>
      <c r="N25" s="2" t="inlineStr">
        <is>
          <t>32015R2120</t>
        </is>
      </c>
      <c r="O25" s="2" t="inlineStr">
        <is>
          <t>Original act as published in the OJ</t>
        </is>
      </c>
      <c r="P25" s="2" t="inlineStr">
        <is>
          <t>https://eur-lex.europa.eu/legal-content/EN/TXT/?uri=CELEX:32015R2120</t>
        </is>
      </c>
      <c r="Q25" s="3" t="n">
        <v>18</v>
      </c>
      <c r="R25" s="3" t="n">
        <v>11290</v>
      </c>
      <c r="S25" s="3" t="n">
        <v>4983</v>
      </c>
      <c r="T25" s="3" t="n">
        <v>4826</v>
      </c>
      <c r="U25" s="3" t="n">
        <v>6307</v>
      </c>
      <c r="V25" s="3" t="n">
        <v>0</v>
      </c>
      <c r="W25" s="3" t="n">
        <v>0</v>
      </c>
      <c r="X25" s="3" t="n">
        <v>0</v>
      </c>
      <c r="Y25" s="3" t="n">
        <v>72</v>
      </c>
      <c r="Z25" s="3" t="n">
        <v>59</v>
      </c>
      <c r="AA25" s="3" t="n">
        <v>10</v>
      </c>
      <c r="AB25" s="3" t="n">
        <v>2</v>
      </c>
      <c r="AC25" s="3" t="n">
        <v>0</v>
      </c>
      <c r="AD25" s="3" t="n">
        <v>1</v>
      </c>
      <c r="AE25" s="3" t="n">
        <v>29</v>
      </c>
      <c r="AF25" s="3" t="n">
        <v>11</v>
      </c>
      <c r="AG25" s="3" t="n">
        <v>18</v>
      </c>
      <c r="AH25" s="3" t="n">
        <v>14</v>
      </c>
      <c r="AI25" s="2" t="inlineStr">
        <is>
          <t>02015R2120-20151126</t>
        </is>
      </c>
      <c r="AJ25" s="3" t="n">
        <v>72</v>
      </c>
      <c r="AK25" s="2" t="n">
        <v>29</v>
      </c>
      <c r="AL25" s="2">
        <f>COUNTIFS(secondary_acts!$A$2:$A$771,$A25,secondary_acts!$E$2:$E$771,"implementing")</f>
        <v/>
      </c>
      <c r="AM25" s="2">
        <f>COUNTIFS(secondary_acts!$A$2:$A$771,$A25,secondary_acts!$E$2:$E$771,"delegated")</f>
        <v/>
      </c>
      <c r="AN25" s="2">
        <f>COUNTIFS(secondary_acts!$A$2:$A$771,$A25,secondary_acts!$E$2:$E$771,"other Commission/Council act")</f>
        <v/>
      </c>
      <c r="AO25" s="2">
        <f>COUNTIFS(secondary_acts!$A$2:$A$771,$A25,secondary_acts!$E$2:$E$771,"guidance")</f>
        <v/>
      </c>
      <c r="AP25" s="2">
        <f>COUNTIF(guidance_web!$A$2:$A$7,$A25)</f>
        <v/>
      </c>
      <c r="AQ25" s="2">
        <f>COUNTIFS(guidance_agencies!$A$2:$A$81,$A25,guidance_agencies!$D$2:$D$81,"EDPB")</f>
        <v/>
      </c>
      <c r="AR25" s="2">
        <f>COUNTIFS(guidance_agencies!$A$2:$A$81,$A25,guidance_agencies!$D$2:$D$81,"EBA")</f>
        <v/>
      </c>
      <c r="AS25" s="2">
        <f>COUNTIFS(guidance_agencies!$A$2:$A$81,$A25,guidance_agencies!$D$2:$D$81,"ESMA")</f>
        <v/>
      </c>
      <c r="AT25" s="3">
        <f>SUMIFS(secondary_acts!$S$2:$S$771,secondary_acts!$A$2:$A$771,$A25,secondary_acts!$E$2:$E$771,"implementing")+SUMIFS(secondary_acts!$S$2:$S$771,secondary_acts!$A$2:$A$771,$A25,secondary_acts!$E$2:$E$771,"delegated")</f>
        <v/>
      </c>
      <c r="AU25" s="3" t="n"/>
      <c r="AV25" s="2" t="n"/>
      <c r="AW25" s="2" t="n">
        <v>2</v>
      </c>
      <c r="AX25" s="2" t="inlineStr">
        <is>
          <t>2018-12-11</t>
        </is>
      </c>
      <c r="AY25" s="2" t="inlineStr">
        <is>
          <t>2024-04-29</t>
        </is>
      </c>
      <c r="AZ25" s="2" t="n">
        <v>3</v>
      </c>
      <c r="BA25" s="2" t="inlineStr">
        <is>
          <t>52013PC0627</t>
        </is>
      </c>
      <c r="BB25" s="2" t="inlineStr">
        <is>
          <t>EUR-Lex HTML</t>
        </is>
      </c>
      <c r="BC25" s="2" t="n">
        <v>30255</v>
      </c>
      <c r="BD25" s="2" t="n">
        <v>293</v>
      </c>
      <c r="BE25" s="2" t="n">
        <v>44</v>
      </c>
      <c r="BF25" s="2">
        <f>IF(ISNUMBER(BC25),R25-BC25,"")</f>
        <v/>
      </c>
      <c r="BG25" s="4">
        <f>IF(AND(ISNUMBER(BC25),BC25&gt;0),(R25-BC25)/BC25,"")</f>
        <v/>
      </c>
      <c r="BH25" s="2">
        <f>IF(ISNUMBER(BD25),Y25-BD25,"")</f>
        <v/>
      </c>
      <c r="BI25" s="4">
        <f>IF(AND(ISNUMBER(BD25),BD25&gt;0),(Y25-BD25)/BD25,"")</f>
        <v/>
      </c>
      <c r="BJ25" s="2">
        <f>IF(ISNUMBER(BE25),AE25-BE25,"")</f>
        <v/>
      </c>
      <c r="BK25" s="2" t="inlineStr">
        <is>
          <t>thin</t>
        </is>
      </c>
      <c r="BL25" s="2" t="inlineStr">
        <is>
          <t>thin to moderate: qualitative Commission/BEREC reviews; one cross-country causal study on investment (negative) and conflicting correlational studies on zero-rating</t>
        </is>
      </c>
      <c r="BM25" s="2" t="inlineStr">
        <is>
          <t>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is>
      </c>
      <c r="BN25" s="2" t="n">
        <v>4</v>
      </c>
      <c r="BO25" s="2" t="n">
        <v>3</v>
      </c>
      <c r="BP25" s="2" t="n">
        <v>5</v>
      </c>
      <c r="BQ25" s="2" t="n">
        <v>1</v>
      </c>
      <c r="BR25" s="2" t="inlineStr">
        <is>
          <t>no consolidated text with amendments in EUR-Lex; consolidated count = original</t>
        </is>
      </c>
    </row>
    <row r="26">
      <c r="A26" s="2" t="n">
        <v>25</v>
      </c>
      <c r="B26" s="2" t="inlineStr">
        <is>
          <t>Technology Transfer Block Exemption</t>
        </is>
      </c>
      <c r="C26" s="2" t="inlineStr">
        <is>
          <t>Exempts certain technology transfer agreements, such as patent, know-how and software copyright licences between two undertakings, from the EU ban on anti-competitive agreements. The exemption applies where the parties' market shares stay below set thresholds and the agreement contains no listed hardcore restrictions, such as price-fixing or certain market-sharing; some other obligations are excluded from the exemption.</t>
        </is>
      </c>
      <c r="D26" s="2" t="inlineStr">
        <is>
          <t>Regulation (EU) 316/2014</t>
        </is>
      </c>
      <c r="E26" s="2" t="inlineStr">
        <is>
          <t>Competition &amp; Single Market</t>
        </is>
      </c>
      <c r="F26" s="2" t="inlineStr">
        <is>
          <t>enacted</t>
        </is>
      </c>
      <c r="G26" s="2" t="inlineStr">
        <is>
          <t>2013-02-20</t>
        </is>
      </c>
      <c r="H26" s="2" t="inlineStr">
        <is>
          <t>low</t>
        </is>
      </c>
      <c r="I26" s="2" t="inlineStr">
        <is>
          <t>2014-03-21</t>
        </is>
      </c>
      <c r="J26" s="2" t="inlineStr">
        <is>
          <t>2014-03-28</t>
        </is>
      </c>
      <c r="K26" s="2" t="inlineStr">
        <is>
          <t>2014-05-01</t>
        </is>
      </c>
      <c r="L26" s="2" t="inlineStr">
        <is>
          <t>adopted</t>
        </is>
      </c>
      <c r="M26" s="2" t="inlineStr">
        <is>
          <t>adopted</t>
        </is>
      </c>
      <c r="N26" s="2" t="inlineStr">
        <is>
          <t>32014R0316</t>
        </is>
      </c>
      <c r="O26" s="2" t="inlineStr">
        <is>
          <t>Original act as published in the OJ</t>
        </is>
      </c>
      <c r="P26" s="2" t="inlineStr">
        <is>
          <t>https://eur-lex.europa.eu/legal-content/EN/TXT/?uri=CELEX:32014R0316</t>
        </is>
      </c>
      <c r="Q26" s="3" t="n">
        <v>7</v>
      </c>
      <c r="R26" s="3" t="n">
        <v>4660</v>
      </c>
      <c r="S26" s="3" t="n">
        <v>1553</v>
      </c>
      <c r="T26" s="3" t="n">
        <v>1431</v>
      </c>
      <c r="U26" s="3" t="n">
        <v>3107</v>
      </c>
      <c r="V26" s="3" t="n">
        <v>0</v>
      </c>
      <c r="W26" s="3" t="n">
        <v>0</v>
      </c>
      <c r="X26" s="3" t="n">
        <v>0</v>
      </c>
      <c r="Y26" s="3" t="n">
        <v>0</v>
      </c>
      <c r="Z26" s="3" t="n">
        <v>0</v>
      </c>
      <c r="AA26" s="3" t="n">
        <v>0</v>
      </c>
      <c r="AB26" s="3" t="n">
        <v>0</v>
      </c>
      <c r="AC26" s="3" t="n">
        <v>0</v>
      </c>
      <c r="AD26" s="3" t="n">
        <v>0</v>
      </c>
      <c r="AE26" s="3" t="n">
        <v>0</v>
      </c>
      <c r="AF26" s="3" t="n">
        <v>0</v>
      </c>
      <c r="AG26" s="3" t="n">
        <v>0</v>
      </c>
      <c r="AH26" s="3" t="n">
        <v>0</v>
      </c>
      <c r="AI26" s="2" t="inlineStr">
        <is>
          <t>02014R0316-20140501</t>
        </is>
      </c>
      <c r="AJ26" s="3" t="n">
        <v>0</v>
      </c>
      <c r="AK26" s="2" t="n">
        <v>0</v>
      </c>
      <c r="AL26" s="2">
        <f>COUNTIFS(secondary_acts!$A$2:$A$771,$A26,secondary_acts!$E$2:$E$771,"implementing")</f>
        <v/>
      </c>
      <c r="AM26" s="2">
        <f>COUNTIFS(secondary_acts!$A$2:$A$771,$A26,secondary_acts!$E$2:$E$771,"delegated")</f>
        <v/>
      </c>
      <c r="AN26" s="2">
        <f>COUNTIFS(secondary_acts!$A$2:$A$771,$A26,secondary_acts!$E$2:$E$771,"other Commission/Council act")</f>
        <v/>
      </c>
      <c r="AO26" s="2">
        <f>COUNTIFS(secondary_acts!$A$2:$A$771,$A26,secondary_acts!$E$2:$E$771,"guidance")</f>
        <v/>
      </c>
      <c r="AP26" s="2">
        <f>COUNTIF(guidance_web!$A$2:$A$7,$A26)</f>
        <v/>
      </c>
      <c r="AQ26" s="2">
        <f>COUNTIFS(guidance_agencies!$A$2:$A$81,$A26,guidance_agencies!$D$2:$D$81,"EDPB")</f>
        <v/>
      </c>
      <c r="AR26" s="2">
        <f>COUNTIFS(guidance_agencies!$A$2:$A$81,$A26,guidance_agencies!$D$2:$D$81,"EBA")</f>
        <v/>
      </c>
      <c r="AS26" s="2">
        <f>COUNTIFS(guidance_agencies!$A$2:$A$81,$A26,guidance_agencies!$D$2:$D$81,"ESMA")</f>
        <v/>
      </c>
      <c r="AT26" s="3">
        <f>SUMIFS(secondary_acts!$S$2:$S$771,secondary_acts!$A$2:$A$771,$A26,secondary_acts!$E$2:$E$771,"implementing")+SUMIFS(secondary_acts!$S$2:$S$771,secondary_acts!$A$2:$A$771,$A26,secondary_acts!$E$2:$E$771,"delegated")</f>
        <v/>
      </c>
      <c r="AU26" s="3" t="n"/>
      <c r="AV26" s="2" t="n"/>
      <c r="AW26" s="2" t="n">
        <v>0</v>
      </c>
      <c r="AX26" s="2" t="n"/>
      <c r="AY26" s="2" t="n"/>
      <c r="AZ26" s="2" t="n">
        <v>2</v>
      </c>
      <c r="BA26" s="2" t="n"/>
      <c r="BB26" s="2" t="inlineStr">
        <is>
          <t>no legislative proposal (Commission act)</t>
        </is>
      </c>
      <c r="BC26" s="2" t="n"/>
      <c r="BD26" s="2" t="n"/>
      <c r="BE26" s="2" t="n"/>
      <c r="BF26" s="2">
        <f>IF(ISNUMBER(BC26),R26-BC26,"")</f>
        <v/>
      </c>
      <c r="BG26" s="4">
        <f>IF(AND(ISNUMBER(BC26),BC26&gt;0),(R26-BC26)/BC26,"")</f>
        <v/>
      </c>
      <c r="BH26" s="2">
        <f>IF(ISNUMBER(BD26),Y26-BD26,"")</f>
        <v/>
      </c>
      <c r="BI26" s="4">
        <f>IF(AND(ISNUMBER(BD26),BD26&gt;0),(Y26-BD26)/BD26,"")</f>
        <v/>
      </c>
      <c r="BJ26" s="2">
        <f>IF(ISNUMBER(BE26),AE26-BE26,"")</f>
        <v/>
      </c>
      <c r="BK26" s="2" t="inlineStr">
        <is>
          <t>thin</t>
        </is>
      </c>
      <c r="BL26" s="2" t="inlineStr">
        <is>
          <t>thin: Commission evaluation based on stakeholder views; no independent empirical study of the Regulation's effect on licensing or innovation found</t>
        </is>
      </c>
      <c r="BM26" s="2" t="inlineStr">
        <is>
          <t>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is>
      </c>
      <c r="BN26" s="2" t="n">
        <v>3</v>
      </c>
      <c r="BO26" s="2" t="n">
        <v>1</v>
      </c>
      <c r="BP26" s="2" t="n">
        <v>1</v>
      </c>
      <c r="BQ26" s="2" t="n">
        <v>0</v>
      </c>
      <c r="BR26" s="2" t="inlineStr">
        <is>
          <t>Block exemption: defines a safe harbour ('the exemption shall not apply to...'), so few direct restrictions are counted; no consolidated text with amendments in EUR-Lex; consolidated count = original</t>
        </is>
      </c>
    </row>
    <row r="27">
      <c r="A27" s="2" t="n">
        <v>26</v>
      </c>
      <c r="B27" s="2" t="inlineStr">
        <is>
          <t>Trade Secrets Directive</t>
        </is>
      </c>
      <c r="C27" s="2" t="inlineStr">
        <is>
          <t>Lays down rules to protect undisclosed know-how and business information against unlawful acquisition, use and disclosure. It sets a common definition of a trade secret, specifies lawful and unlawful conduct, and provides exceptions, including for whistleblowing and freedom of expression. It requires Member States to provide civil remedies such as injunctions and damages and to preserve confidentiality in court proceedings.</t>
        </is>
      </c>
      <c r="D27" s="2" t="inlineStr">
        <is>
          <t>Directive (EU) 2016/943</t>
        </is>
      </c>
      <c r="E27" s="2" t="inlineStr">
        <is>
          <t>IPR</t>
        </is>
      </c>
      <c r="F27" s="2" t="inlineStr">
        <is>
          <t>enacted</t>
        </is>
      </c>
      <c r="G27" s="2" t="inlineStr">
        <is>
          <t>2013-11-28</t>
        </is>
      </c>
      <c r="H27" s="2" t="inlineStr">
        <is>
          <t>high</t>
        </is>
      </c>
      <c r="I27" s="2" t="inlineStr">
        <is>
          <t>2016-06-08</t>
        </is>
      </c>
      <c r="J27" s="2" t="inlineStr">
        <is>
          <t>2016-06-15</t>
        </is>
      </c>
      <c r="K27" s="2" t="inlineStr">
        <is>
          <t>2016-07-05</t>
        </is>
      </c>
      <c r="L27" s="2" t="inlineStr">
        <is>
          <t>adopted</t>
        </is>
      </c>
      <c r="M27" s="2" t="inlineStr">
        <is>
          <t>adopted</t>
        </is>
      </c>
      <c r="N27" s="2" t="inlineStr">
        <is>
          <t>32016L0943</t>
        </is>
      </c>
      <c r="O27" s="2" t="inlineStr">
        <is>
          <t>Original act as published in the OJ</t>
        </is>
      </c>
      <c r="P27" s="2" t="inlineStr">
        <is>
          <t>https://eur-lex.europa.eu/legal-content/EN/TXT/?uri=CELEX:32016L0943</t>
        </is>
      </c>
      <c r="Q27" s="3" t="n">
        <v>18</v>
      </c>
      <c r="R27" s="3" t="n">
        <v>9919</v>
      </c>
      <c r="S27" s="3" t="n">
        <v>5447</v>
      </c>
      <c r="T27" s="3" t="n">
        <v>5326</v>
      </c>
      <c r="U27" s="3" t="n">
        <v>4472</v>
      </c>
      <c r="V27" s="3" t="n">
        <v>0</v>
      </c>
      <c r="W27" s="3" t="n">
        <v>0</v>
      </c>
      <c r="X27" s="3" t="n">
        <v>0</v>
      </c>
      <c r="Y27" s="3" t="n">
        <v>60</v>
      </c>
      <c r="Z27" s="3" t="n">
        <v>38</v>
      </c>
      <c r="AA27" s="3" t="n">
        <v>5</v>
      </c>
      <c r="AB27" s="3" t="n">
        <v>0</v>
      </c>
      <c r="AC27" s="3" t="n">
        <v>1</v>
      </c>
      <c r="AD27" s="3" t="n">
        <v>16</v>
      </c>
      <c r="AE27" s="3" t="n">
        <v>4</v>
      </c>
      <c r="AF27" s="3" t="n">
        <v>38</v>
      </c>
      <c r="AG27" s="3" t="n">
        <v>4</v>
      </c>
      <c r="AH27" s="3" t="n">
        <v>14</v>
      </c>
      <c r="AI27" s="2" t="inlineStr">
        <is>
          <t>02016L0943-20160615</t>
        </is>
      </c>
      <c r="AJ27" s="3" t="n">
        <v>60</v>
      </c>
      <c r="AK27" s="2" t="n">
        <v>4</v>
      </c>
      <c r="AL27" s="2">
        <f>COUNTIFS(secondary_acts!$A$2:$A$771,$A27,secondary_acts!$E$2:$E$771,"implementing")</f>
        <v/>
      </c>
      <c r="AM27" s="2">
        <f>COUNTIFS(secondary_acts!$A$2:$A$771,$A27,secondary_acts!$E$2:$E$771,"delegated")</f>
        <v/>
      </c>
      <c r="AN27" s="2">
        <f>COUNTIFS(secondary_acts!$A$2:$A$771,$A27,secondary_acts!$E$2:$E$771,"other Commission/Council act")</f>
        <v/>
      </c>
      <c r="AO27" s="2">
        <f>COUNTIFS(secondary_acts!$A$2:$A$771,$A27,secondary_acts!$E$2:$E$771,"guidance")</f>
        <v/>
      </c>
      <c r="AP27" s="2">
        <f>COUNTIF(guidance_web!$A$2:$A$7,$A27)</f>
        <v/>
      </c>
      <c r="AQ27" s="2">
        <f>COUNTIFS(guidance_agencies!$A$2:$A$81,$A27,guidance_agencies!$D$2:$D$81,"EDPB")</f>
        <v/>
      </c>
      <c r="AR27" s="2">
        <f>COUNTIFS(guidance_agencies!$A$2:$A$81,$A27,guidance_agencies!$D$2:$D$81,"EBA")</f>
        <v/>
      </c>
      <c r="AS27" s="2">
        <f>COUNTIFS(guidance_agencies!$A$2:$A$81,$A27,guidance_agencies!$D$2:$D$81,"ESMA")</f>
        <v/>
      </c>
      <c r="AT27" s="3">
        <f>SUMIFS(secondary_acts!$S$2:$S$771,secondary_acts!$A$2:$A$771,$A27,secondary_acts!$E$2:$E$771,"implementing")+SUMIFS(secondary_acts!$S$2:$S$771,secondary_acts!$A$2:$A$771,$A27,secondary_acts!$E$2:$E$771,"delegated")</f>
        <v/>
      </c>
      <c r="AU27" s="3" t="n">
        <v>1446</v>
      </c>
      <c r="AV27" s="2" t="n">
        <v>28</v>
      </c>
      <c r="AW27" s="2" t="n">
        <v>0</v>
      </c>
      <c r="AX27" s="2" t="n"/>
      <c r="AY27" s="2" t="n"/>
      <c r="AZ27" s="2" t="n">
        <v>1</v>
      </c>
      <c r="BA27" s="2" t="inlineStr">
        <is>
          <t>52013PC0813</t>
        </is>
      </c>
      <c r="BB27" s="2" t="inlineStr">
        <is>
          <t>EUR-Lex HTML</t>
        </is>
      </c>
      <c r="BC27" s="2" t="n">
        <v>7646</v>
      </c>
      <c r="BD27" s="2" t="n">
        <v>53</v>
      </c>
      <c r="BE27" s="2" t="n">
        <v>1</v>
      </c>
      <c r="BF27" s="2">
        <f>IF(ISNUMBER(BC27),R27-BC27,"")</f>
        <v/>
      </c>
      <c r="BG27" s="4">
        <f>IF(AND(ISNUMBER(BC27),BC27&gt;0),(R27-BC27)/BC27,"")</f>
        <v/>
      </c>
      <c r="BH27" s="2">
        <f>IF(ISNUMBER(BD27),Y27-BD27,"")</f>
        <v/>
      </c>
      <c r="BI27" s="4">
        <f>IF(AND(ISNUMBER(BD27),BD27&gt;0),(Y27-BD27)/BD27,"")</f>
        <v/>
      </c>
      <c r="BJ27" s="2">
        <f>IF(ISNUMBER(BE27),AE27-BE27,"")</f>
        <v/>
      </c>
      <c r="BK27" s="2" t="inlineStr">
        <is>
          <t>thin</t>
        </is>
      </c>
      <c r="BL27" s="2" t="inlineStr">
        <is>
          <t>thin: one descriptive litigation study; the Commission's Article 18 impact evaluation (due June 2026) was not found; no causal evidence on innovation</t>
        </is>
      </c>
      <c r="BM27" s="2" t="inlineStr">
        <is>
          <t>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is>
      </c>
      <c r="BN27" s="2" t="n">
        <v>3</v>
      </c>
      <c r="BO27" s="2" t="n">
        <v>1</v>
      </c>
      <c r="BP27" s="2" t="n">
        <v>3</v>
      </c>
      <c r="BQ27" s="2" t="n">
        <v>0</v>
      </c>
      <c r="BR27" s="2" t="inlineStr">
        <is>
          <t>no consolidated text with amendments in EUR-Lex; consolidated count = original</t>
        </is>
      </c>
    </row>
    <row r="28">
      <c r="A28" s="2" t="n">
        <v>27</v>
      </c>
      <c r="B28" s="2" t="inlineStr">
        <is>
          <t>Digital Content Directive</t>
        </is>
      </c>
      <c r="C28" s="2" t="inlineStr">
        <is>
          <t>Aims to contribute to the internal market and a high level of consumer protection by laying down common rules for contracts in which traders supply digital content or digital services to consumers, including when consumers provide personal data instead of money. It sets requirements on conformity with the contract, remedies for lack of conformity or failure to supply, and conditions for modifying content.</t>
        </is>
      </c>
      <c r="D28" s="2" t="inlineStr">
        <is>
          <t>Directive (EU) 2019/770</t>
        </is>
      </c>
      <c r="E28" s="2" t="inlineStr">
        <is>
          <t>E-commerce &amp; Consumer Protection</t>
        </is>
      </c>
      <c r="F28" s="2" t="inlineStr">
        <is>
          <t>enacted</t>
        </is>
      </c>
      <c r="G28" s="2" t="inlineStr">
        <is>
          <t>2015-12-09</t>
        </is>
      </c>
      <c r="H28" s="2" t="inlineStr">
        <is>
          <t>high</t>
        </is>
      </c>
      <c r="I28" s="2" t="inlineStr">
        <is>
          <t>2019-05-20</t>
        </is>
      </c>
      <c r="J28" s="2" t="inlineStr">
        <is>
          <t>2019-05-22</t>
        </is>
      </c>
      <c r="K28" s="2" t="inlineStr">
        <is>
          <t>2019-06-11</t>
        </is>
      </c>
      <c r="L28" s="2" t="inlineStr">
        <is>
          <t>adopted</t>
        </is>
      </c>
      <c r="M28" s="2" t="inlineStr">
        <is>
          <t>adopted</t>
        </is>
      </c>
      <c r="N28" s="2" t="inlineStr">
        <is>
          <t>32019L0770</t>
        </is>
      </c>
      <c r="O28" s="2" t="inlineStr">
        <is>
          <t>Original act as published in the OJ</t>
        </is>
      </c>
      <c r="P28" s="2" t="inlineStr">
        <is>
          <t>https://eur-lex.europa.eu/legal-content/EN/TXT/?uri=CELEX:32019L0770</t>
        </is>
      </c>
      <c r="Q28" s="3" t="n">
        <v>27</v>
      </c>
      <c r="R28" s="3" t="n">
        <v>18391</v>
      </c>
      <c r="S28" s="3" t="n">
        <v>12610</v>
      </c>
      <c r="T28" s="3" t="n">
        <v>12493</v>
      </c>
      <c r="U28" s="3" t="n">
        <v>5781</v>
      </c>
      <c r="V28" s="3" t="n">
        <v>0</v>
      </c>
      <c r="W28" s="3" t="n">
        <v>0</v>
      </c>
      <c r="X28" s="3" t="n">
        <v>0</v>
      </c>
      <c r="Y28" s="3" t="n">
        <v>51</v>
      </c>
      <c r="Z28" s="3" t="n">
        <v>41</v>
      </c>
      <c r="AA28" s="3" t="n">
        <v>4</v>
      </c>
      <c r="AB28" s="3" t="n">
        <v>0</v>
      </c>
      <c r="AC28" s="3" t="n">
        <v>1</v>
      </c>
      <c r="AD28" s="3" t="n">
        <v>5</v>
      </c>
      <c r="AE28" s="3" t="n">
        <v>21</v>
      </c>
      <c r="AF28" s="3" t="n">
        <v>12</v>
      </c>
      <c r="AG28" s="3" t="n">
        <v>1</v>
      </c>
      <c r="AH28" s="3" t="n">
        <v>17</v>
      </c>
      <c r="AI28" s="2" t="inlineStr">
        <is>
          <t>02019L0770-20190522</t>
        </is>
      </c>
      <c r="AJ28" s="3" t="n">
        <v>51</v>
      </c>
      <c r="AK28" s="2" t="n">
        <v>21</v>
      </c>
      <c r="AL28" s="2">
        <f>COUNTIFS(secondary_acts!$A$2:$A$771,$A28,secondary_acts!$E$2:$E$771,"implementing")</f>
        <v/>
      </c>
      <c r="AM28" s="2">
        <f>COUNTIFS(secondary_acts!$A$2:$A$771,$A28,secondary_acts!$E$2:$E$771,"delegated")</f>
        <v/>
      </c>
      <c r="AN28" s="2">
        <f>COUNTIFS(secondary_acts!$A$2:$A$771,$A28,secondary_acts!$E$2:$E$771,"other Commission/Council act")</f>
        <v/>
      </c>
      <c r="AO28" s="2">
        <f>COUNTIFS(secondary_acts!$A$2:$A$771,$A28,secondary_acts!$E$2:$E$771,"guidance")</f>
        <v/>
      </c>
      <c r="AP28" s="2">
        <f>COUNTIF(guidance_web!$A$2:$A$7,$A28)</f>
        <v/>
      </c>
      <c r="AQ28" s="2">
        <f>COUNTIFS(guidance_agencies!$A$2:$A$81,$A28,guidance_agencies!$D$2:$D$81,"EDPB")</f>
        <v/>
      </c>
      <c r="AR28" s="2">
        <f>COUNTIFS(guidance_agencies!$A$2:$A$81,$A28,guidance_agencies!$D$2:$D$81,"EBA")</f>
        <v/>
      </c>
      <c r="AS28" s="2">
        <f>COUNTIFS(guidance_agencies!$A$2:$A$81,$A28,guidance_agencies!$D$2:$D$81,"ESMA")</f>
        <v/>
      </c>
      <c r="AT28" s="3">
        <f>SUMIFS(secondary_acts!$S$2:$S$771,secondary_acts!$A$2:$A$771,$A28,secondary_acts!$E$2:$E$771,"implementing")+SUMIFS(secondary_acts!$S$2:$S$771,secondary_acts!$A$2:$A$771,$A28,secondary_acts!$E$2:$E$771,"delegated")</f>
        <v/>
      </c>
      <c r="AU28" s="3" t="n">
        <v>1331</v>
      </c>
      <c r="AV28" s="2" t="n">
        <v>27</v>
      </c>
      <c r="AW28" s="2" t="n">
        <v>0</v>
      </c>
      <c r="AX28" s="2" t="n"/>
      <c r="AY28" s="2" t="n"/>
      <c r="AZ28" s="2" t="n">
        <v>4</v>
      </c>
      <c r="BA28" s="2" t="inlineStr">
        <is>
          <t>52015PC0634</t>
        </is>
      </c>
      <c r="BB28" s="2" t="inlineStr">
        <is>
          <t>EUR-Lex HTML</t>
        </is>
      </c>
      <c r="BC28" s="2" t="n">
        <v>9777</v>
      </c>
      <c r="BD28" s="2" t="n">
        <v>50</v>
      </c>
      <c r="BE28" s="2" t="n">
        <v>21</v>
      </c>
      <c r="BF28" s="2">
        <f>IF(ISNUMBER(BC28),R28-BC28,"")</f>
        <v/>
      </c>
      <c r="BG28" s="4">
        <f>IF(AND(ISNUMBER(BC28),BC28&gt;0),(R28-BC28)/BC28,"")</f>
        <v/>
      </c>
      <c r="BH28" s="2">
        <f>IF(ISNUMBER(BD28),Y28-BD28,"")</f>
        <v/>
      </c>
      <c r="BI28" s="4">
        <f>IF(AND(ISNUMBER(BD28),BD28&gt;0),(Y28-BD28)/BD28,"")</f>
        <v/>
      </c>
      <c r="BJ28" s="2">
        <f>IF(ISNUMBER(BE28),AE28-BE28,"")</f>
        <v/>
      </c>
      <c r="BK28" s="2" t="inlineStr">
        <is>
          <t>thin</t>
        </is>
      </c>
      <c r="BL28" s="2" t="inlineStr">
        <is>
          <t>thin: one study of 100 platforms' terms (28% do not describe the digital content offered); the review due June 2024 was not found</t>
        </is>
      </c>
      <c r="BM28" s="2" t="inlineStr">
        <is>
          <t>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is>
      </c>
      <c r="BN28" s="2" t="n">
        <v>4</v>
      </c>
      <c r="BO28" s="2" t="n">
        <v>0</v>
      </c>
      <c r="BP28" s="2" t="n">
        <v>2</v>
      </c>
      <c r="BQ28" s="2" t="n">
        <v>0</v>
      </c>
      <c r="BR28" s="2" t="inlineStr">
        <is>
          <t>no consolidated text with amendments in EUR-Lex; consolidated count = original</t>
        </is>
      </c>
    </row>
    <row r="29">
      <c r="A29" s="2" t="n">
        <v>28</v>
      </c>
      <c r="B29" s="2" t="inlineStr">
        <is>
          <t>Sale of Goods Directive</t>
        </is>
      </c>
      <c r="C29" s="2" t="inlineStr">
        <is>
          <t>Aims to contribute to the internal market and a high level of consumer protection by laying down common rules for sales contracts between sellers and consumers. It sets requirements on the conformity of goods, including goods with digital elements, provides remedies such as repair, replacement, price reduction and termination, sets a minimum two-year liability period, and regulates commercial guarantees.</t>
        </is>
      </c>
      <c r="D29" s="2" t="inlineStr">
        <is>
          <t>Directive (EU) 2019/771</t>
        </is>
      </c>
      <c r="E29" s="2" t="inlineStr">
        <is>
          <t>E-commerce &amp; Consumer Protection</t>
        </is>
      </c>
      <c r="F29" s="2" t="inlineStr">
        <is>
          <t>enacted</t>
        </is>
      </c>
      <c r="G29" s="2" t="inlineStr">
        <is>
          <t>2015-12-09</t>
        </is>
      </c>
      <c r="H29" s="2" t="inlineStr">
        <is>
          <t>high</t>
        </is>
      </c>
      <c r="I29" s="2" t="inlineStr">
        <is>
          <t>2019-05-20</t>
        </is>
      </c>
      <c r="J29" s="2" t="inlineStr">
        <is>
          <t>2019-05-22</t>
        </is>
      </c>
      <c r="K29" s="2" t="inlineStr">
        <is>
          <t>2019-06-11</t>
        </is>
      </c>
      <c r="L29" s="2" t="inlineStr">
        <is>
          <t>adopted</t>
        </is>
      </c>
      <c r="M29" s="2" t="inlineStr">
        <is>
          <t>adopted</t>
        </is>
      </c>
      <c r="N29" s="2" t="inlineStr">
        <is>
          <t>32019L0771</t>
        </is>
      </c>
      <c r="O29" s="2" t="inlineStr">
        <is>
          <t>Original act as published in the OJ</t>
        </is>
      </c>
      <c r="P29" s="2" t="inlineStr">
        <is>
          <t>https://eur-lex.europa.eu/legal-content/EN/TXT/?uri=CELEX:32019L0771</t>
        </is>
      </c>
      <c r="Q29" s="3" t="n">
        <v>23</v>
      </c>
      <c r="R29" s="3" t="n">
        <v>14331</v>
      </c>
      <c r="S29" s="3" t="n">
        <v>9215</v>
      </c>
      <c r="T29" s="3" t="n">
        <v>9086</v>
      </c>
      <c r="U29" s="3" t="n">
        <v>4770</v>
      </c>
      <c r="V29" s="3" t="n">
        <v>346</v>
      </c>
      <c r="W29" s="3" t="n">
        <v>0</v>
      </c>
      <c r="X29" s="3" t="n">
        <v>0</v>
      </c>
      <c r="Y29" s="3" t="n">
        <v>42</v>
      </c>
      <c r="Z29" s="3" t="n">
        <v>31</v>
      </c>
      <c r="AA29" s="3" t="n">
        <v>4</v>
      </c>
      <c r="AB29" s="3" t="n">
        <v>1</v>
      </c>
      <c r="AC29" s="3" t="n">
        <v>1</v>
      </c>
      <c r="AD29" s="3" t="n">
        <v>5</v>
      </c>
      <c r="AE29" s="3" t="n">
        <v>11</v>
      </c>
      <c r="AF29" s="3" t="n">
        <v>12</v>
      </c>
      <c r="AG29" s="3" t="n">
        <v>1</v>
      </c>
      <c r="AH29" s="3" t="n">
        <v>18</v>
      </c>
      <c r="AI29" s="2" t="inlineStr">
        <is>
          <t>02019L0771-20260731</t>
        </is>
      </c>
      <c r="AJ29" s="3" t="n">
        <v>44</v>
      </c>
      <c r="AK29" s="2" t="n">
        <v>12</v>
      </c>
      <c r="AL29" s="2">
        <f>COUNTIFS(secondary_acts!$A$2:$A$771,$A29,secondary_acts!$E$2:$E$771,"implementing")</f>
        <v/>
      </c>
      <c r="AM29" s="2">
        <f>COUNTIFS(secondary_acts!$A$2:$A$771,$A29,secondary_acts!$E$2:$E$771,"delegated")</f>
        <v/>
      </c>
      <c r="AN29" s="2">
        <f>COUNTIFS(secondary_acts!$A$2:$A$771,$A29,secondary_acts!$E$2:$E$771,"other Commission/Council act")</f>
        <v/>
      </c>
      <c r="AO29" s="2">
        <f>COUNTIFS(secondary_acts!$A$2:$A$771,$A29,secondary_acts!$E$2:$E$771,"guidance")</f>
        <v/>
      </c>
      <c r="AP29" s="2">
        <f>COUNTIF(guidance_web!$A$2:$A$7,$A29)</f>
        <v/>
      </c>
      <c r="AQ29" s="2">
        <f>COUNTIFS(guidance_agencies!$A$2:$A$81,$A29,guidance_agencies!$D$2:$D$81,"EDPB")</f>
        <v/>
      </c>
      <c r="AR29" s="2">
        <f>COUNTIFS(guidance_agencies!$A$2:$A$81,$A29,guidance_agencies!$D$2:$D$81,"EBA")</f>
        <v/>
      </c>
      <c r="AS29" s="2">
        <f>COUNTIFS(guidance_agencies!$A$2:$A$81,$A29,guidance_agencies!$D$2:$D$81,"ESMA")</f>
        <v/>
      </c>
      <c r="AT29" s="3">
        <f>SUMIFS(secondary_acts!$S$2:$S$771,secondary_acts!$A$2:$A$771,$A29,secondary_acts!$E$2:$E$771,"implementing")+SUMIFS(secondary_acts!$S$2:$S$771,secondary_acts!$A$2:$A$771,$A29,secondary_acts!$E$2:$E$771,"delegated")</f>
        <v/>
      </c>
      <c r="AU29" s="3" t="n">
        <v>1291</v>
      </c>
      <c r="AV29" s="2" t="n">
        <v>27</v>
      </c>
      <c r="AW29" s="2" t="n">
        <v>1</v>
      </c>
      <c r="AX29" s="2" t="inlineStr">
        <is>
          <t>2024-06-13</t>
        </is>
      </c>
      <c r="AY29" s="2" t="inlineStr">
        <is>
          <t>2024-06-13</t>
        </is>
      </c>
      <c r="AZ29" s="2" t="n">
        <v>3</v>
      </c>
      <c r="BA29" s="2" t="inlineStr">
        <is>
          <t>52015PC0635</t>
        </is>
      </c>
      <c r="BB29" s="2" t="inlineStr">
        <is>
          <t>EUR-Lex HTML</t>
        </is>
      </c>
      <c r="BC29" s="2" t="n">
        <v>6775</v>
      </c>
      <c r="BD29" s="2" t="n">
        <v>30</v>
      </c>
      <c r="BE29" s="2" t="n">
        <v>13</v>
      </c>
      <c r="BF29" s="2">
        <f>IF(ISNUMBER(BC29),R29-BC29,"")</f>
        <v/>
      </c>
      <c r="BG29" s="4">
        <f>IF(AND(ISNUMBER(BC29),BC29&gt;0),(R29-BC29)/BC29,"")</f>
        <v/>
      </c>
      <c r="BH29" s="2">
        <f>IF(ISNUMBER(BD29),Y29-BD29,"")</f>
        <v/>
      </c>
      <c r="BI29" s="4">
        <f>IF(AND(ISNUMBER(BD29),BD29&gt;0),(Y29-BD29)/BD29,"")</f>
        <v/>
      </c>
      <c r="BJ29" s="2">
        <f>IF(ISNUMBER(BE29),AE29-BE29,"")</f>
        <v/>
      </c>
      <c r="BK29" s="2" t="inlineStr">
        <is>
          <t>thin</t>
        </is>
      </c>
      <c r="BL29" s="2" t="inlineStr">
        <is>
          <t>thin: a 2024 coordinated sweep of 356 online second-hand sellers found 57% not respecting the minimum legal guarantee; the review due June 2024 was not found</t>
        </is>
      </c>
      <c r="BM29" s="2" t="inlineStr">
        <is>
          <t>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is>
      </c>
      <c r="BN29" s="2" t="n">
        <v>5</v>
      </c>
      <c r="BO29" s="2" t="n">
        <v>1</v>
      </c>
      <c r="BP29" s="2" t="n">
        <v>1</v>
      </c>
      <c r="BQ29" s="2" t="n">
        <v>0</v>
      </c>
      <c r="BR29" s="2" t="inlineStr"/>
    </row>
    <row r="30">
      <c r="A30" s="2" t="n">
        <v>29</v>
      </c>
      <c r="B30" s="2" t="inlineStr">
        <is>
          <t>Company Law Directive</t>
        </is>
      </c>
      <c r="C30" s="2" t="inlineStr">
        <is>
          <t>Codifies earlier EU company law directives into a single text. It coordinates national safeguards for members and third parties on the formation and capital of public limited liability companies, company disclosure and the validity of obligations, and branch disclosure. It also sets rules on domestic and cross-border mergers and on divisions of companies, and on the interconnection of business registers.</t>
        </is>
      </c>
      <c r="D30" s="2" t="inlineStr">
        <is>
          <t>Directive (EU) 2017/1132</t>
        </is>
      </c>
      <c r="E30" s="2" t="inlineStr">
        <is>
          <t>Competition &amp; Single Market</t>
        </is>
      </c>
      <c r="F30" s="2" t="inlineStr">
        <is>
          <t>enacted</t>
        </is>
      </c>
      <c r="G30" s="2" t="inlineStr">
        <is>
          <t>2015-12-03</t>
        </is>
      </c>
      <c r="H30" s="2" t="inlineStr">
        <is>
          <t>medium</t>
        </is>
      </c>
      <c r="I30" s="2" t="inlineStr">
        <is>
          <t>2017-06-14</t>
        </is>
      </c>
      <c r="J30" s="2" t="inlineStr">
        <is>
          <t>2017-06-30</t>
        </is>
      </c>
      <c r="K30" s="2" t="inlineStr">
        <is>
          <t>2017-07-20</t>
        </is>
      </c>
      <c r="L30" s="2" t="inlineStr">
        <is>
          <t>adopted</t>
        </is>
      </c>
      <c r="M30" s="2" t="inlineStr">
        <is>
          <t>adopted</t>
        </is>
      </c>
      <c r="N30" s="2" t="inlineStr">
        <is>
          <t>32017L1132</t>
        </is>
      </c>
      <c r="O30" s="2" t="inlineStr">
        <is>
          <t>Original act as published in the OJ</t>
        </is>
      </c>
      <c r="P30" s="2" t="inlineStr">
        <is>
          <t>https://eur-lex.europa.eu/legal-content/EN/TXT/?uri=CELEX:32017L1132</t>
        </is>
      </c>
      <c r="Q30" s="3" t="n">
        <v>82</v>
      </c>
      <c r="R30" s="3" t="n">
        <v>39977</v>
      </c>
      <c r="S30" s="3" t="n">
        <v>5821</v>
      </c>
      <c r="T30" s="3" t="n">
        <v>5409</v>
      </c>
      <c r="U30" s="3" t="n">
        <v>32119</v>
      </c>
      <c r="V30" s="3" t="n">
        <v>2037</v>
      </c>
      <c r="W30" s="3" t="n">
        <v>0</v>
      </c>
      <c r="X30" s="3" t="n">
        <v>0</v>
      </c>
      <c r="Y30" s="3" t="n">
        <v>436</v>
      </c>
      <c r="Z30" s="3" t="n">
        <v>314</v>
      </c>
      <c r="AA30" s="3" t="n">
        <v>78</v>
      </c>
      <c r="AB30" s="3" t="n">
        <v>16</v>
      </c>
      <c r="AC30" s="3" t="n">
        <v>8</v>
      </c>
      <c r="AD30" s="3" t="n">
        <v>20</v>
      </c>
      <c r="AE30" s="3" t="n">
        <v>116</v>
      </c>
      <c r="AF30" s="3" t="n">
        <v>132</v>
      </c>
      <c r="AG30" s="3" t="n">
        <v>22</v>
      </c>
      <c r="AH30" s="3" t="n">
        <v>166</v>
      </c>
      <c r="AI30" s="2" t="inlineStr">
        <is>
          <t>02017L1132-20220812</t>
        </is>
      </c>
      <c r="AJ30" s="3" t="n">
        <v>777</v>
      </c>
      <c r="AK30" s="2" t="n">
        <v>156</v>
      </c>
      <c r="AL30" s="2">
        <f>COUNTIFS(secondary_acts!$A$2:$A$771,$A30,secondary_acts!$E$2:$E$771,"implementing")</f>
        <v/>
      </c>
      <c r="AM30" s="2">
        <f>COUNTIFS(secondary_acts!$A$2:$A$771,$A30,secondary_acts!$E$2:$E$771,"delegated")</f>
        <v/>
      </c>
      <c r="AN30" s="2">
        <f>COUNTIFS(secondary_acts!$A$2:$A$771,$A30,secondary_acts!$E$2:$E$771,"other Commission/Council act")</f>
        <v/>
      </c>
      <c r="AO30" s="2">
        <f>COUNTIFS(secondary_acts!$A$2:$A$771,$A30,secondary_acts!$E$2:$E$771,"guidance")</f>
        <v/>
      </c>
      <c r="AP30" s="2">
        <f>COUNTIF(guidance_web!$A$2:$A$7,$A30)</f>
        <v/>
      </c>
      <c r="AQ30" s="2">
        <f>COUNTIFS(guidance_agencies!$A$2:$A$81,$A30,guidance_agencies!$D$2:$D$81,"EDPB")</f>
        <v/>
      </c>
      <c r="AR30" s="2">
        <f>COUNTIFS(guidance_agencies!$A$2:$A$81,$A30,guidance_agencies!$D$2:$D$81,"EBA")</f>
        <v/>
      </c>
      <c r="AS30" s="2">
        <f>COUNTIFS(guidance_agencies!$A$2:$A$81,$A30,guidance_agencies!$D$2:$D$81,"ESMA")</f>
        <v/>
      </c>
      <c r="AT30" s="3">
        <f>SUMIFS(secondary_acts!$S$2:$S$771,secondary_acts!$A$2:$A$771,$A30,secondary_acts!$E$2:$E$771,"implementing")+SUMIFS(secondary_acts!$S$2:$S$771,secondary_acts!$A$2:$A$771,$A30,secondary_acts!$E$2:$E$771,"delegated")</f>
        <v/>
      </c>
      <c r="AU30" s="3" t="n">
        <v>1440</v>
      </c>
      <c r="AV30" s="2" t="n">
        <v>10</v>
      </c>
      <c r="AW30" s="2" t="n">
        <v>6</v>
      </c>
      <c r="AX30" s="2" t="inlineStr">
        <is>
          <t>2019-06-20</t>
        </is>
      </c>
      <c r="AY30" s="2" t="inlineStr">
        <is>
          <t>2024-12-19</t>
        </is>
      </c>
      <c r="AZ30" s="2" t="n">
        <v>3</v>
      </c>
      <c r="BA30" s="2" t="inlineStr">
        <is>
          <t>52015PC0616</t>
        </is>
      </c>
      <c r="BB30" s="2" t="inlineStr">
        <is>
          <t>EUR-Lex HTML</t>
        </is>
      </c>
      <c r="BC30" s="2" t="n">
        <v>41520</v>
      </c>
      <c r="BD30" s="2" t="n">
        <v>471</v>
      </c>
      <c r="BE30" s="2" t="n">
        <v>123</v>
      </c>
      <c r="BF30" s="2">
        <f>IF(ISNUMBER(BC30),R30-BC30,"")</f>
        <v/>
      </c>
      <c r="BG30" s="4">
        <f>IF(AND(ISNUMBER(BC30),BC30&gt;0),(R30-BC30)/BC30,"")</f>
        <v/>
      </c>
      <c r="BH30" s="2">
        <f>IF(ISNUMBER(BD30),Y30-BD30,"")</f>
        <v/>
      </c>
      <c r="BI30" s="4">
        <f>IF(AND(ISNUMBER(BD30),BD30&gt;0),(Y30-BD30)/BD30,"")</f>
        <v/>
      </c>
      <c r="BJ30" s="2">
        <f>IF(ISNUMBER(BE30),AE30-BE30,"")</f>
        <v/>
      </c>
      <c r="BK30" s="2" t="inlineStr">
        <is>
          <t>thin</t>
        </is>
      </c>
      <c r="BL30" s="2" t="inlineStr">
        <is>
          <t>thin: descriptive data on the use of corporate mobility instruments; no evaluation of the codification itself</t>
        </is>
      </c>
      <c r="BM30" s="2" t="inlineStr">
        <is>
          <t>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is>
      </c>
      <c r="BN30" s="2" t="n">
        <v>3</v>
      </c>
      <c r="BO30" s="2" t="n">
        <v>1</v>
      </c>
      <c r="BP30" s="2" t="n">
        <v>2</v>
      </c>
      <c r="BQ30" s="2" t="n">
        <v>0</v>
      </c>
      <c r="BR30" s="2" t="inlineStr"/>
    </row>
    <row r="31">
      <c r="A31" s="2" t="n">
        <v>30</v>
      </c>
      <c r="B31" s="2" t="inlineStr">
        <is>
          <t>Geo-blocking Regulation</t>
        </is>
      </c>
      <c r="C31" s="2" t="inlineStr">
        <is>
          <t>Aims to support the internal market by preventing unjustified geo-blocking and other discrimination based on customers' nationality, place of residence or place of establishment. It requires traders not to block or redirect customers' access to online interfaces, not to apply different general conditions of access in specified situations, and not to discriminate between payment instruments issued in other Member States.</t>
        </is>
      </c>
      <c r="D31" s="2" t="inlineStr">
        <is>
          <t>Regulation (EU) 2018/302</t>
        </is>
      </c>
      <c r="E31" s="2" t="inlineStr">
        <is>
          <t>E-commerce &amp; Consumer Protection</t>
        </is>
      </c>
      <c r="F31" s="2" t="inlineStr">
        <is>
          <t>enacted</t>
        </is>
      </c>
      <c r="G31" s="2" t="inlineStr">
        <is>
          <t>2016-05-25</t>
        </is>
      </c>
      <c r="H31" s="2" t="inlineStr">
        <is>
          <t>high</t>
        </is>
      </c>
      <c r="I31" s="2" t="inlineStr">
        <is>
          <t>2018-02-28</t>
        </is>
      </c>
      <c r="J31" s="2" t="inlineStr">
        <is>
          <t>2018-03-02</t>
        </is>
      </c>
      <c r="K31" s="2" t="inlineStr">
        <is>
          <t>2018-03-22</t>
        </is>
      </c>
      <c r="L31" s="2" t="inlineStr">
        <is>
          <t>adopted</t>
        </is>
      </c>
      <c r="M31" s="2" t="inlineStr">
        <is>
          <t>adopted</t>
        </is>
      </c>
      <c r="N31" s="2" t="inlineStr">
        <is>
          <t>32018R0302</t>
        </is>
      </c>
      <c r="O31" s="2" t="inlineStr">
        <is>
          <t>Original act as published in the OJ</t>
        </is>
      </c>
      <c r="P31" s="2" t="inlineStr">
        <is>
          <t>https://eur-lex.europa.eu/legal-content/EN/TXT/?uri=CELEX:32018R0302</t>
        </is>
      </c>
      <c r="Q31" s="3" t="n">
        <v>15</v>
      </c>
      <c r="R31" s="3" t="n">
        <v>8827</v>
      </c>
      <c r="S31" s="3" t="n">
        <v>6051</v>
      </c>
      <c r="T31" s="3" t="n">
        <v>5908</v>
      </c>
      <c r="U31" s="3" t="n">
        <v>2776</v>
      </c>
      <c r="V31" s="3" t="n">
        <v>0</v>
      </c>
      <c r="W31" s="3" t="n">
        <v>0</v>
      </c>
      <c r="X31" s="3" t="n">
        <v>0</v>
      </c>
      <c r="Y31" s="3" t="n">
        <v>24</v>
      </c>
      <c r="Z31" s="3" t="n">
        <v>12</v>
      </c>
      <c r="AA31" s="3" t="n">
        <v>10</v>
      </c>
      <c r="AB31" s="3" t="n">
        <v>0</v>
      </c>
      <c r="AC31" s="3" t="n">
        <v>1</v>
      </c>
      <c r="AD31" s="3" t="n">
        <v>1</v>
      </c>
      <c r="AE31" s="3" t="n">
        <v>6</v>
      </c>
      <c r="AF31" s="3" t="n">
        <v>5</v>
      </c>
      <c r="AG31" s="3" t="n">
        <v>2</v>
      </c>
      <c r="AH31" s="3" t="n">
        <v>11</v>
      </c>
      <c r="AI31" s="2" t="inlineStr">
        <is>
          <t>02018R0302-20180302</t>
        </is>
      </c>
      <c r="AJ31" s="3" t="n">
        <v>24</v>
      </c>
      <c r="AK31" s="2" t="n">
        <v>6</v>
      </c>
      <c r="AL31" s="2">
        <f>COUNTIFS(secondary_acts!$A$2:$A$771,$A31,secondary_acts!$E$2:$E$771,"implementing")</f>
        <v/>
      </c>
      <c r="AM31" s="2">
        <f>COUNTIFS(secondary_acts!$A$2:$A$771,$A31,secondary_acts!$E$2:$E$771,"delegated")</f>
        <v/>
      </c>
      <c r="AN31" s="2">
        <f>COUNTIFS(secondary_acts!$A$2:$A$771,$A31,secondary_acts!$E$2:$E$771,"other Commission/Council act")</f>
        <v/>
      </c>
      <c r="AO31" s="2">
        <f>COUNTIFS(secondary_acts!$A$2:$A$771,$A31,secondary_acts!$E$2:$E$771,"guidance")</f>
        <v/>
      </c>
      <c r="AP31" s="2">
        <f>COUNTIF(guidance_web!$A$2:$A$7,$A31)</f>
        <v/>
      </c>
      <c r="AQ31" s="2">
        <f>COUNTIFS(guidance_agencies!$A$2:$A$81,$A31,guidance_agencies!$D$2:$D$81,"EDPB")</f>
        <v/>
      </c>
      <c r="AR31" s="2">
        <f>COUNTIFS(guidance_agencies!$A$2:$A$81,$A31,guidance_agencies!$D$2:$D$81,"EBA")</f>
        <v/>
      </c>
      <c r="AS31" s="2">
        <f>COUNTIFS(guidance_agencies!$A$2:$A$81,$A31,guidance_agencies!$D$2:$D$81,"ESMA")</f>
        <v/>
      </c>
      <c r="AT31" s="3">
        <f>SUMIFS(secondary_acts!$S$2:$S$771,secondary_acts!$A$2:$A$771,$A31,secondary_acts!$E$2:$E$771,"implementing")+SUMIFS(secondary_acts!$S$2:$S$771,secondary_acts!$A$2:$A$771,$A31,secondary_acts!$E$2:$E$771,"delegated")</f>
        <v/>
      </c>
      <c r="AU31" s="3" t="n"/>
      <c r="AV31" s="2" t="n"/>
      <c r="AW31" s="2" t="n">
        <v>0</v>
      </c>
      <c r="AX31" s="2" t="n"/>
      <c r="AY31" s="2" t="n"/>
      <c r="AZ31" s="2" t="n">
        <v>3</v>
      </c>
      <c r="BA31" s="2" t="inlineStr">
        <is>
          <t>52016PC0289</t>
        </is>
      </c>
      <c r="BB31" s="2" t="inlineStr">
        <is>
          <t>EUR-Lex HTML</t>
        </is>
      </c>
      <c r="BC31" s="2" t="n">
        <v>6093</v>
      </c>
      <c r="BD31" s="2" t="n">
        <v>21</v>
      </c>
      <c r="BE31" s="2" t="n">
        <v>5</v>
      </c>
      <c r="BF31" s="2">
        <f>IF(ISNUMBER(BC31),R31-BC31,"")</f>
        <v/>
      </c>
      <c r="BG31" s="4">
        <f>IF(AND(ISNUMBER(BC31),BC31&gt;0),(R31-BC31)/BC31,"")</f>
        <v/>
      </c>
      <c r="BH31" s="2">
        <f>IF(ISNUMBER(BD31),Y31-BD31,"")</f>
        <v/>
      </c>
      <c r="BI31" s="4">
        <f>IF(AND(ISNUMBER(BD31),BD31&gt;0),(Y31-BD31)/BD31,"")</f>
        <v/>
      </c>
      <c r="BJ31" s="2">
        <f>IF(ISNUMBER(BE31),AE31-BE31,"")</f>
        <v/>
      </c>
      <c r="BK31" s="2" t="inlineStr">
        <is>
          <t>moderate</t>
        </is>
      </c>
      <c r="BL31" s="2" t="inlineStr">
        <is>
          <t>moderate: one quasi-experimental JRC study (traffic proxy) and before/after mystery shopping; no ex-post evidence on prices or sales; full evaluation pending</t>
        </is>
      </c>
      <c r="BM31" s="2" t="inlineStr">
        <is>
          <t>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is>
      </c>
      <c r="BN31" s="2" t="n">
        <v>4</v>
      </c>
      <c r="BO31" s="2" t="n">
        <v>3</v>
      </c>
      <c r="BP31" s="2" t="n">
        <v>7</v>
      </c>
      <c r="BQ31" s="2" t="n">
        <v>0</v>
      </c>
      <c r="BR31" s="2" t="inlineStr">
        <is>
          <t>no consolidated text with amendments in EUR-Lex; consolidated count = original</t>
        </is>
      </c>
    </row>
    <row r="32">
      <c r="A32" s="2" t="n">
        <v>31</v>
      </c>
      <c r="B32" s="2" t="inlineStr">
        <is>
          <t>Consumer Protection Cooperation Regulation</t>
        </is>
      </c>
      <c r="C32" s="2" t="inlineStr">
        <is>
          <t>Sets the conditions under which national authorities responsible for enforcing EU consumer protection laws cooperate with each other and with the Commission. It applies to cross-border and widespread infringements, gives authorities a minimum set of investigation and enforcement powers, and creates procedures for mutual assistance, alerts and coordinated action against widespread infringements with a Union dimension.</t>
        </is>
      </c>
      <c r="D32" s="2" t="inlineStr">
        <is>
          <t>Regulation (EU) 2017/2394</t>
        </is>
      </c>
      <c r="E32" s="2" t="inlineStr">
        <is>
          <t>E-commerce &amp; Consumer Protection</t>
        </is>
      </c>
      <c r="F32" s="2" t="inlineStr">
        <is>
          <t>enacted</t>
        </is>
      </c>
      <c r="G32" s="2" t="inlineStr">
        <is>
          <t>2016-05-25</t>
        </is>
      </c>
      <c r="H32" s="2" t="inlineStr">
        <is>
          <t>high</t>
        </is>
      </c>
      <c r="I32" s="2" t="inlineStr">
        <is>
          <t>2017-12-12</t>
        </is>
      </c>
      <c r="J32" s="2" t="inlineStr">
        <is>
          <t>2017-12-27</t>
        </is>
      </c>
      <c r="K32" s="2" t="inlineStr">
        <is>
          <t>2018-01-16</t>
        </is>
      </c>
      <c r="L32" s="2" t="inlineStr">
        <is>
          <t>adopted</t>
        </is>
      </c>
      <c r="M32" s="2" t="inlineStr">
        <is>
          <t>adopted</t>
        </is>
      </c>
      <c r="N32" s="2" t="inlineStr">
        <is>
          <t>32017R2394</t>
        </is>
      </c>
      <c r="O32" s="2" t="inlineStr">
        <is>
          <t>Original act as published in the OJ</t>
        </is>
      </c>
      <c r="P32" s="2" t="inlineStr">
        <is>
          <t>https://eur-lex.europa.eu/legal-content/EN/TXT/?uri=CELEX:32017R2394</t>
        </is>
      </c>
      <c r="Q32" s="3" t="n">
        <v>26</v>
      </c>
      <c r="R32" s="3" t="n">
        <v>15509</v>
      </c>
      <c r="S32" s="3" t="n">
        <v>5040</v>
      </c>
      <c r="T32" s="3" t="n">
        <v>4917</v>
      </c>
      <c r="U32" s="3" t="n">
        <v>9233</v>
      </c>
      <c r="V32" s="3" t="n">
        <v>1236</v>
      </c>
      <c r="W32" s="3" t="n">
        <v>0</v>
      </c>
      <c r="X32" s="3" t="n">
        <v>0</v>
      </c>
      <c r="Y32" s="3" t="n">
        <v>151</v>
      </c>
      <c r="Z32" s="3" t="n">
        <v>135</v>
      </c>
      <c r="AA32" s="3" t="n">
        <v>5</v>
      </c>
      <c r="AB32" s="3" t="n">
        <v>3</v>
      </c>
      <c r="AC32" s="3" t="n">
        <v>0</v>
      </c>
      <c r="AD32" s="3" t="n">
        <v>8</v>
      </c>
      <c r="AE32" s="3" t="n">
        <v>7</v>
      </c>
      <c r="AF32" s="3" t="n">
        <v>83</v>
      </c>
      <c r="AG32" s="3" t="n">
        <v>32</v>
      </c>
      <c r="AH32" s="3" t="n">
        <v>29</v>
      </c>
      <c r="AI32" s="2" t="inlineStr">
        <is>
          <t>02017R2394-20260731</t>
        </is>
      </c>
      <c r="AJ32" s="3" t="n">
        <v>151</v>
      </c>
      <c r="AK32" s="2" t="n">
        <v>7</v>
      </c>
      <c r="AL32" s="2">
        <f>COUNTIFS(secondary_acts!$A$2:$A$771,$A32,secondary_acts!$E$2:$E$771,"implementing")</f>
        <v/>
      </c>
      <c r="AM32" s="2">
        <f>COUNTIFS(secondary_acts!$A$2:$A$771,$A32,secondary_acts!$E$2:$E$771,"delegated")</f>
        <v/>
      </c>
      <c r="AN32" s="2">
        <f>COUNTIFS(secondary_acts!$A$2:$A$771,$A32,secondary_acts!$E$2:$E$771,"other Commission/Council act")</f>
        <v/>
      </c>
      <c r="AO32" s="2">
        <f>COUNTIFS(secondary_acts!$A$2:$A$771,$A32,secondary_acts!$E$2:$E$771,"guidance")</f>
        <v/>
      </c>
      <c r="AP32" s="2">
        <f>COUNTIF(guidance_web!$A$2:$A$7,$A32)</f>
        <v/>
      </c>
      <c r="AQ32" s="2">
        <f>COUNTIFS(guidance_agencies!$A$2:$A$81,$A32,guidance_agencies!$D$2:$D$81,"EDPB")</f>
        <v/>
      </c>
      <c r="AR32" s="2">
        <f>COUNTIFS(guidance_agencies!$A$2:$A$81,$A32,guidance_agencies!$D$2:$D$81,"EBA")</f>
        <v/>
      </c>
      <c r="AS32" s="2">
        <f>COUNTIFS(guidance_agencies!$A$2:$A$81,$A32,guidance_agencies!$D$2:$D$81,"ESMA")</f>
        <v/>
      </c>
      <c r="AT32" s="3">
        <f>SUMIFS(secondary_acts!$S$2:$S$771,secondary_acts!$A$2:$A$771,$A32,secondary_acts!$E$2:$E$771,"implementing")+SUMIFS(secondary_acts!$S$2:$S$771,secondary_acts!$A$2:$A$771,$A32,secondary_acts!$E$2:$E$771,"delegated")</f>
        <v/>
      </c>
      <c r="AU32" s="3" t="n"/>
      <c r="AV32" s="2" t="n"/>
      <c r="AW32" s="2" t="n">
        <v>6</v>
      </c>
      <c r="AX32" s="2" t="inlineStr">
        <is>
          <t>2018-02-28</t>
        </is>
      </c>
      <c r="AY32" s="2" t="inlineStr">
        <is>
          <t>2024-12-19</t>
        </is>
      </c>
      <c r="AZ32" s="2" t="n">
        <v>0</v>
      </c>
      <c r="BA32" s="2" t="inlineStr">
        <is>
          <t>52016PC0283</t>
        </is>
      </c>
      <c r="BB32" s="2" t="inlineStr">
        <is>
          <t>EUR-Lex HTML</t>
        </is>
      </c>
      <c r="BC32" s="2" t="n">
        <v>14223</v>
      </c>
      <c r="BD32" s="2" t="n">
        <v>179</v>
      </c>
      <c r="BE32" s="2" t="n">
        <v>6</v>
      </c>
      <c r="BF32" s="2">
        <f>IF(ISNUMBER(BC32),R32-BC32,"")</f>
        <v/>
      </c>
      <c r="BG32" s="4">
        <f>IF(AND(ISNUMBER(BC32),BC32&gt;0),(R32-BC32)/BC32,"")</f>
        <v/>
      </c>
      <c r="BH32" s="2">
        <f>IF(ISNUMBER(BD32),Y32-BD32,"")</f>
        <v/>
      </c>
      <c r="BI32" s="4">
        <f>IF(AND(ISNUMBER(BD32),BD32&gt;0),(Y32-BD32)/BD32,"")</f>
        <v/>
      </c>
      <c r="BJ32" s="2">
        <f>IF(ISNUMBER(BE32),AE32-BE32,"")</f>
        <v/>
      </c>
      <c r="BK32" s="2" t="inlineStr">
        <is>
          <t>thin</t>
        </is>
      </c>
      <c r="BL32" s="2" t="inlineStr">
        <is>
          <t>thin: activity counts and stakeholder views; headline non-compliance indicator not tracked consistently; no independent studies found</t>
        </is>
      </c>
      <c r="BM32" s="2" t="inlineStr">
        <is>
          <t>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is>
      </c>
      <c r="BN32" s="2" t="n">
        <v>4</v>
      </c>
      <c r="BO32" s="2" t="n">
        <v>3</v>
      </c>
      <c r="BP32" s="2" t="n">
        <v>4</v>
      </c>
      <c r="BQ32" s="2" t="n">
        <v>0</v>
      </c>
      <c r="BR32" s="2" t="inlineStr"/>
    </row>
    <row r="33">
      <c r="A33" s="2" t="n">
        <v>32</v>
      </c>
      <c r="B33" s="2" t="inlineStr">
        <is>
          <t>European Electronic Communications Code</t>
        </is>
      </c>
      <c r="C33" s="2" t="inlineStr">
        <is>
          <t>Establishes a harmonised EU framework for regulating electronic communications networks and services. It aims to build an internal market that encourages very high capacity networks, sustainable competition, security and end-user benefits, and to ensure affordable, good-quality services. It sets the tasks of national regulators, rules on authorisation, access, radio spectrum and universal service, and lays down end-user rights.</t>
        </is>
      </c>
      <c r="D33" s="2" t="inlineStr">
        <is>
          <t>Directive (EU) 2018/1972</t>
        </is>
      </c>
      <c r="E33" s="2" t="inlineStr">
        <is>
          <t>Connectivity</t>
        </is>
      </c>
      <c r="F33" s="2" t="inlineStr">
        <is>
          <t>enacted</t>
        </is>
      </c>
      <c r="G33" s="2" t="inlineStr">
        <is>
          <t>2016-09-14</t>
        </is>
      </c>
      <c r="H33" s="2" t="inlineStr">
        <is>
          <t>high</t>
        </is>
      </c>
      <c r="I33" s="2" t="inlineStr">
        <is>
          <t>2018-12-11</t>
        </is>
      </c>
      <c r="J33" s="2" t="inlineStr">
        <is>
          <t>2018-12-17</t>
        </is>
      </c>
      <c r="K33" s="2" t="inlineStr">
        <is>
          <t>2018-12-20</t>
        </is>
      </c>
      <c r="L33" s="2" t="inlineStr">
        <is>
          <t>adopted</t>
        </is>
      </c>
      <c r="M33" s="2" t="inlineStr">
        <is>
          <t>adopted</t>
        </is>
      </c>
      <c r="N33" s="2" t="inlineStr">
        <is>
          <t>32018L1972</t>
        </is>
      </c>
      <c r="O33" s="2" t="inlineStr">
        <is>
          <t>Original act as published in the OJ</t>
        </is>
      </c>
      <c r="P33" s="2" t="inlineStr">
        <is>
          <t>https://eur-lex.europa.eu/legal-content/EN/TXT/?uri=CELEX:32018L1972</t>
        </is>
      </c>
      <c r="Q33" s="3" t="n">
        <v>179</v>
      </c>
      <c r="R33" s="3" t="n">
        <v>97406</v>
      </c>
      <c r="S33" s="3" t="n">
        <v>42601</v>
      </c>
      <c r="T33" s="3" t="n">
        <v>42479</v>
      </c>
      <c r="U33" s="3" t="n">
        <v>46896</v>
      </c>
      <c r="V33" s="3" t="n">
        <v>7909</v>
      </c>
      <c r="W33" s="3" t="n">
        <v>0</v>
      </c>
      <c r="X33" s="3" t="n">
        <v>0</v>
      </c>
      <c r="Y33" s="3" t="n">
        <v>835</v>
      </c>
      <c r="Z33" s="3" t="n">
        <v>630</v>
      </c>
      <c r="AA33" s="3" t="n">
        <v>53</v>
      </c>
      <c r="AB33" s="3" t="n">
        <v>6</v>
      </c>
      <c r="AC33" s="3" t="n">
        <v>8</v>
      </c>
      <c r="AD33" s="3" t="n">
        <v>138</v>
      </c>
      <c r="AE33" s="3" t="n">
        <v>95</v>
      </c>
      <c r="AF33" s="3" t="n">
        <v>464</v>
      </c>
      <c r="AG33" s="3" t="n">
        <v>114</v>
      </c>
      <c r="AH33" s="3" t="n">
        <v>162</v>
      </c>
      <c r="AI33" s="2" t="inlineStr">
        <is>
          <t>02018L1972-20241018</t>
        </is>
      </c>
      <c r="AJ33" s="3" t="n">
        <v>815</v>
      </c>
      <c r="AK33" s="2" t="n">
        <v>89</v>
      </c>
      <c r="AL33" s="2">
        <f>COUNTIFS(secondary_acts!$A$2:$A$771,$A33,secondary_acts!$E$2:$E$771,"implementing")</f>
        <v/>
      </c>
      <c r="AM33" s="2">
        <f>COUNTIFS(secondary_acts!$A$2:$A$771,$A33,secondary_acts!$E$2:$E$771,"delegated")</f>
        <v/>
      </c>
      <c r="AN33" s="2">
        <f>COUNTIFS(secondary_acts!$A$2:$A$771,$A33,secondary_acts!$E$2:$E$771,"other Commission/Council act")</f>
        <v/>
      </c>
      <c r="AO33" s="2">
        <f>COUNTIFS(secondary_acts!$A$2:$A$771,$A33,secondary_acts!$E$2:$E$771,"guidance")</f>
        <v/>
      </c>
      <c r="AP33" s="2">
        <f>COUNTIF(guidance_web!$A$2:$A$7,$A33)</f>
        <v/>
      </c>
      <c r="AQ33" s="2">
        <f>COUNTIFS(guidance_agencies!$A$2:$A$81,$A33,guidance_agencies!$D$2:$D$81,"EDPB")</f>
        <v/>
      </c>
      <c r="AR33" s="2">
        <f>COUNTIFS(guidance_agencies!$A$2:$A$81,$A33,guidance_agencies!$D$2:$D$81,"EBA")</f>
        <v/>
      </c>
      <c r="AS33" s="2">
        <f>COUNTIFS(guidance_agencies!$A$2:$A$81,$A33,guidance_agencies!$D$2:$D$81,"ESMA")</f>
        <v/>
      </c>
      <c r="AT33" s="3">
        <f>SUMIFS(secondary_acts!$S$2:$S$771,secondary_acts!$A$2:$A$771,$A33,secondary_acts!$E$2:$E$771,"implementing")+SUMIFS(secondary_acts!$S$2:$S$771,secondary_acts!$A$2:$A$771,$A33,secondary_acts!$E$2:$E$771,"delegated")</f>
        <v/>
      </c>
      <c r="AU33" s="3" t="n">
        <v>3034</v>
      </c>
      <c r="AV33" s="2" t="n">
        <v>28</v>
      </c>
      <c r="AW33" s="2" t="n">
        <v>1</v>
      </c>
      <c r="AX33" s="2" t="inlineStr">
        <is>
          <t>2022-12-14</t>
        </is>
      </c>
      <c r="AY33" s="2" t="inlineStr">
        <is>
          <t>2022-12-14</t>
        </is>
      </c>
      <c r="AZ33" s="2" t="n">
        <v>7</v>
      </c>
      <c r="BA33" s="2" t="inlineStr">
        <is>
          <t>52016PC0590</t>
        </is>
      </c>
      <c r="BB33" s="2" t="inlineStr">
        <is>
          <t>EUR-Lex HTML</t>
        </is>
      </c>
      <c r="BC33" s="2" t="n">
        <v>109321</v>
      </c>
      <c r="BD33" s="2" t="n">
        <v>893</v>
      </c>
      <c r="BE33" s="2" t="n">
        <v>72</v>
      </c>
      <c r="BF33" s="2">
        <f>IF(ISNUMBER(BC33),R33-BC33,"")</f>
        <v/>
      </c>
      <c r="BG33" s="4">
        <f>IF(AND(ISNUMBER(BC33),BC33&gt;0),(R33-BC33)/BC33,"")</f>
        <v/>
      </c>
      <c r="BH33" s="2">
        <f>IF(ISNUMBER(BD33),Y33-BD33,"")</f>
        <v/>
      </c>
      <c r="BI33" s="4">
        <f>IF(AND(ISNUMBER(BD33),BD33&gt;0),(Y33-BD33)/BD33,"")</f>
        <v/>
      </c>
      <c r="BJ33" s="2">
        <f>IF(ISNUMBER(BE33),AE33-BE33,"")</f>
        <v/>
      </c>
      <c r="BK33" s="2" t="inlineStr">
        <is>
          <t>thin</t>
        </is>
      </c>
      <c r="BL33" s="2" t="inlineStr">
        <is>
          <t>thin on the EECC itself: Commission review and coverage statistics, no causal evaluation; solid older econometric literature on access regulation and investment under the predecessor framework</t>
        </is>
      </c>
      <c r="BM33" s="2" t="inlineStr">
        <is>
          <t>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is>
      </c>
      <c r="BN33" s="2" t="n">
        <v>5</v>
      </c>
      <c r="BO33" s="2" t="n">
        <v>3</v>
      </c>
      <c r="BP33" s="2" t="n">
        <v>8</v>
      </c>
      <c r="BQ33" s="2" t="n">
        <v>0</v>
      </c>
      <c r="BR33" s="2" t="inlineStr"/>
    </row>
    <row r="34">
      <c r="A34" s="2" t="n">
        <v>33</v>
      </c>
      <c r="B34" s="2" t="inlineStr">
        <is>
          <t>Copyright in the Digital Single Market Directive</t>
        </is>
      </c>
      <c r="C34" s="2" t="inlineStr">
        <is>
          <t>Further harmonises EU copyright law to take account of digital and cross-border uses of protected content. It creates exceptions for text and data mining, teaching and cultural heritage preservation, eases licensing of out-of-commerce works, introduces a right for press publishers, sets liability rules for online content-sharing platforms, and requires transparency and fair remuneration for authors and performers.</t>
        </is>
      </c>
      <c r="D34" s="2" t="inlineStr">
        <is>
          <t>Directive (EU) 2019/790</t>
        </is>
      </c>
      <c r="E34" s="2" t="inlineStr">
        <is>
          <t>Media</t>
        </is>
      </c>
      <c r="F34" s="2" t="inlineStr">
        <is>
          <t>enacted</t>
        </is>
      </c>
      <c r="G34" s="2" t="inlineStr">
        <is>
          <t>2016-09-14</t>
        </is>
      </c>
      <c r="H34" s="2" t="inlineStr">
        <is>
          <t>high</t>
        </is>
      </c>
      <c r="I34" s="2" t="inlineStr">
        <is>
          <t>2019-04-17</t>
        </is>
      </c>
      <c r="J34" s="2" t="inlineStr">
        <is>
          <t>2019-05-17</t>
        </is>
      </c>
      <c r="K34" s="2" t="inlineStr">
        <is>
          <t>2019-06-06</t>
        </is>
      </c>
      <c r="L34" s="2" t="inlineStr">
        <is>
          <t>adopted</t>
        </is>
      </c>
      <c r="M34" s="2" t="inlineStr">
        <is>
          <t>adopted</t>
        </is>
      </c>
      <c r="N34" s="2" t="inlineStr">
        <is>
          <t>32019L0790</t>
        </is>
      </c>
      <c r="O34" s="2" t="inlineStr">
        <is>
          <t>Original act as published in the OJ</t>
        </is>
      </c>
      <c r="P34" s="2" t="inlineStr">
        <is>
          <t>https://eur-lex.europa.eu/legal-content/EN/TXT/?uri=CELEX:32019L0790</t>
        </is>
      </c>
      <c r="Q34" s="3" t="n">
        <v>34</v>
      </c>
      <c r="R34" s="3" t="n">
        <v>22678</v>
      </c>
      <c r="S34" s="3" t="n">
        <v>15128</v>
      </c>
      <c r="T34" s="3" t="n">
        <v>14987</v>
      </c>
      <c r="U34" s="3" t="n">
        <v>7550</v>
      </c>
      <c r="V34" s="3" t="n">
        <v>0</v>
      </c>
      <c r="W34" s="3" t="n">
        <v>0</v>
      </c>
      <c r="X34" s="3" t="n">
        <v>0</v>
      </c>
      <c r="Y34" s="3" t="n">
        <v>100</v>
      </c>
      <c r="Z34" s="3" t="n">
        <v>75</v>
      </c>
      <c r="AA34" s="3" t="n">
        <v>9</v>
      </c>
      <c r="AB34" s="3" t="n">
        <v>1</v>
      </c>
      <c r="AC34" s="3" t="n">
        <v>1</v>
      </c>
      <c r="AD34" s="3" t="n">
        <v>14</v>
      </c>
      <c r="AE34" s="3" t="n">
        <v>9</v>
      </c>
      <c r="AF34" s="3" t="n">
        <v>55</v>
      </c>
      <c r="AG34" s="3" t="n">
        <v>7</v>
      </c>
      <c r="AH34" s="3" t="n">
        <v>29</v>
      </c>
      <c r="AI34" s="2" t="inlineStr">
        <is>
          <t>02019L0790-20190517</t>
        </is>
      </c>
      <c r="AJ34" s="3" t="n">
        <v>100</v>
      </c>
      <c r="AK34" s="2" t="n">
        <v>9</v>
      </c>
      <c r="AL34" s="2">
        <f>COUNTIFS(secondary_acts!$A$2:$A$771,$A34,secondary_acts!$E$2:$E$771,"implementing")</f>
        <v/>
      </c>
      <c r="AM34" s="2">
        <f>COUNTIFS(secondary_acts!$A$2:$A$771,$A34,secondary_acts!$E$2:$E$771,"delegated")</f>
        <v/>
      </c>
      <c r="AN34" s="2">
        <f>COUNTIFS(secondary_acts!$A$2:$A$771,$A34,secondary_acts!$E$2:$E$771,"other Commission/Council act")</f>
        <v/>
      </c>
      <c r="AO34" s="2">
        <f>COUNTIFS(secondary_acts!$A$2:$A$771,$A34,secondary_acts!$E$2:$E$771,"guidance")</f>
        <v/>
      </c>
      <c r="AP34" s="2">
        <f>COUNTIF(guidance_web!$A$2:$A$7,$A34)</f>
        <v/>
      </c>
      <c r="AQ34" s="2">
        <f>COUNTIFS(guidance_agencies!$A$2:$A$81,$A34,guidance_agencies!$D$2:$D$81,"EDPB")</f>
        <v/>
      </c>
      <c r="AR34" s="2">
        <f>COUNTIFS(guidance_agencies!$A$2:$A$81,$A34,guidance_agencies!$D$2:$D$81,"EBA")</f>
        <v/>
      </c>
      <c r="AS34" s="2">
        <f>COUNTIFS(guidance_agencies!$A$2:$A$81,$A34,guidance_agencies!$D$2:$D$81,"ESMA")</f>
        <v/>
      </c>
      <c r="AT34" s="3">
        <f>SUMIFS(secondary_acts!$S$2:$S$771,secondary_acts!$A$2:$A$771,$A34,secondary_acts!$E$2:$E$771,"implementing")+SUMIFS(secondary_acts!$S$2:$S$771,secondary_acts!$A$2:$A$771,$A34,secondary_acts!$E$2:$E$771,"delegated")</f>
        <v/>
      </c>
      <c r="AU34" s="3" t="n">
        <v>1039</v>
      </c>
      <c r="AV34" s="2" t="n">
        <v>27</v>
      </c>
      <c r="AW34" s="2" t="n">
        <v>0</v>
      </c>
      <c r="AX34" s="2" t="n"/>
      <c r="AY34" s="2" t="n"/>
      <c r="AZ34" s="2" t="n">
        <v>3</v>
      </c>
      <c r="BA34" s="2" t="inlineStr">
        <is>
          <t>52016PC0593</t>
        </is>
      </c>
      <c r="BB34" s="2" t="inlineStr">
        <is>
          <t>EUR-Lex HTML</t>
        </is>
      </c>
      <c r="BC34" s="2" t="n">
        <v>8820</v>
      </c>
      <c r="BD34" s="2" t="n">
        <v>45</v>
      </c>
      <c r="BE34" s="2" t="n">
        <v>6</v>
      </c>
      <c r="BF34" s="2">
        <f>IF(ISNUMBER(BC34),R34-BC34,"")</f>
        <v/>
      </c>
      <c r="BG34" s="4">
        <f>IF(AND(ISNUMBER(BC34),BC34&gt;0),(R34-BC34)/BC34,"")</f>
        <v/>
      </c>
      <c r="BH34" s="2">
        <f>IF(ISNUMBER(BD34),Y34-BD34,"")</f>
        <v/>
      </c>
      <c r="BI34" s="4">
        <f>IF(AND(ISNUMBER(BD34),BD34&gt;0),(Y34-BD34)/BD34,"")</f>
        <v/>
      </c>
      <c r="BJ34" s="2">
        <f>IF(ISNUMBER(BE34),AE34-BE34,"")</f>
        <v/>
      </c>
      <c r="BK34" s="2" t="inlineStr">
        <is>
          <t>moderate</t>
        </is>
      </c>
      <c r="BL34" s="2" t="inlineStr">
        <is>
          <t>moderate: a quasi-causal comparison of YouTube takedowns in Germany and France under Article 17, a randomised Google news experiment (interested party) and earlier causal work; no quantitative ex-post study of the press publishers' right's effect on publishers' revenue</t>
        </is>
      </c>
      <c r="BM34" s="2" t="inlineStr">
        <is>
          <t>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is>
      </c>
      <c r="BN34" s="2" t="n">
        <v>4</v>
      </c>
      <c r="BO34" s="2" t="n">
        <v>1</v>
      </c>
      <c r="BP34" s="2" t="n">
        <v>8</v>
      </c>
      <c r="BQ34" s="2" t="n">
        <v>3</v>
      </c>
      <c r="BR34" s="2" t="inlineStr">
        <is>
          <t>no consolidated text with amendments in EUR-Lex; consolidated count = original</t>
        </is>
      </c>
    </row>
    <row r="35">
      <c r="A35" s="2" t="n">
        <v>34</v>
      </c>
      <c r="B35" s="2" t="inlineStr">
        <is>
          <t>Satellite and Cable II Directive</t>
        </is>
      </c>
      <c r="C35" s="2" t="inlineStr">
        <is>
          <t>Aims to give people access to more television and radio programmes from other Member States. It eases rights clearance for broadcasters' ancillary online services by applying the copyright rules of the broadcaster's country of establishment, extends collective rights management to retransmission over services other than cable, and sets rules for transmission by direct injection.</t>
        </is>
      </c>
      <c r="D35" s="2" t="inlineStr">
        <is>
          <t>Directive (EU) 2019/789</t>
        </is>
      </c>
      <c r="E35" s="2" t="inlineStr">
        <is>
          <t>Media</t>
        </is>
      </c>
      <c r="F35" s="2" t="inlineStr">
        <is>
          <t>enacted</t>
        </is>
      </c>
      <c r="G35" s="2" t="inlineStr">
        <is>
          <t>2016-09-14</t>
        </is>
      </c>
      <c r="H35" s="2" t="inlineStr">
        <is>
          <t>high</t>
        </is>
      </c>
      <c r="I35" s="2" t="inlineStr">
        <is>
          <t>2019-04-17</t>
        </is>
      </c>
      <c r="J35" s="2" t="inlineStr">
        <is>
          <t>2019-05-17</t>
        </is>
      </c>
      <c r="K35" s="2" t="inlineStr">
        <is>
          <t>2019-06-06</t>
        </is>
      </c>
      <c r="L35" s="2" t="inlineStr">
        <is>
          <t>adopted</t>
        </is>
      </c>
      <c r="M35" s="2" t="inlineStr">
        <is>
          <t>adopted</t>
        </is>
      </c>
      <c r="N35" s="2" t="inlineStr">
        <is>
          <t>32019L0789</t>
        </is>
      </c>
      <c r="O35" s="2" t="inlineStr">
        <is>
          <t>Original act as published in the OJ</t>
        </is>
      </c>
      <c r="P35" s="2" t="inlineStr">
        <is>
          <t>https://eur-lex.europa.eu/legal-content/EN/TXT/?uri=CELEX:32019L0789</t>
        </is>
      </c>
      <c r="Q35" s="3" t="n">
        <v>10</v>
      </c>
      <c r="R35" s="3" t="n">
        <v>5980</v>
      </c>
      <c r="S35" s="3" t="n">
        <v>4056</v>
      </c>
      <c r="T35" s="3" t="n">
        <v>3909</v>
      </c>
      <c r="U35" s="3" t="n">
        <v>1924</v>
      </c>
      <c r="V35" s="3" t="n">
        <v>0</v>
      </c>
      <c r="W35" s="3" t="n">
        <v>0</v>
      </c>
      <c r="X35" s="3" t="n">
        <v>0</v>
      </c>
      <c r="Y35" s="3" t="n">
        <v>23</v>
      </c>
      <c r="Z35" s="3" t="n">
        <v>17</v>
      </c>
      <c r="AA35" s="3" t="n">
        <v>1</v>
      </c>
      <c r="AB35" s="3" t="n">
        <v>0</v>
      </c>
      <c r="AC35" s="3" t="n">
        <v>0</v>
      </c>
      <c r="AD35" s="3" t="n">
        <v>5</v>
      </c>
      <c r="AE35" s="3" t="n">
        <v>1</v>
      </c>
      <c r="AF35" s="3" t="n">
        <v>16</v>
      </c>
      <c r="AG35" s="3" t="n">
        <v>1</v>
      </c>
      <c r="AH35" s="3" t="n">
        <v>5</v>
      </c>
      <c r="AI35" s="2" t="inlineStr">
        <is>
          <t>02019L0789-20190517</t>
        </is>
      </c>
      <c r="AJ35" s="3" t="n">
        <v>23</v>
      </c>
      <c r="AK35" s="2" t="n">
        <v>1</v>
      </c>
      <c r="AL35" s="2">
        <f>COUNTIFS(secondary_acts!$A$2:$A$771,$A35,secondary_acts!$E$2:$E$771,"implementing")</f>
        <v/>
      </c>
      <c r="AM35" s="2">
        <f>COUNTIFS(secondary_acts!$A$2:$A$771,$A35,secondary_acts!$E$2:$E$771,"delegated")</f>
        <v/>
      </c>
      <c r="AN35" s="2">
        <f>COUNTIFS(secondary_acts!$A$2:$A$771,$A35,secondary_acts!$E$2:$E$771,"other Commission/Council act")</f>
        <v/>
      </c>
      <c r="AO35" s="2">
        <f>COUNTIFS(secondary_acts!$A$2:$A$771,$A35,secondary_acts!$E$2:$E$771,"guidance")</f>
        <v/>
      </c>
      <c r="AP35" s="2">
        <f>COUNTIF(guidance_web!$A$2:$A$7,$A35)</f>
        <v/>
      </c>
      <c r="AQ35" s="2">
        <f>COUNTIFS(guidance_agencies!$A$2:$A$81,$A35,guidance_agencies!$D$2:$D$81,"EDPB")</f>
        <v/>
      </c>
      <c r="AR35" s="2">
        <f>COUNTIFS(guidance_agencies!$A$2:$A$81,$A35,guidance_agencies!$D$2:$D$81,"EBA")</f>
        <v/>
      </c>
      <c r="AS35" s="2">
        <f>COUNTIFS(guidance_agencies!$A$2:$A$81,$A35,guidance_agencies!$D$2:$D$81,"ESMA")</f>
        <v/>
      </c>
      <c r="AT35" s="3">
        <f>SUMIFS(secondary_acts!$S$2:$S$771,secondary_acts!$A$2:$A$771,$A35,secondary_acts!$E$2:$E$771,"implementing")+SUMIFS(secondary_acts!$S$2:$S$771,secondary_acts!$A$2:$A$771,$A35,secondary_acts!$E$2:$E$771,"delegated")</f>
        <v/>
      </c>
      <c r="AU35" s="3" t="n">
        <v>550</v>
      </c>
      <c r="AV35" s="2" t="n">
        <v>26</v>
      </c>
      <c r="AW35" s="2" t="n">
        <v>0</v>
      </c>
      <c r="AX35" s="2" t="n"/>
      <c r="AY35" s="2" t="n"/>
      <c r="AZ35" s="2" t="n">
        <v>1</v>
      </c>
      <c r="BA35" s="2" t="inlineStr">
        <is>
          <t>52016PC0594</t>
        </is>
      </c>
      <c r="BB35" s="2" t="inlineStr">
        <is>
          <t>EUR-Lex HTML</t>
        </is>
      </c>
      <c r="BC35" s="2" t="n">
        <v>3313</v>
      </c>
      <c r="BD35" s="2" t="n">
        <v>10</v>
      </c>
      <c r="BE35" s="2" t="n">
        <v>5</v>
      </c>
      <c r="BF35" s="2">
        <f>IF(ISNUMBER(BC35),R35-BC35,"")</f>
        <v/>
      </c>
      <c r="BG35" s="4">
        <f>IF(AND(ISNUMBER(BC35),BC35&gt;0),(R35-BC35)/BC35,"")</f>
        <v/>
      </c>
      <c r="BH35" s="2">
        <f>IF(ISNUMBER(BD35),Y35-BD35,"")</f>
        <v/>
      </c>
      <c r="BI35" s="4">
        <f>IF(AND(ISNUMBER(BD35),BD35&gt;0),(Y35-BD35)/BD35,"")</f>
        <v/>
      </c>
      <c r="BJ35" s="2">
        <f>IF(ISNUMBER(BE35),AE35-BE35,"")</f>
        <v/>
      </c>
      <c r="BK35" s="2" t="inlineStr">
        <is>
          <t>none</t>
        </is>
      </c>
      <c r="BL35" s="2" t="inlineStr">
        <is>
          <t>none: qualitative forecasts only; no baseline data, no review report found and no independent studies found</t>
        </is>
      </c>
      <c r="BM35" s="2" t="inlineStr">
        <is>
          <t>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is>
      </c>
      <c r="BN35" s="2" t="n">
        <v>3</v>
      </c>
      <c r="BO35" s="2" t="n">
        <v>0</v>
      </c>
      <c r="BP35" s="2" t="n">
        <v>0</v>
      </c>
      <c r="BQ35" s="2" t="n">
        <v>0</v>
      </c>
      <c r="BR35" s="2" t="inlineStr">
        <is>
          <t>no consolidated text with amendments in EUR-Lex; consolidated count = original</t>
        </is>
      </c>
    </row>
    <row r="36">
      <c r="A36" s="2" t="n">
        <v>35</v>
      </c>
      <c r="B36" s="2" t="inlineStr">
        <is>
          <t>Data protection by EU institutions Regulation</t>
        </is>
      </c>
      <c r="C36" s="2" t="inlineStr">
        <is>
          <t>Sets rules protecting individuals when EU institutions, bodies, offices and agencies process their personal data, and on the free movement of such data. It aligns these rules with the General Data Protection Regulation, sets out data subjects' rights and controllers' obligations, and gives the European Data Protection Supervisor the task of monitoring compliance.</t>
        </is>
      </c>
      <c r="D36" s="2" t="inlineStr">
        <is>
          <t>Regulation (EU) 2018/1725</t>
        </is>
      </c>
      <c r="E36" s="2" t="inlineStr">
        <is>
          <t>Data &amp; Privacy</t>
        </is>
      </c>
      <c r="F36" s="2" t="inlineStr">
        <is>
          <t>enacted</t>
        </is>
      </c>
      <c r="G36" s="2" t="inlineStr">
        <is>
          <t>2017-01-10</t>
        </is>
      </c>
      <c r="H36" s="2" t="inlineStr">
        <is>
          <t>high</t>
        </is>
      </c>
      <c r="I36" s="2" t="inlineStr">
        <is>
          <t>2018-10-23</t>
        </is>
      </c>
      <c r="J36" s="2" t="inlineStr">
        <is>
          <t>2018-11-21</t>
        </is>
      </c>
      <c r="K36" s="2" t="inlineStr">
        <is>
          <t>2018-12-11</t>
        </is>
      </c>
      <c r="L36" s="2" t="inlineStr">
        <is>
          <t>adopted</t>
        </is>
      </c>
      <c r="M36" s="2" t="inlineStr">
        <is>
          <t>adopted</t>
        </is>
      </c>
      <c r="N36" s="2" t="inlineStr">
        <is>
          <t>32018R1725</t>
        </is>
      </c>
      <c r="O36" s="2" t="inlineStr">
        <is>
          <t>Original act as published in the OJ</t>
        </is>
      </c>
      <c r="P36" s="2" t="inlineStr">
        <is>
          <t>https://eur-lex.europa.eu/legal-content/EN/TXT/?uri=CELEX:32018R1725</t>
        </is>
      </c>
      <c r="Q36" s="3" t="n">
        <v>60</v>
      </c>
      <c r="R36" s="3" t="n">
        <v>37418</v>
      </c>
      <c r="S36" s="3" t="n">
        <v>12539</v>
      </c>
      <c r="T36" s="3" t="n">
        <v>12392</v>
      </c>
      <c r="U36" s="3" t="n">
        <v>24879</v>
      </c>
      <c r="V36" s="3" t="n">
        <v>0</v>
      </c>
      <c r="W36" s="3" t="n">
        <v>0</v>
      </c>
      <c r="X36" s="3" t="n">
        <v>0</v>
      </c>
      <c r="Y36" s="3" t="n">
        <v>333</v>
      </c>
      <c r="Z36" s="3" t="n">
        <v>289</v>
      </c>
      <c r="AA36" s="3" t="n">
        <v>24</v>
      </c>
      <c r="AB36" s="3" t="n">
        <v>3</v>
      </c>
      <c r="AC36" s="3" t="n">
        <v>9</v>
      </c>
      <c r="AD36" s="3" t="n">
        <v>8</v>
      </c>
      <c r="AE36" s="3" t="n">
        <v>142</v>
      </c>
      <c r="AF36" s="3" t="n">
        <v>6</v>
      </c>
      <c r="AG36" s="3" t="n">
        <v>91</v>
      </c>
      <c r="AH36" s="3" t="n">
        <v>94</v>
      </c>
      <c r="AI36" s="2" t="inlineStr">
        <is>
          <t>02018R1725-20181121</t>
        </is>
      </c>
      <c r="AJ36" s="3" t="n">
        <v>333</v>
      </c>
      <c r="AK36" s="2" t="n">
        <v>142</v>
      </c>
      <c r="AL36" s="2">
        <f>COUNTIFS(secondary_acts!$A$2:$A$771,$A36,secondary_acts!$E$2:$E$771,"implementing")</f>
        <v/>
      </c>
      <c r="AM36" s="2">
        <f>COUNTIFS(secondary_acts!$A$2:$A$771,$A36,secondary_acts!$E$2:$E$771,"delegated")</f>
        <v/>
      </c>
      <c r="AN36" s="2">
        <f>COUNTIFS(secondary_acts!$A$2:$A$771,$A36,secondary_acts!$E$2:$E$771,"other Commission/Council act")</f>
        <v/>
      </c>
      <c r="AO36" s="2">
        <f>COUNTIFS(secondary_acts!$A$2:$A$771,$A36,secondary_acts!$E$2:$E$771,"guidance")</f>
        <v/>
      </c>
      <c r="AP36" s="2">
        <f>COUNTIF(guidance_web!$A$2:$A$7,$A36)</f>
        <v/>
      </c>
      <c r="AQ36" s="2">
        <f>COUNTIFS(guidance_agencies!$A$2:$A$81,$A36,guidance_agencies!$D$2:$D$81,"EDPB")</f>
        <v/>
      </c>
      <c r="AR36" s="2">
        <f>COUNTIFS(guidance_agencies!$A$2:$A$81,$A36,guidance_agencies!$D$2:$D$81,"EBA")</f>
        <v/>
      </c>
      <c r="AS36" s="2">
        <f>COUNTIFS(guidance_agencies!$A$2:$A$81,$A36,guidance_agencies!$D$2:$D$81,"ESMA")</f>
        <v/>
      </c>
      <c r="AT36" s="3">
        <f>SUMIFS(secondary_acts!$S$2:$S$771,secondary_acts!$A$2:$A$771,$A36,secondary_acts!$E$2:$E$771,"implementing")+SUMIFS(secondary_acts!$S$2:$S$771,secondary_acts!$A$2:$A$771,$A36,secondary_acts!$E$2:$E$771,"delegated")</f>
        <v/>
      </c>
      <c r="AU36" s="3" t="n"/>
      <c r="AV36" s="2" t="n"/>
      <c r="AW36" s="2" t="n">
        <v>0</v>
      </c>
      <c r="AX36" s="2" t="n"/>
      <c r="AY36" s="2" t="n"/>
      <c r="AZ36" s="2" t="n">
        <v>3</v>
      </c>
      <c r="BA36" s="2" t="inlineStr">
        <is>
          <t>52017PC0008</t>
        </is>
      </c>
      <c r="BB36" s="2" t="inlineStr">
        <is>
          <t>EUR-Lex HTML</t>
        </is>
      </c>
      <c r="BC36" s="2" t="n">
        <v>28900</v>
      </c>
      <c r="BD36" s="2" t="n">
        <v>232</v>
      </c>
      <c r="BE36" s="2" t="n">
        <v>80</v>
      </c>
      <c r="BF36" s="2">
        <f>IF(ISNUMBER(BC36),R36-BC36,"")</f>
        <v/>
      </c>
      <c r="BG36" s="4">
        <f>IF(AND(ISNUMBER(BC36),BC36&gt;0),(R36-BC36)/BC36,"")</f>
        <v/>
      </c>
      <c r="BH36" s="2">
        <f>IF(ISNUMBER(BD36),Y36-BD36,"")</f>
        <v/>
      </c>
      <c r="BI36" s="4">
        <f>IF(AND(ISNUMBER(BD36),BD36&gt;0),(Y36-BD36)/BD36,"")</f>
        <v/>
      </c>
      <c r="BJ36" s="2">
        <f>IF(ISNUMBER(BE36),AE36-BE36,"")</f>
        <v/>
      </c>
      <c r="BK36" s="2" t="inlineStr">
        <is>
          <t>thin</t>
        </is>
      </c>
      <c r="BL36" s="2" t="inlineStr">
        <is>
          <t>thin: one Commission self-assessment based on a survey of EU bodies; no independent studies found</t>
        </is>
      </c>
      <c r="BM36" s="2" t="inlineStr">
        <is>
          <t>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is>
      </c>
      <c r="BN36" s="2" t="n">
        <v>5</v>
      </c>
      <c r="BO36" s="2" t="n">
        <v>5</v>
      </c>
      <c r="BP36" s="2" t="n">
        <v>4</v>
      </c>
      <c r="BQ36" s="2" t="n">
        <v>0</v>
      </c>
      <c r="BR36" s="2" t="inlineStr">
        <is>
          <t>no consolidated text with amendments in EUR-Lex; consolidated count = original</t>
        </is>
      </c>
    </row>
    <row r="37">
      <c r="A37" s="2" t="n">
        <v>36</v>
      </c>
      <c r="B37" s="2" t="inlineStr">
        <is>
          <t>Single Digital Gateway Regulation</t>
        </is>
      </c>
      <c r="C37" s="2" t="inlineStr">
        <is>
          <t>Creates a single digital gateway, integrated into the Your Europe portal, giving citizens and businesses easy online access to information, procedures and assistance services on EU and national rules relevant to the internal market. It requires key administrative procedures to be available fully online to cross-border users, applies the 'once-only' principle for exchanging evidence, and collects user feedback on internal market obstacles.</t>
        </is>
      </c>
      <c r="D37" s="2" t="inlineStr">
        <is>
          <t>Regulation (EU) 2018/1724</t>
        </is>
      </c>
      <c r="E37" s="2" t="inlineStr">
        <is>
          <t>Trust &amp; Safety</t>
        </is>
      </c>
      <c r="F37" s="2" t="inlineStr">
        <is>
          <t>enacted</t>
        </is>
      </c>
      <c r="G37" s="2" t="inlineStr">
        <is>
          <t>2017-05-02</t>
        </is>
      </c>
      <c r="H37" s="2" t="inlineStr">
        <is>
          <t>high</t>
        </is>
      </c>
      <c r="I37" s="2" t="inlineStr">
        <is>
          <t>2018-10-02</t>
        </is>
      </c>
      <c r="J37" s="2" t="inlineStr">
        <is>
          <t>2018-11-21</t>
        </is>
      </c>
      <c r="K37" s="2" t="inlineStr">
        <is>
          <t>2018-12-11</t>
        </is>
      </c>
      <c r="L37" s="2" t="inlineStr">
        <is>
          <t>adopted</t>
        </is>
      </c>
      <c r="M37" s="2" t="inlineStr">
        <is>
          <t>adopted</t>
        </is>
      </c>
      <c r="N37" s="2" t="inlineStr">
        <is>
          <t>32018R1724</t>
        </is>
      </c>
      <c r="O37" s="2" t="inlineStr">
        <is>
          <t>Original act as published in the OJ</t>
        </is>
      </c>
      <c r="P37" s="2" t="inlineStr">
        <is>
          <t>https://eur-lex.europa.eu/legal-content/EN/TXT/?uri=CELEX:32018R1724</t>
        </is>
      </c>
      <c r="Q37" s="3" t="n">
        <v>38</v>
      </c>
      <c r="R37" s="3" t="n">
        <v>20255</v>
      </c>
      <c r="S37" s="3" t="n">
        <v>9449</v>
      </c>
      <c r="T37" s="3" t="n">
        <v>9316</v>
      </c>
      <c r="U37" s="3" t="n">
        <v>8396</v>
      </c>
      <c r="V37" s="3" t="n">
        <v>2410</v>
      </c>
      <c r="W37" s="3" t="n">
        <v>0</v>
      </c>
      <c r="X37" s="3" t="n">
        <v>0</v>
      </c>
      <c r="Y37" s="3" t="n">
        <v>138</v>
      </c>
      <c r="Z37" s="3" t="n">
        <v>110</v>
      </c>
      <c r="AA37" s="3" t="n">
        <v>4</v>
      </c>
      <c r="AB37" s="3" t="n">
        <v>3</v>
      </c>
      <c r="AC37" s="3" t="n">
        <v>5</v>
      </c>
      <c r="AD37" s="3" t="n">
        <v>16</v>
      </c>
      <c r="AE37" s="3" t="n">
        <v>6</v>
      </c>
      <c r="AF37" s="3" t="n">
        <v>39</v>
      </c>
      <c r="AG37" s="3" t="n">
        <v>67</v>
      </c>
      <c r="AH37" s="3" t="n">
        <v>26</v>
      </c>
      <c r="AI37" s="2" t="inlineStr">
        <is>
          <t>02018R1724-20260520</t>
        </is>
      </c>
      <c r="AJ37" s="3" t="n">
        <v>135</v>
      </c>
      <c r="AK37" s="2" t="n">
        <v>6</v>
      </c>
      <c r="AL37" s="2">
        <f>COUNTIFS(secondary_acts!$A$2:$A$771,$A37,secondary_acts!$E$2:$E$771,"implementing")</f>
        <v/>
      </c>
      <c r="AM37" s="2">
        <f>COUNTIFS(secondary_acts!$A$2:$A$771,$A37,secondary_acts!$E$2:$E$771,"delegated")</f>
        <v/>
      </c>
      <c r="AN37" s="2">
        <f>COUNTIFS(secondary_acts!$A$2:$A$771,$A37,secondary_acts!$E$2:$E$771,"other Commission/Council act")</f>
        <v/>
      </c>
      <c r="AO37" s="2">
        <f>COUNTIFS(secondary_acts!$A$2:$A$771,$A37,secondary_acts!$E$2:$E$771,"guidance")</f>
        <v/>
      </c>
      <c r="AP37" s="2">
        <f>COUNTIF(guidance_web!$A$2:$A$7,$A37)</f>
        <v/>
      </c>
      <c r="AQ37" s="2">
        <f>COUNTIFS(guidance_agencies!$A$2:$A$81,$A37,guidance_agencies!$D$2:$D$81,"EDPB")</f>
        <v/>
      </c>
      <c r="AR37" s="2">
        <f>COUNTIFS(guidance_agencies!$A$2:$A$81,$A37,guidance_agencies!$D$2:$D$81,"EBA")</f>
        <v/>
      </c>
      <c r="AS37" s="2">
        <f>COUNTIFS(guidance_agencies!$A$2:$A$81,$A37,guidance_agencies!$D$2:$D$81,"ESMA")</f>
        <v/>
      </c>
      <c r="AT37" s="3">
        <f>SUMIFS(secondary_acts!$S$2:$S$771,secondary_acts!$A$2:$A$771,$A37,secondary_acts!$E$2:$E$771,"implementing")+SUMIFS(secondary_acts!$S$2:$S$771,secondary_acts!$A$2:$A$771,$A37,secondary_acts!$E$2:$E$771,"delegated")</f>
        <v/>
      </c>
      <c r="AU37" s="3" t="n"/>
      <c r="AV37" s="2" t="n"/>
      <c r="AW37" s="2" t="n">
        <v>6</v>
      </c>
      <c r="AX37" s="2" t="inlineStr">
        <is>
          <t>2022-05-30</t>
        </is>
      </c>
      <c r="AY37" s="2" t="inlineStr">
        <is>
          <t>2025-10-22</t>
        </is>
      </c>
      <c r="AZ37" s="2" t="n">
        <v>2</v>
      </c>
      <c r="BA37" s="2" t="inlineStr">
        <is>
          <t>52017PC0256</t>
        </is>
      </c>
      <c r="BB37" s="2" t="inlineStr">
        <is>
          <t>EUR-Lex HTML</t>
        </is>
      </c>
      <c r="BC37" s="2" t="n">
        <v>12019</v>
      </c>
      <c r="BD37" s="2" t="n">
        <v>118</v>
      </c>
      <c r="BE37" s="2" t="n">
        <v>3</v>
      </c>
      <c r="BF37" s="2">
        <f>IF(ISNUMBER(BC37),R37-BC37,"")</f>
        <v/>
      </c>
      <c r="BG37" s="4">
        <f>IF(AND(ISNUMBER(BC37),BC37&gt;0),(R37-BC37)/BC37,"")</f>
        <v/>
      </c>
      <c r="BH37" s="2">
        <f>IF(ISNUMBER(BD37),Y37-BD37,"")</f>
        <v/>
      </c>
      <c r="BI37" s="4">
        <f>IF(AND(ISNUMBER(BD37),BD37&gt;0),(Y37-BD37)/BD37,"")</f>
        <v/>
      </c>
      <c r="BJ37" s="2">
        <f>IF(ISNUMBER(BE37),AE37-BE37,"")</f>
        <v/>
      </c>
      <c r="BK37" s="2" t="inlineStr">
        <is>
          <t>moderate</t>
        </is>
      </c>
      <c r="BL37" s="2" t="inlineStr">
        <is>
          <t>moderate on usage, thin on impact: usage and satisfaction indicators measured by the Commission; forecast cost savings unmeasured; no independent impact studies found</t>
        </is>
      </c>
      <c r="BM37" s="2" t="inlineStr">
        <is>
          <t>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is>
      </c>
      <c r="BN37" s="2" t="n">
        <v>5</v>
      </c>
      <c r="BO37" s="2" t="n">
        <v>4</v>
      </c>
      <c r="BP37" s="2" t="n">
        <v>5</v>
      </c>
      <c r="BQ37" s="2" t="n">
        <v>0</v>
      </c>
      <c r="BR37" s="2" t="inlineStr"/>
    </row>
    <row r="38">
      <c r="A38" s="2" t="n">
        <v>37</v>
      </c>
      <c r="B38" s="2" t="inlineStr">
        <is>
          <t>Cybersecurity Act</t>
        </is>
      </c>
      <c r="C38" s="2" t="inlineStr">
        <is>
          <t>Aims to achieve a high level of cybersecurity, cyber resilience and trust in the EU while supporting the internal market. It gives ENISA, the EU Agency for Cybersecurity, a permanent mandate with defined objectives and tasks, and creates a framework for European cybersecurity certification schemes for ICT products, services and processes, to avoid fragmented national certification.</t>
        </is>
      </c>
      <c r="D38" s="2" t="inlineStr">
        <is>
          <t>Regulation (EU) 2019/881</t>
        </is>
      </c>
      <c r="E38" s="2" t="inlineStr">
        <is>
          <t>Cybersecurity</t>
        </is>
      </c>
      <c r="F38" s="2" t="inlineStr">
        <is>
          <t>enacted</t>
        </is>
      </c>
      <c r="G38" s="2" t="inlineStr">
        <is>
          <t>2017-09-13</t>
        </is>
      </c>
      <c r="H38" s="2" t="inlineStr">
        <is>
          <t>high</t>
        </is>
      </c>
      <c r="I38" s="2" t="inlineStr">
        <is>
          <t>2019-04-17</t>
        </is>
      </c>
      <c r="J38" s="2" t="inlineStr">
        <is>
          <t>2019-06-07</t>
        </is>
      </c>
      <c r="K38" s="2" t="inlineStr">
        <is>
          <t>2019-06-27</t>
        </is>
      </c>
      <c r="L38" s="2" t="inlineStr">
        <is>
          <t>adopted</t>
        </is>
      </c>
      <c r="M38" s="2" t="inlineStr">
        <is>
          <t>adopted</t>
        </is>
      </c>
      <c r="N38" s="2" t="inlineStr">
        <is>
          <t>32019R0881</t>
        </is>
      </c>
      <c r="O38" s="2" t="inlineStr">
        <is>
          <t>Original act as published in the OJ</t>
        </is>
      </c>
      <c r="P38" s="2" t="inlineStr">
        <is>
          <t>https://eur-lex.europa.eu/legal-content/EN/TXT/?uri=CELEX:32019R0881</t>
        </is>
      </c>
      <c r="Q38" s="3" t="n">
        <v>55</v>
      </c>
      <c r="R38" s="3" t="n">
        <v>30460</v>
      </c>
      <c r="S38" s="3" t="n">
        <v>12254</v>
      </c>
      <c r="T38" s="3" t="n">
        <v>12114</v>
      </c>
      <c r="U38" s="3" t="n">
        <v>17006</v>
      </c>
      <c r="V38" s="3" t="n">
        <v>1200</v>
      </c>
      <c r="W38" s="3" t="n">
        <v>0</v>
      </c>
      <c r="X38" s="3" t="n">
        <v>0</v>
      </c>
      <c r="Y38" s="3" t="n">
        <v>382</v>
      </c>
      <c r="Z38" s="3" t="n">
        <v>354</v>
      </c>
      <c r="AA38" s="3" t="n">
        <v>20</v>
      </c>
      <c r="AB38" s="3" t="n">
        <v>0</v>
      </c>
      <c r="AC38" s="3" t="n">
        <v>2</v>
      </c>
      <c r="AD38" s="3" t="n">
        <v>6</v>
      </c>
      <c r="AE38" s="3" t="n">
        <v>18</v>
      </c>
      <c r="AF38" s="3" t="n">
        <v>43</v>
      </c>
      <c r="AG38" s="3" t="n">
        <v>219</v>
      </c>
      <c r="AH38" s="3" t="n">
        <v>102</v>
      </c>
      <c r="AI38" s="2" t="inlineStr">
        <is>
          <t>02019R0881-20250204</t>
        </is>
      </c>
      <c r="AJ38" s="3" t="n">
        <v>388</v>
      </c>
      <c r="AK38" s="2" t="n">
        <v>15</v>
      </c>
      <c r="AL38" s="2">
        <f>COUNTIFS(secondary_acts!$A$2:$A$771,$A38,secondary_acts!$E$2:$E$771,"implementing")</f>
        <v/>
      </c>
      <c r="AM38" s="2">
        <f>COUNTIFS(secondary_acts!$A$2:$A$771,$A38,secondary_acts!$E$2:$E$771,"delegated")</f>
        <v/>
      </c>
      <c r="AN38" s="2">
        <f>COUNTIFS(secondary_acts!$A$2:$A$771,$A38,secondary_acts!$E$2:$E$771,"other Commission/Council act")</f>
        <v/>
      </c>
      <c r="AO38" s="2">
        <f>COUNTIFS(secondary_acts!$A$2:$A$771,$A38,secondary_acts!$E$2:$E$771,"guidance")</f>
        <v/>
      </c>
      <c r="AP38" s="2">
        <f>COUNTIF(guidance_web!$A$2:$A$7,$A38)</f>
        <v/>
      </c>
      <c r="AQ38" s="2">
        <f>COUNTIFS(guidance_agencies!$A$2:$A$81,$A38,guidance_agencies!$D$2:$D$81,"EDPB")</f>
        <v/>
      </c>
      <c r="AR38" s="2">
        <f>COUNTIFS(guidance_agencies!$A$2:$A$81,$A38,guidance_agencies!$D$2:$D$81,"EBA")</f>
        <v/>
      </c>
      <c r="AS38" s="2">
        <f>COUNTIFS(guidance_agencies!$A$2:$A$81,$A38,guidance_agencies!$D$2:$D$81,"ESMA")</f>
        <v/>
      </c>
      <c r="AT38" s="3">
        <f>SUMIFS(secondary_acts!$S$2:$S$771,secondary_acts!$A$2:$A$771,$A38,secondary_acts!$E$2:$E$771,"implementing")+SUMIFS(secondary_acts!$S$2:$S$771,secondary_acts!$A$2:$A$771,$A38,secondary_acts!$E$2:$E$771,"delegated")</f>
        <v/>
      </c>
      <c r="AU38" s="3" t="n"/>
      <c r="AV38" s="2" t="n"/>
      <c r="AW38" s="2" t="n">
        <v>1</v>
      </c>
      <c r="AX38" s="2" t="inlineStr">
        <is>
          <t>2024-12-19</t>
        </is>
      </c>
      <c r="AY38" s="2" t="inlineStr">
        <is>
          <t>2024-12-19</t>
        </is>
      </c>
      <c r="AZ38" s="2" t="n">
        <v>7</v>
      </c>
      <c r="BA38" s="2" t="inlineStr">
        <is>
          <t>52017PC0477</t>
        </is>
      </c>
      <c r="BB38" s="2" t="inlineStr">
        <is>
          <t>EUR-Lex HTML</t>
        </is>
      </c>
      <c r="BC38" s="2" t="n">
        <v>19728</v>
      </c>
      <c r="BD38" s="2" t="n">
        <v>262</v>
      </c>
      <c r="BE38" s="2" t="n">
        <v>19</v>
      </c>
      <c r="BF38" s="2">
        <f>IF(ISNUMBER(BC38),R38-BC38,"")</f>
        <v/>
      </c>
      <c r="BG38" s="4">
        <f>IF(AND(ISNUMBER(BC38),BC38&gt;0),(R38-BC38)/BC38,"")</f>
        <v/>
      </c>
      <c r="BH38" s="2">
        <f>IF(ISNUMBER(BD38),Y38-BD38,"")</f>
        <v/>
      </c>
      <c r="BI38" s="4">
        <f>IF(AND(ISNUMBER(BD38),BD38&gt;0),(Y38-BD38)/BD38,"")</f>
        <v/>
      </c>
      <c r="BJ38" s="2">
        <f>IF(ISNUMBER(BE38),AE38-BE38,"")</f>
        <v/>
      </c>
      <c r="BK38" s="2" t="inlineStr">
        <is>
          <t>thin</t>
        </is>
      </c>
      <c r="BL38" s="2" t="inlineStr">
        <is>
          <t>thin: one Commission evaluation based on interviews and surveys (no outcome indicators); no independent impact studies</t>
        </is>
      </c>
      <c r="BM38" s="2" t="inlineStr">
        <is>
          <t>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is>
      </c>
      <c r="BN38" s="2" t="n">
        <v>5</v>
      </c>
      <c r="BO38" s="2" t="n">
        <v>2</v>
      </c>
      <c r="BP38" s="2" t="n">
        <v>2</v>
      </c>
      <c r="BQ38" s="2" t="n">
        <v>0</v>
      </c>
      <c r="BR38" s="2" t="inlineStr"/>
    </row>
    <row r="39">
      <c r="A39" s="2" t="n">
        <v>38</v>
      </c>
      <c r="B39" s="2" t="inlineStr">
        <is>
          <t>Free Flow of Non-Personal Data Regulation</t>
        </is>
      </c>
      <c r="C39" s="2" t="inlineStr">
        <is>
          <t>Aims to ensure the free flow of non-personal data within the EU. It applies to the processing of electronic non-personal data in the Union, prohibits unjustified national data localisation requirements, ensures competent authorities can still access data stored in another Member State, and encourages self-regulatory codes of conduct to make switching cloud providers and porting data easier for professional users.</t>
        </is>
      </c>
      <c r="D39" s="2" t="inlineStr">
        <is>
          <t>Regulation (EU) 2018/1807</t>
        </is>
      </c>
      <c r="E39" s="2" t="inlineStr">
        <is>
          <t>Data &amp; Privacy</t>
        </is>
      </c>
      <c r="F39" s="2" t="inlineStr">
        <is>
          <t>enacted</t>
        </is>
      </c>
      <c r="G39" s="2" t="inlineStr">
        <is>
          <t>2017-09-13</t>
        </is>
      </c>
      <c r="H39" s="2" t="inlineStr">
        <is>
          <t>high</t>
        </is>
      </c>
      <c r="I39" s="2" t="inlineStr">
        <is>
          <t>2018-11-14</t>
        </is>
      </c>
      <c r="J39" s="2" t="inlineStr">
        <is>
          <t>2018-11-28</t>
        </is>
      </c>
      <c r="K39" s="2" t="inlineStr">
        <is>
          <t>2018-12-18</t>
        </is>
      </c>
      <c r="L39" s="2" t="inlineStr">
        <is>
          <t>adopted</t>
        </is>
      </c>
      <c r="M39" s="2" t="inlineStr">
        <is>
          <t>adopted</t>
        </is>
      </c>
      <c r="N39" s="2" t="inlineStr">
        <is>
          <t>32018R1807</t>
        </is>
      </c>
      <c r="O39" s="2" t="inlineStr">
        <is>
          <t>Original act as published in the OJ</t>
        </is>
      </c>
      <c r="P39" s="2" t="inlineStr">
        <is>
          <t>https://eur-lex.europa.eu/legal-content/EN/TXT/?uri=CELEX:32018R1807</t>
        </is>
      </c>
      <c r="Q39" s="3" t="n">
        <v>10</v>
      </c>
      <c r="R39" s="3" t="n">
        <v>6275</v>
      </c>
      <c r="S39" s="3" t="n">
        <v>4213</v>
      </c>
      <c r="T39" s="3" t="n">
        <v>4089</v>
      </c>
      <c r="U39" s="3" t="n">
        <v>2062</v>
      </c>
      <c r="V39" s="3" t="n">
        <v>0</v>
      </c>
      <c r="W39" s="3" t="n">
        <v>0</v>
      </c>
      <c r="X39" s="3" t="n">
        <v>0</v>
      </c>
      <c r="Y39" s="3" t="n">
        <v>31</v>
      </c>
      <c r="Z39" s="3" t="n">
        <v>26</v>
      </c>
      <c r="AA39" s="3" t="n">
        <v>2</v>
      </c>
      <c r="AB39" s="3" t="n">
        <v>0</v>
      </c>
      <c r="AC39" s="3" t="n">
        <v>1</v>
      </c>
      <c r="AD39" s="3" t="n">
        <v>2</v>
      </c>
      <c r="AE39" s="3" t="n">
        <v>0</v>
      </c>
      <c r="AF39" s="3" t="n">
        <v>17</v>
      </c>
      <c r="AG39" s="3" t="n">
        <v>10</v>
      </c>
      <c r="AH39" s="3" t="n">
        <v>4</v>
      </c>
      <c r="AI39" s="2" t="n"/>
      <c r="AJ39" s="3" t="n"/>
      <c r="AK39" s="2" t="n"/>
      <c r="AL39" s="2">
        <f>COUNTIFS(secondary_acts!$A$2:$A$771,$A39,secondary_acts!$E$2:$E$771,"implementing")</f>
        <v/>
      </c>
      <c r="AM39" s="2">
        <f>COUNTIFS(secondary_acts!$A$2:$A$771,$A39,secondary_acts!$E$2:$E$771,"delegated")</f>
        <v/>
      </c>
      <c r="AN39" s="2">
        <f>COUNTIFS(secondary_acts!$A$2:$A$771,$A39,secondary_acts!$E$2:$E$771,"other Commission/Council act")</f>
        <v/>
      </c>
      <c r="AO39" s="2">
        <f>COUNTIFS(secondary_acts!$A$2:$A$771,$A39,secondary_acts!$E$2:$E$771,"guidance")</f>
        <v/>
      </c>
      <c r="AP39" s="2">
        <f>COUNTIF(guidance_web!$A$2:$A$7,$A39)</f>
        <v/>
      </c>
      <c r="AQ39" s="2">
        <f>COUNTIFS(guidance_agencies!$A$2:$A$81,$A39,guidance_agencies!$D$2:$D$81,"EDPB")</f>
        <v/>
      </c>
      <c r="AR39" s="2">
        <f>COUNTIFS(guidance_agencies!$A$2:$A$81,$A39,guidance_agencies!$D$2:$D$81,"EBA")</f>
        <v/>
      </c>
      <c r="AS39" s="2">
        <f>COUNTIFS(guidance_agencies!$A$2:$A$81,$A39,guidance_agencies!$D$2:$D$81,"ESMA")</f>
        <v/>
      </c>
      <c r="AT39" s="3">
        <f>SUMIFS(secondary_acts!$S$2:$S$771,secondary_acts!$A$2:$A$771,$A39,secondary_acts!$E$2:$E$771,"implementing")+SUMIFS(secondary_acts!$S$2:$S$771,secondary_acts!$A$2:$A$771,$A39,secondary_acts!$E$2:$E$771,"delegated")</f>
        <v/>
      </c>
      <c r="AU39" s="3" t="n"/>
      <c r="AV39" s="2" t="n"/>
      <c r="AW39" s="2" t="n">
        <v>0</v>
      </c>
      <c r="AX39" s="2" t="n"/>
      <c r="AY39" s="2" t="n"/>
      <c r="AZ39" s="2" t="n">
        <v>0</v>
      </c>
      <c r="BA39" s="2" t="inlineStr">
        <is>
          <t>52017PC0495</t>
        </is>
      </c>
      <c r="BB39" s="2" t="inlineStr">
        <is>
          <t>EUR-Lex HTML</t>
        </is>
      </c>
      <c r="BC39" s="2" t="n">
        <v>4345</v>
      </c>
      <c r="BD39" s="2" t="n">
        <v>29</v>
      </c>
      <c r="BE39" s="2" t="n">
        <v>0</v>
      </c>
      <c r="BF39" s="2">
        <f>IF(ISNUMBER(BC39),R39-BC39,"")</f>
        <v/>
      </c>
      <c r="BG39" s="4">
        <f>IF(AND(ISNUMBER(BC39),BC39&gt;0),(R39-BC39)/BC39,"")</f>
        <v/>
      </c>
      <c r="BH39" s="2">
        <f>IF(ISNUMBER(BD39),Y39-BD39,"")</f>
        <v/>
      </c>
      <c r="BI39" s="4">
        <f>IF(AND(ISNUMBER(BD39),BD39&gt;0),(Y39-BD39)/BD39,"")</f>
        <v/>
      </c>
      <c r="BJ39" s="2">
        <f>IF(ISNUMBER(BE39),AE39-BE39,"")</f>
        <v/>
      </c>
      <c r="BK39" s="2" t="inlineStr">
        <is>
          <t>thin</t>
        </is>
      </c>
      <c r="BL39" s="2" t="inlineStr">
        <is>
          <t>thin: no promised indicators measured; evaluation evidence qualitative and points to limited effect; no causal studies</t>
        </is>
      </c>
      <c r="BM39" s="2" t="inlineStr">
        <is>
          <t>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is>
      </c>
      <c r="BN39" s="2" t="n">
        <v>5</v>
      </c>
      <c r="BO39" s="2" t="n">
        <v>4</v>
      </c>
      <c r="BP39" s="2" t="n">
        <v>3</v>
      </c>
      <c r="BQ39" s="2" t="n">
        <v>0</v>
      </c>
      <c r="BR39" s="2" t="inlineStr"/>
    </row>
    <row r="40">
      <c r="A40" s="2" t="n">
        <v>39</v>
      </c>
      <c r="B40" s="2" t="inlineStr">
        <is>
          <t>FDI Screening Regulation</t>
        </is>
      </c>
      <c r="C40" s="2" t="inlineStr">
        <is>
          <t>Establishes an EU framework for Member States' screening of foreign direct investments on grounds of security or public order. It sets minimum requirements for national screening mechanisms, creates a cooperation mechanism through which Member States and the Commission share information and comments on investments, and allows the Commission to issue opinions. Each Member State keeps the final decision on whether to screen an investment.</t>
        </is>
      </c>
      <c r="D40" s="2" t="inlineStr">
        <is>
          <t>Regulation (EU) 2019/452</t>
        </is>
      </c>
      <c r="E40" s="2" t="inlineStr">
        <is>
          <t>Competition &amp; Single Market</t>
        </is>
      </c>
      <c r="F40" s="2" t="inlineStr">
        <is>
          <t>enacted</t>
        </is>
      </c>
      <c r="G40" s="2" t="inlineStr">
        <is>
          <t>2017-09-13</t>
        </is>
      </c>
      <c r="H40" s="2" t="inlineStr">
        <is>
          <t>high</t>
        </is>
      </c>
      <c r="I40" s="2" t="inlineStr">
        <is>
          <t>2019-03-19</t>
        </is>
      </c>
      <c r="J40" s="2" t="inlineStr">
        <is>
          <t>2019-03-21</t>
        </is>
      </c>
      <c r="K40" s="2" t="inlineStr">
        <is>
          <t>2019-04-10</t>
        </is>
      </c>
      <c r="L40" s="2" t="inlineStr">
        <is>
          <t>adopted</t>
        </is>
      </c>
      <c r="M40" s="2" t="inlineStr">
        <is>
          <t>adopted</t>
        </is>
      </c>
      <c r="N40" s="2" t="inlineStr">
        <is>
          <t>32019R0452</t>
        </is>
      </c>
      <c r="O40" s="2" t="inlineStr">
        <is>
          <t>Original act as published in the OJ</t>
        </is>
      </c>
      <c r="P40" s="2" t="inlineStr">
        <is>
          <t>https://eur-lex.europa.eu/legal-content/EN/TXT/?uri=CELEX:32019R0452</t>
        </is>
      </c>
      <c r="Q40" s="3" t="n">
        <v>14</v>
      </c>
      <c r="R40" s="3" t="n">
        <v>7814</v>
      </c>
      <c r="S40" s="3" t="n">
        <v>3363</v>
      </c>
      <c r="T40" s="3" t="n">
        <v>3238</v>
      </c>
      <c r="U40" s="3" t="n">
        <v>3948</v>
      </c>
      <c r="V40" s="3" t="n">
        <v>503</v>
      </c>
      <c r="W40" s="3" t="n">
        <v>0</v>
      </c>
      <c r="X40" s="3" t="n">
        <v>0</v>
      </c>
      <c r="Y40" s="3" t="n">
        <v>70</v>
      </c>
      <c r="Z40" s="3" t="n">
        <v>67</v>
      </c>
      <c r="AA40" s="3" t="n">
        <v>0</v>
      </c>
      <c r="AB40" s="3" t="n">
        <v>0</v>
      </c>
      <c r="AC40" s="3" t="n">
        <v>0</v>
      </c>
      <c r="AD40" s="3" t="n">
        <v>3</v>
      </c>
      <c r="AE40" s="3" t="n">
        <v>5</v>
      </c>
      <c r="AF40" s="3" t="n">
        <v>24</v>
      </c>
      <c r="AG40" s="3" t="n">
        <v>25</v>
      </c>
      <c r="AH40" s="3" t="n">
        <v>16</v>
      </c>
      <c r="AI40" s="2" t="inlineStr">
        <is>
          <t>02019R0452-20211223</t>
        </is>
      </c>
      <c r="AJ40" s="3" t="n">
        <v>70</v>
      </c>
      <c r="AK40" s="2" t="n">
        <v>5</v>
      </c>
      <c r="AL40" s="2">
        <f>COUNTIFS(secondary_acts!$A$2:$A$771,$A40,secondary_acts!$E$2:$E$771,"implementing")</f>
        <v/>
      </c>
      <c r="AM40" s="2">
        <f>COUNTIFS(secondary_acts!$A$2:$A$771,$A40,secondary_acts!$E$2:$E$771,"delegated")</f>
        <v/>
      </c>
      <c r="AN40" s="2">
        <f>COUNTIFS(secondary_acts!$A$2:$A$771,$A40,secondary_acts!$E$2:$E$771,"other Commission/Council act")</f>
        <v/>
      </c>
      <c r="AO40" s="2">
        <f>COUNTIFS(secondary_acts!$A$2:$A$771,$A40,secondary_acts!$E$2:$E$771,"guidance")</f>
        <v/>
      </c>
      <c r="AP40" s="2">
        <f>COUNTIF(guidance_web!$A$2:$A$7,$A40)</f>
        <v/>
      </c>
      <c r="AQ40" s="2">
        <f>COUNTIFS(guidance_agencies!$A$2:$A$81,$A40,guidance_agencies!$D$2:$D$81,"EDPB")</f>
        <v/>
      </c>
      <c r="AR40" s="2">
        <f>COUNTIFS(guidance_agencies!$A$2:$A$81,$A40,guidance_agencies!$D$2:$D$81,"EBA")</f>
        <v/>
      </c>
      <c r="AS40" s="2">
        <f>COUNTIFS(guidance_agencies!$A$2:$A$81,$A40,guidance_agencies!$D$2:$D$81,"ESMA")</f>
        <v/>
      </c>
      <c r="AT40" s="3">
        <f>SUMIFS(secondary_acts!$S$2:$S$771,secondary_acts!$A$2:$A$771,$A40,secondary_acts!$E$2:$E$771,"implementing")+SUMIFS(secondary_acts!$S$2:$S$771,secondary_acts!$A$2:$A$771,$A40,secondary_acts!$E$2:$E$771,"delegated")</f>
        <v/>
      </c>
      <c r="AU40" s="3" t="n"/>
      <c r="AV40" s="2" t="n"/>
      <c r="AW40" s="2" t="n">
        <v>2</v>
      </c>
      <c r="AX40" s="2" t="inlineStr">
        <is>
          <t>2020-07-13</t>
        </is>
      </c>
      <c r="AY40" s="2" t="inlineStr">
        <is>
          <t>2021-09-29</t>
        </is>
      </c>
      <c r="AZ40" s="2" t="n">
        <v>1</v>
      </c>
      <c r="BA40" s="2" t="inlineStr">
        <is>
          <t>52017PC0487</t>
        </is>
      </c>
      <c r="BB40" s="2" t="inlineStr">
        <is>
          <t>EUR-Lex HTML</t>
        </is>
      </c>
      <c r="BC40" s="2" t="n">
        <v>4087</v>
      </c>
      <c r="BD40" s="2" t="n">
        <v>31</v>
      </c>
      <c r="BE40" s="2" t="n">
        <v>2</v>
      </c>
      <c r="BF40" s="2">
        <f>IF(ISNUMBER(BC40),R40-BC40,"")</f>
        <v/>
      </c>
      <c r="BG40" s="4">
        <f>IF(AND(ISNUMBER(BC40),BC40&gt;0),(R40-BC40)/BC40,"")</f>
        <v/>
      </c>
      <c r="BH40" s="2">
        <f>IF(ISNUMBER(BD40),Y40-BD40,"")</f>
        <v/>
      </c>
      <c r="BI40" s="4">
        <f>IF(AND(ISNUMBER(BD40),BD40&gt;0),(Y40-BD40)/BD40,"")</f>
        <v/>
      </c>
      <c r="BJ40" s="2">
        <f>IF(ISNUMBER(BE40),AE40-BE40,"")</f>
        <v/>
      </c>
      <c r="BK40" s="2" t="inlineStr">
        <is>
          <t>moderate</t>
        </is>
      </c>
      <c r="BL40" s="2" t="inlineStr">
        <is>
          <t>moderate: Commission evaluation, ECA audit and OECD review on process; two independent quasi-experimental studies on investment flows (working papers) that point to some chilling effect of screening</t>
        </is>
      </c>
      <c r="BM40" s="2" t="inlineStr">
        <is>
          <t>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is>
      </c>
      <c r="BN40" s="2" t="n">
        <v>3</v>
      </c>
      <c r="BO40" s="2" t="n">
        <v>3</v>
      </c>
      <c r="BP40" s="2" t="n">
        <v>11</v>
      </c>
      <c r="BQ40" s="2" t="n">
        <v>2</v>
      </c>
      <c r="BR40" s="2" t="inlineStr"/>
    </row>
    <row r="41">
      <c r="A41" s="2" t="n">
        <v>40</v>
      </c>
      <c r="B41" s="2" t="inlineStr">
        <is>
          <t>Non-cash payment fraud Directive</t>
        </is>
      </c>
      <c r="C41" s="2" t="inlineStr">
        <is>
          <t>Establishes minimum rules on defining criminal offences and sanctions for fraud and counterfeiting involving non-cash means of payment, including cards, e-money and virtual currencies. It requires Member States to criminalise the fraudulent use, theft and counterfeiting of payment instruments and related tools, improve cross-border cooperation and information exchange, and provide assistance and support to victims.</t>
        </is>
      </c>
      <c r="D41" s="2" t="inlineStr">
        <is>
          <t>Directive (EU) 2019/713</t>
        </is>
      </c>
      <c r="E41" s="2" t="inlineStr">
        <is>
          <t>Law Enforcement</t>
        </is>
      </c>
      <c r="F41" s="2" t="inlineStr">
        <is>
          <t>enacted</t>
        </is>
      </c>
      <c r="G41" s="2" t="inlineStr">
        <is>
          <t>2017-09-13</t>
        </is>
      </c>
      <c r="H41" s="2" t="inlineStr">
        <is>
          <t>high</t>
        </is>
      </c>
      <c r="I41" s="2" t="inlineStr">
        <is>
          <t>2019-04-17</t>
        </is>
      </c>
      <c r="J41" s="2" t="inlineStr">
        <is>
          <t>2019-05-10</t>
        </is>
      </c>
      <c r="K41" s="2" t="inlineStr">
        <is>
          <t>2019-05-30</t>
        </is>
      </c>
      <c r="L41" s="2" t="inlineStr">
        <is>
          <t>adopted</t>
        </is>
      </c>
      <c r="M41" s="2" t="inlineStr">
        <is>
          <t>adopted</t>
        </is>
      </c>
      <c r="N41" s="2" t="inlineStr">
        <is>
          <t>32019L0713</t>
        </is>
      </c>
      <c r="O41" s="2" t="inlineStr">
        <is>
          <t>Original act as published in the OJ</t>
        </is>
      </c>
      <c r="P41" s="2" t="inlineStr">
        <is>
          <t>https://eur-lex.europa.eu/legal-content/EN/TXT/?uri=CELEX:32019L0713</t>
        </is>
      </c>
      <c r="Q41" s="3" t="n">
        <v>12</v>
      </c>
      <c r="R41" s="3" t="n">
        <v>6609</v>
      </c>
      <c r="S41" s="3" t="n">
        <v>3611</v>
      </c>
      <c r="T41" s="3" t="n">
        <v>3493</v>
      </c>
      <c r="U41" s="3" t="n">
        <v>2998</v>
      </c>
      <c r="V41" s="3" t="n">
        <v>0</v>
      </c>
      <c r="W41" s="3" t="n">
        <v>0</v>
      </c>
      <c r="X41" s="3" t="n">
        <v>0</v>
      </c>
      <c r="Y41" s="3" t="n">
        <v>52</v>
      </c>
      <c r="Z41" s="3" t="n">
        <v>46</v>
      </c>
      <c r="AA41" s="3" t="n">
        <v>1</v>
      </c>
      <c r="AB41" s="3" t="n">
        <v>0</v>
      </c>
      <c r="AC41" s="3" t="n">
        <v>0</v>
      </c>
      <c r="AD41" s="3" t="n">
        <v>5</v>
      </c>
      <c r="AE41" s="3" t="n">
        <v>1</v>
      </c>
      <c r="AF41" s="3" t="n">
        <v>42</v>
      </c>
      <c r="AG41" s="3" t="n">
        <v>7</v>
      </c>
      <c r="AH41" s="3" t="n">
        <v>2</v>
      </c>
      <c r="AI41" s="2" t="n"/>
      <c r="AJ41" s="3" t="n"/>
      <c r="AK41" s="2" t="n"/>
      <c r="AL41" s="2">
        <f>COUNTIFS(secondary_acts!$A$2:$A$771,$A41,secondary_acts!$E$2:$E$771,"implementing")</f>
        <v/>
      </c>
      <c r="AM41" s="2">
        <f>COUNTIFS(secondary_acts!$A$2:$A$771,$A41,secondary_acts!$E$2:$E$771,"delegated")</f>
        <v/>
      </c>
      <c r="AN41" s="2">
        <f>COUNTIFS(secondary_acts!$A$2:$A$771,$A41,secondary_acts!$E$2:$E$771,"other Commission/Council act")</f>
        <v/>
      </c>
      <c r="AO41" s="2">
        <f>COUNTIFS(secondary_acts!$A$2:$A$771,$A41,secondary_acts!$E$2:$E$771,"guidance")</f>
        <v/>
      </c>
      <c r="AP41" s="2">
        <f>COUNTIF(guidance_web!$A$2:$A$7,$A41)</f>
        <v/>
      </c>
      <c r="AQ41" s="2">
        <f>COUNTIFS(guidance_agencies!$A$2:$A$81,$A41,guidance_agencies!$D$2:$D$81,"EDPB")</f>
        <v/>
      </c>
      <c r="AR41" s="2">
        <f>COUNTIFS(guidance_agencies!$A$2:$A$81,$A41,guidance_agencies!$D$2:$D$81,"EBA")</f>
        <v/>
      </c>
      <c r="AS41" s="2">
        <f>COUNTIFS(guidance_agencies!$A$2:$A$81,$A41,guidance_agencies!$D$2:$D$81,"ESMA")</f>
        <v/>
      </c>
      <c r="AT41" s="3">
        <f>SUMIFS(secondary_acts!$S$2:$S$771,secondary_acts!$A$2:$A$771,$A41,secondary_acts!$E$2:$E$771,"implementing")+SUMIFS(secondary_acts!$S$2:$S$771,secondary_acts!$A$2:$A$771,$A41,secondary_acts!$E$2:$E$771,"delegated")</f>
        <v/>
      </c>
      <c r="AU41" s="3" t="n">
        <v>2301</v>
      </c>
      <c r="AV41" s="2" t="n">
        <v>25</v>
      </c>
      <c r="AW41" s="2" t="n">
        <v>0</v>
      </c>
      <c r="AX41" s="2" t="n"/>
      <c r="AY41" s="2" t="n"/>
      <c r="AZ41" s="2" t="n">
        <v>0</v>
      </c>
      <c r="BA41" s="2" t="inlineStr">
        <is>
          <t>52017PC0489</t>
        </is>
      </c>
      <c r="BB41" s="2" t="inlineStr">
        <is>
          <t>EUR-Lex HTML</t>
        </is>
      </c>
      <c r="BC41" s="2" t="n">
        <v>5501</v>
      </c>
      <c r="BD41" s="2" t="n">
        <v>45</v>
      </c>
      <c r="BE41" s="2" t="n">
        <v>2</v>
      </c>
      <c r="BF41" s="2">
        <f>IF(ISNUMBER(BC41),R41-BC41,"")</f>
        <v/>
      </c>
      <c r="BG41" s="4">
        <f>IF(AND(ISNUMBER(BC41),BC41&gt;0),(R41-BC41)/BC41,"")</f>
        <v/>
      </c>
      <c r="BH41" s="2">
        <f>IF(ISNUMBER(BD41),Y41-BD41,"")</f>
        <v/>
      </c>
      <c r="BI41" s="4">
        <f>IF(AND(ISNUMBER(BD41),BD41&gt;0),(Y41-BD41)/BD41,"")</f>
        <v/>
      </c>
      <c r="BJ41" s="2">
        <f>IF(ISNUMBER(BE41),AE41-BE41,"")</f>
        <v/>
      </c>
      <c r="BK41" s="2" t="inlineStr">
        <is>
          <t>thin</t>
        </is>
      </c>
      <c r="BL41" s="2" t="inlineStr">
        <is>
          <t>thin: only a legal transposition report; fraud statistics exist but no study links them to the Directive; impact evaluation (due May 2026) not found</t>
        </is>
      </c>
      <c r="BM41" s="2" t="inlineStr">
        <is>
          <t>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is>
      </c>
      <c r="BN41" s="2" t="n">
        <v>4</v>
      </c>
      <c r="BO41" s="2" t="n">
        <v>2</v>
      </c>
      <c r="BP41" s="2" t="n">
        <v>4</v>
      </c>
      <c r="BQ41" s="2" t="n">
        <v>0</v>
      </c>
      <c r="BR41" s="2" t="inlineStr"/>
    </row>
    <row r="42">
      <c r="A42" s="2" t="n">
        <v>41</v>
      </c>
      <c r="B42" s="2" t="inlineStr">
        <is>
          <t>Market Surveillance Regulation</t>
        </is>
      </c>
      <c r="C42" s="2" t="inlineStr">
        <is>
          <t>Aims to improve the internal market by strengthening market surveillance of products covered by EU harmonisation legislation, so that only compliant products that protect health, safety, consumers and the environment are sold. It requires certain products to have an EU-based responsible economic operator, sets out market surveillance authorities' powers, including for online sales, creates the Union Product Compliance Network and frames controls on imported products.</t>
        </is>
      </c>
      <c r="D42" s="2" t="inlineStr">
        <is>
          <t>Regulation (EU) 2019/1020</t>
        </is>
      </c>
      <c r="E42" s="2" t="inlineStr">
        <is>
          <t>Competition &amp; Single Market</t>
        </is>
      </c>
      <c r="F42" s="2" t="inlineStr">
        <is>
          <t>enacted</t>
        </is>
      </c>
      <c r="G42" s="2" t="inlineStr">
        <is>
          <t>2017-12-19</t>
        </is>
      </c>
      <c r="H42" s="2" t="inlineStr">
        <is>
          <t>high</t>
        </is>
      </c>
      <c r="I42" s="2" t="inlineStr">
        <is>
          <t>2019-06-20</t>
        </is>
      </c>
      <c r="J42" s="2" t="inlineStr">
        <is>
          <t>2019-06-25</t>
        </is>
      </c>
      <c r="K42" s="2" t="inlineStr">
        <is>
          <t>2019-07-15</t>
        </is>
      </c>
      <c r="L42" s="2" t="inlineStr">
        <is>
          <t>adopted</t>
        </is>
      </c>
      <c r="M42" s="2" t="inlineStr">
        <is>
          <t>adopted</t>
        </is>
      </c>
      <c r="N42" s="2" t="inlineStr">
        <is>
          <t>32019R1020</t>
        </is>
      </c>
      <c r="O42" s="2" t="inlineStr">
        <is>
          <t>Original act as published in the OJ</t>
        </is>
      </c>
      <c r="P42" s="2" t="inlineStr">
        <is>
          <t>https://eur-lex.europa.eu/legal-content/EN/TXT/?uri=CELEX:32019R1020</t>
        </is>
      </c>
      <c r="Q42" s="3" t="n">
        <v>44</v>
      </c>
      <c r="R42" s="3" t="n">
        <v>24088</v>
      </c>
      <c r="S42" s="3" t="n">
        <v>6826</v>
      </c>
      <c r="T42" s="3" t="n">
        <v>6697</v>
      </c>
      <c r="U42" s="3" t="n">
        <v>12819</v>
      </c>
      <c r="V42" s="3" t="n">
        <v>4443</v>
      </c>
      <c r="W42" s="3" t="n">
        <v>0</v>
      </c>
      <c r="X42" s="3" t="n">
        <v>0</v>
      </c>
      <c r="Y42" s="3" t="n">
        <v>198</v>
      </c>
      <c r="Z42" s="3" t="n">
        <v>179</v>
      </c>
      <c r="AA42" s="3" t="n">
        <v>6</v>
      </c>
      <c r="AB42" s="3" t="n">
        <v>3</v>
      </c>
      <c r="AC42" s="3" t="n">
        <v>3</v>
      </c>
      <c r="AD42" s="3" t="n">
        <v>7</v>
      </c>
      <c r="AE42" s="3" t="n">
        <v>15</v>
      </c>
      <c r="AF42" s="3" t="n">
        <v>81</v>
      </c>
      <c r="AG42" s="3" t="n">
        <v>45</v>
      </c>
      <c r="AH42" s="3" t="n">
        <v>57</v>
      </c>
      <c r="AI42" s="2" t="inlineStr">
        <is>
          <t>02019R1020-20260812</t>
        </is>
      </c>
      <c r="AJ42" s="3" t="n">
        <v>198</v>
      </c>
      <c r="AK42" s="2" t="n">
        <v>15</v>
      </c>
      <c r="AL42" s="2">
        <f>COUNTIFS(secondary_acts!$A$2:$A$771,$A42,secondary_acts!$E$2:$E$771,"implementing")</f>
        <v/>
      </c>
      <c r="AM42" s="2">
        <f>COUNTIFS(secondary_acts!$A$2:$A$771,$A42,secondary_acts!$E$2:$E$771,"delegated")</f>
        <v/>
      </c>
      <c r="AN42" s="2">
        <f>COUNTIFS(secondary_acts!$A$2:$A$771,$A42,secondary_acts!$E$2:$E$771,"other Commission/Council act")</f>
        <v/>
      </c>
      <c r="AO42" s="2">
        <f>COUNTIFS(secondary_acts!$A$2:$A$771,$A42,secondary_acts!$E$2:$E$771,"guidance")</f>
        <v/>
      </c>
      <c r="AP42" s="2">
        <f>COUNTIF(guidance_web!$A$2:$A$7,$A42)</f>
        <v/>
      </c>
      <c r="AQ42" s="2">
        <f>COUNTIFS(guidance_agencies!$A$2:$A$81,$A42,guidance_agencies!$D$2:$D$81,"EDPB")</f>
        <v/>
      </c>
      <c r="AR42" s="2">
        <f>COUNTIFS(guidance_agencies!$A$2:$A$81,$A42,guidance_agencies!$D$2:$D$81,"EBA")</f>
        <v/>
      </c>
      <c r="AS42" s="2">
        <f>COUNTIFS(guidance_agencies!$A$2:$A$81,$A42,guidance_agencies!$D$2:$D$81,"ESMA")</f>
        <v/>
      </c>
      <c r="AT42" s="3">
        <f>SUMIFS(secondary_acts!$S$2:$S$771,secondary_acts!$A$2:$A$771,$A42,secondary_acts!$E$2:$E$771,"implementing")+SUMIFS(secondary_acts!$S$2:$S$771,secondary_acts!$A$2:$A$771,$A42,secondary_acts!$E$2:$E$771,"delegated")</f>
        <v/>
      </c>
      <c r="AU42" s="3" t="n"/>
      <c r="AV42" s="2" t="n"/>
      <c r="AW42" s="2" t="n">
        <v>6</v>
      </c>
      <c r="AX42" s="2" t="inlineStr">
        <is>
          <t>2023-07-12</t>
        </is>
      </c>
      <c r="AY42" s="2" t="inlineStr">
        <is>
          <t>2026-07-08</t>
        </is>
      </c>
      <c r="AZ42" s="2" t="n">
        <v>12</v>
      </c>
      <c r="BA42" s="2" t="inlineStr">
        <is>
          <t>52017PC0795</t>
        </is>
      </c>
      <c r="BB42" s="2" t="inlineStr">
        <is>
          <t>EUR-Lex HTML</t>
        </is>
      </c>
      <c r="BC42" s="2" t="n">
        <v>19992</v>
      </c>
      <c r="BD42" s="2" t="n">
        <v>188</v>
      </c>
      <c r="BE42" s="2" t="n">
        <v>11</v>
      </c>
      <c r="BF42" s="2">
        <f>IF(ISNUMBER(BC42),R42-BC42,"")</f>
        <v/>
      </c>
      <c r="BG42" s="4">
        <f>IF(AND(ISNUMBER(BC42),BC42&gt;0),(R42-BC42)/BC42,"")</f>
        <v/>
      </c>
      <c r="BH42" s="2">
        <f>IF(ISNUMBER(BD42),Y42-BD42,"")</f>
        <v/>
      </c>
      <c r="BI42" s="4">
        <f>IF(AND(ISNUMBER(BD42),BD42&gt;0),(Y42-BD42)/BD42,"")</f>
        <v/>
      </c>
      <c r="BJ42" s="2">
        <f>IF(ISNUMBER(BE42),AE42-BE42,"")</f>
        <v/>
      </c>
      <c r="BK42" s="2" t="inlineStr">
        <is>
          <t>thin</t>
        </is>
      </c>
      <c r="BL42" s="2" t="inlineStr">
        <is>
          <t>thin: one partial Commission report on Article 4 based on authority surveys; full evaluation (due July 2026) not found; no independent studies</t>
        </is>
      </c>
      <c r="BM42" s="2" t="inlineStr">
        <is>
          <t>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is>
      </c>
      <c r="BN42" s="2" t="n">
        <v>6</v>
      </c>
      <c r="BO42" s="2" t="n">
        <v>3</v>
      </c>
      <c r="BP42" s="2" t="n">
        <v>5</v>
      </c>
      <c r="BQ42" s="2" t="n">
        <v>0</v>
      </c>
      <c r="BR42" s="2" t="inlineStr"/>
    </row>
    <row r="43">
      <c r="A43" s="2" t="n">
        <v>42</v>
      </c>
      <c r="B43" s="2" t="inlineStr">
        <is>
          <t>E-evidence Regulation</t>
        </is>
      </c>
      <c r="C43" s="2" t="inlineStr">
        <is>
          <t>Sets rules allowing a judicial authority in one Member State, in criminal proceedings, to order a service provider offering services in the EU and established or represented in another Member State to produce or preserve electronic evidence, regardless of where the data are stored. It creates European Production and Preservation Orders, with deadlines, notification of the enforcing state and fundamental rights safeguards.</t>
        </is>
      </c>
      <c r="D43" s="2" t="inlineStr">
        <is>
          <t>Regulation (EU) 2023/1543</t>
        </is>
      </c>
      <c r="E43" s="2" t="inlineStr">
        <is>
          <t>Law Enforcement</t>
        </is>
      </c>
      <c r="F43" s="2" t="inlineStr">
        <is>
          <t>enacted</t>
        </is>
      </c>
      <c r="G43" s="2" t="inlineStr">
        <is>
          <t>2018-04-17</t>
        </is>
      </c>
      <c r="H43" s="2" t="inlineStr">
        <is>
          <t>high</t>
        </is>
      </c>
      <c r="I43" s="2" t="inlineStr">
        <is>
          <t>2023-07-12</t>
        </is>
      </c>
      <c r="J43" s="2" t="inlineStr">
        <is>
          <t>2023-07-28</t>
        </is>
      </c>
      <c r="K43" s="2" t="inlineStr">
        <is>
          <t>2023-08-17</t>
        </is>
      </c>
      <c r="L43" s="2" t="inlineStr">
        <is>
          <t>adopted</t>
        </is>
      </c>
      <c r="M43" s="2" t="inlineStr">
        <is>
          <t>adopted</t>
        </is>
      </c>
      <c r="N43" s="2" t="inlineStr">
        <is>
          <t>32023R1543</t>
        </is>
      </c>
      <c r="O43" s="2" t="inlineStr">
        <is>
          <t>Original act as published in the OJ</t>
        </is>
      </c>
      <c r="P43" s="2" t="inlineStr">
        <is>
          <t>https://eur-lex.europa.eu/legal-content/EN/TXT/?uri=CELEX:32023R1543</t>
        </is>
      </c>
      <c r="Q43" s="3" t="n">
        <v>63</v>
      </c>
      <c r="R43" s="3" t="n">
        <v>31180</v>
      </c>
      <c r="S43" s="3" t="n">
        <v>12820</v>
      </c>
      <c r="T43" s="3" t="n">
        <v>12696</v>
      </c>
      <c r="U43" s="3" t="n">
        <v>11844</v>
      </c>
      <c r="V43" s="3" t="n">
        <v>6516</v>
      </c>
      <c r="W43" s="3" t="n">
        <v>0</v>
      </c>
      <c r="X43" s="3" t="n">
        <v>0</v>
      </c>
      <c r="Y43" s="3" t="n">
        <v>208</v>
      </c>
      <c r="Z43" s="3" t="n">
        <v>178</v>
      </c>
      <c r="AA43" s="3" t="n">
        <v>7</v>
      </c>
      <c r="AB43" s="3" t="n">
        <v>12</v>
      </c>
      <c r="AC43" s="3" t="n">
        <v>3</v>
      </c>
      <c r="AD43" s="3" t="n">
        <v>8</v>
      </c>
      <c r="AE43" s="3" t="n">
        <v>13</v>
      </c>
      <c r="AF43" s="3" t="n">
        <v>90</v>
      </c>
      <c r="AG43" s="3" t="n">
        <v>24</v>
      </c>
      <c r="AH43" s="3" t="n">
        <v>81</v>
      </c>
      <c r="AI43" s="2" t="inlineStr">
        <is>
          <t>02023R1543-20230728</t>
        </is>
      </c>
      <c r="AJ43" s="3" t="n">
        <v>208</v>
      </c>
      <c r="AK43" s="2" t="n">
        <v>14</v>
      </c>
      <c r="AL43" s="2">
        <f>COUNTIFS(secondary_acts!$A$2:$A$771,$A43,secondary_acts!$E$2:$E$771,"implementing")</f>
        <v/>
      </c>
      <c r="AM43" s="2">
        <f>COUNTIFS(secondary_acts!$A$2:$A$771,$A43,secondary_acts!$E$2:$E$771,"delegated")</f>
        <v/>
      </c>
      <c r="AN43" s="2">
        <f>COUNTIFS(secondary_acts!$A$2:$A$771,$A43,secondary_acts!$E$2:$E$771,"other Commission/Council act")</f>
        <v/>
      </c>
      <c r="AO43" s="2">
        <f>COUNTIFS(secondary_acts!$A$2:$A$771,$A43,secondary_acts!$E$2:$E$771,"guidance")</f>
        <v/>
      </c>
      <c r="AP43" s="2">
        <f>COUNTIF(guidance_web!$A$2:$A$7,$A43)</f>
        <v/>
      </c>
      <c r="AQ43" s="2">
        <f>COUNTIFS(guidance_agencies!$A$2:$A$81,$A43,guidance_agencies!$D$2:$D$81,"EDPB")</f>
        <v/>
      </c>
      <c r="AR43" s="2">
        <f>COUNTIFS(guidance_agencies!$A$2:$A$81,$A43,guidance_agencies!$D$2:$D$81,"EBA")</f>
        <v/>
      </c>
      <c r="AS43" s="2">
        <f>COUNTIFS(guidance_agencies!$A$2:$A$81,$A43,guidance_agencies!$D$2:$D$81,"ESMA")</f>
        <v/>
      </c>
      <c r="AT43" s="3">
        <f>SUMIFS(secondary_acts!$S$2:$S$771,secondary_acts!$A$2:$A$771,$A43,secondary_acts!$E$2:$E$771,"implementing")+SUMIFS(secondary_acts!$S$2:$S$771,secondary_acts!$A$2:$A$771,$A43,secondary_acts!$E$2:$E$771,"delegated")</f>
        <v/>
      </c>
      <c r="AU43" s="3" t="n"/>
      <c r="AV43" s="2" t="n"/>
      <c r="AW43" s="2" t="n">
        <v>0</v>
      </c>
      <c r="AX43" s="2" t="n"/>
      <c r="AY43" s="2" t="n"/>
      <c r="AZ43" s="2" t="n">
        <v>2</v>
      </c>
      <c r="BA43" s="2" t="inlineStr">
        <is>
          <t>52018PC0225</t>
        </is>
      </c>
      <c r="BB43" s="2" t="inlineStr">
        <is>
          <t>EUR-Lex HTML</t>
        </is>
      </c>
      <c r="BC43" s="2" t="n">
        <v>16549</v>
      </c>
      <c r="BD43" s="2" t="n">
        <v>137</v>
      </c>
      <c r="BE43" s="2" t="n">
        <v>4</v>
      </c>
      <c r="BF43" s="2">
        <f>IF(ISNUMBER(BC43),R43-BC43,"")</f>
        <v/>
      </c>
      <c r="BG43" s="4">
        <f>IF(AND(ISNUMBER(BC43),BC43&gt;0),(R43-BC43)/BC43,"")</f>
        <v/>
      </c>
      <c r="BH43" s="2">
        <f>IF(ISNUMBER(BD43),Y43-BD43,"")</f>
        <v/>
      </c>
      <c r="BI43" s="4">
        <f>IF(AND(ISNUMBER(BD43),BD43&gt;0),(Y43-BD43)/BD43,"")</f>
        <v/>
      </c>
      <c r="BJ43" s="2">
        <f>IF(ISNUMBER(BE43),AE43-BE43,"")</f>
        <v/>
      </c>
      <c r="BK43" s="2" t="inlineStr">
        <is>
          <t>ex-ante only</t>
        </is>
      </c>
      <c r="BL43" s="2" t="inlineStr">
        <is>
          <t>ex-ante only: rules applied from August 2026; impact assessment forecasts and an industry readiness paper</t>
        </is>
      </c>
      <c r="BM43" s="2" t="inlineStr">
        <is>
          <t>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is>
      </c>
      <c r="BN43" s="2" t="n">
        <v>2</v>
      </c>
      <c r="BO43" s="2" t="n">
        <v>0</v>
      </c>
      <c r="BP43" s="2" t="n">
        <v>1</v>
      </c>
      <c r="BQ43" s="2" t="n">
        <v>0</v>
      </c>
      <c r="BR43" s="2" t="inlineStr"/>
    </row>
    <row r="44">
      <c r="A44" s="2" t="n">
        <v>43</v>
      </c>
      <c r="B44" s="2" t="inlineStr">
        <is>
          <t>Open Data Directive (PSI)</t>
        </is>
      </c>
      <c r="C44" s="2" t="inlineStr">
        <is>
          <t>Aims to promote the use of open data and stimulate innovation by setting minimum rules for re-using documents held by public sector bodies and certain public undertakings, as well as publicly funded research data. It requires re-use to be free of charge or limited to marginal costs as a rule, encourages machine-readable formats and APIs, limits exclusive arrangements, and creates a category of high-value datasets available free of charge.</t>
        </is>
      </c>
      <c r="D44" s="2" t="inlineStr">
        <is>
          <t>Directive (EU) 2019/1024</t>
        </is>
      </c>
      <c r="E44" s="2" t="inlineStr">
        <is>
          <t>Data &amp; Privacy</t>
        </is>
      </c>
      <c r="F44" s="2" t="inlineStr">
        <is>
          <t>enacted</t>
        </is>
      </c>
      <c r="G44" s="2" t="inlineStr">
        <is>
          <t>2018-04-25</t>
        </is>
      </c>
      <c r="H44" s="2" t="inlineStr">
        <is>
          <t>high</t>
        </is>
      </c>
      <c r="I44" s="2" t="inlineStr">
        <is>
          <t>2019-06-20</t>
        </is>
      </c>
      <c r="J44" s="2" t="inlineStr">
        <is>
          <t>2019-06-26</t>
        </is>
      </c>
      <c r="K44" s="2" t="inlineStr">
        <is>
          <t>2019-07-16</t>
        </is>
      </c>
      <c r="L44" s="2" t="inlineStr">
        <is>
          <t>adopted</t>
        </is>
      </c>
      <c r="M44" s="2" t="inlineStr">
        <is>
          <t>adopted</t>
        </is>
      </c>
      <c r="N44" s="2" t="inlineStr">
        <is>
          <t>32019L1024</t>
        </is>
      </c>
      <c r="O44" s="2" t="inlineStr">
        <is>
          <t>Original act as published in the OJ</t>
        </is>
      </c>
      <c r="P44" s="2" t="inlineStr">
        <is>
          <t>https://eur-lex.europa.eu/legal-content/EN/TXT/?uri=CELEX:32019L1024</t>
        </is>
      </c>
      <c r="Q44" s="3" t="n">
        <v>28</v>
      </c>
      <c r="R44" s="3" t="n">
        <v>14648</v>
      </c>
      <c r="S44" s="3" t="n">
        <v>8645</v>
      </c>
      <c r="T44" s="3" t="n">
        <v>8528</v>
      </c>
      <c r="U44" s="3" t="n">
        <v>5395</v>
      </c>
      <c r="V44" s="3" t="n">
        <v>608</v>
      </c>
      <c r="W44" s="3" t="n">
        <v>0</v>
      </c>
      <c r="X44" s="3" t="n">
        <v>0</v>
      </c>
      <c r="Y44" s="3" t="n">
        <v>98</v>
      </c>
      <c r="Z44" s="3" t="n">
        <v>79</v>
      </c>
      <c r="AA44" s="3" t="n">
        <v>11</v>
      </c>
      <c r="AB44" s="3" t="n">
        <v>0</v>
      </c>
      <c r="AC44" s="3" t="n">
        <v>4</v>
      </c>
      <c r="AD44" s="3" t="n">
        <v>4</v>
      </c>
      <c r="AE44" s="3" t="n">
        <v>8</v>
      </c>
      <c r="AF44" s="3" t="n">
        <v>39</v>
      </c>
      <c r="AG44" s="3" t="n">
        <v>11</v>
      </c>
      <c r="AH44" s="3" t="n">
        <v>40</v>
      </c>
      <c r="AI44" s="2" t="n"/>
      <c r="AJ44" s="3" t="n"/>
      <c r="AK44" s="2" t="n"/>
      <c r="AL44" s="2">
        <f>COUNTIFS(secondary_acts!$A$2:$A$771,$A44,secondary_acts!$E$2:$E$771,"implementing")</f>
        <v/>
      </c>
      <c r="AM44" s="2">
        <f>COUNTIFS(secondary_acts!$A$2:$A$771,$A44,secondary_acts!$E$2:$E$771,"delegated")</f>
        <v/>
      </c>
      <c r="AN44" s="2">
        <f>COUNTIFS(secondary_acts!$A$2:$A$771,$A44,secondary_acts!$E$2:$E$771,"other Commission/Council act")</f>
        <v/>
      </c>
      <c r="AO44" s="2">
        <f>COUNTIFS(secondary_acts!$A$2:$A$771,$A44,secondary_acts!$E$2:$E$771,"guidance")</f>
        <v/>
      </c>
      <c r="AP44" s="2">
        <f>COUNTIF(guidance_web!$A$2:$A$7,$A44)</f>
        <v/>
      </c>
      <c r="AQ44" s="2">
        <f>COUNTIFS(guidance_agencies!$A$2:$A$81,$A44,guidance_agencies!$D$2:$D$81,"EDPB")</f>
        <v/>
      </c>
      <c r="AR44" s="2">
        <f>COUNTIFS(guidance_agencies!$A$2:$A$81,$A44,guidance_agencies!$D$2:$D$81,"EBA")</f>
        <v/>
      </c>
      <c r="AS44" s="2">
        <f>COUNTIFS(guidance_agencies!$A$2:$A$81,$A44,guidance_agencies!$D$2:$D$81,"ESMA")</f>
        <v/>
      </c>
      <c r="AT44" s="3">
        <f>SUMIFS(secondary_acts!$S$2:$S$771,secondary_acts!$A$2:$A$771,$A44,secondary_acts!$E$2:$E$771,"implementing")+SUMIFS(secondary_acts!$S$2:$S$771,secondary_acts!$A$2:$A$771,$A44,secondary_acts!$E$2:$E$771,"delegated")</f>
        <v/>
      </c>
      <c r="AU44" s="3" t="n">
        <v>1064</v>
      </c>
      <c r="AV44" s="2" t="n">
        <v>27</v>
      </c>
      <c r="AW44" s="2" t="n">
        <v>0</v>
      </c>
      <c r="AX44" s="2" t="n"/>
      <c r="AY44" s="2" t="n"/>
      <c r="AZ44" s="2" t="n">
        <v>0</v>
      </c>
      <c r="BA44" s="2" t="inlineStr">
        <is>
          <t>52018PC0234</t>
        </is>
      </c>
      <c r="BB44" s="2" t="inlineStr">
        <is>
          <t>EUR-Lex HTML</t>
        </is>
      </c>
      <c r="BC44" s="2" t="n">
        <v>13415</v>
      </c>
      <c r="BD44" s="2" t="n">
        <v>93</v>
      </c>
      <c r="BE44" s="2" t="n">
        <v>7</v>
      </c>
      <c r="BF44" s="2">
        <f>IF(ISNUMBER(BC44),R44-BC44,"")</f>
        <v/>
      </c>
      <c r="BG44" s="4">
        <f>IF(AND(ISNUMBER(BC44),BC44&gt;0),(R44-BC44)/BC44,"")</f>
        <v/>
      </c>
      <c r="BH44" s="2">
        <f>IF(ISNUMBER(BD44),Y44-BD44,"")</f>
        <v/>
      </c>
      <c r="BI44" s="4">
        <f>IF(AND(ISNUMBER(BD44),BD44&gt;0),(Y44-BD44)/BD44,"")</f>
        <v/>
      </c>
      <c r="BJ44" s="2">
        <f>IF(ISNUMBER(BE44),AE44-BE44,"")</f>
        <v/>
      </c>
      <c r="BK44" s="2" t="inlineStr">
        <is>
          <t>thin</t>
        </is>
      </c>
      <c r="BL44" s="2" t="inlineStr">
        <is>
          <t>thin: large ex-ante forecasts and self-reported maturity scores; no ex-post evaluation of the Directive yet; causal evidence on open data exists only outside the EU</t>
        </is>
      </c>
      <c r="BM44" s="2" t="inlineStr">
        <is>
          <t>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is>
      </c>
      <c r="BN44" s="2" t="n">
        <v>5</v>
      </c>
      <c r="BO44" s="2" t="n">
        <v>2</v>
      </c>
      <c r="BP44" s="2" t="n">
        <v>7</v>
      </c>
      <c r="BQ44" s="2" t="n">
        <v>1</v>
      </c>
      <c r="BR44" s="2" t="inlineStr"/>
    </row>
    <row r="45">
      <c r="A45" s="2" t="n">
        <v>44</v>
      </c>
      <c r="B45" s="2" t="inlineStr">
        <is>
          <t>Platform-to-Business (P2B) Regulation</t>
        </is>
      </c>
      <c r="C45" s="2" t="inlineStr">
        <is>
          <t>Aims to ensure that business users of online intermediation services, and corporate website users of online search engines, get appropriate transparency, fairness and effective redress. It applies to providers serving EU-based businesses that offer goods or services to EU consumers, and requires clear terms and conditions, notice before restrictions or termination, disclosure of ranking parameters and differentiated treatment, internal complaint-handling systems and mediation.</t>
        </is>
      </c>
      <c r="D45" s="2" t="inlineStr">
        <is>
          <t>Regulation (EU) 2019/1150</t>
        </is>
      </c>
      <c r="E45" s="2" t="inlineStr">
        <is>
          <t>Competition &amp; Single Market</t>
        </is>
      </c>
      <c r="F45" s="2" t="inlineStr">
        <is>
          <t>enacted</t>
        </is>
      </c>
      <c r="G45" s="2" t="inlineStr">
        <is>
          <t>2018-04-26</t>
        </is>
      </c>
      <c r="H45" s="2" t="inlineStr">
        <is>
          <t>high</t>
        </is>
      </c>
      <c r="I45" s="2" t="inlineStr">
        <is>
          <t>2019-06-20</t>
        </is>
      </c>
      <c r="J45" s="2" t="inlineStr">
        <is>
          <t>2019-07-11</t>
        </is>
      </c>
      <c r="K45" s="2" t="inlineStr">
        <is>
          <t>2019-07-31</t>
        </is>
      </c>
      <c r="L45" s="2" t="inlineStr">
        <is>
          <t>adopted</t>
        </is>
      </c>
      <c r="M45" s="2" t="inlineStr">
        <is>
          <t>adopted</t>
        </is>
      </c>
      <c r="N45" s="2" t="inlineStr">
        <is>
          <t>32019R1150</t>
        </is>
      </c>
      <c r="O45" s="2" t="inlineStr">
        <is>
          <t>Original act as published in the OJ</t>
        </is>
      </c>
      <c r="P45" s="2" t="inlineStr">
        <is>
          <t>https://eur-lex.europa.eu/legal-content/EN/TXT/?uri=CELEX:32019R1150</t>
        </is>
      </c>
      <c r="Q45" s="3" t="n">
        <v>23</v>
      </c>
      <c r="R45" s="3" t="n">
        <v>14939</v>
      </c>
      <c r="S45" s="3" t="n">
        <v>8985</v>
      </c>
      <c r="T45" s="3" t="n">
        <v>8863</v>
      </c>
      <c r="U45" s="3" t="n">
        <v>5954</v>
      </c>
      <c r="V45" s="3" t="n">
        <v>0</v>
      </c>
      <c r="W45" s="3" t="n">
        <v>0</v>
      </c>
      <c r="X45" s="3" t="n">
        <v>0</v>
      </c>
      <c r="Y45" s="3" t="n">
        <v>78</v>
      </c>
      <c r="Z45" s="3" t="n">
        <v>70</v>
      </c>
      <c r="AA45" s="3" t="n">
        <v>1</v>
      </c>
      <c r="AB45" s="3" t="n">
        <v>1</v>
      </c>
      <c r="AC45" s="3" t="n">
        <v>1</v>
      </c>
      <c r="AD45" s="3" t="n">
        <v>5</v>
      </c>
      <c r="AE45" s="3" t="n">
        <v>40</v>
      </c>
      <c r="AF45" s="3" t="n">
        <v>8</v>
      </c>
      <c r="AG45" s="3" t="n">
        <v>13</v>
      </c>
      <c r="AH45" s="3" t="n">
        <v>17</v>
      </c>
      <c r="AI45" s="2" t="inlineStr">
        <is>
          <t>02019R1150-20190711</t>
        </is>
      </c>
      <c r="AJ45" s="3" t="n">
        <v>78</v>
      </c>
      <c r="AK45" s="2" t="n">
        <v>40</v>
      </c>
      <c r="AL45" s="2">
        <f>COUNTIFS(secondary_acts!$A$2:$A$771,$A45,secondary_acts!$E$2:$E$771,"implementing")</f>
        <v/>
      </c>
      <c r="AM45" s="2">
        <f>COUNTIFS(secondary_acts!$A$2:$A$771,$A45,secondary_acts!$E$2:$E$771,"delegated")</f>
        <v/>
      </c>
      <c r="AN45" s="2">
        <f>COUNTIFS(secondary_acts!$A$2:$A$771,$A45,secondary_acts!$E$2:$E$771,"other Commission/Council act")</f>
        <v/>
      </c>
      <c r="AO45" s="2">
        <f>COUNTIFS(secondary_acts!$A$2:$A$771,$A45,secondary_acts!$E$2:$E$771,"guidance")</f>
        <v/>
      </c>
      <c r="AP45" s="2">
        <f>COUNTIF(guidance_web!$A$2:$A$7,$A45)</f>
        <v/>
      </c>
      <c r="AQ45" s="2">
        <f>COUNTIFS(guidance_agencies!$A$2:$A$81,$A45,guidance_agencies!$D$2:$D$81,"EDPB")</f>
        <v/>
      </c>
      <c r="AR45" s="2">
        <f>COUNTIFS(guidance_agencies!$A$2:$A$81,$A45,guidance_agencies!$D$2:$D$81,"EBA")</f>
        <v/>
      </c>
      <c r="AS45" s="2">
        <f>COUNTIFS(guidance_agencies!$A$2:$A$81,$A45,guidance_agencies!$D$2:$D$81,"ESMA")</f>
        <v/>
      </c>
      <c r="AT45" s="3">
        <f>SUMIFS(secondary_acts!$S$2:$S$771,secondary_acts!$A$2:$A$771,$A45,secondary_acts!$E$2:$E$771,"implementing")+SUMIFS(secondary_acts!$S$2:$S$771,secondary_acts!$A$2:$A$771,$A45,secondary_acts!$E$2:$E$771,"delegated")</f>
        <v/>
      </c>
      <c r="AU45" s="3" t="n"/>
      <c r="AV45" s="2" t="n"/>
      <c r="AW45" s="2" t="n">
        <v>0</v>
      </c>
      <c r="AX45" s="2" t="n"/>
      <c r="AY45" s="2" t="n"/>
      <c r="AZ45" s="2" t="n">
        <v>2</v>
      </c>
      <c r="BA45" s="2" t="inlineStr">
        <is>
          <t>52018PC0238</t>
        </is>
      </c>
      <c r="BB45" s="2" t="inlineStr">
        <is>
          <t>EUR-Lex HTML</t>
        </is>
      </c>
      <c r="BC45" s="2" t="n">
        <v>7530</v>
      </c>
      <c r="BD45" s="2" t="n">
        <v>42</v>
      </c>
      <c r="BE45" s="2" t="n">
        <v>23</v>
      </c>
      <c r="BF45" s="2">
        <f>IF(ISNUMBER(BC45),R45-BC45,"")</f>
        <v/>
      </c>
      <c r="BG45" s="4">
        <f>IF(AND(ISNUMBER(BC45),BC45&gt;0),(R45-BC45)/BC45,"")</f>
        <v/>
      </c>
      <c r="BH45" s="2">
        <f>IF(ISNUMBER(BD45),Y45-BD45,"")</f>
        <v/>
      </c>
      <c r="BI45" s="4">
        <f>IF(AND(ISNUMBER(BD45),BD45&gt;0),(Y45-BD45)/BD45,"")</f>
        <v/>
      </c>
      <c r="BJ45" s="2">
        <f>IF(ISNUMBER(BE45),AE45-BE45,"")</f>
        <v/>
      </c>
      <c r="BK45" s="2" t="inlineStr">
        <is>
          <t>thin</t>
        </is>
      </c>
      <c r="BL45" s="2" t="inlineStr">
        <is>
          <t>thin: Commission compliance review and national regulator surveys/sweeps only; no study of effects on business users' sales, prices or competition</t>
        </is>
      </c>
      <c r="BM45" s="2" t="inlineStr">
        <is>
          <t>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is>
      </c>
      <c r="BN45" s="2" t="n">
        <v>5</v>
      </c>
      <c r="BO45" s="2" t="n">
        <v>4</v>
      </c>
      <c r="BP45" s="2" t="n">
        <v>7</v>
      </c>
      <c r="BQ45" s="2" t="n">
        <v>0</v>
      </c>
      <c r="BR45" s="2" t="inlineStr">
        <is>
          <t>no consolidated text with amendments in EUR-Lex; consolidated count = original</t>
        </is>
      </c>
    </row>
    <row r="46">
      <c r="A46" s="2" t="n">
        <v>45</v>
      </c>
      <c r="B46" s="2" t="inlineStr">
        <is>
          <t>Digital Europe Programme</t>
        </is>
      </c>
      <c r="C46" s="2" t="inlineStr">
        <is>
          <t>Funds the digital transformation of Europe's economy, industry and society for 2021-2027, aiming to improve EU competitiveness, bridge the digital divide and reinforce strategic autonomy. It supports deployment in five areas: high performance computing, artificial intelligence, cybersecurity and trust, advanced digital skills, and the best use of digital capacities and interoperability, including through European Digital Innovation Hubs. Its budget is EUR 7.588 billion.</t>
        </is>
      </c>
      <c r="D46" s="2" t="inlineStr">
        <is>
          <t>Regulation (EU) 2021/694</t>
        </is>
      </c>
      <c r="E46" s="2" t="inlineStr">
        <is>
          <t>Research &amp; Innovation</t>
        </is>
      </c>
      <c r="F46" s="2" t="inlineStr">
        <is>
          <t>enacted</t>
        </is>
      </c>
      <c r="G46" s="2" t="inlineStr">
        <is>
          <t>2018-06-06</t>
        </is>
      </c>
      <c r="H46" s="2" t="inlineStr">
        <is>
          <t>high</t>
        </is>
      </c>
      <c r="I46" s="2" t="inlineStr">
        <is>
          <t>2021-04-29</t>
        </is>
      </c>
      <c r="J46" s="2" t="inlineStr">
        <is>
          <t>2021-05-11</t>
        </is>
      </c>
      <c r="K46" s="2" t="inlineStr">
        <is>
          <t>2021-05-12</t>
        </is>
      </c>
      <c r="L46" s="2" t="inlineStr">
        <is>
          <t>adopted</t>
        </is>
      </c>
      <c r="M46" s="2" t="inlineStr">
        <is>
          <t>adopted</t>
        </is>
      </c>
      <c r="N46" s="2" t="inlineStr">
        <is>
          <t>32021R0694</t>
        </is>
      </c>
      <c r="O46" s="2" t="inlineStr">
        <is>
          <t>Original act as published in the OJ</t>
        </is>
      </c>
      <c r="P46" s="2" t="inlineStr">
        <is>
          <t>https://eur-lex.europa.eu/legal-content/EN/TXT/?uri=CELEX:32021R0694</t>
        </is>
      </c>
      <c r="Q46" s="3" t="n">
        <v>34</v>
      </c>
      <c r="R46" s="3" t="n">
        <v>17444</v>
      </c>
      <c r="S46" s="3" t="n">
        <v>6687</v>
      </c>
      <c r="T46" s="3" t="n">
        <v>6557</v>
      </c>
      <c r="U46" s="3" t="n">
        <v>7371</v>
      </c>
      <c r="V46" s="3" t="n">
        <v>3386</v>
      </c>
      <c r="W46" s="3" t="n">
        <v>0</v>
      </c>
      <c r="X46" s="3" t="n">
        <v>0</v>
      </c>
      <c r="Y46" s="3" t="n">
        <v>132</v>
      </c>
      <c r="Z46" s="3" t="n">
        <v>115</v>
      </c>
      <c r="AA46" s="3" t="n">
        <v>3</v>
      </c>
      <c r="AB46" s="3" t="n">
        <v>1</v>
      </c>
      <c r="AC46" s="3" t="n">
        <v>1</v>
      </c>
      <c r="AD46" s="3" t="n">
        <v>12</v>
      </c>
      <c r="AE46" s="3" t="n">
        <v>8</v>
      </c>
      <c r="AF46" s="3" t="n">
        <v>2</v>
      </c>
      <c r="AG46" s="3" t="n">
        <v>45</v>
      </c>
      <c r="AH46" s="3" t="n">
        <v>77</v>
      </c>
      <c r="AI46" s="2" t="inlineStr">
        <is>
          <t>02021R0694-20251223</t>
        </is>
      </c>
      <c r="AJ46" s="3" t="n">
        <v>143</v>
      </c>
      <c r="AK46" s="2" t="n">
        <v>8</v>
      </c>
      <c r="AL46" s="2">
        <f>COUNTIFS(secondary_acts!$A$2:$A$771,$A46,secondary_acts!$E$2:$E$771,"implementing")</f>
        <v/>
      </c>
      <c r="AM46" s="2">
        <f>COUNTIFS(secondary_acts!$A$2:$A$771,$A46,secondary_acts!$E$2:$E$771,"delegated")</f>
        <v/>
      </c>
      <c r="AN46" s="2">
        <f>COUNTIFS(secondary_acts!$A$2:$A$771,$A46,secondary_acts!$E$2:$E$771,"other Commission/Council act")</f>
        <v/>
      </c>
      <c r="AO46" s="2">
        <f>COUNTIFS(secondary_acts!$A$2:$A$771,$A46,secondary_acts!$E$2:$E$771,"guidance")</f>
        <v/>
      </c>
      <c r="AP46" s="2">
        <f>COUNTIF(guidance_web!$A$2:$A$7,$A46)</f>
        <v/>
      </c>
      <c r="AQ46" s="2">
        <f>COUNTIFS(guidance_agencies!$A$2:$A$81,$A46,guidance_agencies!$D$2:$D$81,"EDPB")</f>
        <v/>
      </c>
      <c r="AR46" s="2">
        <f>COUNTIFS(guidance_agencies!$A$2:$A$81,$A46,guidance_agencies!$D$2:$D$81,"EBA")</f>
        <v/>
      </c>
      <c r="AS46" s="2">
        <f>COUNTIFS(guidance_agencies!$A$2:$A$81,$A46,guidance_agencies!$D$2:$D$81,"ESMA")</f>
        <v/>
      </c>
      <c r="AT46" s="3">
        <f>SUMIFS(secondary_acts!$S$2:$S$771,secondary_acts!$A$2:$A$771,$A46,secondary_acts!$E$2:$E$771,"implementing")+SUMIFS(secondary_acts!$S$2:$S$771,secondary_acts!$A$2:$A$771,$A46,secondary_acts!$E$2:$E$771,"delegated")</f>
        <v/>
      </c>
      <c r="AU46" s="3" t="n"/>
      <c r="AV46" s="2" t="n"/>
      <c r="AW46" s="2" t="n">
        <v>3</v>
      </c>
      <c r="AX46" s="2" t="inlineStr">
        <is>
          <t>2023-09-13</t>
        </is>
      </c>
      <c r="AY46" s="2" t="inlineStr">
        <is>
          <t>2025-12-19</t>
        </is>
      </c>
      <c r="AZ46" s="2" t="n">
        <v>1</v>
      </c>
      <c r="BA46" s="2" t="inlineStr">
        <is>
          <t>52018PC0434</t>
        </is>
      </c>
      <c r="BB46" s="2" t="inlineStr">
        <is>
          <t>EUR-Lex HTML</t>
        </is>
      </c>
      <c r="BC46" s="2" t="n">
        <v>11557</v>
      </c>
      <c r="BD46" s="2" t="n">
        <v>81</v>
      </c>
      <c r="BE46" s="2" t="n">
        <v>2</v>
      </c>
      <c r="BF46" s="2">
        <f>IF(ISNUMBER(BC46),R46-BC46,"")</f>
        <v/>
      </c>
      <c r="BG46" s="4">
        <f>IF(AND(ISNUMBER(BC46),BC46&gt;0),(R46-BC46)/BC46,"")</f>
        <v/>
      </c>
      <c r="BH46" s="2">
        <f>IF(ISNUMBER(BD46),Y46-BD46,"")</f>
        <v/>
      </c>
      <c r="BI46" s="4">
        <f>IF(AND(ISNUMBER(BD46),BD46&gt;0),(Y46-BD46)/BD46,"")</f>
        <v/>
      </c>
      <c r="BJ46" s="2">
        <f>IF(ISNUMBER(BE46),AE46-BE46,"")</f>
        <v/>
      </c>
      <c r="BK46" s="2" t="inlineStr">
        <is>
          <t>thin</t>
        </is>
      </c>
      <c r="BL46" s="2" t="inlineStr">
        <is>
          <t>thin: Commission interim evaluation reports outputs and user ratings; no counterfactual or independent study of impact found</t>
        </is>
      </c>
      <c r="BM46" s="2" t="inlineStr">
        <is>
          <t>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is>
      </c>
      <c r="BN46" s="2" t="n">
        <v>5</v>
      </c>
      <c r="BO46" s="2" t="n">
        <v>4</v>
      </c>
      <c r="BP46" s="2" t="n">
        <v>5</v>
      </c>
      <c r="BQ46" s="2" t="n">
        <v>0</v>
      </c>
      <c r="BR46" s="2" t="inlineStr"/>
    </row>
    <row r="47">
      <c r="A47" s="2" t="n">
        <v>46</v>
      </c>
      <c r="B47" s="2" t="inlineStr">
        <is>
          <t>InvestEU Programme</t>
        </is>
      </c>
      <c r="C47" s="2" t="inlineStr">
        <is>
          <t>Supports EU policy objectives by mobilising public and private investment through an EU budget guarantee for financing and investment operations by implementing partners such as the EIB Group. It covers four policy windows: sustainable infrastructure; research, innovation and digitisation; SMEs; and social investment and skills. It also creates an advisory hub and an investment portal. The EU guarantee for its EU compartment is about EUR 26.2 billion.</t>
        </is>
      </c>
      <c r="D47" s="2" t="inlineStr">
        <is>
          <t>Regulation (EU) 2021/523</t>
        </is>
      </c>
      <c r="E47" s="2" t="inlineStr">
        <is>
          <t>Industrial Policy</t>
        </is>
      </c>
      <c r="F47" s="2" t="inlineStr">
        <is>
          <t>enacted</t>
        </is>
      </c>
      <c r="G47" s="2" t="inlineStr">
        <is>
          <t>2018-06-06</t>
        </is>
      </c>
      <c r="H47" s="2" t="inlineStr">
        <is>
          <t>high</t>
        </is>
      </c>
      <c r="I47" s="2" t="inlineStr">
        <is>
          <t>2021-03-24</t>
        </is>
      </c>
      <c r="J47" s="2" t="inlineStr">
        <is>
          <t>2021-03-26</t>
        </is>
      </c>
      <c r="K47" s="2" t="inlineStr">
        <is>
          <t>2021-03-26</t>
        </is>
      </c>
      <c r="L47" s="2" t="inlineStr">
        <is>
          <t>adopted</t>
        </is>
      </c>
      <c r="M47" s="2" t="inlineStr">
        <is>
          <t>adopted</t>
        </is>
      </c>
      <c r="N47" s="2" t="inlineStr">
        <is>
          <t>32021R0523</t>
        </is>
      </c>
      <c r="O47" s="2" t="inlineStr">
        <is>
          <t>Original act as published in the OJ</t>
        </is>
      </c>
      <c r="P47" s="2" t="inlineStr">
        <is>
          <t>https://eur-lex.europa.eu/legal-content/EN/TXT/?uri=CELEX:32021R0523</t>
        </is>
      </c>
      <c r="Q47" s="3" t="n">
        <v>60</v>
      </c>
      <c r="R47" s="3" t="n">
        <v>32522</v>
      </c>
      <c r="S47" s="3" t="n">
        <v>9593</v>
      </c>
      <c r="T47" s="3" t="n">
        <v>9470</v>
      </c>
      <c r="U47" s="3" t="n">
        <v>16804</v>
      </c>
      <c r="V47" s="3" t="n">
        <v>6125</v>
      </c>
      <c r="W47" s="3" t="n">
        <v>0</v>
      </c>
      <c r="X47" s="3" t="n">
        <v>0</v>
      </c>
      <c r="Y47" s="3" t="n">
        <v>262</v>
      </c>
      <c r="Z47" s="3" t="n">
        <v>247</v>
      </c>
      <c r="AA47" s="3" t="n">
        <v>6</v>
      </c>
      <c r="AB47" s="3" t="n">
        <v>3</v>
      </c>
      <c r="AC47" s="3" t="n">
        <v>0</v>
      </c>
      <c r="AD47" s="3" t="n">
        <v>6</v>
      </c>
      <c r="AE47" s="3" t="n">
        <v>18</v>
      </c>
      <c r="AF47" s="3" t="n">
        <v>9</v>
      </c>
      <c r="AG47" s="3" t="n">
        <v>101</v>
      </c>
      <c r="AH47" s="3" t="n">
        <v>134</v>
      </c>
      <c r="AI47" s="2" t="inlineStr">
        <is>
          <t>02021R0523-20251224</t>
        </is>
      </c>
      <c r="AJ47" s="3" t="n">
        <v>285</v>
      </c>
      <c r="AK47" s="2" t="n">
        <v>21</v>
      </c>
      <c r="AL47" s="2">
        <f>COUNTIFS(secondary_acts!$A$2:$A$771,$A47,secondary_acts!$E$2:$E$771,"implementing")</f>
        <v/>
      </c>
      <c r="AM47" s="2">
        <f>COUNTIFS(secondary_acts!$A$2:$A$771,$A47,secondary_acts!$E$2:$E$771,"delegated")</f>
        <v/>
      </c>
      <c r="AN47" s="2">
        <f>COUNTIFS(secondary_acts!$A$2:$A$771,$A47,secondary_acts!$E$2:$E$771,"other Commission/Council act")</f>
        <v/>
      </c>
      <c r="AO47" s="2">
        <f>COUNTIFS(secondary_acts!$A$2:$A$771,$A47,secondary_acts!$E$2:$E$771,"guidance")</f>
        <v/>
      </c>
      <c r="AP47" s="2">
        <f>COUNTIF(guidance_web!$A$2:$A$7,$A47)</f>
        <v/>
      </c>
      <c r="AQ47" s="2">
        <f>COUNTIFS(guidance_agencies!$A$2:$A$81,$A47,guidance_agencies!$D$2:$D$81,"EDPB")</f>
        <v/>
      </c>
      <c r="AR47" s="2">
        <f>COUNTIFS(guidance_agencies!$A$2:$A$81,$A47,guidance_agencies!$D$2:$D$81,"EBA")</f>
        <v/>
      </c>
      <c r="AS47" s="2">
        <f>COUNTIFS(guidance_agencies!$A$2:$A$81,$A47,guidance_agencies!$D$2:$D$81,"ESMA")</f>
        <v/>
      </c>
      <c r="AT47" s="3">
        <f>SUMIFS(secondary_acts!$S$2:$S$771,secondary_acts!$A$2:$A$771,$A47,secondary_acts!$E$2:$E$771,"implementing")+SUMIFS(secondary_acts!$S$2:$S$771,secondary_acts!$A$2:$A$771,$A47,secondary_acts!$E$2:$E$771,"delegated")</f>
        <v/>
      </c>
      <c r="AU47" s="3" t="n"/>
      <c r="AV47" s="2" t="n"/>
      <c r="AW47" s="2" t="n">
        <v>3</v>
      </c>
      <c r="AX47" s="2" t="inlineStr">
        <is>
          <t>2024-02-29</t>
        </is>
      </c>
      <c r="AY47" s="2" t="inlineStr">
        <is>
          <t>2025-12-16</t>
        </is>
      </c>
      <c r="AZ47" s="2" t="n">
        <v>2</v>
      </c>
      <c r="BA47" s="2" t="inlineStr">
        <is>
          <t>52020PC0403</t>
        </is>
      </c>
      <c r="BB47" s="2" t="inlineStr">
        <is>
          <t>EUR-Lex HTML</t>
        </is>
      </c>
      <c r="BC47" s="2" t="n">
        <v>30916</v>
      </c>
      <c r="BD47" s="2" t="n">
        <v>277</v>
      </c>
      <c r="BE47" s="2" t="n">
        <v>23</v>
      </c>
      <c r="BF47" s="2">
        <f>IF(ISNUMBER(BC47),R47-BC47,"")</f>
        <v/>
      </c>
      <c r="BG47" s="4">
        <f>IF(AND(ISNUMBER(BC47),BC47&gt;0),(R47-BC47)/BC47,"")</f>
        <v/>
      </c>
      <c r="BH47" s="2">
        <f>IF(ISNUMBER(BD47),Y47-BD47,"")</f>
        <v/>
      </c>
      <c r="BI47" s="4">
        <f>IF(AND(ISNUMBER(BD47),BD47&gt;0),(Y47-BD47)/BD47,"")</f>
        <v/>
      </c>
      <c r="BJ47" s="2">
        <f>IF(ISNUMBER(BE47),AE47-BE47,"")</f>
        <v/>
      </c>
      <c r="BK47" s="2" t="inlineStr">
        <is>
          <t>moderate</t>
        </is>
      </c>
      <c r="BL47" s="2" t="inlineStr">
        <is>
          <t>moderate-thin: Commission interim evaluation with self-reported mobilisation figures; auditors' critique and one causal study concern the predecessor EFSI, not InvestEU itself</t>
        </is>
      </c>
      <c r="BM47" s="2" t="inlineStr">
        <is>
          <t>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is>
      </c>
      <c r="BN47" s="2" t="n">
        <v>3</v>
      </c>
      <c r="BO47" s="2" t="n">
        <v>2</v>
      </c>
      <c r="BP47" s="2" t="n">
        <v>6</v>
      </c>
      <c r="BQ47" s="2" t="n">
        <v>3</v>
      </c>
      <c r="BR47" s="2" t="inlineStr"/>
    </row>
    <row r="48">
      <c r="A48" s="2" t="n">
        <v>47</v>
      </c>
      <c r="B48" s="2" t="inlineStr">
        <is>
          <t>Connecting Europe Facility</t>
        </is>
      </c>
      <c r="C48" s="2" t="inlineStr">
        <is>
          <t>Funds the building, development and modernisation of trans-European networks in transport, energy and digital sectors for 2021-2027, and facilitates cross-border cooperation on renewable energy. In the digital sector it supports projects such as very high capacity backbone networks, 5G systems along transport corridors and the digitalisation of transport and energy networks. Its financial envelope is EUR 33.71 billion.</t>
        </is>
      </c>
      <c r="D48" s="2" t="inlineStr">
        <is>
          <t>Regulation (EU) 2021/1153</t>
        </is>
      </c>
      <c r="E48" s="2" t="inlineStr">
        <is>
          <t>Industrial Policy</t>
        </is>
      </c>
      <c r="F48" s="2" t="inlineStr">
        <is>
          <t>enacted</t>
        </is>
      </c>
      <c r="G48" s="2" t="inlineStr">
        <is>
          <t>2018-06-06</t>
        </is>
      </c>
      <c r="H48" s="2" t="inlineStr">
        <is>
          <t>high</t>
        </is>
      </c>
      <c r="I48" s="2" t="inlineStr">
        <is>
          <t>2021-07-07</t>
        </is>
      </c>
      <c r="J48" s="2" t="inlineStr">
        <is>
          <t>2021-07-14</t>
        </is>
      </c>
      <c r="K48" s="2" t="inlineStr">
        <is>
          <t>2021-07-14</t>
        </is>
      </c>
      <c r="L48" s="2" t="inlineStr">
        <is>
          <t>adopted</t>
        </is>
      </c>
      <c r="M48" s="2" t="inlineStr">
        <is>
          <t>adopted</t>
        </is>
      </c>
      <c r="N48" s="2" t="inlineStr">
        <is>
          <t>32021R1153</t>
        </is>
      </c>
      <c r="O48" s="2" t="inlineStr">
        <is>
          <t>Original act as published in the OJ</t>
        </is>
      </c>
      <c r="P48" s="2" t="inlineStr">
        <is>
          <t>https://eur-lex.europa.eu/legal-content/EN/TXT/?uri=CELEX:32021R1153</t>
        </is>
      </c>
      <c r="Q48" s="3" t="n">
        <v>44</v>
      </c>
      <c r="R48" s="3" t="n">
        <v>21097</v>
      </c>
      <c r="S48" s="3" t="n">
        <v>7484</v>
      </c>
      <c r="T48" s="3" t="n">
        <v>7350</v>
      </c>
      <c r="U48" s="3" t="n">
        <v>9591</v>
      </c>
      <c r="V48" s="3" t="n">
        <v>4022</v>
      </c>
      <c r="W48" s="3" t="n">
        <v>0</v>
      </c>
      <c r="X48" s="3" t="n">
        <v>0</v>
      </c>
      <c r="Y48" s="3" t="n">
        <v>138</v>
      </c>
      <c r="Z48" s="3" t="n">
        <v>117</v>
      </c>
      <c r="AA48" s="3" t="n">
        <v>16</v>
      </c>
      <c r="AB48" s="3" t="n">
        <v>2</v>
      </c>
      <c r="AC48" s="3" t="n">
        <v>1</v>
      </c>
      <c r="AD48" s="3" t="n">
        <v>2</v>
      </c>
      <c r="AE48" s="3" t="n">
        <v>11</v>
      </c>
      <c r="AF48" s="3" t="n">
        <v>6</v>
      </c>
      <c r="AG48" s="3" t="n">
        <v>37</v>
      </c>
      <c r="AH48" s="3" t="n">
        <v>84</v>
      </c>
      <c r="AI48" s="2" t="inlineStr">
        <is>
          <t>02021R1153-20251224</t>
        </is>
      </c>
      <c r="AJ48" s="3" t="n">
        <v>141</v>
      </c>
      <c r="AK48" s="2" t="n">
        <v>11</v>
      </c>
      <c r="AL48" s="2">
        <f>COUNTIFS(secondary_acts!$A$2:$A$771,$A48,secondary_acts!$E$2:$E$771,"implementing")</f>
        <v/>
      </c>
      <c r="AM48" s="2">
        <f>COUNTIFS(secondary_acts!$A$2:$A$771,$A48,secondary_acts!$E$2:$E$771,"delegated")</f>
        <v/>
      </c>
      <c r="AN48" s="2">
        <f>COUNTIFS(secondary_acts!$A$2:$A$771,$A48,secondary_acts!$E$2:$E$771,"other Commission/Council act")</f>
        <v/>
      </c>
      <c r="AO48" s="2">
        <f>COUNTIFS(secondary_acts!$A$2:$A$771,$A48,secondary_acts!$E$2:$E$771,"guidance")</f>
        <v/>
      </c>
      <c r="AP48" s="2">
        <f>COUNTIF(guidance_web!$A$2:$A$7,$A48)</f>
        <v/>
      </c>
      <c r="AQ48" s="2">
        <f>COUNTIFS(guidance_agencies!$A$2:$A$81,$A48,guidance_agencies!$D$2:$D$81,"EDPB")</f>
        <v/>
      </c>
      <c r="AR48" s="2">
        <f>COUNTIFS(guidance_agencies!$A$2:$A$81,$A48,guidance_agencies!$D$2:$D$81,"EBA")</f>
        <v/>
      </c>
      <c r="AS48" s="2">
        <f>COUNTIFS(guidance_agencies!$A$2:$A$81,$A48,guidance_agencies!$D$2:$D$81,"ESMA")</f>
        <v/>
      </c>
      <c r="AT48" s="3">
        <f>SUMIFS(secondary_acts!$S$2:$S$771,secondary_acts!$A$2:$A$771,$A48,secondary_acts!$E$2:$E$771,"implementing")+SUMIFS(secondary_acts!$S$2:$S$771,secondary_acts!$A$2:$A$771,$A48,secondary_acts!$E$2:$E$771,"delegated")</f>
        <v/>
      </c>
      <c r="AU48" s="3" t="n"/>
      <c r="AV48" s="2" t="n"/>
      <c r="AW48" s="2" t="n">
        <v>3</v>
      </c>
      <c r="AX48" s="2" t="inlineStr">
        <is>
          <t>2024-06-13</t>
        </is>
      </c>
      <c r="AY48" s="2" t="inlineStr">
        <is>
          <t>2025-12-19</t>
        </is>
      </c>
      <c r="AZ48" s="2" t="n">
        <v>2</v>
      </c>
      <c r="BA48" s="2" t="inlineStr">
        <is>
          <t>52018PC0438</t>
        </is>
      </c>
      <c r="BB48" s="2" t="inlineStr">
        <is>
          <t>EUR-Lex HTML</t>
        </is>
      </c>
      <c r="BC48" s="2" t="n">
        <v>14679</v>
      </c>
      <c r="BD48" s="2" t="n">
        <v>91</v>
      </c>
      <c r="BE48" s="2" t="n">
        <v>6</v>
      </c>
      <c r="BF48" s="2">
        <f>IF(ISNUMBER(BC48),R48-BC48,"")</f>
        <v/>
      </c>
      <c r="BG48" s="4">
        <f>IF(AND(ISNUMBER(BC48),BC48&gt;0),(R48-BC48)/BC48,"")</f>
        <v/>
      </c>
      <c r="BH48" s="2">
        <f>IF(ISNUMBER(BD48),Y48-BD48,"")</f>
        <v/>
      </c>
      <c r="BI48" s="4">
        <f>IF(AND(ISNUMBER(BD48),BD48&gt;0),(Y48-BD48)/BD48,"")</f>
        <v/>
      </c>
      <c r="BJ48" s="2">
        <f>IF(ISNUMBER(BE48),AE48-BE48,"")</f>
        <v/>
      </c>
      <c r="BK48" s="2" t="inlineStr">
        <is>
          <t>thin</t>
        </is>
      </c>
      <c r="BL48" s="2" t="inlineStr">
        <is>
          <t>thin: budget commitments and project counts only; interim evaluation pending; no causal study of CEF found</t>
        </is>
      </c>
      <c r="BM48" s="2" t="inlineStr">
        <is>
          <t>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is>
      </c>
      <c r="BN48" s="2" t="n">
        <v>4</v>
      </c>
      <c r="BO48" s="2" t="n">
        <v>3</v>
      </c>
      <c r="BP48" s="2" t="n">
        <v>2</v>
      </c>
      <c r="BQ48" s="2" t="n">
        <v>0</v>
      </c>
      <c r="BR48" s="2" t="inlineStr"/>
    </row>
    <row r="49">
      <c r="A49" s="2" t="n">
        <v>48</v>
      </c>
      <c r="B49" s="2" t="inlineStr">
        <is>
          <t>Horizon Europe</t>
        </is>
      </c>
      <c r="C49" s="2" t="inlineStr">
        <is>
          <t>Establishes the EU framework programme for research and innovation for 2021-2027 and its rules for participation and dissemination. It aims to strengthen the Union's scientific and technological bases, foster competitiveness, tackle global challenges and strengthen the European Research Area. It funds excellent science, collaborative research on global challenges and industrial competitiveness, and innovation through the European Innovation Council, with EUR 86.123 billion for its main specific programme and the EIT.</t>
        </is>
      </c>
      <c r="D49" s="2" t="inlineStr">
        <is>
          <t>Regulation (EU) 2021/695</t>
        </is>
      </c>
      <c r="E49" s="2" t="inlineStr">
        <is>
          <t>Research &amp; Innovation</t>
        </is>
      </c>
      <c r="F49" s="2" t="inlineStr">
        <is>
          <t>enacted</t>
        </is>
      </c>
      <c r="G49" s="2" t="inlineStr">
        <is>
          <t>2018-06-07</t>
        </is>
      </c>
      <c r="H49" s="2" t="inlineStr">
        <is>
          <t>high</t>
        </is>
      </c>
      <c r="I49" s="2" t="inlineStr">
        <is>
          <t>2021-04-28</t>
        </is>
      </c>
      <c r="J49" s="2" t="inlineStr">
        <is>
          <t>2021-05-12</t>
        </is>
      </c>
      <c r="K49" s="2" t="inlineStr">
        <is>
          <t>2021-05-12</t>
        </is>
      </c>
      <c r="L49" s="2" t="inlineStr">
        <is>
          <t>adopted</t>
        </is>
      </c>
      <c r="M49" s="2" t="inlineStr">
        <is>
          <t>adopted</t>
        </is>
      </c>
      <c r="N49" s="2" t="inlineStr">
        <is>
          <t>32021R0695</t>
        </is>
      </c>
      <c r="O49" s="2" t="inlineStr">
        <is>
          <t>Original act as published in the OJ</t>
        </is>
      </c>
      <c r="P49" s="2" t="inlineStr">
        <is>
          <t>https://eur-lex.europa.eu/legal-content/EN/TXT/?uri=CELEX:32021R0695</t>
        </is>
      </c>
      <c r="Q49" s="3" t="n">
        <v>68</v>
      </c>
      <c r="R49" s="3" t="n">
        <v>35488</v>
      </c>
      <c r="S49" s="3" t="n">
        <v>8462</v>
      </c>
      <c r="T49" s="3" t="n">
        <v>8304</v>
      </c>
      <c r="U49" s="3" t="n">
        <v>18587</v>
      </c>
      <c r="V49" s="3" t="n">
        <v>8439</v>
      </c>
      <c r="W49" s="3" t="n">
        <v>0</v>
      </c>
      <c r="X49" s="3" t="n">
        <v>0</v>
      </c>
      <c r="Y49" s="3" t="n">
        <v>365</v>
      </c>
      <c r="Z49" s="3" t="n">
        <v>304</v>
      </c>
      <c r="AA49" s="3" t="n">
        <v>17</v>
      </c>
      <c r="AB49" s="3" t="n">
        <v>1</v>
      </c>
      <c r="AC49" s="3" t="n">
        <v>4</v>
      </c>
      <c r="AD49" s="3" t="n">
        <v>39</v>
      </c>
      <c r="AE49" s="3" t="n">
        <v>52</v>
      </c>
      <c r="AF49" s="3" t="n">
        <v>6</v>
      </c>
      <c r="AG49" s="3" t="n">
        <v>66</v>
      </c>
      <c r="AH49" s="3" t="n">
        <v>241</v>
      </c>
      <c r="AI49" s="2" t="inlineStr">
        <is>
          <t>02021R0695-20251224</t>
        </is>
      </c>
      <c r="AJ49" s="3" t="n">
        <v>372</v>
      </c>
      <c r="AK49" s="2" t="n">
        <v>55</v>
      </c>
      <c r="AL49" s="2">
        <f>COUNTIFS(secondary_acts!$A$2:$A$771,$A49,secondary_acts!$E$2:$E$771,"implementing")</f>
        <v/>
      </c>
      <c r="AM49" s="2">
        <f>COUNTIFS(secondary_acts!$A$2:$A$771,$A49,secondary_acts!$E$2:$E$771,"delegated")</f>
        <v/>
      </c>
      <c r="AN49" s="2">
        <f>COUNTIFS(secondary_acts!$A$2:$A$771,$A49,secondary_acts!$E$2:$E$771,"other Commission/Council act")</f>
        <v/>
      </c>
      <c r="AO49" s="2">
        <f>COUNTIFS(secondary_acts!$A$2:$A$771,$A49,secondary_acts!$E$2:$E$771,"guidance")</f>
        <v/>
      </c>
      <c r="AP49" s="2">
        <f>COUNTIF(guidance_web!$A$2:$A$7,$A49)</f>
        <v/>
      </c>
      <c r="AQ49" s="2">
        <f>COUNTIFS(guidance_agencies!$A$2:$A$81,$A49,guidance_agencies!$D$2:$D$81,"EDPB")</f>
        <v/>
      </c>
      <c r="AR49" s="2">
        <f>COUNTIFS(guidance_agencies!$A$2:$A$81,$A49,guidance_agencies!$D$2:$D$81,"EBA")</f>
        <v/>
      </c>
      <c r="AS49" s="2">
        <f>COUNTIFS(guidance_agencies!$A$2:$A$81,$A49,guidance_agencies!$D$2:$D$81,"ESMA")</f>
        <v/>
      </c>
      <c r="AT49" s="3">
        <f>SUMIFS(secondary_acts!$S$2:$S$771,secondary_acts!$A$2:$A$771,$A49,secondary_acts!$E$2:$E$771,"implementing")+SUMIFS(secondary_acts!$S$2:$S$771,secondary_acts!$A$2:$A$771,$A49,secondary_acts!$E$2:$E$771,"delegated")</f>
        <v/>
      </c>
      <c r="AU49" s="3" t="n"/>
      <c r="AV49" s="2" t="n"/>
      <c r="AW49" s="2" t="n">
        <v>3</v>
      </c>
      <c r="AX49" s="2" t="inlineStr">
        <is>
          <t>2024-02-29</t>
        </is>
      </c>
      <c r="AY49" s="2" t="inlineStr">
        <is>
          <t>2025-12-19</t>
        </is>
      </c>
      <c r="AZ49" s="2" t="n">
        <v>5</v>
      </c>
      <c r="BA49" s="2" t="inlineStr">
        <is>
          <t>52018PC0435</t>
        </is>
      </c>
      <c r="BB49" s="2" t="inlineStr">
        <is>
          <t>EUR-Lex HTML</t>
        </is>
      </c>
      <c r="BC49" s="2" t="n">
        <v>22209</v>
      </c>
      <c r="BD49" s="2" t="n">
        <v>185</v>
      </c>
      <c r="BE49" s="2" t="n">
        <v>40</v>
      </c>
      <c r="BF49" s="2">
        <f>IF(ISNUMBER(BC49),R49-BC49,"")</f>
        <v/>
      </c>
      <c r="BG49" s="4">
        <f>IF(AND(ISNUMBER(BC49),BC49&gt;0),(R49-BC49)/BC49,"")</f>
        <v/>
      </c>
      <c r="BH49" s="2">
        <f>IF(ISNUMBER(BD49),Y49-BD49,"")</f>
        <v/>
      </c>
      <c r="BI49" s="4">
        <f>IF(AND(ISNUMBER(BD49),BD49&gt;0),(Y49-BD49)/BD49,"")</f>
        <v/>
      </c>
      <c r="BJ49" s="2">
        <f>IF(ISNUMBER(BE49),AE49-BE49,"")</f>
        <v/>
      </c>
      <c r="BK49" s="2" t="inlineStr">
        <is>
          <t>moderate</t>
        </is>
      </c>
      <c r="BL49" s="2" t="inlineStr">
        <is>
          <t>moderate: strong causal evidence that predecessor (Horizon 2020) grants help firms; Horizon Europe's own GDP and jobs effects only model-based so far</t>
        </is>
      </c>
      <c r="BM49" s="2" t="inlineStr">
        <is>
          <t>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is>
      </c>
      <c r="BN49" s="2" t="n">
        <v>5</v>
      </c>
      <c r="BO49" s="2" t="n">
        <v>5</v>
      </c>
      <c r="BP49" s="2" t="n">
        <v>11</v>
      </c>
      <c r="BQ49" s="2" t="n">
        <v>4</v>
      </c>
      <c r="BR49" s="2" t="inlineStr"/>
    </row>
    <row r="50">
      <c r="A50" s="2" t="n">
        <v>49</v>
      </c>
      <c r="B50" s="2" t="inlineStr">
        <is>
          <t>Single Market Programme</t>
        </is>
      </c>
      <c r="C50" s="2" t="inlineStr">
        <is>
          <t>Funds actions for 2021-2027 to improve the functioning of the internal market and to produce high-quality European statistics. It supports enforcement of EU law, market access and competitiveness for SMEs, European standardisation, consumer protection, and food, animal and plant health, and strengthens cooperation between national authorities and the Commission. Its financial envelope is EUR 4.208 billion.</t>
        </is>
      </c>
      <c r="D50" s="2" t="inlineStr">
        <is>
          <t>Regulation (EU) 2021/690</t>
        </is>
      </c>
      <c r="E50" s="2" t="inlineStr">
        <is>
          <t>Competition &amp; Single Market</t>
        </is>
      </c>
      <c r="F50" s="2" t="inlineStr">
        <is>
          <t>enacted</t>
        </is>
      </c>
      <c r="G50" s="2" t="inlineStr">
        <is>
          <t>2018-06-07</t>
        </is>
      </c>
      <c r="H50" s="2" t="inlineStr">
        <is>
          <t>high</t>
        </is>
      </c>
      <c r="I50" s="2" t="inlineStr">
        <is>
          <t>2021-04-28</t>
        </is>
      </c>
      <c r="J50" s="2" t="inlineStr">
        <is>
          <t>2021-05-03</t>
        </is>
      </c>
      <c r="K50" s="2" t="inlineStr">
        <is>
          <t>2021-05-03</t>
        </is>
      </c>
      <c r="L50" s="2" t="inlineStr">
        <is>
          <t>adopted</t>
        </is>
      </c>
      <c r="M50" s="2" t="inlineStr">
        <is>
          <t>adopted</t>
        </is>
      </c>
      <c r="N50" s="2" t="inlineStr">
        <is>
          <t>32021R0690</t>
        </is>
      </c>
      <c r="O50" s="2" t="inlineStr">
        <is>
          <t>Original act as published in the OJ</t>
        </is>
      </c>
      <c r="P50" s="2" t="inlineStr">
        <is>
          <t>https://eur-lex.europa.eu/legal-content/EN/TXT/?uri=CELEX:32021R0690</t>
        </is>
      </c>
      <c r="Q50" s="3" t="n">
        <v>47</v>
      </c>
      <c r="R50" s="3" t="n">
        <v>25687</v>
      </c>
      <c r="S50" s="3" t="n">
        <v>12659</v>
      </c>
      <c r="T50" s="3" t="n">
        <v>12483</v>
      </c>
      <c r="U50" s="3" t="n">
        <v>8347</v>
      </c>
      <c r="V50" s="3" t="n">
        <v>4681</v>
      </c>
      <c r="W50" s="3" t="n">
        <v>0</v>
      </c>
      <c r="X50" s="3" t="n">
        <v>0</v>
      </c>
      <c r="Y50" s="3" t="n">
        <v>78</v>
      </c>
      <c r="Z50" s="3" t="n">
        <v>74</v>
      </c>
      <c r="AA50" s="3" t="n">
        <v>3</v>
      </c>
      <c r="AB50" s="3" t="n">
        <v>0</v>
      </c>
      <c r="AC50" s="3" t="n">
        <v>0</v>
      </c>
      <c r="AD50" s="3" t="n">
        <v>1</v>
      </c>
      <c r="AE50" s="3" t="n">
        <v>2</v>
      </c>
      <c r="AF50" s="3" t="n">
        <v>3</v>
      </c>
      <c r="AG50" s="3" t="n">
        <v>32</v>
      </c>
      <c r="AH50" s="3" t="n">
        <v>41</v>
      </c>
      <c r="AI50" s="2" t="inlineStr">
        <is>
          <t>02021R0690-20210503</t>
        </is>
      </c>
      <c r="AJ50" s="3" t="n">
        <v>78</v>
      </c>
      <c r="AK50" s="2" t="n">
        <v>2</v>
      </c>
      <c r="AL50" s="2">
        <f>COUNTIFS(secondary_acts!$A$2:$A$771,$A50,secondary_acts!$E$2:$E$771,"implementing")</f>
        <v/>
      </c>
      <c r="AM50" s="2">
        <f>COUNTIFS(secondary_acts!$A$2:$A$771,$A50,secondary_acts!$E$2:$E$771,"delegated")</f>
        <v/>
      </c>
      <c r="AN50" s="2">
        <f>COUNTIFS(secondary_acts!$A$2:$A$771,$A50,secondary_acts!$E$2:$E$771,"other Commission/Council act")</f>
        <v/>
      </c>
      <c r="AO50" s="2">
        <f>COUNTIFS(secondary_acts!$A$2:$A$771,$A50,secondary_acts!$E$2:$E$771,"guidance")</f>
        <v/>
      </c>
      <c r="AP50" s="2">
        <f>COUNTIF(guidance_web!$A$2:$A$7,$A50)</f>
        <v/>
      </c>
      <c r="AQ50" s="2">
        <f>COUNTIFS(guidance_agencies!$A$2:$A$81,$A50,guidance_agencies!$D$2:$D$81,"EDPB")</f>
        <v/>
      </c>
      <c r="AR50" s="2">
        <f>COUNTIFS(guidance_agencies!$A$2:$A$81,$A50,guidance_agencies!$D$2:$D$81,"EBA")</f>
        <v/>
      </c>
      <c r="AS50" s="2">
        <f>COUNTIFS(guidance_agencies!$A$2:$A$81,$A50,guidance_agencies!$D$2:$D$81,"ESMA")</f>
        <v/>
      </c>
      <c r="AT50" s="3">
        <f>SUMIFS(secondary_acts!$S$2:$S$771,secondary_acts!$A$2:$A$771,$A50,secondary_acts!$E$2:$E$771,"implementing")+SUMIFS(secondary_acts!$S$2:$S$771,secondary_acts!$A$2:$A$771,$A50,secondary_acts!$E$2:$E$771,"delegated")</f>
        <v/>
      </c>
      <c r="AU50" s="3" t="n"/>
      <c r="AV50" s="2" t="n"/>
      <c r="AW50" s="2" t="n">
        <v>0</v>
      </c>
      <c r="AX50" s="2" t="n"/>
      <c r="AY50" s="2" t="n"/>
      <c r="AZ50" s="2" t="n">
        <v>3</v>
      </c>
      <c r="BA50" s="2" t="inlineStr">
        <is>
          <t>52018PC0441</t>
        </is>
      </c>
      <c r="BB50" s="2" t="inlineStr">
        <is>
          <t>EUR-Lex HTML</t>
        </is>
      </c>
      <c r="BC50" s="2" t="n">
        <v>17461</v>
      </c>
      <c r="BD50" s="2" t="n">
        <v>43</v>
      </c>
      <c r="BE50" s="2" t="n">
        <v>1</v>
      </c>
      <c r="BF50" s="2">
        <f>IF(ISNUMBER(BC50),R50-BC50,"")</f>
        <v/>
      </c>
      <c r="BG50" s="4">
        <f>IF(AND(ISNUMBER(BC50),BC50&gt;0),(R50-BC50)/BC50,"")</f>
        <v/>
      </c>
      <c r="BH50" s="2">
        <f>IF(ISNUMBER(BD50),Y50-BD50,"")</f>
        <v/>
      </c>
      <c r="BI50" s="4">
        <f>IF(AND(ISNUMBER(BD50),BD50&gt;0),(Y50-BD50)/BD50,"")</f>
        <v/>
      </c>
      <c r="BJ50" s="2">
        <f>IF(ISNUMBER(BE50),AE50-BE50,"")</f>
        <v/>
      </c>
      <c r="BK50" s="2" t="inlineStr">
        <is>
          <t>thin</t>
        </is>
      </c>
      <c r="BL50" s="2" t="inlineStr">
        <is>
          <t>thin: Commission interim evaluation based on outputs and satisfaction surveys; no counterfactual or independent study found</t>
        </is>
      </c>
      <c r="BM50" s="2" t="inlineStr">
        <is>
          <t>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is>
      </c>
      <c r="BN50" s="2" t="n">
        <v>4</v>
      </c>
      <c r="BO50" s="2" t="n">
        <v>4</v>
      </c>
      <c r="BP50" s="2" t="n">
        <v>2</v>
      </c>
      <c r="BQ50" s="2" t="n">
        <v>0</v>
      </c>
      <c r="BR50" s="2" t="inlineStr">
        <is>
          <t>no consolidated text with amendments in EUR-Lex; consolidated count = original</t>
        </is>
      </c>
    </row>
    <row r="51">
      <c r="A51" s="2" t="n">
        <v>50</v>
      </c>
      <c r="B51" s="2" t="inlineStr">
        <is>
          <t>European Cybersecurity Competence Centre</t>
        </is>
      </c>
      <c r="C51" s="2" t="inlineStr">
        <is>
          <t>Establishes the European Cybersecurity Industrial, Technology and Research Competence Centre, a Network of National Coordination Centres and a Cybersecurity Competence Community. It aims to strengthen the EU's cybersecurity capacities, technological sovereignty and industrial competitiveness. The Centre sets strategic priorities for research, innovation and deployment and manages cybersecurity funding under the Digital Europe Programme and Horizon Europe.</t>
        </is>
      </c>
      <c r="D51" s="2" t="inlineStr">
        <is>
          <t>Regulation (EU) 2021/887</t>
        </is>
      </c>
      <c r="E51" s="2" t="inlineStr">
        <is>
          <t>Cybersecurity</t>
        </is>
      </c>
      <c r="F51" s="2" t="inlineStr">
        <is>
          <t>enacted</t>
        </is>
      </c>
      <c r="G51" s="2" t="inlineStr">
        <is>
          <t>2018-09-12</t>
        </is>
      </c>
      <c r="H51" s="2" t="inlineStr">
        <is>
          <t>high</t>
        </is>
      </c>
      <c r="I51" s="2" t="inlineStr">
        <is>
          <t>2021-05-20</t>
        </is>
      </c>
      <c r="J51" s="2" t="inlineStr">
        <is>
          <t>2021-06-08</t>
        </is>
      </c>
      <c r="K51" s="2" t="inlineStr">
        <is>
          <t>2021-06-28</t>
        </is>
      </c>
      <c r="L51" s="2" t="inlineStr">
        <is>
          <t>adopted</t>
        </is>
      </c>
      <c r="M51" s="2" t="inlineStr">
        <is>
          <t>adopted</t>
        </is>
      </c>
      <c r="N51" s="2" t="inlineStr">
        <is>
          <t>32021R0887</t>
        </is>
      </c>
      <c r="O51" s="2" t="inlineStr">
        <is>
          <t>Original act as published in the OJ</t>
        </is>
      </c>
      <c r="P51" s="2" t="inlineStr">
        <is>
          <t>https://eur-lex.europa.eu/legal-content/EN/TXT/?uri=CELEX:32021R0887</t>
        </is>
      </c>
      <c r="Q51" s="3" t="n">
        <v>31</v>
      </c>
      <c r="R51" s="3" t="n">
        <v>18406</v>
      </c>
      <c r="S51" s="3" t="n">
        <v>4968</v>
      </c>
      <c r="T51" s="3" t="n">
        <v>4844</v>
      </c>
      <c r="U51" s="3" t="n">
        <v>13438</v>
      </c>
      <c r="V51" s="3" t="n">
        <v>0</v>
      </c>
      <c r="W51" s="3" t="n">
        <v>0</v>
      </c>
      <c r="X51" s="3" t="n">
        <v>0</v>
      </c>
      <c r="Y51" s="3" t="n">
        <v>241</v>
      </c>
      <c r="Z51" s="3" t="n">
        <v>227</v>
      </c>
      <c r="AA51" s="3" t="n">
        <v>7</v>
      </c>
      <c r="AB51" s="3" t="n">
        <v>0</v>
      </c>
      <c r="AC51" s="3" t="n">
        <v>0</v>
      </c>
      <c r="AD51" s="3" t="n">
        <v>7</v>
      </c>
      <c r="AE51" s="3" t="n">
        <v>6</v>
      </c>
      <c r="AF51" s="3" t="n">
        <v>32</v>
      </c>
      <c r="AG51" s="3" t="n">
        <v>102</v>
      </c>
      <c r="AH51" s="3" t="n">
        <v>101</v>
      </c>
      <c r="AI51" s="2" t="n"/>
      <c r="AJ51" s="3" t="n"/>
      <c r="AK51" s="2" t="n"/>
      <c r="AL51" s="2">
        <f>COUNTIFS(secondary_acts!$A$2:$A$771,$A51,secondary_acts!$E$2:$E$771,"implementing")</f>
        <v/>
      </c>
      <c r="AM51" s="2">
        <f>COUNTIFS(secondary_acts!$A$2:$A$771,$A51,secondary_acts!$E$2:$E$771,"delegated")</f>
        <v/>
      </c>
      <c r="AN51" s="2">
        <f>COUNTIFS(secondary_acts!$A$2:$A$771,$A51,secondary_acts!$E$2:$E$771,"other Commission/Council act")</f>
        <v/>
      </c>
      <c r="AO51" s="2">
        <f>COUNTIFS(secondary_acts!$A$2:$A$771,$A51,secondary_acts!$E$2:$E$771,"guidance")</f>
        <v/>
      </c>
      <c r="AP51" s="2">
        <f>COUNTIF(guidance_web!$A$2:$A$7,$A51)</f>
        <v/>
      </c>
      <c r="AQ51" s="2">
        <f>COUNTIFS(guidance_agencies!$A$2:$A$81,$A51,guidance_agencies!$D$2:$D$81,"EDPB")</f>
        <v/>
      </c>
      <c r="AR51" s="2">
        <f>COUNTIFS(guidance_agencies!$A$2:$A$81,$A51,guidance_agencies!$D$2:$D$81,"EBA")</f>
        <v/>
      </c>
      <c r="AS51" s="2">
        <f>COUNTIFS(guidance_agencies!$A$2:$A$81,$A51,guidance_agencies!$D$2:$D$81,"ESMA")</f>
        <v/>
      </c>
      <c r="AT51" s="3">
        <f>SUMIFS(secondary_acts!$S$2:$S$771,secondary_acts!$A$2:$A$771,$A51,secondary_acts!$E$2:$E$771,"implementing")+SUMIFS(secondary_acts!$S$2:$S$771,secondary_acts!$A$2:$A$771,$A51,secondary_acts!$E$2:$E$771,"delegated")</f>
        <v/>
      </c>
      <c r="AU51" s="3" t="n"/>
      <c r="AV51" s="2" t="n"/>
      <c r="AW51" s="2" t="n">
        <v>0</v>
      </c>
      <c r="AX51" s="2" t="n"/>
      <c r="AY51" s="2" t="n"/>
      <c r="AZ51" s="2" t="n">
        <v>0</v>
      </c>
      <c r="BA51" s="2" t="inlineStr">
        <is>
          <t>52018PC0630</t>
        </is>
      </c>
      <c r="BB51" s="2" t="inlineStr">
        <is>
          <t>EUR-Lex HTML</t>
        </is>
      </c>
      <c r="BC51" s="2" t="n">
        <v>11396</v>
      </c>
      <c r="BD51" s="2" t="n">
        <v>179</v>
      </c>
      <c r="BE51" s="2" t="n">
        <v>4</v>
      </c>
      <c r="BF51" s="2">
        <f>IF(ISNUMBER(BC51),R51-BC51,"")</f>
        <v/>
      </c>
      <c r="BG51" s="4">
        <f>IF(AND(ISNUMBER(BC51),BC51&gt;0),(R51-BC51)/BC51,"")</f>
        <v/>
      </c>
      <c r="BH51" s="2">
        <f>IF(ISNUMBER(BD51),Y51-BD51,"")</f>
        <v/>
      </c>
      <c r="BI51" s="4">
        <f>IF(AND(ISNUMBER(BD51),BD51&gt;0),(Y51-BD51)/BD51,"")</f>
        <v/>
      </c>
      <c r="BJ51" s="2">
        <f>IF(ISNUMBER(BE51),AE51-BE51,"")</f>
        <v/>
      </c>
      <c r="BK51" s="2" t="inlineStr">
        <is>
          <t>thin</t>
        </is>
      </c>
      <c r="BL51" s="2" t="inlineStr">
        <is>
          <t>thin: output counts and audit findings only; headline 25% market-share target not tracked; no independent study</t>
        </is>
      </c>
      <c r="BM51" s="2" t="inlineStr">
        <is>
          <t>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is>
      </c>
      <c r="BN51" s="2" t="n">
        <v>5</v>
      </c>
      <c r="BO51" s="2" t="n">
        <v>2</v>
      </c>
      <c r="BP51" s="2" t="n">
        <v>3</v>
      </c>
      <c r="BQ51" s="2" t="n">
        <v>0</v>
      </c>
      <c r="BR51" s="2" t="inlineStr"/>
    </row>
    <row r="52">
      <c r="A52" s="2" t="n">
        <v>51</v>
      </c>
      <c r="B52" s="2" t="inlineStr">
        <is>
          <t>Terrorist Content Online Regulation</t>
        </is>
      </c>
      <c r="C52" s="2" t="inlineStr">
        <is>
          <t>Lays down uniform rules to address the misuse of hosting services to spread terrorist content online. It applies to hosting service providers offering services in the EU, wherever they are established. Competent authorities can issue removal orders that providers must act on within one hour; providers exposed to terrorist content must take specific measures, publish transparency reports and offer complaint mechanisms, with safeguards for freedom of expression.</t>
        </is>
      </c>
      <c r="D52" s="2" t="inlineStr">
        <is>
          <t>Regulation (EU) 2021/784</t>
        </is>
      </c>
      <c r="E52" s="2" t="inlineStr">
        <is>
          <t>Law Enforcement</t>
        </is>
      </c>
      <c r="F52" s="2" t="inlineStr">
        <is>
          <t>enacted</t>
        </is>
      </c>
      <c r="G52" s="2" t="inlineStr">
        <is>
          <t>2018-09-12</t>
        </is>
      </c>
      <c r="H52" s="2" t="inlineStr">
        <is>
          <t>high</t>
        </is>
      </c>
      <c r="I52" s="2" t="inlineStr">
        <is>
          <t>2021-04-29</t>
        </is>
      </c>
      <c r="J52" s="2" t="inlineStr">
        <is>
          <t>2021-05-17</t>
        </is>
      </c>
      <c r="K52" s="2" t="inlineStr">
        <is>
          <t>2021-06-06</t>
        </is>
      </c>
      <c r="L52" s="2" t="inlineStr">
        <is>
          <t>adopted</t>
        </is>
      </c>
      <c r="M52" s="2" t="inlineStr">
        <is>
          <t>adopted</t>
        </is>
      </c>
      <c r="N52" s="2" t="inlineStr">
        <is>
          <t>32021R0784</t>
        </is>
      </c>
      <c r="O52" s="2" t="inlineStr">
        <is>
          <t>Original act as published in the OJ</t>
        </is>
      </c>
      <c r="P52" s="2" t="inlineStr">
        <is>
          <t>https://eur-lex.europa.eu/legal-content/EN/TXT/?uri=CELEX:32021R0784</t>
        </is>
      </c>
      <c r="Q52" s="3" t="n">
        <v>31</v>
      </c>
      <c r="R52" s="3" t="n">
        <v>14863</v>
      </c>
      <c r="S52" s="3" t="n">
        <v>7025</v>
      </c>
      <c r="T52" s="3" t="n">
        <v>6914</v>
      </c>
      <c r="U52" s="3" t="n">
        <v>6635</v>
      </c>
      <c r="V52" s="3" t="n">
        <v>1203</v>
      </c>
      <c r="W52" s="3" t="n">
        <v>0</v>
      </c>
      <c r="X52" s="3" t="n">
        <v>0</v>
      </c>
      <c r="Y52" s="3" t="n">
        <v>118</v>
      </c>
      <c r="Z52" s="3" t="n">
        <v>101</v>
      </c>
      <c r="AA52" s="3" t="n">
        <v>6</v>
      </c>
      <c r="AB52" s="3" t="n">
        <v>0</v>
      </c>
      <c r="AC52" s="3" t="n">
        <v>1</v>
      </c>
      <c r="AD52" s="3" t="n">
        <v>10</v>
      </c>
      <c r="AE52" s="3" t="n">
        <v>37</v>
      </c>
      <c r="AF52" s="3" t="n">
        <v>37</v>
      </c>
      <c r="AG52" s="3" t="n">
        <v>11</v>
      </c>
      <c r="AH52" s="3" t="n">
        <v>33</v>
      </c>
      <c r="AI52" s="2" t="inlineStr">
        <is>
          <t>02021R0784-20210517</t>
        </is>
      </c>
      <c r="AJ52" s="3" t="n">
        <v>118</v>
      </c>
      <c r="AK52" s="2" t="n">
        <v>37</v>
      </c>
      <c r="AL52" s="2">
        <f>COUNTIFS(secondary_acts!$A$2:$A$771,$A52,secondary_acts!$E$2:$E$771,"implementing")</f>
        <v/>
      </c>
      <c r="AM52" s="2">
        <f>COUNTIFS(secondary_acts!$A$2:$A$771,$A52,secondary_acts!$E$2:$E$771,"delegated")</f>
        <v/>
      </c>
      <c r="AN52" s="2">
        <f>COUNTIFS(secondary_acts!$A$2:$A$771,$A52,secondary_acts!$E$2:$E$771,"other Commission/Council act")</f>
        <v/>
      </c>
      <c r="AO52" s="2">
        <f>COUNTIFS(secondary_acts!$A$2:$A$771,$A52,secondary_acts!$E$2:$E$771,"guidance")</f>
        <v/>
      </c>
      <c r="AP52" s="2">
        <f>COUNTIF(guidance_web!$A$2:$A$7,$A52)</f>
        <v/>
      </c>
      <c r="AQ52" s="2">
        <f>COUNTIFS(guidance_agencies!$A$2:$A$81,$A52,guidance_agencies!$D$2:$D$81,"EDPB")</f>
        <v/>
      </c>
      <c r="AR52" s="2">
        <f>COUNTIFS(guidance_agencies!$A$2:$A$81,$A52,guidance_agencies!$D$2:$D$81,"EBA")</f>
        <v/>
      </c>
      <c r="AS52" s="2">
        <f>COUNTIFS(guidance_agencies!$A$2:$A$81,$A52,guidance_agencies!$D$2:$D$81,"ESMA")</f>
        <v/>
      </c>
      <c r="AT52" s="3">
        <f>SUMIFS(secondary_acts!$S$2:$S$771,secondary_acts!$A$2:$A$771,$A52,secondary_acts!$E$2:$E$771,"implementing")+SUMIFS(secondary_acts!$S$2:$S$771,secondary_acts!$A$2:$A$771,$A52,secondary_acts!$E$2:$E$771,"delegated")</f>
        <v/>
      </c>
      <c r="AU52" s="3" t="n"/>
      <c r="AV52" s="2" t="n"/>
      <c r="AW52" s="2" t="n">
        <v>0</v>
      </c>
      <c r="AX52" s="2" t="n"/>
      <c r="AY52" s="2" t="n"/>
      <c r="AZ52" s="2" t="n">
        <v>3</v>
      </c>
      <c r="BA52" s="2" t="inlineStr">
        <is>
          <t>52018PC0640</t>
        </is>
      </c>
      <c r="BB52" s="2" t="inlineStr">
        <is>
          <t>EUR-Lex HTML</t>
        </is>
      </c>
      <c r="BC52" s="2" t="n">
        <v>11209</v>
      </c>
      <c r="BD52" s="2" t="n">
        <v>95</v>
      </c>
      <c r="BE52" s="2" t="n">
        <v>35</v>
      </c>
      <c r="BF52" s="2">
        <f>IF(ISNUMBER(BC52),R52-BC52,"")</f>
        <v/>
      </c>
      <c r="BG52" s="4">
        <f>IF(AND(ISNUMBER(BC52),BC52&gt;0),(R52-BC52)/BC52,"")</f>
        <v/>
      </c>
      <c r="BH52" s="2">
        <f>IF(ISNUMBER(BD52),Y52-BD52,"")</f>
        <v/>
      </c>
      <c r="BI52" s="4">
        <f>IF(AND(ISNUMBER(BD52),BD52&gt;0),(Y52-BD52)/BD52,"")</f>
        <v/>
      </c>
      <c r="BJ52" s="2">
        <f>IF(ISNUMBER(BE52),AE52-BE52,"")</f>
        <v/>
      </c>
      <c r="BK52" s="2" t="inlineStr">
        <is>
          <t>thin</t>
        </is>
      </c>
      <c r="BL52" s="2" t="inlineStr">
        <is>
          <t>thin: Commission activity counts and a qualitative rights assessment; no measure of effect on terrorist content or on platforms</t>
        </is>
      </c>
      <c r="BM52" s="2" t="inlineStr">
        <is>
          <t>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is>
      </c>
      <c r="BN52" s="2" t="n">
        <v>4</v>
      </c>
      <c r="BO52" s="2" t="n">
        <v>3</v>
      </c>
      <c r="BP52" s="2" t="n">
        <v>5</v>
      </c>
      <c r="BQ52" s="2" t="n">
        <v>0</v>
      </c>
      <c r="BR52" s="2" t="inlineStr">
        <is>
          <t>no consolidated text with amendments in EUR-Lex; consolidated count = original</t>
        </is>
      </c>
    </row>
    <row r="53">
      <c r="A53" s="2" t="n">
        <v>52</v>
      </c>
      <c r="B53" s="2" t="inlineStr">
        <is>
          <t>Recovery and Resilience Facility</t>
        </is>
      </c>
      <c r="C53" s="2" t="inlineStr">
        <is>
          <t>Establishes a temporary facility to help Member States recover from the COVID-19 crisis and become more resilient, supporting the green and digital transitions. It funds reforms and investments set out in national recovery and resilience plans, released when agreed milestones and targets are met; plans must devote at least 20% to digital objectives. It provides up to EUR 312.5 billion in grants and EUR 360 billion in loans (2018 prices).</t>
        </is>
      </c>
      <c r="D53" s="2" t="inlineStr">
        <is>
          <t>Regulation (EU) 2021/241</t>
        </is>
      </c>
      <c r="E53" s="2" t="inlineStr">
        <is>
          <t>Industrial Policy</t>
        </is>
      </c>
      <c r="F53" s="2" t="inlineStr">
        <is>
          <t>enacted</t>
        </is>
      </c>
      <c r="G53" s="2" t="inlineStr">
        <is>
          <t>2020-05-28</t>
        </is>
      </c>
      <c r="H53" s="2" t="inlineStr">
        <is>
          <t>high</t>
        </is>
      </c>
      <c r="I53" s="2" t="inlineStr">
        <is>
          <t>2021-02-12</t>
        </is>
      </c>
      <c r="J53" s="2" t="inlineStr">
        <is>
          <t>2021-02-18</t>
        </is>
      </c>
      <c r="K53" s="2" t="inlineStr">
        <is>
          <t>2021-02-19</t>
        </is>
      </c>
      <c r="L53" s="2" t="inlineStr">
        <is>
          <t>adopted</t>
        </is>
      </c>
      <c r="M53" s="2" t="inlineStr">
        <is>
          <t>adopted</t>
        </is>
      </c>
      <c r="N53" s="2" t="inlineStr">
        <is>
          <t>32021R0241</t>
        </is>
      </c>
      <c r="O53" s="2" t="inlineStr">
        <is>
          <t>Original act as published in the OJ</t>
        </is>
      </c>
      <c r="P53" s="2" t="inlineStr">
        <is>
          <t>https://eur-lex.europa.eu/legal-content/EN/TXT/?uri=CELEX:32021R0241</t>
        </is>
      </c>
      <c r="Q53" s="3" t="n">
        <v>59</v>
      </c>
      <c r="R53" s="3" t="n">
        <v>29391</v>
      </c>
      <c r="S53" s="3" t="n">
        <v>8842</v>
      </c>
      <c r="T53" s="3" t="n">
        <v>8721</v>
      </c>
      <c r="U53" s="3" t="n">
        <v>11556</v>
      </c>
      <c r="V53" s="3" t="n">
        <v>8993</v>
      </c>
      <c r="W53" s="3" t="n">
        <v>0</v>
      </c>
      <c r="X53" s="3" t="n">
        <v>0</v>
      </c>
      <c r="Y53" s="3" t="n">
        <v>189</v>
      </c>
      <c r="Z53" s="3" t="n">
        <v>177</v>
      </c>
      <c r="AA53" s="3" t="n">
        <v>7</v>
      </c>
      <c r="AB53" s="3" t="n">
        <v>3</v>
      </c>
      <c r="AC53" s="3" t="n">
        <v>1</v>
      </c>
      <c r="AD53" s="3" t="n">
        <v>1</v>
      </c>
      <c r="AE53" s="3" t="n">
        <v>8</v>
      </c>
      <c r="AF53" s="3" t="n">
        <v>29</v>
      </c>
      <c r="AG53" s="3" t="n">
        <v>91</v>
      </c>
      <c r="AH53" s="3" t="n">
        <v>61</v>
      </c>
      <c r="AI53" s="2" t="inlineStr">
        <is>
          <t>02021R0241-20240301</t>
        </is>
      </c>
      <c r="AJ53" s="3" t="n">
        <v>226</v>
      </c>
      <c r="AK53" s="2" t="n">
        <v>14</v>
      </c>
      <c r="AL53" s="2">
        <f>COUNTIFS(secondary_acts!$A$2:$A$771,$A53,secondary_acts!$E$2:$E$771,"implementing")</f>
        <v/>
      </c>
      <c r="AM53" s="2">
        <f>COUNTIFS(secondary_acts!$A$2:$A$771,$A53,secondary_acts!$E$2:$E$771,"delegated")</f>
        <v/>
      </c>
      <c r="AN53" s="2">
        <f>COUNTIFS(secondary_acts!$A$2:$A$771,$A53,secondary_acts!$E$2:$E$771,"other Commission/Council act")</f>
        <v/>
      </c>
      <c r="AO53" s="2">
        <f>COUNTIFS(secondary_acts!$A$2:$A$771,$A53,secondary_acts!$E$2:$E$771,"guidance")</f>
        <v/>
      </c>
      <c r="AP53" s="2">
        <f>COUNTIF(guidance_web!$A$2:$A$7,$A53)</f>
        <v/>
      </c>
      <c r="AQ53" s="2">
        <f>COUNTIFS(guidance_agencies!$A$2:$A$81,$A53,guidance_agencies!$D$2:$D$81,"EDPB")</f>
        <v/>
      </c>
      <c r="AR53" s="2">
        <f>COUNTIFS(guidance_agencies!$A$2:$A$81,$A53,guidance_agencies!$D$2:$D$81,"EBA")</f>
        <v/>
      </c>
      <c r="AS53" s="2">
        <f>COUNTIFS(guidance_agencies!$A$2:$A$81,$A53,guidance_agencies!$D$2:$D$81,"ESMA")</f>
        <v/>
      </c>
      <c r="AT53" s="3">
        <f>SUMIFS(secondary_acts!$S$2:$S$771,secondary_acts!$A$2:$A$771,$A53,secondary_acts!$E$2:$E$771,"implementing")+SUMIFS(secondary_acts!$S$2:$S$771,secondary_acts!$A$2:$A$771,$A53,secondary_acts!$E$2:$E$771,"delegated")</f>
        <v/>
      </c>
      <c r="AU53" s="3" t="n"/>
      <c r="AV53" s="2" t="n"/>
      <c r="AW53" s="2" t="n">
        <v>2</v>
      </c>
      <c r="AX53" s="2" t="inlineStr">
        <is>
          <t>2023-02-27</t>
        </is>
      </c>
      <c r="AY53" s="2" t="inlineStr">
        <is>
          <t>2024-02-29</t>
        </is>
      </c>
      <c r="AZ53" s="2" t="n">
        <v>9</v>
      </c>
      <c r="BA53" s="2" t="inlineStr">
        <is>
          <t>52020PC0408</t>
        </is>
      </c>
      <c r="BB53" s="2" t="inlineStr">
        <is>
          <t>EUR-Lex HTML</t>
        </is>
      </c>
      <c r="BC53" s="2" t="n">
        <v>12953</v>
      </c>
      <c r="BD53" s="2" t="n">
        <v>117</v>
      </c>
      <c r="BE53" s="2" t="n">
        <v>5</v>
      </c>
      <c r="BF53" s="2">
        <f>IF(ISNUMBER(BC53),R53-BC53,"")</f>
        <v/>
      </c>
      <c r="BG53" s="4">
        <f>IF(AND(ISNUMBER(BC53),BC53&gt;0),(R53-BC53)/BC53,"")</f>
        <v/>
      </c>
      <c r="BH53" s="2">
        <f>IF(ISNUMBER(BD53),Y53-BD53,"")</f>
        <v/>
      </c>
      <c r="BI53" s="4">
        <f>IF(AND(ISNUMBER(BD53),BD53&gt;0),(Y53-BD53)/BD53,"")</f>
        <v/>
      </c>
      <c r="BJ53" s="2">
        <f>IF(ISNUMBER(BE53),AE53-BE53,"")</f>
        <v/>
      </c>
      <c r="BK53" s="2" t="inlineStr">
        <is>
          <t>moderate</t>
        </is>
      </c>
      <c r="BL53" s="2" t="inlineStr">
        <is>
          <t>moderate on implementation, thin on impact: detailed disbursement and audit data; GDP effects only from macro models (Commission, ECB) and early IMF analysis; no ex-post causal evaluation (due 2028)</t>
        </is>
      </c>
      <c r="BM53" s="2" t="inlineStr">
        <is>
          <t>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is>
      </c>
      <c r="BN53" s="2" t="n">
        <v>5</v>
      </c>
      <c r="BO53" s="2" t="n">
        <v>5</v>
      </c>
      <c r="BP53" s="2" t="n">
        <v>21</v>
      </c>
      <c r="BQ53" s="2" t="n">
        <v>5</v>
      </c>
      <c r="BR53" s="2" t="inlineStr"/>
    </row>
    <row r="54">
      <c r="A54" s="2" t="n">
        <v>53</v>
      </c>
      <c r="B54" s="2" t="inlineStr">
        <is>
          <t>Temporary CSAM Derogation Regulation</t>
        </is>
      </c>
      <c r="C54" s="2" t="inlineStr">
        <is>
          <t>Lays down temporary, strictly limited derogations from ePrivacy Directive confidentiality rules, solely to allow providers of number-independent interpersonal communications services, such as messaging and webmail, to voluntarily use specific technologies to detect, report and remove online child sexual abuse material. It sets conditions on such processing, including data protection safeguards, human oversight, redress and reporting obligations.</t>
        </is>
      </c>
      <c r="D54" s="2" t="inlineStr">
        <is>
          <t>Regulation (EU) 2021/1232</t>
        </is>
      </c>
      <c r="E54" s="2" t="inlineStr">
        <is>
          <t>Law Enforcement</t>
        </is>
      </c>
      <c r="F54" s="2" t="inlineStr">
        <is>
          <t>enacted</t>
        </is>
      </c>
      <c r="G54" s="2" t="inlineStr">
        <is>
          <t>2020-09-10</t>
        </is>
      </c>
      <c r="H54" s="2" t="inlineStr">
        <is>
          <t>high</t>
        </is>
      </c>
      <c r="I54" s="2" t="inlineStr">
        <is>
          <t>2021-07-14</t>
        </is>
      </c>
      <c r="J54" s="2" t="inlineStr">
        <is>
          <t>2021-07-30</t>
        </is>
      </c>
      <c r="K54" s="2" t="inlineStr">
        <is>
          <t>2021-08-02</t>
        </is>
      </c>
      <c r="L54" s="2" t="inlineStr">
        <is>
          <t>adopted</t>
        </is>
      </c>
      <c r="M54" s="2" t="inlineStr">
        <is>
          <t>adopted</t>
        </is>
      </c>
      <c r="N54" s="2" t="inlineStr">
        <is>
          <t>32021R1232</t>
        </is>
      </c>
      <c r="O54" s="2" t="inlineStr">
        <is>
          <t>Original act as published in the OJ</t>
        </is>
      </c>
      <c r="P54" s="2" t="inlineStr">
        <is>
          <t>https://eur-lex.europa.eu/legal-content/EN/TXT/?uri=CELEX:32021R1232</t>
        </is>
      </c>
      <c r="Q54" s="3" t="n">
        <v>11</v>
      </c>
      <c r="R54" s="3" t="n">
        <v>6315</v>
      </c>
      <c r="S54" s="3" t="n">
        <v>4021</v>
      </c>
      <c r="T54" s="3" t="n">
        <v>3869</v>
      </c>
      <c r="U54" s="3" t="n">
        <v>2294</v>
      </c>
      <c r="V54" s="3" t="n">
        <v>0</v>
      </c>
      <c r="W54" s="3" t="n">
        <v>0</v>
      </c>
      <c r="X54" s="3" t="n">
        <v>0</v>
      </c>
      <c r="Y54" s="3" t="n">
        <v>11</v>
      </c>
      <c r="Z54" s="3" t="n">
        <v>11</v>
      </c>
      <c r="AA54" s="3" t="n">
        <v>0</v>
      </c>
      <c r="AB54" s="3" t="n">
        <v>0</v>
      </c>
      <c r="AC54" s="3" t="n">
        <v>0</v>
      </c>
      <c r="AD54" s="3" t="n">
        <v>0</v>
      </c>
      <c r="AE54" s="3" t="n">
        <v>2</v>
      </c>
      <c r="AF54" s="3" t="n">
        <v>1</v>
      </c>
      <c r="AG54" s="3" t="n">
        <v>7</v>
      </c>
      <c r="AH54" s="3" t="n">
        <v>1</v>
      </c>
      <c r="AI54" s="2" t="inlineStr">
        <is>
          <t>02021R1232-20240515</t>
        </is>
      </c>
      <c r="AJ54" s="3" t="n">
        <v>16</v>
      </c>
      <c r="AK54" s="2" t="n">
        <v>2</v>
      </c>
      <c r="AL54" s="2">
        <f>COUNTIFS(secondary_acts!$A$2:$A$771,$A54,secondary_acts!$E$2:$E$771,"implementing")</f>
        <v/>
      </c>
      <c r="AM54" s="2">
        <f>COUNTIFS(secondary_acts!$A$2:$A$771,$A54,secondary_acts!$E$2:$E$771,"delegated")</f>
        <v/>
      </c>
      <c r="AN54" s="2">
        <f>COUNTIFS(secondary_acts!$A$2:$A$771,$A54,secondary_acts!$E$2:$E$771,"other Commission/Council act")</f>
        <v/>
      </c>
      <c r="AO54" s="2">
        <f>COUNTIFS(secondary_acts!$A$2:$A$771,$A54,secondary_acts!$E$2:$E$771,"guidance")</f>
        <v/>
      </c>
      <c r="AP54" s="2">
        <f>COUNTIF(guidance_web!$A$2:$A$7,$A54)</f>
        <v/>
      </c>
      <c r="AQ54" s="2">
        <f>COUNTIFS(guidance_agencies!$A$2:$A$81,$A54,guidance_agencies!$D$2:$D$81,"EDPB")</f>
        <v/>
      </c>
      <c r="AR54" s="2">
        <f>COUNTIFS(guidance_agencies!$A$2:$A$81,$A54,guidance_agencies!$D$2:$D$81,"EBA")</f>
        <v/>
      </c>
      <c r="AS54" s="2">
        <f>COUNTIFS(guidance_agencies!$A$2:$A$81,$A54,guidance_agencies!$D$2:$D$81,"ESMA")</f>
        <v/>
      </c>
      <c r="AT54" s="3">
        <f>SUMIFS(secondary_acts!$S$2:$S$771,secondary_acts!$A$2:$A$771,$A54,secondary_acts!$E$2:$E$771,"implementing")+SUMIFS(secondary_acts!$S$2:$S$771,secondary_acts!$A$2:$A$771,$A54,secondary_acts!$E$2:$E$771,"delegated")</f>
        <v/>
      </c>
      <c r="AU54" s="3" t="n"/>
      <c r="AV54" s="2" t="n"/>
      <c r="AW54" s="2" t="n">
        <v>1</v>
      </c>
      <c r="AX54" s="2" t="inlineStr">
        <is>
          <t>2024-04-29</t>
        </is>
      </c>
      <c r="AY54" s="2" t="inlineStr">
        <is>
          <t>2024-04-29</t>
        </is>
      </c>
      <c r="AZ54" s="2" t="n">
        <v>0</v>
      </c>
      <c r="BA54" s="2" t="inlineStr">
        <is>
          <t>52020PC0568</t>
        </is>
      </c>
      <c r="BB54" s="2" t="inlineStr">
        <is>
          <t>EUR-Lex HTML</t>
        </is>
      </c>
      <c r="BC54" s="2" t="n">
        <v>2709</v>
      </c>
      <c r="BD54" s="2" t="n">
        <v>1</v>
      </c>
      <c r="BE54" s="2" t="n">
        <v>1</v>
      </c>
      <c r="BF54" s="2">
        <f>IF(ISNUMBER(BC54),R54-BC54,"")</f>
        <v/>
      </c>
      <c r="BG54" s="4">
        <f>IF(AND(ISNUMBER(BC54),BC54&gt;0),(R54-BC54)/BC54,"")</f>
        <v/>
      </c>
      <c r="BH54" s="2">
        <f>IF(ISNUMBER(BD54),Y54-BD54,"")</f>
        <v/>
      </c>
      <c r="BI54" s="4">
        <f>IF(AND(ISNUMBER(BD54),BD54&gt;0),(Y54-BD54)/BD54,"")</f>
        <v/>
      </c>
      <c r="BJ54" s="2">
        <f>IF(ISNUMBER(BE54),AE54-BE54,"")</f>
        <v/>
      </c>
      <c r="BK54" s="2" t="inlineStr">
        <is>
          <t>thin</t>
        </is>
      </c>
      <c r="BL54" s="2" t="inlineStr">
        <is>
          <t>thin: Commission reports say data too incomplete to assess effectiveness or proportionality; no independent study</t>
        </is>
      </c>
      <c r="BM54" s="2" t="inlineStr">
        <is>
          <t>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is>
      </c>
      <c r="BN54" s="2" t="n">
        <v>3</v>
      </c>
      <c r="BO54" s="2" t="n">
        <v>3</v>
      </c>
      <c r="BP54" s="2" t="n">
        <v>6</v>
      </c>
      <c r="BQ54" s="2" t="n">
        <v>0</v>
      </c>
      <c r="BR54" s="2" t="inlineStr"/>
    </row>
    <row r="55">
      <c r="A55" s="2" t="n">
        <v>54</v>
      </c>
      <c r="B55" s="2" t="inlineStr">
        <is>
          <t>EuroHPC Joint Undertaking Regulation</t>
        </is>
      </c>
      <c r="C55" s="2" t="inlineStr">
        <is>
          <t>Establishes the European High Performance Computing Joint Undertaking, based in Luxembourg, as a partnership between the Union, participating states and private members. Its mission is to develop, deploy and maintain a world-class federated supercomputing, quantum computing and data infrastructure in the EU, support research and innovation in the technologies involved, and widen access for public and private users. The Union contribution is up to EUR 3.0813 billion.</t>
        </is>
      </c>
      <c r="D55" s="2" t="inlineStr">
        <is>
          <t>Regulation (EU) 2021/1173</t>
        </is>
      </c>
      <c r="E55" s="2" t="inlineStr">
        <is>
          <t>Industrial Policy</t>
        </is>
      </c>
      <c r="F55" s="2" t="inlineStr">
        <is>
          <t>enacted</t>
        </is>
      </c>
      <c r="G55" s="2" t="inlineStr">
        <is>
          <t>2020-09-18</t>
        </is>
      </c>
      <c r="H55" s="2" t="inlineStr">
        <is>
          <t>high</t>
        </is>
      </c>
      <c r="I55" s="2" t="inlineStr">
        <is>
          <t>2021-07-13</t>
        </is>
      </c>
      <c r="J55" s="2" t="inlineStr">
        <is>
          <t>2021-07-19</t>
        </is>
      </c>
      <c r="K55" s="2" t="inlineStr">
        <is>
          <t>2021-08-08</t>
        </is>
      </c>
      <c r="L55" s="2" t="inlineStr">
        <is>
          <t>adopted</t>
        </is>
      </c>
      <c r="M55" s="2" t="inlineStr">
        <is>
          <t>adopted</t>
        </is>
      </c>
      <c r="N55" s="2" t="inlineStr">
        <is>
          <t>32021R1173</t>
        </is>
      </c>
      <c r="O55" s="2" t="inlineStr">
        <is>
          <t>Original act as published in the OJ</t>
        </is>
      </c>
      <c r="P55" s="2" t="inlineStr">
        <is>
          <t>https://eur-lex.europa.eu/legal-content/EN/TXT/?uri=CELEX:32021R1173</t>
        </is>
      </c>
      <c r="Q55" s="3" t="n">
        <v>49</v>
      </c>
      <c r="R55" s="3" t="n">
        <v>26545</v>
      </c>
      <c r="S55" s="3" t="n">
        <v>7467</v>
      </c>
      <c r="T55" s="3" t="n">
        <v>7367</v>
      </c>
      <c r="U55" s="3" t="n">
        <v>11295</v>
      </c>
      <c r="V55" s="3" t="n">
        <v>7783</v>
      </c>
      <c r="W55" s="3" t="n">
        <v>0</v>
      </c>
      <c r="X55" s="3" t="n">
        <v>0</v>
      </c>
      <c r="Y55" s="3" t="n">
        <v>340</v>
      </c>
      <c r="Z55" s="3" t="n">
        <v>313</v>
      </c>
      <c r="AA55" s="3" t="n">
        <v>18</v>
      </c>
      <c r="AB55" s="3" t="n">
        <v>3</v>
      </c>
      <c r="AC55" s="3" t="n">
        <v>1</v>
      </c>
      <c r="AD55" s="3" t="n">
        <v>5</v>
      </c>
      <c r="AE55" s="3" t="n">
        <v>33</v>
      </c>
      <c r="AF55" s="3" t="n">
        <v>7</v>
      </c>
      <c r="AG55" s="3" t="n">
        <v>204</v>
      </c>
      <c r="AH55" s="3" t="n">
        <v>96</v>
      </c>
      <c r="AI55" s="2" t="inlineStr">
        <is>
          <t>02021R1173-20260120</t>
        </is>
      </c>
      <c r="AJ55" s="3" t="n">
        <v>438</v>
      </c>
      <c r="AK55" s="2" t="n">
        <v>47</v>
      </c>
      <c r="AL55" s="2">
        <f>COUNTIFS(secondary_acts!$A$2:$A$771,$A55,secondary_acts!$E$2:$E$771,"implementing")</f>
        <v/>
      </c>
      <c r="AM55" s="2">
        <f>COUNTIFS(secondary_acts!$A$2:$A$771,$A55,secondary_acts!$E$2:$E$771,"delegated")</f>
        <v/>
      </c>
      <c r="AN55" s="2">
        <f>COUNTIFS(secondary_acts!$A$2:$A$771,$A55,secondary_acts!$E$2:$E$771,"other Commission/Council act")</f>
        <v/>
      </c>
      <c r="AO55" s="2">
        <f>COUNTIFS(secondary_acts!$A$2:$A$771,$A55,secondary_acts!$E$2:$E$771,"guidance")</f>
        <v/>
      </c>
      <c r="AP55" s="2">
        <f>COUNTIF(guidance_web!$A$2:$A$7,$A55)</f>
        <v/>
      </c>
      <c r="AQ55" s="2">
        <f>COUNTIFS(guidance_agencies!$A$2:$A$81,$A55,guidance_agencies!$D$2:$D$81,"EDPB")</f>
        <v/>
      </c>
      <c r="AR55" s="2">
        <f>COUNTIFS(guidance_agencies!$A$2:$A$81,$A55,guidance_agencies!$D$2:$D$81,"EBA")</f>
        <v/>
      </c>
      <c r="AS55" s="2">
        <f>COUNTIFS(guidance_agencies!$A$2:$A$81,$A55,guidance_agencies!$D$2:$D$81,"ESMA")</f>
        <v/>
      </c>
      <c r="AT55" s="3">
        <f>SUMIFS(secondary_acts!$S$2:$S$771,secondary_acts!$A$2:$A$771,$A55,secondary_acts!$E$2:$E$771,"implementing")+SUMIFS(secondary_acts!$S$2:$S$771,secondary_acts!$A$2:$A$771,$A55,secondary_acts!$E$2:$E$771,"delegated")</f>
        <v/>
      </c>
      <c r="AU55" s="3" t="n"/>
      <c r="AV55" s="2" t="n"/>
      <c r="AW55" s="2" t="n">
        <v>2</v>
      </c>
      <c r="AX55" s="2" t="inlineStr">
        <is>
          <t>2024-06-17</t>
        </is>
      </c>
      <c r="AY55" s="2" t="inlineStr">
        <is>
          <t>2026-01-16</t>
        </is>
      </c>
      <c r="AZ55" s="2" t="n">
        <v>2</v>
      </c>
      <c r="BA55" s="2" t="inlineStr">
        <is>
          <t>52020PC0569</t>
        </is>
      </c>
      <c r="BB55" s="2" t="inlineStr">
        <is>
          <t>EUR-Lex HTML</t>
        </is>
      </c>
      <c r="BC55" s="2" t="n">
        <v>24251</v>
      </c>
      <c r="BD55" s="2" t="n">
        <v>318</v>
      </c>
      <c r="BE55" s="2" t="n">
        <v>29</v>
      </c>
      <c r="BF55" s="2">
        <f>IF(ISNUMBER(BC55),R55-BC55,"")</f>
        <v/>
      </c>
      <c r="BG55" s="4">
        <f>IF(AND(ISNUMBER(BC55),BC55&gt;0),(R55-BC55)/BC55,"")</f>
        <v/>
      </c>
      <c r="BH55" s="2">
        <f>IF(ISNUMBER(BD55),Y55-BD55,"")</f>
        <v/>
      </c>
      <c r="BI55" s="4">
        <f>IF(AND(ISNUMBER(BD55),BD55&gt;0),(Y55-BD55)/BD55,"")</f>
        <v/>
      </c>
      <c r="BJ55" s="2">
        <f>IF(ISNUMBER(BE55),AE55-BE55,"")</f>
        <v/>
      </c>
      <c r="BK55" s="2" t="inlineStr">
        <is>
          <t>thin</t>
        </is>
      </c>
      <c r="BL55" s="2" t="inlineStr">
        <is>
          <t>thin: output evidence (rankings, procurements) and audit findings; no study of effects on research or industry</t>
        </is>
      </c>
      <c r="BM55" s="2" t="inlineStr">
        <is>
          <t>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is>
      </c>
      <c r="BN55" s="2" t="n">
        <v>4</v>
      </c>
      <c r="BO55" s="2" t="n">
        <v>3</v>
      </c>
      <c r="BP55" s="2" t="n">
        <v>4</v>
      </c>
      <c r="BQ55" s="2" t="n">
        <v>0</v>
      </c>
      <c r="BR55" s="2" t="inlineStr"/>
    </row>
    <row r="56">
      <c r="A56" s="2" t="n">
        <v>55</v>
      </c>
      <c r="B56" s="2" t="inlineStr">
        <is>
          <t>DLT Pilot Regime Regulation</t>
        </is>
      </c>
      <c r="C56" s="2" t="inlineStr">
        <is>
          <t>Creates a pilot regime allowing market infrastructures to trade and settle financial instruments using distributed ledger technology. It sets requirements for DLT multilateral trading facilities, settlement systems and combined trading and settlement systems, lets competent authorities grant specific permissions and temporary exemptions from existing financial rules under conditions, and provides for supervision and cooperation with ESMA.</t>
        </is>
      </c>
      <c r="D56" s="2" t="inlineStr">
        <is>
          <t>Regulation (EU) 2022/858</t>
        </is>
      </c>
      <c r="E56" s="2" t="inlineStr">
        <is>
          <t>Research &amp; Innovation</t>
        </is>
      </c>
      <c r="F56" s="2" t="inlineStr">
        <is>
          <t>enacted</t>
        </is>
      </c>
      <c r="G56" s="2" t="inlineStr">
        <is>
          <t>2020-09-24</t>
        </is>
      </c>
      <c r="H56" s="2" t="inlineStr">
        <is>
          <t>high</t>
        </is>
      </c>
      <c r="I56" s="2" t="inlineStr">
        <is>
          <t>2022-05-30</t>
        </is>
      </c>
      <c r="J56" s="2" t="inlineStr">
        <is>
          <t>2022-06-02</t>
        </is>
      </c>
      <c r="K56" s="2" t="inlineStr">
        <is>
          <t>2022-06-22</t>
        </is>
      </c>
      <c r="L56" s="2" t="inlineStr">
        <is>
          <t>adopted</t>
        </is>
      </c>
      <c r="M56" s="2" t="inlineStr">
        <is>
          <t>adopted</t>
        </is>
      </c>
      <c r="N56" s="2" t="inlineStr">
        <is>
          <t>32022R0858</t>
        </is>
      </c>
      <c r="O56" s="2" t="inlineStr">
        <is>
          <t>Original act as published in the OJ</t>
        </is>
      </c>
      <c r="P56" s="2" t="inlineStr">
        <is>
          <t>https://eur-lex.europa.eu/legal-content/EN/TXT/?uri=CELEX:32022R0858</t>
        </is>
      </c>
      <c r="Q56" s="3" t="n">
        <v>33</v>
      </c>
      <c r="R56" s="3" t="n">
        <v>20926</v>
      </c>
      <c r="S56" s="3" t="n">
        <v>8227</v>
      </c>
      <c r="T56" s="3" t="n">
        <v>8084</v>
      </c>
      <c r="U56" s="3" t="n">
        <v>12699</v>
      </c>
      <c r="V56" s="3" t="n">
        <v>0</v>
      </c>
      <c r="W56" s="3" t="n">
        <v>0</v>
      </c>
      <c r="X56" s="3" t="n">
        <v>0</v>
      </c>
      <c r="Y56" s="3" t="n">
        <v>178</v>
      </c>
      <c r="Z56" s="3" t="n">
        <v>159</v>
      </c>
      <c r="AA56" s="3" t="n">
        <v>11</v>
      </c>
      <c r="AB56" s="3" t="n">
        <v>1</v>
      </c>
      <c r="AC56" s="3" t="n">
        <v>1</v>
      </c>
      <c r="AD56" s="3" t="n">
        <v>6</v>
      </c>
      <c r="AE56" s="3" t="n">
        <v>53</v>
      </c>
      <c r="AF56" s="3" t="n">
        <v>53</v>
      </c>
      <c r="AG56" s="3" t="n">
        <v>34</v>
      </c>
      <c r="AH56" s="3" t="n">
        <v>38</v>
      </c>
      <c r="AI56" s="2" t="inlineStr">
        <is>
          <t>02022R0858-20220602</t>
        </is>
      </c>
      <c r="AJ56" s="3" t="n">
        <v>178</v>
      </c>
      <c r="AK56" s="2" t="n">
        <v>53</v>
      </c>
      <c r="AL56" s="2">
        <f>COUNTIFS(secondary_acts!$A$2:$A$771,$A56,secondary_acts!$E$2:$E$771,"implementing")</f>
        <v/>
      </c>
      <c r="AM56" s="2">
        <f>COUNTIFS(secondary_acts!$A$2:$A$771,$A56,secondary_acts!$E$2:$E$771,"delegated")</f>
        <v/>
      </c>
      <c r="AN56" s="2">
        <f>COUNTIFS(secondary_acts!$A$2:$A$771,$A56,secondary_acts!$E$2:$E$771,"other Commission/Council act")</f>
        <v/>
      </c>
      <c r="AO56" s="2">
        <f>COUNTIFS(secondary_acts!$A$2:$A$771,$A56,secondary_acts!$E$2:$E$771,"guidance")</f>
        <v/>
      </c>
      <c r="AP56" s="2">
        <f>COUNTIF(guidance_web!$A$2:$A$7,$A56)</f>
        <v/>
      </c>
      <c r="AQ56" s="2">
        <f>COUNTIFS(guidance_agencies!$A$2:$A$81,$A56,guidance_agencies!$D$2:$D$81,"EDPB")</f>
        <v/>
      </c>
      <c r="AR56" s="2">
        <f>COUNTIFS(guidance_agencies!$A$2:$A$81,$A56,guidance_agencies!$D$2:$D$81,"EBA")</f>
        <v/>
      </c>
      <c r="AS56" s="2">
        <f>COUNTIFS(guidance_agencies!$A$2:$A$81,$A56,guidance_agencies!$D$2:$D$81,"ESMA")</f>
        <v/>
      </c>
      <c r="AT56" s="3">
        <f>SUMIFS(secondary_acts!$S$2:$S$771,secondary_acts!$A$2:$A$771,$A56,secondary_acts!$E$2:$E$771,"implementing")+SUMIFS(secondary_acts!$S$2:$S$771,secondary_acts!$A$2:$A$771,$A56,secondary_acts!$E$2:$E$771,"delegated")</f>
        <v/>
      </c>
      <c r="AU56" s="3" t="n"/>
      <c r="AV56" s="2" t="n"/>
      <c r="AW56" s="2" t="n">
        <v>0</v>
      </c>
      <c r="AX56" s="2" t="n"/>
      <c r="AY56" s="2" t="n"/>
      <c r="AZ56" s="2" t="n">
        <v>1</v>
      </c>
      <c r="BA56" s="2" t="inlineStr">
        <is>
          <t>52020PC0594</t>
        </is>
      </c>
      <c r="BB56" s="2" t="inlineStr">
        <is>
          <t>EUR-Lex HTML</t>
        </is>
      </c>
      <c r="BC56" s="2" t="n">
        <v>12859</v>
      </c>
      <c r="BD56" s="2" t="n">
        <v>84</v>
      </c>
      <c r="BE56" s="2" t="n">
        <v>34</v>
      </c>
      <c r="BF56" s="2">
        <f>IF(ISNUMBER(BC56),R56-BC56,"")</f>
        <v/>
      </c>
      <c r="BG56" s="4">
        <f>IF(AND(ISNUMBER(BC56),BC56&gt;0),(R56-BC56)/BC56,"")</f>
        <v/>
      </c>
      <c r="BH56" s="2">
        <f>IF(ISNUMBER(BD56),Y56-BD56,"")</f>
        <v/>
      </c>
      <c r="BI56" s="4">
        <f>IF(AND(ISNUMBER(BD56),BD56&gt;0),(Y56-BD56)/BD56,"")</f>
        <v/>
      </c>
      <c r="BJ56" s="2">
        <f>IF(ISNUMBER(BE56),AE56-BE56,"")</f>
        <v/>
      </c>
      <c r="BK56" s="2" t="inlineStr">
        <is>
          <t>thin</t>
        </is>
      </c>
      <c r="BL56" s="2" t="inlineStr">
        <is>
          <t>thin: regulator's review documents very low uptake; no independent study of effects</t>
        </is>
      </c>
      <c r="BM56" s="2" t="inlineStr">
        <is>
          <t>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is>
      </c>
      <c r="BN56" s="2" t="n">
        <v>3</v>
      </c>
      <c r="BO56" s="2" t="n">
        <v>1</v>
      </c>
      <c r="BP56" s="2" t="n">
        <v>1</v>
      </c>
      <c r="BQ56" s="2" t="n">
        <v>0</v>
      </c>
      <c r="BR56" s="2" t="inlineStr">
        <is>
          <t>no consolidated text with amendments in EUR-Lex; consolidated count = original</t>
        </is>
      </c>
    </row>
    <row r="57">
      <c r="A57" s="2" t="n">
        <v>56</v>
      </c>
      <c r="B57" s="2" t="inlineStr">
        <is>
          <t>Markets in Crypto-Assets (MiCA)</t>
        </is>
      </c>
      <c r="C57" s="2" t="inlineStr">
        <is>
          <t>Lays down uniform EU rules for offering crypto-assets to the public and admitting them to trading, including asset-referenced tokens and e-money tokens, and for crypto-asset service providers. It requires transparency and disclosure through white papers, authorisation and supervision of issuers and service providers, protection of holders and clients, and measures against insider dealing and market manipulation.</t>
        </is>
      </c>
      <c r="D57" s="2" t="inlineStr">
        <is>
          <t>Regulation (EU) 2023/1114</t>
        </is>
      </c>
      <c r="E57" s="2" t="inlineStr">
        <is>
          <t>Finance</t>
        </is>
      </c>
      <c r="F57" s="2" t="inlineStr">
        <is>
          <t>enacted</t>
        </is>
      </c>
      <c r="G57" s="2" t="inlineStr">
        <is>
          <t>2020-09-24</t>
        </is>
      </c>
      <c r="H57" s="2" t="inlineStr">
        <is>
          <t>high</t>
        </is>
      </c>
      <c r="I57" s="2" t="inlineStr">
        <is>
          <t>2023-05-31</t>
        </is>
      </c>
      <c r="J57" s="2" t="inlineStr">
        <is>
          <t>2023-06-09</t>
        </is>
      </c>
      <c r="K57" s="2" t="inlineStr">
        <is>
          <t>2023-06-29</t>
        </is>
      </c>
      <c r="L57" s="2" t="inlineStr">
        <is>
          <t>adopted</t>
        </is>
      </c>
      <c r="M57" s="2" t="inlineStr">
        <is>
          <t>adopted</t>
        </is>
      </c>
      <c r="N57" s="2" t="inlineStr">
        <is>
          <t>32023R1114</t>
        </is>
      </c>
      <c r="O57" s="2" t="inlineStr">
        <is>
          <t>Original act as published in the OJ</t>
        </is>
      </c>
      <c r="P57" s="2" t="inlineStr">
        <is>
          <t>https://eur-lex.europa.eu/legal-content/EN/TXT/?uri=CELEX:32023R1114</t>
        </is>
      </c>
      <c r="Q57" s="3" t="n">
        <v>166</v>
      </c>
      <c r="R57" s="3" t="n">
        <v>95588</v>
      </c>
      <c r="S57" s="3" t="n">
        <v>15644</v>
      </c>
      <c r="T57" s="3" t="n">
        <v>15505</v>
      </c>
      <c r="U57" s="3" t="n">
        <v>69742</v>
      </c>
      <c r="V57" s="3" t="n">
        <v>10202</v>
      </c>
      <c r="W57" s="3" t="n">
        <v>0</v>
      </c>
      <c r="X57" s="3" t="n">
        <v>0</v>
      </c>
      <c r="Y57" s="3" t="n">
        <v>1117</v>
      </c>
      <c r="Z57" s="3" t="n">
        <v>969</v>
      </c>
      <c r="AA57" s="3" t="n">
        <v>84</v>
      </c>
      <c r="AB57" s="3" t="n">
        <v>13</v>
      </c>
      <c r="AC57" s="3" t="n">
        <v>14</v>
      </c>
      <c r="AD57" s="3" t="n">
        <v>37</v>
      </c>
      <c r="AE57" s="3" t="n">
        <v>444</v>
      </c>
      <c r="AF57" s="3" t="n">
        <v>209</v>
      </c>
      <c r="AG57" s="3" t="n">
        <v>262</v>
      </c>
      <c r="AH57" s="3" t="n">
        <v>202</v>
      </c>
      <c r="AI57" s="2" t="inlineStr">
        <is>
          <t>02023R1114-20240109</t>
        </is>
      </c>
      <c r="AJ57" s="3" t="n">
        <v>1129</v>
      </c>
      <c r="AK57" s="2" t="n">
        <v>446</v>
      </c>
      <c r="AL57" s="2">
        <f>COUNTIFS(secondary_acts!$A$2:$A$771,$A57,secondary_acts!$E$2:$E$771,"implementing")</f>
        <v/>
      </c>
      <c r="AM57" s="2">
        <f>COUNTIFS(secondary_acts!$A$2:$A$771,$A57,secondary_acts!$E$2:$E$771,"delegated")</f>
        <v/>
      </c>
      <c r="AN57" s="2">
        <f>COUNTIFS(secondary_acts!$A$2:$A$771,$A57,secondary_acts!$E$2:$E$771,"other Commission/Council act")</f>
        <v/>
      </c>
      <c r="AO57" s="2">
        <f>COUNTIFS(secondary_acts!$A$2:$A$771,$A57,secondary_acts!$E$2:$E$771,"guidance")</f>
        <v/>
      </c>
      <c r="AP57" s="2">
        <f>COUNTIF(guidance_web!$A$2:$A$7,$A57)</f>
        <v/>
      </c>
      <c r="AQ57" s="2">
        <f>COUNTIFS(guidance_agencies!$A$2:$A$81,$A57,guidance_agencies!$D$2:$D$81,"EDPB")</f>
        <v/>
      </c>
      <c r="AR57" s="2">
        <f>COUNTIFS(guidance_agencies!$A$2:$A$81,$A57,guidance_agencies!$D$2:$D$81,"EBA")</f>
        <v/>
      </c>
      <c r="AS57" s="2">
        <f>COUNTIFS(guidance_agencies!$A$2:$A$81,$A57,guidance_agencies!$D$2:$D$81,"ESMA")</f>
        <v/>
      </c>
      <c r="AT57" s="3">
        <f>SUMIFS(secondary_acts!$S$2:$S$771,secondary_acts!$A$2:$A$771,$A57,secondary_acts!$E$2:$E$771,"implementing")+SUMIFS(secondary_acts!$S$2:$S$771,secondary_acts!$A$2:$A$771,$A57,secondary_acts!$E$2:$E$771,"delegated")</f>
        <v/>
      </c>
      <c r="AU57" s="3" t="n"/>
      <c r="AV57" s="2" t="n"/>
      <c r="AW57" s="2" t="n">
        <v>1</v>
      </c>
      <c r="AX57" s="2" t="inlineStr">
        <is>
          <t>2023-12-13</t>
        </is>
      </c>
      <c r="AY57" s="2" t="inlineStr">
        <is>
          <t>2023-12-13</t>
        </is>
      </c>
      <c r="AZ57" s="2" t="n">
        <v>6</v>
      </c>
      <c r="BA57" s="2" t="inlineStr">
        <is>
          <t>52020PC0593</t>
        </is>
      </c>
      <c r="BB57" s="2" t="inlineStr">
        <is>
          <t>EUR-Lex HTML</t>
        </is>
      </c>
      <c r="BC57" s="2" t="n">
        <v>64264</v>
      </c>
      <c r="BD57" s="2" t="n">
        <v>766</v>
      </c>
      <c r="BE57" s="2" t="n">
        <v>335</v>
      </c>
      <c r="BF57" s="2">
        <f>IF(ISNUMBER(BC57),R57-BC57,"")</f>
        <v/>
      </c>
      <c r="BG57" s="4">
        <f>IF(AND(ISNUMBER(BC57),BC57&gt;0),(R57-BC57)/BC57,"")</f>
        <v/>
      </c>
      <c r="BH57" s="2">
        <f>IF(ISNUMBER(BD57),Y57-BD57,"")</f>
        <v/>
      </c>
      <c r="BI57" s="4">
        <f>IF(AND(ISNUMBER(BD57),BD57&gt;0),(Y57-BD57)/BD57,"")</f>
        <v/>
      </c>
      <c r="BJ57" s="2">
        <f>IF(ISNUMBER(BE57),AE57-BE57,"")</f>
        <v/>
      </c>
      <c r="BK57" s="2" t="inlineStr">
        <is>
          <t>thin</t>
        </is>
      </c>
      <c r="BL57" s="2" t="inlineStr">
        <is>
          <t>early and thin: authorisation counts measured; two small quasi-experimental studies on stablecoin markets; nothing on fraud, consumer losses or funding</t>
        </is>
      </c>
      <c r="BM57" s="2" t="inlineStr">
        <is>
          <t>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is>
      </c>
      <c r="BN57" s="2" t="n">
        <v>6</v>
      </c>
      <c r="BO57" s="2" t="n">
        <v>2</v>
      </c>
      <c r="BP57" s="2" t="n">
        <v>9</v>
      </c>
      <c r="BQ57" s="2" t="n">
        <v>3</v>
      </c>
      <c r="BR57" s="2" t="inlineStr"/>
    </row>
    <row r="58">
      <c r="A58" s="2" t="n">
        <v>57</v>
      </c>
      <c r="B58" s="2" t="inlineStr">
        <is>
          <t>Digital Operational Resilience Act (DORA)</t>
        </is>
      </c>
      <c r="C58" s="2" t="inlineStr">
        <is>
          <t>Aims to achieve a high common level of digital operational resilience in the financial sector. It requires financial entities to manage ICT risk, report major ICT-related incidents, test their digital operational resilience and manage risks from ICT third-party providers, including through contract requirements. It creates an EU oversight framework for critical ICT third-party service providers and allows sharing of cyber threat information.</t>
        </is>
      </c>
      <c r="D58" s="2" t="inlineStr">
        <is>
          <t>Regulation (EU) 2022/2554</t>
        </is>
      </c>
      <c r="E58" s="2" t="inlineStr">
        <is>
          <t>Finance</t>
        </is>
      </c>
      <c r="F58" s="2" t="inlineStr">
        <is>
          <t>enacted</t>
        </is>
      </c>
      <c r="G58" s="2" t="inlineStr">
        <is>
          <t>2020-09-24</t>
        </is>
      </c>
      <c r="H58" s="2" t="inlineStr">
        <is>
          <t>high</t>
        </is>
      </c>
      <c r="I58" s="2" t="inlineStr">
        <is>
          <t>2022-12-14</t>
        </is>
      </c>
      <c r="J58" s="2" t="inlineStr">
        <is>
          <t>2022-12-27</t>
        </is>
      </c>
      <c r="K58" s="2" t="inlineStr">
        <is>
          <t>2023-01-16</t>
        </is>
      </c>
      <c r="L58" s="2" t="inlineStr">
        <is>
          <t>adopted</t>
        </is>
      </c>
      <c r="M58" s="2" t="inlineStr">
        <is>
          <t>adopted</t>
        </is>
      </c>
      <c r="N58" s="2" t="inlineStr">
        <is>
          <t>32022R2554</t>
        </is>
      </c>
      <c r="O58" s="2" t="inlineStr">
        <is>
          <t>Original act as published in the OJ</t>
        </is>
      </c>
      <c r="P58" s="2" t="inlineStr">
        <is>
          <t>https://eur-lex.europa.eu/legal-content/EN/TXT/?uri=CELEX:32022R2554</t>
        </is>
      </c>
      <c r="Q58" s="3" t="n">
        <v>79</v>
      </c>
      <c r="R58" s="3" t="n">
        <v>43943</v>
      </c>
      <c r="S58" s="3" t="n">
        <v>14445</v>
      </c>
      <c r="T58" s="3" t="n">
        <v>14300</v>
      </c>
      <c r="U58" s="3" t="n">
        <v>29498</v>
      </c>
      <c r="V58" s="3" t="n">
        <v>0</v>
      </c>
      <c r="W58" s="3" t="n">
        <v>0</v>
      </c>
      <c r="X58" s="3" t="n">
        <v>0</v>
      </c>
      <c r="Y58" s="3" t="n">
        <v>431</v>
      </c>
      <c r="Z58" s="3" t="n">
        <v>397</v>
      </c>
      <c r="AA58" s="3" t="n">
        <v>8</v>
      </c>
      <c r="AB58" s="3" t="n">
        <v>5</v>
      </c>
      <c r="AC58" s="3" t="n">
        <v>8</v>
      </c>
      <c r="AD58" s="3" t="n">
        <v>13</v>
      </c>
      <c r="AE58" s="3" t="n">
        <v>185</v>
      </c>
      <c r="AF58" s="3" t="n">
        <v>48</v>
      </c>
      <c r="AG58" s="3" t="n">
        <v>30</v>
      </c>
      <c r="AH58" s="3" t="n">
        <v>168</v>
      </c>
      <c r="AI58" s="2" t="inlineStr">
        <is>
          <t>02022R2554-20221227</t>
        </is>
      </c>
      <c r="AJ58" s="3" t="n">
        <v>431</v>
      </c>
      <c r="AK58" s="2" t="n">
        <v>185</v>
      </c>
      <c r="AL58" s="2">
        <f>COUNTIFS(secondary_acts!$A$2:$A$771,$A58,secondary_acts!$E$2:$E$771,"implementing")</f>
        <v/>
      </c>
      <c r="AM58" s="2">
        <f>COUNTIFS(secondary_acts!$A$2:$A$771,$A58,secondary_acts!$E$2:$E$771,"delegated")</f>
        <v/>
      </c>
      <c r="AN58" s="2">
        <f>COUNTIFS(secondary_acts!$A$2:$A$771,$A58,secondary_acts!$E$2:$E$771,"other Commission/Council act")</f>
        <v/>
      </c>
      <c r="AO58" s="2">
        <f>COUNTIFS(secondary_acts!$A$2:$A$771,$A58,secondary_acts!$E$2:$E$771,"guidance")</f>
        <v/>
      </c>
      <c r="AP58" s="2">
        <f>COUNTIF(guidance_web!$A$2:$A$7,$A58)</f>
        <v/>
      </c>
      <c r="AQ58" s="2">
        <f>COUNTIFS(guidance_agencies!$A$2:$A$81,$A58,guidance_agencies!$D$2:$D$81,"EDPB")</f>
        <v/>
      </c>
      <c r="AR58" s="2">
        <f>COUNTIFS(guidance_agencies!$A$2:$A$81,$A58,guidance_agencies!$D$2:$D$81,"EBA")</f>
        <v/>
      </c>
      <c r="AS58" s="2">
        <f>COUNTIFS(guidance_agencies!$A$2:$A$81,$A58,guidance_agencies!$D$2:$D$81,"ESMA")</f>
        <v/>
      </c>
      <c r="AT58" s="3">
        <f>SUMIFS(secondary_acts!$S$2:$S$771,secondary_acts!$A$2:$A$771,$A58,secondary_acts!$E$2:$E$771,"implementing")+SUMIFS(secondary_acts!$S$2:$S$771,secondary_acts!$A$2:$A$771,$A58,secondary_acts!$E$2:$E$771,"delegated")</f>
        <v/>
      </c>
      <c r="AU58" s="3" t="n"/>
      <c r="AV58" s="2" t="n"/>
      <c r="AW58" s="2" t="n">
        <v>0</v>
      </c>
      <c r="AX58" s="2" t="n"/>
      <c r="AY58" s="2" t="n"/>
      <c r="AZ58" s="2" t="n">
        <v>9</v>
      </c>
      <c r="BA58" s="2" t="inlineStr">
        <is>
          <t>52020PC0595</t>
        </is>
      </c>
      <c r="BB58" s="2" t="inlineStr">
        <is>
          <t>EUR-Lex HTML</t>
        </is>
      </c>
      <c r="BC58" s="2" t="n">
        <v>35110</v>
      </c>
      <c r="BD58" s="2" t="n">
        <v>323</v>
      </c>
      <c r="BE58" s="2" t="n">
        <v>162</v>
      </c>
      <c r="BF58" s="2">
        <f>IF(ISNUMBER(BC58),R58-BC58,"")</f>
        <v/>
      </c>
      <c r="BG58" s="4">
        <f>IF(AND(ISNUMBER(BC58),BC58&gt;0),(R58-BC58)/BC58,"")</f>
        <v/>
      </c>
      <c r="BH58" s="2">
        <f>IF(ISNUMBER(BD58),Y58-BD58,"")</f>
        <v/>
      </c>
      <c r="BI58" s="4">
        <f>IF(AND(ISNUMBER(BD58),BD58&gt;0),(Y58-BD58)/BD58,"")</f>
        <v/>
      </c>
      <c r="BJ58" s="2">
        <f>IF(ISNUMBER(BE58),AE58-BE58,"")</f>
        <v/>
      </c>
      <c r="BK58" s="2" t="inlineStr">
        <is>
          <t>thin</t>
        </is>
      </c>
      <c r="BL58" s="2" t="inlineStr">
        <is>
          <t>very thin: forecasts plus implementation milestones and vendor surveys; no independent evidence on incidents, resilience or costs</t>
        </is>
      </c>
      <c r="BM58" s="2" t="inlineStr">
        <is>
          <t>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is>
      </c>
      <c r="BN58" s="2" t="n">
        <v>5</v>
      </c>
      <c r="BO58" s="2" t="n">
        <v>2</v>
      </c>
      <c r="BP58" s="2" t="n">
        <v>8</v>
      </c>
      <c r="BQ58" s="2" t="n">
        <v>0</v>
      </c>
      <c r="BR58" s="2" t="inlineStr">
        <is>
          <t>no consolidated text with amendments in EUR-Lex; consolidated count = original</t>
        </is>
      </c>
    </row>
    <row r="59">
      <c r="A59" s="2" t="n">
        <v>58</v>
      </c>
      <c r="B59" s="2" t="inlineStr">
        <is>
          <t>Data Governance Act</t>
        </is>
      </c>
      <c r="C59" s="2" t="inlineStr">
        <is>
          <t>Aims to increase trust in data sharing and the availability of data in the EU. It sets conditions for re-using certain protected data held by public sector bodies, creates a notification and supervisory framework for neutral data intermediation services, establishes voluntary registration of data altruism organisations, and creates the European Data Innovation Board. It does not oblige public bodies to allow re-use.</t>
        </is>
      </c>
      <c r="D59" s="2" t="inlineStr">
        <is>
          <t>Regulation (EU) 2022/868</t>
        </is>
      </c>
      <c r="E59" s="2" t="inlineStr">
        <is>
          <t>Data &amp; Privacy</t>
        </is>
      </c>
      <c r="F59" s="2" t="inlineStr">
        <is>
          <t>enacted</t>
        </is>
      </c>
      <c r="G59" s="2" t="inlineStr">
        <is>
          <t>2020-11-25</t>
        </is>
      </c>
      <c r="H59" s="2" t="inlineStr">
        <is>
          <t>high</t>
        </is>
      </c>
      <c r="I59" s="2" t="inlineStr">
        <is>
          <t>2022-05-30</t>
        </is>
      </c>
      <c r="J59" s="2" t="inlineStr">
        <is>
          <t>2022-06-03</t>
        </is>
      </c>
      <c r="K59" s="2" t="inlineStr">
        <is>
          <t>2022-06-23</t>
        </is>
      </c>
      <c r="L59" s="2" t="inlineStr">
        <is>
          <t>adopted</t>
        </is>
      </c>
      <c r="M59" s="2" t="inlineStr">
        <is>
          <t>adopted</t>
        </is>
      </c>
      <c r="N59" s="2" t="inlineStr">
        <is>
          <t>32022R0868</t>
        </is>
      </c>
      <c r="O59" s="2" t="inlineStr">
        <is>
          <t>Original act as published in the OJ</t>
        </is>
      </c>
      <c r="P59" s="2" t="inlineStr">
        <is>
          <t>https://eur-lex.europa.eu/legal-content/EN/TXT/?uri=CELEX:32022R0868</t>
        </is>
      </c>
      <c r="Q59" s="3" t="n">
        <v>44</v>
      </c>
      <c r="R59" s="3" t="n">
        <v>27006</v>
      </c>
      <c r="S59" s="3" t="n">
        <v>12417</v>
      </c>
      <c r="T59" s="3" t="n">
        <v>12294</v>
      </c>
      <c r="U59" s="3" t="n">
        <v>14589</v>
      </c>
      <c r="V59" s="3" t="n">
        <v>0</v>
      </c>
      <c r="W59" s="3" t="n">
        <v>0</v>
      </c>
      <c r="X59" s="3" t="n">
        <v>0</v>
      </c>
      <c r="Y59" s="3" t="n">
        <v>215</v>
      </c>
      <c r="Z59" s="3" t="n">
        <v>191</v>
      </c>
      <c r="AA59" s="3" t="n">
        <v>15</v>
      </c>
      <c r="AB59" s="3" t="n">
        <v>0</v>
      </c>
      <c r="AC59" s="3" t="n">
        <v>1</v>
      </c>
      <c r="AD59" s="3" t="n">
        <v>8</v>
      </c>
      <c r="AE59" s="3" t="n">
        <v>54</v>
      </c>
      <c r="AF59" s="3" t="n">
        <v>78</v>
      </c>
      <c r="AG59" s="3" t="n">
        <v>37</v>
      </c>
      <c r="AH59" s="3" t="n">
        <v>46</v>
      </c>
      <c r="AI59" s="2" t="inlineStr">
        <is>
          <t>02022R0868-20220603</t>
        </is>
      </c>
      <c r="AJ59" s="3" t="n">
        <v>215</v>
      </c>
      <c r="AK59" s="2" t="n">
        <v>54</v>
      </c>
      <c r="AL59" s="2">
        <f>COUNTIFS(secondary_acts!$A$2:$A$771,$A59,secondary_acts!$E$2:$E$771,"implementing")</f>
        <v/>
      </c>
      <c r="AM59" s="2">
        <f>COUNTIFS(secondary_acts!$A$2:$A$771,$A59,secondary_acts!$E$2:$E$771,"delegated")</f>
        <v/>
      </c>
      <c r="AN59" s="2">
        <f>COUNTIFS(secondary_acts!$A$2:$A$771,$A59,secondary_acts!$E$2:$E$771,"other Commission/Council act")</f>
        <v/>
      </c>
      <c r="AO59" s="2">
        <f>COUNTIFS(secondary_acts!$A$2:$A$771,$A59,secondary_acts!$E$2:$E$771,"guidance")</f>
        <v/>
      </c>
      <c r="AP59" s="2">
        <f>COUNTIF(guidance_web!$A$2:$A$7,$A59)</f>
        <v/>
      </c>
      <c r="AQ59" s="2">
        <f>COUNTIFS(guidance_agencies!$A$2:$A$81,$A59,guidance_agencies!$D$2:$D$81,"EDPB")</f>
        <v/>
      </c>
      <c r="AR59" s="2">
        <f>COUNTIFS(guidance_agencies!$A$2:$A$81,$A59,guidance_agencies!$D$2:$D$81,"EBA")</f>
        <v/>
      </c>
      <c r="AS59" s="2">
        <f>COUNTIFS(guidance_agencies!$A$2:$A$81,$A59,guidance_agencies!$D$2:$D$81,"ESMA")</f>
        <v/>
      </c>
      <c r="AT59" s="3">
        <f>SUMIFS(secondary_acts!$S$2:$S$771,secondary_acts!$A$2:$A$771,$A59,secondary_acts!$E$2:$E$771,"implementing")+SUMIFS(secondary_acts!$S$2:$S$771,secondary_acts!$A$2:$A$771,$A59,secondary_acts!$E$2:$E$771,"delegated")</f>
        <v/>
      </c>
      <c r="AU59" s="3" t="n"/>
      <c r="AV59" s="2" t="n"/>
      <c r="AW59" s="2" t="n">
        <v>0</v>
      </c>
      <c r="AX59" s="2" t="n"/>
      <c r="AY59" s="2" t="n"/>
      <c r="AZ59" s="2" t="n">
        <v>6</v>
      </c>
      <c r="BA59" s="2" t="inlineStr">
        <is>
          <t>52020PC0767</t>
        </is>
      </c>
      <c r="BB59" s="2" t="inlineStr">
        <is>
          <t>EUR-Lex HTML</t>
        </is>
      </c>
      <c r="BC59" s="2" t="n">
        <v>15916</v>
      </c>
      <c r="BD59" s="2" t="n">
        <v>143</v>
      </c>
      <c r="BE59" s="2" t="n">
        <v>28</v>
      </c>
      <c r="BF59" s="2">
        <f>IF(ISNUMBER(BC59),R59-BC59,"")</f>
        <v/>
      </c>
      <c r="BG59" s="4">
        <f>IF(AND(ISNUMBER(BC59),BC59&gt;0),(R59-BC59)/BC59,"")</f>
        <v/>
      </c>
      <c r="BH59" s="2">
        <f>IF(ISNUMBER(BD59),Y59-BD59,"")</f>
        <v/>
      </c>
      <c r="BI59" s="4">
        <f>IF(AND(ISNUMBER(BD59),BD59&gt;0),(Y59-BD59)/BD59,"")</f>
        <v/>
      </c>
      <c r="BJ59" s="2">
        <f>IF(ISNUMBER(BE59),AE59-BE59,"")</f>
        <v/>
      </c>
      <c r="BK59" s="2" t="inlineStr">
        <is>
          <t>thin</t>
        </is>
      </c>
      <c r="BL59" s="2" t="inlineStr">
        <is>
          <t>thin: Commission forecasts, registers and enforcement records, two critical legal analyses; no evaluation or causal evidence</t>
        </is>
      </c>
      <c r="BM59" s="2" t="inlineStr">
        <is>
          <t>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is>
      </c>
      <c r="BN59" s="2" t="n">
        <v>5</v>
      </c>
      <c r="BO59" s="2" t="n">
        <v>3</v>
      </c>
      <c r="BP59" s="2" t="n">
        <v>6</v>
      </c>
      <c r="BQ59" s="2" t="n">
        <v>0</v>
      </c>
      <c r="BR59" s="2" t="inlineStr">
        <is>
          <t>no consolidated text with amendments in EUR-Lex; consolidated count = original</t>
        </is>
      </c>
    </row>
    <row r="60">
      <c r="A60" s="2" t="n">
        <v>59</v>
      </c>
      <c r="B60" s="2" t="inlineStr">
        <is>
          <t>Digital Markets Act</t>
        </is>
      </c>
      <c r="C60" s="2" t="inlineStr">
        <is>
          <t>Aims to ensure contestable and fair markets in the digital sector where large online platforms act as gatekeepers. It applies to core platform services, such as app stores, search engines and social networks, that designated gatekeepers offer to users in the EU. It sets out obligations and prohibitions for gatekeepers and empowers the Commission to designate them, investigate and enforce compliance.</t>
        </is>
      </c>
      <c r="D60" s="2" t="inlineStr">
        <is>
          <t>Regulation (EU) 2022/1925</t>
        </is>
      </c>
      <c r="E60" s="2" t="inlineStr">
        <is>
          <t>Competition &amp; Single Market</t>
        </is>
      </c>
      <c r="F60" s="2" t="inlineStr">
        <is>
          <t>enacted</t>
        </is>
      </c>
      <c r="G60" s="2" t="inlineStr">
        <is>
          <t>2020-12-15</t>
        </is>
      </c>
      <c r="H60" s="2" t="inlineStr">
        <is>
          <t>high</t>
        </is>
      </c>
      <c r="I60" s="2" t="inlineStr">
        <is>
          <t>2022-09-14</t>
        </is>
      </c>
      <c r="J60" s="2" t="inlineStr">
        <is>
          <t>2022-10-12</t>
        </is>
      </c>
      <c r="K60" s="2" t="inlineStr">
        <is>
          <t>2022-11-01</t>
        </is>
      </c>
      <c r="L60" s="2" t="inlineStr">
        <is>
          <t>adopted</t>
        </is>
      </c>
      <c r="M60" s="2" t="inlineStr">
        <is>
          <t>adopted</t>
        </is>
      </c>
      <c r="N60" s="2" t="inlineStr">
        <is>
          <t>32022R1925</t>
        </is>
      </c>
      <c r="O60" s="2" t="inlineStr">
        <is>
          <t>Original act as published in the OJ</t>
        </is>
      </c>
      <c r="P60" s="2" t="inlineStr">
        <is>
          <t>https://eur-lex.europa.eu/legal-content/EN/TXT/?uri=CELEX:32022R1925</t>
        </is>
      </c>
      <c r="Q60" s="3" t="n">
        <v>66</v>
      </c>
      <c r="R60" s="3" t="n">
        <v>39028</v>
      </c>
      <c r="S60" s="3" t="n">
        <v>18191</v>
      </c>
      <c r="T60" s="3" t="n">
        <v>18054</v>
      </c>
      <c r="U60" s="3" t="n">
        <v>18770</v>
      </c>
      <c r="V60" s="3" t="n">
        <v>2067</v>
      </c>
      <c r="W60" s="3" t="n">
        <v>0</v>
      </c>
      <c r="X60" s="3" t="n">
        <v>0</v>
      </c>
      <c r="Y60" s="3" t="n">
        <v>281</v>
      </c>
      <c r="Z60" s="3" t="n">
        <v>233</v>
      </c>
      <c r="AA60" s="3" t="n">
        <v>34</v>
      </c>
      <c r="AB60" s="3" t="n">
        <v>3</v>
      </c>
      <c r="AC60" s="3" t="n">
        <v>4</v>
      </c>
      <c r="AD60" s="3" t="n">
        <v>7</v>
      </c>
      <c r="AE60" s="3" t="n">
        <v>111</v>
      </c>
      <c r="AF60" s="3" t="n">
        <v>20</v>
      </c>
      <c r="AG60" s="3" t="n">
        <v>118</v>
      </c>
      <c r="AH60" s="3" t="n">
        <v>32</v>
      </c>
      <c r="AI60" s="2" t="inlineStr">
        <is>
          <t>02022R1925-20221012</t>
        </is>
      </c>
      <c r="AJ60" s="3" t="n">
        <v>281</v>
      </c>
      <c r="AK60" s="2" t="n">
        <v>111</v>
      </c>
      <c r="AL60" s="2">
        <f>COUNTIFS(secondary_acts!$A$2:$A$771,$A60,secondary_acts!$E$2:$E$771,"implementing")</f>
        <v/>
      </c>
      <c r="AM60" s="2">
        <f>COUNTIFS(secondary_acts!$A$2:$A$771,$A60,secondary_acts!$E$2:$E$771,"delegated")</f>
        <v/>
      </c>
      <c r="AN60" s="2">
        <f>COUNTIFS(secondary_acts!$A$2:$A$771,$A60,secondary_acts!$E$2:$E$771,"other Commission/Council act")</f>
        <v/>
      </c>
      <c r="AO60" s="2">
        <f>COUNTIFS(secondary_acts!$A$2:$A$771,$A60,secondary_acts!$E$2:$E$771,"guidance")</f>
        <v/>
      </c>
      <c r="AP60" s="2">
        <f>COUNTIF(guidance_web!$A$2:$A$7,$A60)</f>
        <v/>
      </c>
      <c r="AQ60" s="2">
        <f>COUNTIFS(guidance_agencies!$A$2:$A$81,$A60,guidance_agencies!$D$2:$D$81,"EDPB")</f>
        <v/>
      </c>
      <c r="AR60" s="2">
        <f>COUNTIFS(guidance_agencies!$A$2:$A$81,$A60,guidance_agencies!$D$2:$D$81,"EBA")</f>
        <v/>
      </c>
      <c r="AS60" s="2">
        <f>COUNTIFS(guidance_agencies!$A$2:$A$81,$A60,guidance_agencies!$D$2:$D$81,"ESMA")</f>
        <v/>
      </c>
      <c r="AT60" s="3">
        <f>SUMIFS(secondary_acts!$S$2:$S$771,secondary_acts!$A$2:$A$771,$A60,secondary_acts!$E$2:$E$771,"implementing")+SUMIFS(secondary_acts!$S$2:$S$771,secondary_acts!$A$2:$A$771,$A60,secondary_acts!$E$2:$E$771,"delegated")</f>
        <v/>
      </c>
      <c r="AU60" s="3" t="n"/>
      <c r="AV60" s="2" t="n"/>
      <c r="AW60" s="2" t="n">
        <v>0</v>
      </c>
      <c r="AX60" s="2" t="n"/>
      <c r="AY60" s="2" t="n"/>
      <c r="AZ60" s="2" t="n">
        <v>3</v>
      </c>
      <c r="BA60" s="2" t="inlineStr">
        <is>
          <t>52020PC0842</t>
        </is>
      </c>
      <c r="BB60" s="2" t="inlineStr">
        <is>
          <t>EUR-Lex HTML</t>
        </is>
      </c>
      <c r="BC60" s="2" t="n">
        <v>21090</v>
      </c>
      <c r="BD60" s="2" t="n">
        <v>141</v>
      </c>
      <c r="BE60" s="2" t="n">
        <v>40</v>
      </c>
      <c r="BF60" s="2">
        <f>IF(ISNUMBER(BC60),R60-BC60,"")</f>
        <v/>
      </c>
      <c r="BG60" s="4">
        <f>IF(AND(ISNUMBER(BC60),BC60&gt;0),(R60-BC60)/BC60,"")</f>
        <v/>
      </c>
      <c r="BH60" s="2">
        <f>IF(ISNUMBER(BD60),Y60-BD60,"")</f>
        <v/>
      </c>
      <c r="BI60" s="4">
        <f>IF(AND(ISNUMBER(BD60),BD60&gt;0),(Y60-BD60)/BD60,"")</f>
        <v/>
      </c>
      <c r="BJ60" s="2">
        <f>IF(ISNUMBER(BE60),AE60-BE60,"")</f>
        <v/>
      </c>
      <c r="BK60" s="2" t="inlineStr">
        <is>
          <t>moderate</t>
        </is>
      </c>
      <c r="BL60" s="2" t="inlineStr">
        <is>
          <t>moderate: eight studies with causal designs since the 2026-10 broadened search (choice screens cut Google and Chrome shares slightly; Google's results-page redesign raised traffic to airlines and smaller comparison sites by 14-29%; event studies), alongside industry-funded consumer surveys and think tank reviews; headline benefits and the Commission's indicators still not measured</t>
        </is>
      </c>
      <c r="BM60" s="2" t="inlineStr">
        <is>
          <t>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is>
      </c>
      <c r="BN60" s="2" t="n">
        <v>10</v>
      </c>
      <c r="BO60" s="2" t="n">
        <v>3</v>
      </c>
      <c r="BP60" s="2" t="n">
        <v>26</v>
      </c>
      <c r="BQ60" s="2" t="n">
        <v>8</v>
      </c>
      <c r="BR60" s="2" t="inlineStr"/>
    </row>
    <row r="61">
      <c r="A61" s="2" t="n">
        <v>60</v>
      </c>
      <c r="B61" s="2" t="inlineStr">
        <is>
          <t>Digital Services Act</t>
        </is>
      </c>
      <c r="C61" s="2" t="inlineStr">
        <is>
          <t>Aims to create a safe, predictable and trusted online environment in which fundamental rights, including consumer protection, are protected. It applies to intermediary services offered in the EU, such as hosting services and online platforms. It sets conditions for the exemption of these providers from liability, imposes due diligence obligations scaled to the type and size of service, and sets up enforcement and cooperation between authorities.</t>
        </is>
      </c>
      <c r="D61" s="2" t="inlineStr">
        <is>
          <t>Regulation (EU) 2022/2065</t>
        </is>
      </c>
      <c r="E61" s="2" t="inlineStr">
        <is>
          <t>E-commerce &amp; Consumer Protection</t>
        </is>
      </c>
      <c r="F61" s="2" t="inlineStr">
        <is>
          <t>enacted</t>
        </is>
      </c>
      <c r="G61" s="2" t="inlineStr">
        <is>
          <t>2020-12-15</t>
        </is>
      </c>
      <c r="H61" s="2" t="inlineStr">
        <is>
          <t>high</t>
        </is>
      </c>
      <c r="I61" s="2" t="inlineStr">
        <is>
          <t>2022-10-19</t>
        </is>
      </c>
      <c r="J61" s="2" t="inlineStr">
        <is>
          <t>2022-10-27</t>
        </is>
      </c>
      <c r="K61" s="2" t="inlineStr">
        <is>
          <t>2022-11-16</t>
        </is>
      </c>
      <c r="L61" s="2" t="inlineStr">
        <is>
          <t>adopted</t>
        </is>
      </c>
      <c r="M61" s="2" t="inlineStr">
        <is>
          <t>adopted</t>
        </is>
      </c>
      <c r="N61" s="2" t="inlineStr">
        <is>
          <t>32022R2065</t>
        </is>
      </c>
      <c r="O61" s="2" t="inlineStr">
        <is>
          <t>Original act as published in the OJ</t>
        </is>
      </c>
      <c r="P61" s="2" t="inlineStr">
        <is>
          <t>https://eur-lex.europa.eu/legal-content/EN/TXT/?uri=CELEX:32022R2065</t>
        </is>
      </c>
      <c r="Q61" s="3" t="n">
        <v>102</v>
      </c>
      <c r="R61" s="3" t="n">
        <v>62625</v>
      </c>
      <c r="S61" s="3" t="n">
        <v>29191</v>
      </c>
      <c r="T61" s="3" t="n">
        <v>29060</v>
      </c>
      <c r="U61" s="3" t="n">
        <v>33434</v>
      </c>
      <c r="V61" s="3" t="n">
        <v>0</v>
      </c>
      <c r="W61" s="3" t="n">
        <v>0</v>
      </c>
      <c r="X61" s="3" t="n">
        <v>0</v>
      </c>
      <c r="Y61" s="3" t="n">
        <v>479</v>
      </c>
      <c r="Z61" s="3" t="n">
        <v>413</v>
      </c>
      <c r="AA61" s="3" t="n">
        <v>28</v>
      </c>
      <c r="AB61" s="3" t="n">
        <v>4</v>
      </c>
      <c r="AC61" s="3" t="n">
        <v>2</v>
      </c>
      <c r="AD61" s="3" t="n">
        <v>32</v>
      </c>
      <c r="AE61" s="3" t="n">
        <v>139</v>
      </c>
      <c r="AF61" s="3" t="n">
        <v>101</v>
      </c>
      <c r="AG61" s="3" t="n">
        <v>151</v>
      </c>
      <c r="AH61" s="3" t="n">
        <v>88</v>
      </c>
      <c r="AI61" s="2" t="inlineStr">
        <is>
          <t>02022R2065-20221027</t>
        </is>
      </c>
      <c r="AJ61" s="3" t="n">
        <v>479</v>
      </c>
      <c r="AK61" s="2" t="n">
        <v>139</v>
      </c>
      <c r="AL61" s="2">
        <f>COUNTIFS(secondary_acts!$A$2:$A$771,$A61,secondary_acts!$E$2:$E$771,"implementing")</f>
        <v/>
      </c>
      <c r="AM61" s="2">
        <f>COUNTIFS(secondary_acts!$A$2:$A$771,$A61,secondary_acts!$E$2:$E$771,"delegated")</f>
        <v/>
      </c>
      <c r="AN61" s="2">
        <f>COUNTIFS(secondary_acts!$A$2:$A$771,$A61,secondary_acts!$E$2:$E$771,"other Commission/Council act")</f>
        <v/>
      </c>
      <c r="AO61" s="2">
        <f>COUNTIFS(secondary_acts!$A$2:$A$771,$A61,secondary_acts!$E$2:$E$771,"guidance")</f>
        <v/>
      </c>
      <c r="AP61" s="2">
        <f>COUNTIF(guidance_web!$A$2:$A$7,$A61)</f>
        <v/>
      </c>
      <c r="AQ61" s="2">
        <f>COUNTIFS(guidance_agencies!$A$2:$A$81,$A61,guidance_agencies!$D$2:$D$81,"EDPB")</f>
        <v/>
      </c>
      <c r="AR61" s="2">
        <f>COUNTIFS(guidance_agencies!$A$2:$A$81,$A61,guidance_agencies!$D$2:$D$81,"EBA")</f>
        <v/>
      </c>
      <c r="AS61" s="2">
        <f>COUNTIFS(guidance_agencies!$A$2:$A$81,$A61,guidance_agencies!$D$2:$D$81,"ESMA")</f>
        <v/>
      </c>
      <c r="AT61" s="3">
        <f>SUMIFS(secondary_acts!$S$2:$S$771,secondary_acts!$A$2:$A$771,$A61,secondary_acts!$E$2:$E$771,"implementing")+SUMIFS(secondary_acts!$S$2:$S$771,secondary_acts!$A$2:$A$771,$A61,secondary_acts!$E$2:$E$771,"delegated")</f>
        <v/>
      </c>
      <c r="AU61" s="3" t="n"/>
      <c r="AV61" s="2" t="n"/>
      <c r="AW61" s="2" t="n">
        <v>0</v>
      </c>
      <c r="AX61" s="2" t="n"/>
      <c r="AY61" s="2" t="n"/>
      <c r="AZ61" s="2" t="n">
        <v>10</v>
      </c>
      <c r="BA61" s="2" t="inlineStr">
        <is>
          <t>52020PC0825</t>
        </is>
      </c>
      <c r="BB61" s="2" t="inlineStr">
        <is>
          <t>EUR-Lex HTML</t>
        </is>
      </c>
      <c r="BC61" s="2" t="n">
        <v>33588</v>
      </c>
      <c r="BD61" s="2" t="n">
        <v>284</v>
      </c>
      <c r="BE61" s="2" t="n">
        <v>84</v>
      </c>
      <c r="BF61" s="2">
        <f>IF(ISNUMBER(BC61),R61-BC61,"")</f>
        <v/>
      </c>
      <c r="BG61" s="4">
        <f>IF(AND(ISNUMBER(BC61),BC61&gt;0),(R61-BC61)/BC61,"")</f>
        <v/>
      </c>
      <c r="BH61" s="2">
        <f>IF(ISNUMBER(BD61),Y61-BD61,"")</f>
        <v/>
      </c>
      <c r="BI61" s="4">
        <f>IF(AND(ISNUMBER(BD61),BD61&gt;0),(Y61-BD61)/BD61,"")</f>
        <v/>
      </c>
      <c r="BJ61" s="2">
        <f>IF(ISNUMBER(BE61),AE61-BE61,"")</f>
        <v/>
      </c>
      <c r="BK61" s="2" t="inlineStr">
        <is>
          <t>moderate</t>
        </is>
      </c>
      <c r="BL61" s="2" t="inlineStr">
        <is>
          <t>moderate: no causal studies, but a body of robust measurement studies of platforms' own transparency data (1.58bn moderation actions), audits of ad repositories and political ads, and early data on out-of-court dispute bodies; effects on harms not yet measured</t>
        </is>
      </c>
      <c r="BM61" s="2" t="inlineStr">
        <is>
          <t>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is>
      </c>
      <c r="BN61" s="2" t="n">
        <v>3</v>
      </c>
      <c r="BO61" s="2" t="n">
        <v>1</v>
      </c>
      <c r="BP61" s="2" t="n">
        <v>15</v>
      </c>
      <c r="BQ61" s="2" t="n">
        <v>0</v>
      </c>
      <c r="BR61" s="2" t="inlineStr">
        <is>
          <t>no consolidated text with amendments in EUR-Lex; consolidated count = original</t>
        </is>
      </c>
    </row>
    <row r="62">
      <c r="A62" s="2" t="n">
        <v>61</v>
      </c>
      <c r="B62" s="2" t="inlineStr">
        <is>
          <t>NIS 2 Directive</t>
        </is>
      </c>
      <c r="C62" s="2" t="inlineStr">
        <is>
          <t>Aims to achieve a high common level of cybersecurity across the EU. It requires Member States to adopt national cybersecurity strategies and designate competent authorities, crisis management bodies and incident response teams (CSIRTs). Medium-sized and large entities in sectors listed in its annexes, such as energy, transport, health and digital infrastructure, must take cybersecurity risk-management measures and report significant incidents.</t>
        </is>
      </c>
      <c r="D62" s="2" t="inlineStr">
        <is>
          <t>Directive (EU) 2022/2555</t>
        </is>
      </c>
      <c r="E62" s="2" t="inlineStr">
        <is>
          <t>Cybersecurity</t>
        </is>
      </c>
      <c r="F62" s="2" t="inlineStr">
        <is>
          <t>enacted</t>
        </is>
      </c>
      <c r="G62" s="2" t="inlineStr">
        <is>
          <t>2020-12-16</t>
        </is>
      </c>
      <c r="H62" s="2" t="inlineStr">
        <is>
          <t>high</t>
        </is>
      </c>
      <c r="I62" s="2" t="inlineStr">
        <is>
          <t>2022-12-14</t>
        </is>
      </c>
      <c r="J62" s="2" t="inlineStr">
        <is>
          <t>2022-12-27</t>
        </is>
      </c>
      <c r="K62" s="2" t="inlineStr">
        <is>
          <t>2023-01-16</t>
        </is>
      </c>
      <c r="L62" s="2" t="inlineStr">
        <is>
          <t>adopted</t>
        </is>
      </c>
      <c r="M62" s="2" t="inlineStr">
        <is>
          <t>adopted</t>
        </is>
      </c>
      <c r="N62" s="2" t="inlineStr">
        <is>
          <t>32022L2555</t>
        </is>
      </c>
      <c r="O62" s="2" t="inlineStr">
        <is>
          <t>Original act as published in the OJ</t>
        </is>
      </c>
      <c r="P62" s="2" t="inlineStr">
        <is>
          <t>https://eur-lex.europa.eu/legal-content/EN/TXT/?uri=CELEX:32022L2555</t>
        </is>
      </c>
      <c r="Q62" s="3" t="n">
        <v>73</v>
      </c>
      <c r="R62" s="3" t="n">
        <v>40220</v>
      </c>
      <c r="S62" s="3" t="n">
        <v>18851</v>
      </c>
      <c r="T62" s="3" t="n">
        <v>18698</v>
      </c>
      <c r="U62" s="3" t="n">
        <v>18071</v>
      </c>
      <c r="V62" s="3" t="n">
        <v>3298</v>
      </c>
      <c r="W62" s="3" t="n">
        <v>0</v>
      </c>
      <c r="X62" s="3" t="n">
        <v>0</v>
      </c>
      <c r="Y62" s="3" t="n">
        <v>288</v>
      </c>
      <c r="Z62" s="3" t="n">
        <v>219</v>
      </c>
      <c r="AA62" s="3" t="n">
        <v>7</v>
      </c>
      <c r="AB62" s="3" t="n">
        <v>0</v>
      </c>
      <c r="AC62" s="3" t="n">
        <v>2</v>
      </c>
      <c r="AD62" s="3" t="n">
        <v>60</v>
      </c>
      <c r="AE62" s="3" t="n">
        <v>11</v>
      </c>
      <c r="AF62" s="3" t="n">
        <v>179</v>
      </c>
      <c r="AG62" s="3" t="n">
        <v>52</v>
      </c>
      <c r="AH62" s="3" t="n">
        <v>46</v>
      </c>
      <c r="AI62" s="2" t="inlineStr">
        <is>
          <t>02022L2555-20221227</t>
        </is>
      </c>
      <c r="AJ62" s="3" t="n">
        <v>288</v>
      </c>
      <c r="AK62" s="2" t="n">
        <v>11</v>
      </c>
      <c r="AL62" s="2">
        <f>COUNTIFS(secondary_acts!$A$2:$A$771,$A62,secondary_acts!$E$2:$E$771,"implementing")</f>
        <v/>
      </c>
      <c r="AM62" s="2">
        <f>COUNTIFS(secondary_acts!$A$2:$A$771,$A62,secondary_acts!$E$2:$E$771,"delegated")</f>
        <v/>
      </c>
      <c r="AN62" s="2">
        <f>COUNTIFS(secondary_acts!$A$2:$A$771,$A62,secondary_acts!$E$2:$E$771,"other Commission/Council act")</f>
        <v/>
      </c>
      <c r="AO62" s="2">
        <f>COUNTIFS(secondary_acts!$A$2:$A$771,$A62,secondary_acts!$E$2:$E$771,"guidance")</f>
        <v/>
      </c>
      <c r="AP62" s="2">
        <f>COUNTIF(guidance_web!$A$2:$A$7,$A62)</f>
        <v/>
      </c>
      <c r="AQ62" s="2">
        <f>COUNTIFS(guidance_agencies!$A$2:$A$81,$A62,guidance_agencies!$D$2:$D$81,"EDPB")</f>
        <v/>
      </c>
      <c r="AR62" s="2">
        <f>COUNTIFS(guidance_agencies!$A$2:$A$81,$A62,guidance_agencies!$D$2:$D$81,"EBA")</f>
        <v/>
      </c>
      <c r="AS62" s="2">
        <f>COUNTIFS(guidance_agencies!$A$2:$A$81,$A62,guidance_agencies!$D$2:$D$81,"ESMA")</f>
        <v/>
      </c>
      <c r="AT62" s="3">
        <f>SUMIFS(secondary_acts!$S$2:$S$771,secondary_acts!$A$2:$A$771,$A62,secondary_acts!$E$2:$E$771,"implementing")+SUMIFS(secondary_acts!$S$2:$S$771,secondary_acts!$A$2:$A$771,$A62,secondary_acts!$E$2:$E$771,"delegated")</f>
        <v/>
      </c>
      <c r="AU62" s="3" t="n">
        <v>3232</v>
      </c>
      <c r="AV62" s="2" t="n">
        <v>25</v>
      </c>
      <c r="AW62" s="2" t="n">
        <v>0</v>
      </c>
      <c r="AX62" s="2" t="n"/>
      <c r="AY62" s="2" t="n"/>
      <c r="AZ62" s="2" t="n">
        <v>9</v>
      </c>
      <c r="BA62" s="2" t="inlineStr">
        <is>
          <t>52020PC0823</t>
        </is>
      </c>
      <c r="BB62" s="2" t="inlineStr">
        <is>
          <t>EUR-Lex HTML</t>
        </is>
      </c>
      <c r="BC62" s="2" t="n">
        <v>31823</v>
      </c>
      <c r="BD62" s="2" t="n">
        <v>227</v>
      </c>
      <c r="BE62" s="2" t="n">
        <v>12</v>
      </c>
      <c r="BF62" s="2">
        <f>IF(ISNUMBER(BC62),R62-BC62,"")</f>
        <v/>
      </c>
      <c r="BG62" s="4">
        <f>IF(AND(ISNUMBER(BC62),BC62&gt;0),(R62-BC62)/BC62,"")</f>
        <v/>
      </c>
      <c r="BH62" s="2">
        <f>IF(ISNUMBER(BD62),Y62-BD62,"")</f>
        <v/>
      </c>
      <c r="BI62" s="4">
        <f>IF(AND(ISNUMBER(BD62),BD62&gt;0),(Y62-BD62)/BD62,"")</f>
        <v/>
      </c>
      <c r="BJ62" s="2">
        <f>IF(ISNUMBER(BE62),AE62-BE62,"")</f>
        <v/>
      </c>
      <c r="BK62" s="2" t="inlineStr">
        <is>
          <t>thin</t>
        </is>
      </c>
      <c r="BL62" s="2" t="inlineStr">
        <is>
          <t>thin: forecasts only; outcome data limited to ENISA's descriptive surveys; no causal study of NIS1 or NIS2 effects on incidents or costs</t>
        </is>
      </c>
      <c r="BM62" s="2" t="inlineStr">
        <is>
          <t>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is>
      </c>
      <c r="BN62" s="2" t="n">
        <v>5</v>
      </c>
      <c r="BO62" s="2" t="n">
        <v>3</v>
      </c>
      <c r="BP62" s="2" t="n">
        <v>15</v>
      </c>
      <c r="BQ62" s="2" t="n">
        <v>0</v>
      </c>
      <c r="BR62" s="2" t="inlineStr"/>
    </row>
    <row r="63">
      <c r="A63" s="2" t="n">
        <v>62</v>
      </c>
      <c r="B63" s="2" t="inlineStr">
        <is>
          <t>Joint Undertakings under Horizon Europe</t>
        </is>
      </c>
      <c r="C63" s="2" t="inlineStr">
        <is>
          <t>Sets up nine joint undertakings: public-private partnerships that carry out research and innovation under Horizon Europe in areas such as key digital technologies, smart networks and services, clean aviation, rail, hydrogen, health and bio-based industries. It sets out each partnership's objectives and tasks, membership, organisation and operating rules, including the contributions of the EU and of private and public members.</t>
        </is>
      </c>
      <c r="D63" s="2" t="inlineStr">
        <is>
          <t>Regulation (EU) 2021/2085</t>
        </is>
      </c>
      <c r="E63" s="2" t="inlineStr">
        <is>
          <t>Industrial Policy</t>
        </is>
      </c>
      <c r="F63" s="2" t="inlineStr">
        <is>
          <t>enacted</t>
        </is>
      </c>
      <c r="G63" s="2" t="inlineStr">
        <is>
          <t>2021-02-23</t>
        </is>
      </c>
      <c r="H63" s="2" t="inlineStr">
        <is>
          <t>high</t>
        </is>
      </c>
      <c r="I63" s="2" t="inlineStr">
        <is>
          <t>2021-11-19</t>
        </is>
      </c>
      <c r="J63" s="2" t="inlineStr">
        <is>
          <t>2021-11-30</t>
        </is>
      </c>
      <c r="K63" s="2" t="inlineStr">
        <is>
          <t>2021-11-30</t>
        </is>
      </c>
      <c r="L63" s="2" t="inlineStr">
        <is>
          <t>adopted</t>
        </is>
      </c>
      <c r="M63" s="2" t="inlineStr">
        <is>
          <t>adopted</t>
        </is>
      </c>
      <c r="N63" s="2" t="inlineStr">
        <is>
          <t>32021R2085</t>
        </is>
      </c>
      <c r="O63" s="2" t="inlineStr">
        <is>
          <t>Original act as published in the OJ</t>
        </is>
      </c>
      <c r="P63" s="2" t="inlineStr">
        <is>
          <t>https://eur-lex.europa.eu/legal-content/EN/TXT/?uri=CELEX:32021R2085</t>
        </is>
      </c>
      <c r="Q63" s="3" t="n">
        <v>103</v>
      </c>
      <c r="R63" s="3" t="n">
        <v>50649</v>
      </c>
      <c r="S63" s="3" t="n">
        <v>13039</v>
      </c>
      <c r="T63" s="3" t="n">
        <v>12915</v>
      </c>
      <c r="U63" s="3" t="n">
        <v>34391</v>
      </c>
      <c r="V63" s="3" t="n">
        <v>3219</v>
      </c>
      <c r="W63" s="3" t="n">
        <v>0</v>
      </c>
      <c r="X63" s="3" t="n">
        <v>0</v>
      </c>
      <c r="Y63" s="3" t="n">
        <v>553</v>
      </c>
      <c r="Z63" s="3" t="n">
        <v>504</v>
      </c>
      <c r="AA63" s="3" t="n">
        <v>28</v>
      </c>
      <c r="AB63" s="3" t="n">
        <v>2</v>
      </c>
      <c r="AC63" s="3" t="n">
        <v>3</v>
      </c>
      <c r="AD63" s="3" t="n">
        <v>16</v>
      </c>
      <c r="AE63" s="3" t="n">
        <v>13</v>
      </c>
      <c r="AF63" s="3" t="n">
        <v>11</v>
      </c>
      <c r="AG63" s="3" t="n">
        <v>361</v>
      </c>
      <c r="AH63" s="3" t="n">
        <v>168</v>
      </c>
      <c r="AI63" s="2" t="inlineStr">
        <is>
          <t>02021R2085-20230921</t>
        </is>
      </c>
      <c r="AJ63" s="3" t="n">
        <v>573</v>
      </c>
      <c r="AK63" s="2" t="n">
        <v>14</v>
      </c>
      <c r="AL63" s="2">
        <f>COUNTIFS(secondary_acts!$A$2:$A$771,$A63,secondary_acts!$E$2:$E$771,"implementing")</f>
        <v/>
      </c>
      <c r="AM63" s="2">
        <f>COUNTIFS(secondary_acts!$A$2:$A$771,$A63,secondary_acts!$E$2:$E$771,"delegated")</f>
        <v/>
      </c>
      <c r="AN63" s="2">
        <f>COUNTIFS(secondary_acts!$A$2:$A$771,$A63,secondary_acts!$E$2:$E$771,"other Commission/Council act")</f>
        <v/>
      </c>
      <c r="AO63" s="2">
        <f>COUNTIFS(secondary_acts!$A$2:$A$771,$A63,secondary_acts!$E$2:$E$771,"guidance")</f>
        <v/>
      </c>
      <c r="AP63" s="2">
        <f>COUNTIF(guidance_web!$A$2:$A$7,$A63)</f>
        <v/>
      </c>
      <c r="AQ63" s="2">
        <f>COUNTIFS(guidance_agencies!$A$2:$A$81,$A63,guidance_agencies!$D$2:$D$81,"EDPB")</f>
        <v/>
      </c>
      <c r="AR63" s="2">
        <f>COUNTIFS(guidance_agencies!$A$2:$A$81,$A63,guidance_agencies!$D$2:$D$81,"EBA")</f>
        <v/>
      </c>
      <c r="AS63" s="2">
        <f>COUNTIFS(guidance_agencies!$A$2:$A$81,$A63,guidance_agencies!$D$2:$D$81,"ESMA")</f>
        <v/>
      </c>
      <c r="AT63" s="3">
        <f>SUMIFS(secondary_acts!$S$2:$S$771,secondary_acts!$A$2:$A$771,$A63,secondary_acts!$E$2:$E$771,"implementing")+SUMIFS(secondary_acts!$S$2:$S$771,secondary_acts!$A$2:$A$771,$A63,secondary_acts!$E$2:$E$771,"delegated")</f>
        <v/>
      </c>
      <c r="AU63" s="3" t="n"/>
      <c r="AV63" s="2" t="n"/>
      <c r="AW63" s="2" t="n">
        <v>1</v>
      </c>
      <c r="AX63" s="2" t="inlineStr">
        <is>
          <t>2023-07-25</t>
        </is>
      </c>
      <c r="AY63" s="2" t="inlineStr">
        <is>
          <t>2023-07-25</t>
        </is>
      </c>
      <c r="AZ63" s="2" t="n">
        <v>1</v>
      </c>
      <c r="BA63" s="2" t="inlineStr">
        <is>
          <t>52021PC0087</t>
        </is>
      </c>
      <c r="BB63" s="2" t="inlineStr">
        <is>
          <t>EUR-Lex HTML</t>
        </is>
      </c>
      <c r="BC63" s="2" t="n">
        <v>46901</v>
      </c>
      <c r="BD63" s="2" t="n">
        <v>523</v>
      </c>
      <c r="BE63" s="2" t="n">
        <v>11</v>
      </c>
      <c r="BF63" s="2">
        <f>IF(ISNUMBER(BC63),R63-BC63,"")</f>
        <v/>
      </c>
      <c r="BG63" s="4">
        <f>IF(AND(ISNUMBER(BC63),BC63&gt;0),(R63-BC63)/BC63,"")</f>
        <v/>
      </c>
      <c r="BH63" s="2">
        <f>IF(ISNUMBER(BD63),Y63-BD63,"")</f>
        <v/>
      </c>
      <c r="BI63" s="4">
        <f>IF(AND(ISNUMBER(BD63),BD63&gt;0),(Y63-BD63)/BD63,"")</f>
        <v/>
      </c>
      <c r="BJ63" s="2">
        <f>IF(ISNUMBER(BE63),AE63-BE63,"")</f>
        <v/>
      </c>
      <c r="BK63" s="2" t="inlineStr">
        <is>
          <t>thin</t>
        </is>
      </c>
      <c r="BL63" s="2" t="inlineStr">
        <is>
          <t>thin: Commission self-evaluation and audit evidence on co-funding; no counterfactual study of impact for the Horizon Europe JUs</t>
        </is>
      </c>
      <c r="BM63" s="2" t="inlineStr">
        <is>
          <t>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is>
      </c>
      <c r="BN63" s="2" t="n">
        <v>4</v>
      </c>
      <c r="BO63" s="2" t="n">
        <v>3</v>
      </c>
      <c r="BP63" s="2" t="n">
        <v>4</v>
      </c>
      <c r="BQ63" s="2" t="n">
        <v>0</v>
      </c>
      <c r="BR63" s="2" t="inlineStr"/>
    </row>
    <row r="64">
      <c r="A64" s="2" t="n">
        <v>63</v>
      </c>
      <c r="B64" s="2" t="inlineStr">
        <is>
          <t>Roaming Regulation</t>
        </is>
      </c>
      <c r="C64" s="2" t="inlineStr">
        <is>
          <t>Aims to ensure that mobile users travelling within the EU do not pay excessive prices for calls, SMS and data compared with domestic prices. It sets maximum charges that network operators may levy on each other at wholesale level and the conditions for wholesale access to mobile networks, and governs retail roaming charges. It also requires roaming providers to give users clearer information on charges, including outside the EU.</t>
        </is>
      </c>
      <c r="D64" s="2" t="inlineStr">
        <is>
          <t>Regulation (EU) 2022/612</t>
        </is>
      </c>
      <c r="E64" s="2" t="inlineStr">
        <is>
          <t>Connectivity</t>
        </is>
      </c>
      <c r="F64" s="2" t="inlineStr">
        <is>
          <t>enacted</t>
        </is>
      </c>
      <c r="G64" s="2" t="inlineStr">
        <is>
          <t>2021-02-24</t>
        </is>
      </c>
      <c r="H64" s="2" t="inlineStr">
        <is>
          <t>high</t>
        </is>
      </c>
      <c r="I64" s="2" t="inlineStr">
        <is>
          <t>2022-04-06</t>
        </is>
      </c>
      <c r="J64" s="2" t="inlineStr">
        <is>
          <t>2022-04-13</t>
        </is>
      </c>
      <c r="K64" s="2" t="inlineStr">
        <is>
          <t>2022-07-01</t>
        </is>
      </c>
      <c r="L64" s="2" t="inlineStr">
        <is>
          <t>adopted</t>
        </is>
      </c>
      <c r="M64" s="2" t="inlineStr">
        <is>
          <t>adopted</t>
        </is>
      </c>
      <c r="N64" s="2" t="inlineStr">
        <is>
          <t>32022R0612</t>
        </is>
      </c>
      <c r="O64" s="2" t="inlineStr">
        <is>
          <t>Original act as published in the OJ</t>
        </is>
      </c>
      <c r="P64" s="2" t="inlineStr">
        <is>
          <t>https://eur-lex.europa.eu/legal-content/EN/TXT/?uri=CELEX:32022R0612</t>
        </is>
      </c>
      <c r="Q64" s="3" t="n">
        <v>37</v>
      </c>
      <c r="R64" s="3" t="n">
        <v>22492</v>
      </c>
      <c r="S64" s="3" t="n">
        <v>11653</v>
      </c>
      <c r="T64" s="3" t="n">
        <v>11532</v>
      </c>
      <c r="U64" s="3" t="n">
        <v>10036</v>
      </c>
      <c r="V64" s="3" t="n">
        <v>803</v>
      </c>
      <c r="W64" s="3" t="n">
        <v>0</v>
      </c>
      <c r="X64" s="3" t="n">
        <v>0</v>
      </c>
      <c r="Y64" s="3" t="n">
        <v>162</v>
      </c>
      <c r="Z64" s="3" t="n">
        <v>141</v>
      </c>
      <c r="AA64" s="3" t="n">
        <v>14</v>
      </c>
      <c r="AB64" s="3" t="n">
        <v>1</v>
      </c>
      <c r="AC64" s="3" t="n">
        <v>0</v>
      </c>
      <c r="AD64" s="3" t="n">
        <v>6</v>
      </c>
      <c r="AE64" s="3" t="n">
        <v>60</v>
      </c>
      <c r="AF64" s="3" t="n">
        <v>29</v>
      </c>
      <c r="AG64" s="3" t="n">
        <v>25</v>
      </c>
      <c r="AH64" s="3" t="n">
        <v>48</v>
      </c>
      <c r="AI64" s="2" t="inlineStr">
        <is>
          <t>02022R0612-20220413</t>
        </is>
      </c>
      <c r="AJ64" s="3" t="n">
        <v>162</v>
      </c>
      <c r="AK64" s="2" t="n">
        <v>60</v>
      </c>
      <c r="AL64" s="2">
        <f>COUNTIFS(secondary_acts!$A$2:$A$771,$A64,secondary_acts!$E$2:$E$771,"implementing")</f>
        <v/>
      </c>
      <c r="AM64" s="2">
        <f>COUNTIFS(secondary_acts!$A$2:$A$771,$A64,secondary_acts!$E$2:$E$771,"delegated")</f>
        <v/>
      </c>
      <c r="AN64" s="2">
        <f>COUNTIFS(secondary_acts!$A$2:$A$771,$A64,secondary_acts!$E$2:$E$771,"other Commission/Council act")</f>
        <v/>
      </c>
      <c r="AO64" s="2">
        <f>COUNTIFS(secondary_acts!$A$2:$A$771,$A64,secondary_acts!$E$2:$E$771,"guidance")</f>
        <v/>
      </c>
      <c r="AP64" s="2">
        <f>COUNTIF(guidance_web!$A$2:$A$7,$A64)</f>
        <v/>
      </c>
      <c r="AQ64" s="2">
        <f>COUNTIFS(guidance_agencies!$A$2:$A$81,$A64,guidance_agencies!$D$2:$D$81,"EDPB")</f>
        <v/>
      </c>
      <c r="AR64" s="2">
        <f>COUNTIFS(guidance_agencies!$A$2:$A$81,$A64,guidance_agencies!$D$2:$D$81,"EBA")</f>
        <v/>
      </c>
      <c r="AS64" s="2">
        <f>COUNTIFS(guidance_agencies!$A$2:$A$81,$A64,guidance_agencies!$D$2:$D$81,"ESMA")</f>
        <v/>
      </c>
      <c r="AT64" s="3">
        <f>SUMIFS(secondary_acts!$S$2:$S$771,secondary_acts!$A$2:$A$771,$A64,secondary_acts!$E$2:$E$771,"implementing")+SUMIFS(secondary_acts!$S$2:$S$771,secondary_acts!$A$2:$A$771,$A64,secondary_acts!$E$2:$E$771,"delegated")</f>
        <v/>
      </c>
      <c r="AU64" s="3" t="n"/>
      <c r="AV64" s="2" t="n"/>
      <c r="AW64" s="2" t="n">
        <v>0</v>
      </c>
      <c r="AX64" s="2" t="n"/>
      <c r="AY64" s="2" t="n"/>
      <c r="AZ64" s="2" t="n">
        <v>2</v>
      </c>
      <c r="BA64" s="2" t="inlineStr">
        <is>
          <t>52021PC0085</t>
        </is>
      </c>
      <c r="BB64" s="2" t="inlineStr">
        <is>
          <t>EUR-Lex HTML</t>
        </is>
      </c>
      <c r="BC64" s="2" t="n">
        <v>29549</v>
      </c>
      <c r="BD64" s="2" t="n">
        <v>184</v>
      </c>
      <c r="BE64" s="2" t="n">
        <v>64</v>
      </c>
      <c r="BF64" s="2">
        <f>IF(ISNUMBER(BC64),R64-BC64,"")</f>
        <v/>
      </c>
      <c r="BG64" s="4">
        <f>IF(AND(ISNUMBER(BC64),BC64&gt;0),(R64-BC64)/BC64,"")</f>
        <v/>
      </c>
      <c r="BH64" s="2">
        <f>IF(ISNUMBER(BD64),Y64-BD64,"")</f>
        <v/>
      </c>
      <c r="BI64" s="4">
        <f>IF(AND(ISNUMBER(BD64),BD64&gt;0),(Y64-BD64)/BD64,"")</f>
        <v/>
      </c>
      <c r="BJ64" s="2">
        <f>IF(ISNUMBER(BE64),AE64-BE64,"")</f>
        <v/>
      </c>
      <c r="BK64" s="2" t="inlineStr">
        <is>
          <t>strong</t>
        </is>
      </c>
      <c r="BL64" s="2" t="inlineStr">
        <is>
          <t>strong: several peer-reviewed causal studies of Roam Like at Home plus regular BEREC/Commission data; gaps on quality of service</t>
        </is>
      </c>
      <c r="BM64" s="2" t="inlineStr">
        <is>
          <t>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is>
      </c>
      <c r="BN64" s="2" t="n">
        <v>4</v>
      </c>
      <c r="BO64" s="2" t="n">
        <v>4</v>
      </c>
      <c r="BP64" s="2" t="n">
        <v>8</v>
      </c>
      <c r="BQ64" s="2" t="n">
        <v>3</v>
      </c>
      <c r="BR64" s="2" t="inlineStr">
        <is>
          <t>no consolidated text with amendments in EUR-Lex; consolidated count = original</t>
        </is>
      </c>
    </row>
    <row r="65">
      <c r="A65" s="2" t="n">
        <v>64</v>
      </c>
      <c r="B65" s="2" t="inlineStr">
        <is>
          <t>Artificial Intelligence Act</t>
        </is>
      </c>
      <c r="C65" s="2" t="inlineStr">
        <is>
          <t>Aims to promote the uptake of human-centric and trustworthy artificial intelligence while protecting health, safety and fundamental rights. It applies to providers, deployers, importers and distributors of AI systems used in the EU. It bans certain AI practices, sets requirements for high-risk AI systems, imposes transparency duties on some systems and rules for general-purpose AI models, and sets up governance, enforcement and innovation support measures.</t>
        </is>
      </c>
      <c r="D65" s="2" t="inlineStr">
        <is>
          <t>Regulation (EU) 2024/1689</t>
        </is>
      </c>
      <c r="E65" s="2" t="inlineStr">
        <is>
          <t>Trust &amp; Safety</t>
        </is>
      </c>
      <c r="F65" s="2" t="inlineStr">
        <is>
          <t>enacted</t>
        </is>
      </c>
      <c r="G65" s="2" t="inlineStr">
        <is>
          <t>2021-04-21</t>
        </is>
      </c>
      <c r="H65" s="2" t="inlineStr">
        <is>
          <t>high</t>
        </is>
      </c>
      <c r="I65" s="2" t="inlineStr">
        <is>
          <t>2024-06-13</t>
        </is>
      </c>
      <c r="J65" s="2" t="inlineStr">
        <is>
          <t>2024-07-12</t>
        </is>
      </c>
      <c r="K65" s="2" t="inlineStr">
        <is>
          <t>2024-08-01</t>
        </is>
      </c>
      <c r="L65" s="2" t="inlineStr">
        <is>
          <t>adopted</t>
        </is>
      </c>
      <c r="M65" s="2" t="inlineStr">
        <is>
          <t>adopted</t>
        </is>
      </c>
      <c r="N65" s="2" t="inlineStr">
        <is>
          <t>32024R1689</t>
        </is>
      </c>
      <c r="O65" s="2" t="inlineStr">
        <is>
          <t>Original act as published in the OJ</t>
        </is>
      </c>
      <c r="P65" s="2" t="inlineStr">
        <is>
          <t>https://eur-lex.europa.eu/legal-content/EN/TXT/?uri=CELEX:32024R1689</t>
        </is>
      </c>
      <c r="Q65" s="3" t="n">
        <v>144</v>
      </c>
      <c r="R65" s="3" t="n">
        <v>88508</v>
      </c>
      <c r="S65" s="3" t="n">
        <v>34913</v>
      </c>
      <c r="T65" s="3" t="n">
        <v>34737</v>
      </c>
      <c r="U65" s="3" t="n">
        <v>45964</v>
      </c>
      <c r="V65" s="3" t="n">
        <v>7631</v>
      </c>
      <c r="W65" s="3" t="n">
        <v>0</v>
      </c>
      <c r="X65" s="3" t="n">
        <v>0</v>
      </c>
      <c r="Y65" s="3" t="n">
        <v>767</v>
      </c>
      <c r="Z65" s="3" t="n">
        <v>688</v>
      </c>
      <c r="AA65" s="3" t="n">
        <v>37</v>
      </c>
      <c r="AB65" s="3" t="n">
        <v>4</v>
      </c>
      <c r="AC65" s="3" t="n">
        <v>5</v>
      </c>
      <c r="AD65" s="3" t="n">
        <v>33</v>
      </c>
      <c r="AE65" s="3" t="n">
        <v>217</v>
      </c>
      <c r="AF65" s="3" t="n">
        <v>133</v>
      </c>
      <c r="AG65" s="3" t="n">
        <v>173</v>
      </c>
      <c r="AH65" s="3" t="n">
        <v>244</v>
      </c>
      <c r="AI65" s="2" t="inlineStr">
        <is>
          <t>02024R1689-20260727</t>
        </is>
      </c>
      <c r="AJ65" s="3" t="n">
        <v>863</v>
      </c>
      <c r="AK65" s="2" t="n">
        <v>229</v>
      </c>
      <c r="AL65" s="2">
        <f>COUNTIFS(secondary_acts!$A$2:$A$771,$A65,secondary_acts!$E$2:$E$771,"implementing")</f>
        <v/>
      </c>
      <c r="AM65" s="2">
        <f>COUNTIFS(secondary_acts!$A$2:$A$771,$A65,secondary_acts!$E$2:$E$771,"delegated")</f>
        <v/>
      </c>
      <c r="AN65" s="2">
        <f>COUNTIFS(secondary_acts!$A$2:$A$771,$A65,secondary_acts!$E$2:$E$771,"other Commission/Council act")</f>
        <v/>
      </c>
      <c r="AO65" s="2">
        <f>COUNTIFS(secondary_acts!$A$2:$A$771,$A65,secondary_acts!$E$2:$E$771,"guidance")</f>
        <v/>
      </c>
      <c r="AP65" s="2">
        <f>COUNTIF(guidance_web!$A$2:$A$7,$A65)</f>
        <v/>
      </c>
      <c r="AQ65" s="2">
        <f>COUNTIFS(guidance_agencies!$A$2:$A$81,$A65,guidance_agencies!$D$2:$D$81,"EDPB")</f>
        <v/>
      </c>
      <c r="AR65" s="2">
        <f>COUNTIFS(guidance_agencies!$A$2:$A$81,$A65,guidance_agencies!$D$2:$D$81,"EBA")</f>
        <v/>
      </c>
      <c r="AS65" s="2">
        <f>COUNTIFS(guidance_agencies!$A$2:$A$81,$A65,guidance_agencies!$D$2:$D$81,"ESMA")</f>
        <v/>
      </c>
      <c r="AT65" s="3">
        <f>SUMIFS(secondary_acts!$S$2:$S$771,secondary_acts!$A$2:$A$771,$A65,secondary_acts!$E$2:$E$771,"implementing")+SUMIFS(secondary_acts!$S$2:$S$771,secondary_acts!$A$2:$A$771,$A65,secondary_acts!$E$2:$E$771,"delegated")</f>
        <v/>
      </c>
      <c r="AU65" s="3" t="n"/>
      <c r="AV65" s="2" t="n"/>
      <c r="AW65" s="2" t="n">
        <v>1</v>
      </c>
      <c r="AX65" s="2" t="inlineStr">
        <is>
          <t>2026-07-08</t>
        </is>
      </c>
      <c r="AY65" s="2" t="inlineStr">
        <is>
          <t>2026-07-08</t>
        </is>
      </c>
      <c r="AZ65" s="2" t="n">
        <v>4</v>
      </c>
      <c r="BA65" s="2" t="inlineStr">
        <is>
          <t>52021PC0206</t>
        </is>
      </c>
      <c r="BB65" s="2" t="inlineStr">
        <is>
          <t>EUR-Lex HTML</t>
        </is>
      </c>
      <c r="BC65" s="2" t="n">
        <v>38412</v>
      </c>
      <c r="BD65" s="2" t="n">
        <v>394</v>
      </c>
      <c r="BE65" s="2" t="n">
        <v>126</v>
      </c>
      <c r="BF65" s="2">
        <f>IF(ISNUMBER(BC65),R65-BC65,"")</f>
        <v/>
      </c>
      <c r="BG65" s="4">
        <f>IF(AND(ISNUMBER(BC65),BC65&gt;0),(R65-BC65)/BC65,"")</f>
        <v/>
      </c>
      <c r="BH65" s="2">
        <f>IF(ISNUMBER(BD65),Y65-BD65,"")</f>
        <v/>
      </c>
      <c r="BI65" s="4">
        <f>IF(AND(ISNUMBER(BD65),BD65&gt;0),(Y65-BD65)/BD65,"")</f>
        <v/>
      </c>
      <c r="BJ65" s="2">
        <f>IF(ISNUMBER(BE65),AE65-BE65,"")</f>
        <v/>
      </c>
      <c r="BK65" s="2" t="inlineStr">
        <is>
          <t>thin</t>
        </is>
      </c>
      <c r="BL65" s="2" t="inlineStr">
        <is>
          <t>forecasts only: main obligations not yet applicable (postponed to 2027-28); no ex-post evidence; ex-ante cost assumptions contested</t>
        </is>
      </c>
      <c r="BM65" s="2" t="inlineStr">
        <is>
          <t>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is>
      </c>
      <c r="BN65" s="2" t="n">
        <v>4</v>
      </c>
      <c r="BO65" s="2" t="n">
        <v>1</v>
      </c>
      <c r="BP65" s="2" t="n">
        <v>10</v>
      </c>
      <c r="BQ65" s="2" t="n">
        <v>1</v>
      </c>
      <c r="BR65" s="2" t="inlineStr"/>
    </row>
    <row r="66">
      <c r="A66" s="2" t="n">
        <v>65</v>
      </c>
      <c r="B66" s="2" t="inlineStr">
        <is>
          <t>Machinery Regulation</t>
        </is>
      </c>
      <c r="C66" s="2" t="inlineStr">
        <is>
          <t>Sets health and safety requirements for the design and construction of machinery, related products such as safety components and lifting accessories, and partly completed machinery. Its aim is to protect consumers and professional users, and where relevant animals, property and the environment, while allowing compliant products to move freely in the EU. Manufacturers must meet these requirements before placing products on the market.</t>
        </is>
      </c>
      <c r="D66" s="2" t="inlineStr">
        <is>
          <t>Regulation (EU) 2023/1230</t>
        </is>
      </c>
      <c r="E66" s="2" t="inlineStr">
        <is>
          <t>Trust &amp; Safety</t>
        </is>
      </c>
      <c r="F66" s="2" t="inlineStr">
        <is>
          <t>enacted</t>
        </is>
      </c>
      <c r="G66" s="2" t="inlineStr">
        <is>
          <t>2021-04-21</t>
        </is>
      </c>
      <c r="H66" s="2" t="inlineStr">
        <is>
          <t>high</t>
        </is>
      </c>
      <c r="I66" s="2" t="inlineStr">
        <is>
          <t>2023-06-14</t>
        </is>
      </c>
      <c r="J66" s="2" t="inlineStr">
        <is>
          <t>2023-06-29</t>
        </is>
      </c>
      <c r="K66" s="2" t="inlineStr">
        <is>
          <t>2023-07-19</t>
        </is>
      </c>
      <c r="L66" s="2" t="inlineStr">
        <is>
          <t>adopted</t>
        </is>
      </c>
      <c r="M66" s="2" t="inlineStr">
        <is>
          <t>adopted</t>
        </is>
      </c>
      <c r="N66" s="2" t="inlineStr">
        <is>
          <t>32023R1230</t>
        </is>
      </c>
      <c r="O66" s="2" t="inlineStr">
        <is>
          <t>Original act as published in the OJ</t>
        </is>
      </c>
      <c r="P66" s="2" t="inlineStr">
        <is>
          <t>https://eur-lex.europa.eu/legal-content/EN/TXT/?uri=CELEX:32023R1230</t>
        </is>
      </c>
      <c r="Q66" s="3" t="n">
        <v>102</v>
      </c>
      <c r="R66" s="3" t="n">
        <v>51980</v>
      </c>
      <c r="S66" s="3" t="n">
        <v>7189</v>
      </c>
      <c r="T66" s="3" t="n">
        <v>7064</v>
      </c>
      <c r="U66" s="3" t="n">
        <v>16691</v>
      </c>
      <c r="V66" s="3" t="n">
        <v>28100</v>
      </c>
      <c r="W66" s="3" t="n">
        <v>0</v>
      </c>
      <c r="X66" s="3" t="n">
        <v>0</v>
      </c>
      <c r="Y66" s="3" t="n">
        <v>921</v>
      </c>
      <c r="Z66" s="3" t="n">
        <v>806</v>
      </c>
      <c r="AA66" s="3" t="n">
        <v>62</v>
      </c>
      <c r="AB66" s="3" t="n">
        <v>8</v>
      </c>
      <c r="AC66" s="3" t="n">
        <v>8</v>
      </c>
      <c r="AD66" s="3" t="n">
        <v>37</v>
      </c>
      <c r="AE66" s="3" t="n">
        <v>292</v>
      </c>
      <c r="AF66" s="3" t="n">
        <v>53</v>
      </c>
      <c r="AG66" s="3" t="n">
        <v>61</v>
      </c>
      <c r="AH66" s="3" t="n">
        <v>515</v>
      </c>
      <c r="AI66" s="2" t="inlineStr">
        <is>
          <t>02023R1230-20260727</t>
        </is>
      </c>
      <c r="AJ66" s="3" t="n">
        <v>956</v>
      </c>
      <c r="AK66" s="2" t="n">
        <v>297</v>
      </c>
      <c r="AL66" s="2">
        <f>COUNTIFS(secondary_acts!$A$2:$A$771,$A66,secondary_acts!$E$2:$E$771,"implementing")</f>
        <v/>
      </c>
      <c r="AM66" s="2">
        <f>COUNTIFS(secondary_acts!$A$2:$A$771,$A66,secondary_acts!$E$2:$E$771,"delegated")</f>
        <v/>
      </c>
      <c r="AN66" s="2">
        <f>COUNTIFS(secondary_acts!$A$2:$A$771,$A66,secondary_acts!$E$2:$E$771,"other Commission/Council act")</f>
        <v/>
      </c>
      <c r="AO66" s="2">
        <f>COUNTIFS(secondary_acts!$A$2:$A$771,$A66,secondary_acts!$E$2:$E$771,"guidance")</f>
        <v/>
      </c>
      <c r="AP66" s="2">
        <f>COUNTIF(guidance_web!$A$2:$A$7,$A66)</f>
        <v/>
      </c>
      <c r="AQ66" s="2">
        <f>COUNTIFS(guidance_agencies!$A$2:$A$81,$A66,guidance_agencies!$D$2:$D$81,"EDPB")</f>
        <v/>
      </c>
      <c r="AR66" s="2">
        <f>COUNTIFS(guidance_agencies!$A$2:$A$81,$A66,guidance_agencies!$D$2:$D$81,"EBA")</f>
        <v/>
      </c>
      <c r="AS66" s="2">
        <f>COUNTIFS(guidance_agencies!$A$2:$A$81,$A66,guidance_agencies!$D$2:$D$81,"ESMA")</f>
        <v/>
      </c>
      <c r="AT66" s="3">
        <f>SUMIFS(secondary_acts!$S$2:$S$771,secondary_acts!$A$2:$A$771,$A66,secondary_acts!$E$2:$E$771,"implementing")+SUMIFS(secondary_acts!$S$2:$S$771,secondary_acts!$A$2:$A$771,$A66,secondary_acts!$E$2:$E$771,"delegated")</f>
        <v/>
      </c>
      <c r="AU66" s="3" t="n"/>
      <c r="AV66" s="2" t="n"/>
      <c r="AW66" s="2" t="n">
        <v>2</v>
      </c>
      <c r="AX66" s="2" t="inlineStr">
        <is>
          <t>2024-10-09</t>
        </is>
      </c>
      <c r="AY66" s="2" t="inlineStr">
        <is>
          <t>2026-07-08</t>
        </is>
      </c>
      <c r="AZ66" s="2" t="n">
        <v>3</v>
      </c>
      <c r="BA66" s="2" t="inlineStr">
        <is>
          <t>52021PC0202</t>
        </is>
      </c>
      <c r="BB66" s="2" t="inlineStr">
        <is>
          <t>EUR-Lex HTML</t>
        </is>
      </c>
      <c r="BC66" s="2" t="n">
        <v>43556</v>
      </c>
      <c r="BD66" s="2" t="n">
        <v>814</v>
      </c>
      <c r="BE66" s="2" t="n">
        <v>240</v>
      </c>
      <c r="BF66" s="2">
        <f>IF(ISNUMBER(BC66),R66-BC66,"")</f>
        <v/>
      </c>
      <c r="BG66" s="4">
        <f>IF(AND(ISNUMBER(BC66),BC66&gt;0),(R66-BC66)/BC66,"")</f>
        <v/>
      </c>
      <c r="BH66" s="2">
        <f>IF(ISNUMBER(BD66),Y66-BD66,"")</f>
        <v/>
      </c>
      <c r="BI66" s="4">
        <f>IF(AND(ISNUMBER(BD66),BD66&gt;0),(Y66-BD66)/BD66,"")</f>
        <v/>
      </c>
      <c r="BJ66" s="2">
        <f>IF(ISNUMBER(BE66),AE66-BE66,"")</f>
        <v/>
      </c>
      <c r="BK66" s="2" t="inlineStr">
        <is>
          <t>ex-ante only</t>
        </is>
      </c>
      <c r="BL66" s="2" t="inlineStr">
        <is>
          <t>ex-ante only: rules apply from January 2027; only impact assessment forecasts and trade commentary</t>
        </is>
      </c>
      <c r="BM66" s="2" t="inlineStr">
        <is>
          <t>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is>
      </c>
      <c r="BN66" s="2" t="n">
        <v>3</v>
      </c>
      <c r="BO66" s="2" t="n">
        <v>0</v>
      </c>
      <c r="BP66" s="2" t="n">
        <v>1</v>
      </c>
      <c r="BQ66" s="2" t="n">
        <v>0</v>
      </c>
      <c r="BR66" s="2" t="inlineStr"/>
    </row>
    <row r="67">
      <c r="A67" s="2" t="n">
        <v>66</v>
      </c>
      <c r="B67" s="2" t="inlineStr">
        <is>
          <t>Foreign Subsidies Regulation</t>
        </is>
      </c>
      <c r="C67" s="2" t="inlineStr">
        <is>
          <t>Aims to address distortions of the EU internal market caused by subsidies granted by non-EU countries and to ensure a level playing field. It applies to companies active in the EU that receive such subsidies. It empowers the Commission to investigate foreign subsidies and to redress distortions, with specific procedures for mergers and acquisitions and public procurement tenders.</t>
        </is>
      </c>
      <c r="D67" s="2" t="inlineStr">
        <is>
          <t>Regulation (EU) 2022/2560</t>
        </is>
      </c>
      <c r="E67" s="2" t="inlineStr">
        <is>
          <t>Competition &amp; Single Market</t>
        </is>
      </c>
      <c r="F67" s="2" t="inlineStr">
        <is>
          <t>enacted</t>
        </is>
      </c>
      <c r="G67" s="2" t="inlineStr">
        <is>
          <t>2021-05-05</t>
        </is>
      </c>
      <c r="H67" s="2" t="inlineStr">
        <is>
          <t>high</t>
        </is>
      </c>
      <c r="I67" s="2" t="inlineStr">
        <is>
          <t>2022-12-14</t>
        </is>
      </c>
      <c r="J67" s="2" t="inlineStr">
        <is>
          <t>2022-12-23</t>
        </is>
      </c>
      <c r="K67" s="2" t="inlineStr">
        <is>
          <t>2023-01-12</t>
        </is>
      </c>
      <c r="L67" s="2" t="inlineStr">
        <is>
          <t>adopted</t>
        </is>
      </c>
      <c r="M67" s="2" t="inlineStr">
        <is>
          <t>adopted</t>
        </is>
      </c>
      <c r="N67" s="2" t="inlineStr">
        <is>
          <t>32022R2560</t>
        </is>
      </c>
      <c r="O67" s="2" t="inlineStr">
        <is>
          <t>Original act as published in the OJ</t>
        </is>
      </c>
      <c r="P67" s="2" t="inlineStr">
        <is>
          <t>https://eur-lex.europa.eu/legal-content/EN/TXT/?uri=CELEX:32022R2560</t>
        </is>
      </c>
      <c r="Q67" s="3" t="n">
        <v>45</v>
      </c>
      <c r="R67" s="3" t="n">
        <v>23466</v>
      </c>
      <c r="S67" s="3" t="n">
        <v>7459</v>
      </c>
      <c r="T67" s="3" t="n">
        <v>7351</v>
      </c>
      <c r="U67" s="3" t="n">
        <v>16007</v>
      </c>
      <c r="V67" s="3" t="n">
        <v>0</v>
      </c>
      <c r="W67" s="3" t="n">
        <v>0</v>
      </c>
      <c r="X67" s="3" t="n">
        <v>0</v>
      </c>
      <c r="Y67" s="3" t="n">
        <v>176</v>
      </c>
      <c r="Z67" s="3" t="n">
        <v>146</v>
      </c>
      <c r="AA67" s="3" t="n">
        <v>26</v>
      </c>
      <c r="AB67" s="3" t="n">
        <v>0</v>
      </c>
      <c r="AC67" s="3" t="n">
        <v>2</v>
      </c>
      <c r="AD67" s="3" t="n">
        <v>2</v>
      </c>
      <c r="AE67" s="3" t="n">
        <v>20</v>
      </c>
      <c r="AF67" s="3" t="n">
        <v>14</v>
      </c>
      <c r="AG67" s="3" t="n">
        <v>86</v>
      </c>
      <c r="AH67" s="3" t="n">
        <v>56</v>
      </c>
      <c r="AI67" s="2" t="inlineStr">
        <is>
          <t>02022R2560-20221223</t>
        </is>
      </c>
      <c r="AJ67" s="3" t="n">
        <v>176</v>
      </c>
      <c r="AK67" s="2" t="n">
        <v>20</v>
      </c>
      <c r="AL67" s="2">
        <f>COUNTIFS(secondary_acts!$A$2:$A$771,$A67,secondary_acts!$E$2:$E$771,"implementing")</f>
        <v/>
      </c>
      <c r="AM67" s="2">
        <f>COUNTIFS(secondary_acts!$A$2:$A$771,$A67,secondary_acts!$E$2:$E$771,"delegated")</f>
        <v/>
      </c>
      <c r="AN67" s="2">
        <f>COUNTIFS(secondary_acts!$A$2:$A$771,$A67,secondary_acts!$E$2:$E$771,"other Commission/Council act")</f>
        <v/>
      </c>
      <c r="AO67" s="2">
        <f>COUNTIFS(secondary_acts!$A$2:$A$771,$A67,secondary_acts!$E$2:$E$771,"guidance")</f>
        <v/>
      </c>
      <c r="AP67" s="2">
        <f>COUNTIF(guidance_web!$A$2:$A$7,$A67)</f>
        <v/>
      </c>
      <c r="AQ67" s="2">
        <f>COUNTIFS(guidance_agencies!$A$2:$A$81,$A67,guidance_agencies!$D$2:$D$81,"EDPB")</f>
        <v/>
      </c>
      <c r="AR67" s="2">
        <f>COUNTIFS(guidance_agencies!$A$2:$A$81,$A67,guidance_agencies!$D$2:$D$81,"EBA")</f>
        <v/>
      </c>
      <c r="AS67" s="2">
        <f>COUNTIFS(guidance_agencies!$A$2:$A$81,$A67,guidance_agencies!$D$2:$D$81,"ESMA")</f>
        <v/>
      </c>
      <c r="AT67" s="3">
        <f>SUMIFS(secondary_acts!$S$2:$S$771,secondary_acts!$A$2:$A$771,$A67,secondary_acts!$E$2:$E$771,"implementing")+SUMIFS(secondary_acts!$S$2:$S$771,secondary_acts!$A$2:$A$771,$A67,secondary_acts!$E$2:$E$771,"delegated")</f>
        <v/>
      </c>
      <c r="AU67" s="3" t="n"/>
      <c r="AV67" s="2" t="n"/>
      <c r="AW67" s="2" t="n">
        <v>0</v>
      </c>
      <c r="AX67" s="2" t="n"/>
      <c r="AY67" s="2" t="n"/>
      <c r="AZ67" s="2" t="n">
        <v>2</v>
      </c>
      <c r="BA67" s="2" t="inlineStr">
        <is>
          <t>52021PC0223</t>
        </is>
      </c>
      <c r="BB67" s="2" t="inlineStr">
        <is>
          <t>EUR-Lex HTML</t>
        </is>
      </c>
      <c r="BC67" s="2" t="n">
        <v>13590</v>
      </c>
      <c r="BD67" s="2" t="n">
        <v>112</v>
      </c>
      <c r="BE67" s="2" t="n">
        <v>20</v>
      </c>
      <c r="BF67" s="2">
        <f>IF(ISNUMBER(BC67),R67-BC67,"")</f>
        <v/>
      </c>
      <c r="BG67" s="4">
        <f>IF(AND(ISNUMBER(BC67),BC67&gt;0),(R67-BC67)/BC67,"")</f>
        <v/>
      </c>
      <c r="BH67" s="2">
        <f>IF(ISNUMBER(BD67),Y67-BD67,"")</f>
        <v/>
      </c>
      <c r="BI67" s="4">
        <f>IF(AND(ISNUMBER(BD67),BD67&gt;0),(Y67-BD67)/BD67,"")</f>
        <v/>
      </c>
      <c r="BJ67" s="2">
        <f>IF(ISNUMBER(BE67),AE67-BE67,"")</f>
        <v/>
      </c>
      <c r="BK67" s="2" t="inlineStr">
        <is>
          <t>thin</t>
        </is>
      </c>
      <c r="BL67" s="2" t="inlineStr">
        <is>
          <t>thin: Commission enforcement statistics and self-assessed review only; no independent or causal study of effects on competition, investment or prices</t>
        </is>
      </c>
      <c r="BM67" s="2" t="inlineStr">
        <is>
          <t>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is>
      </c>
      <c r="BN67" s="2" t="n">
        <v>5</v>
      </c>
      <c r="BO67" s="2" t="n">
        <v>3</v>
      </c>
      <c r="BP67" s="2" t="n">
        <v>1</v>
      </c>
      <c r="BQ67" s="2" t="n">
        <v>0</v>
      </c>
      <c r="BR67" s="2" t="inlineStr"/>
    </row>
    <row r="68">
      <c r="A68" s="2" t="n">
        <v>67</v>
      </c>
      <c r="B68" s="2" t="inlineStr">
        <is>
          <t>General Product Safety Regulation</t>
        </is>
      </c>
      <c r="C68" s="2" t="inlineStr">
        <is>
          <t>Aims to ensure a high level of consumer protection while improving the functioning of the internal market. It sets essential safety rules for consumer products placed or made available on the market, both offline and online, where no more specific EU safety rules apply. It sets obligations for manufacturers, importers, distributors and online marketplaces, and provides for market surveillance and product recalls.</t>
        </is>
      </c>
      <c r="D68" s="2" t="inlineStr">
        <is>
          <t>Regulation (EU) 2023/988</t>
        </is>
      </c>
      <c r="E68" s="2" t="inlineStr">
        <is>
          <t>Trust &amp; Safety</t>
        </is>
      </c>
      <c r="F68" s="2" t="inlineStr">
        <is>
          <t>enacted</t>
        </is>
      </c>
      <c r="G68" s="2" t="inlineStr">
        <is>
          <t>2021-06-30</t>
        </is>
      </c>
      <c r="H68" s="2" t="inlineStr">
        <is>
          <t>high</t>
        </is>
      </c>
      <c r="I68" s="2" t="inlineStr">
        <is>
          <t>2023-05-10</t>
        </is>
      </c>
      <c r="J68" s="2" t="inlineStr">
        <is>
          <t>2023-05-23</t>
        </is>
      </c>
      <c r="K68" s="2" t="inlineStr">
        <is>
          <t>2023-06-12</t>
        </is>
      </c>
      <c r="L68" s="2" t="inlineStr">
        <is>
          <t>adopted</t>
        </is>
      </c>
      <c r="M68" s="2" t="inlineStr">
        <is>
          <t>adopted</t>
        </is>
      </c>
      <c r="N68" s="2" t="inlineStr">
        <is>
          <t>32023R0988</t>
        </is>
      </c>
      <c r="O68" s="2" t="inlineStr">
        <is>
          <t>Original act as published in the OJ</t>
        </is>
      </c>
      <c r="P68" s="2" t="inlineStr">
        <is>
          <t>https://eur-lex.europa.eu/legal-content/EN/TXT/?uri=CELEX:32023R0988</t>
        </is>
      </c>
      <c r="Q68" s="3" t="n">
        <v>51</v>
      </c>
      <c r="R68" s="3" t="n">
        <v>27494</v>
      </c>
      <c r="S68" s="3" t="n">
        <v>11555</v>
      </c>
      <c r="T68" s="3" t="n">
        <v>11402</v>
      </c>
      <c r="U68" s="3" t="n">
        <v>15446</v>
      </c>
      <c r="V68" s="3" t="n">
        <v>493</v>
      </c>
      <c r="W68" s="3" t="n">
        <v>0</v>
      </c>
      <c r="X68" s="3" t="n">
        <v>0</v>
      </c>
      <c r="Y68" s="3" t="n">
        <v>249</v>
      </c>
      <c r="Z68" s="3" t="n">
        <v>209</v>
      </c>
      <c r="AA68" s="3" t="n">
        <v>11</v>
      </c>
      <c r="AB68" s="3" t="n">
        <v>7</v>
      </c>
      <c r="AC68" s="3" t="n">
        <v>1</v>
      </c>
      <c r="AD68" s="3" t="n">
        <v>21</v>
      </c>
      <c r="AE68" s="3" t="n">
        <v>102</v>
      </c>
      <c r="AF68" s="3" t="n">
        <v>33</v>
      </c>
      <c r="AG68" s="3" t="n">
        <v>74</v>
      </c>
      <c r="AH68" s="3" t="n">
        <v>40</v>
      </c>
      <c r="AI68" s="2" t="inlineStr">
        <is>
          <t>02023R0988-20260529</t>
        </is>
      </c>
      <c r="AJ68" s="3" t="n">
        <v>248</v>
      </c>
      <c r="AK68" s="2" t="n">
        <v>102</v>
      </c>
      <c r="AL68" s="2">
        <f>COUNTIFS(secondary_acts!$A$2:$A$771,$A68,secondary_acts!$E$2:$E$771,"implementing")</f>
        <v/>
      </c>
      <c r="AM68" s="2">
        <f>COUNTIFS(secondary_acts!$A$2:$A$771,$A68,secondary_acts!$E$2:$E$771,"delegated")</f>
        <v/>
      </c>
      <c r="AN68" s="2">
        <f>COUNTIFS(secondary_acts!$A$2:$A$771,$A68,secondary_acts!$E$2:$E$771,"other Commission/Council act")</f>
        <v/>
      </c>
      <c r="AO68" s="2">
        <f>COUNTIFS(secondary_acts!$A$2:$A$771,$A68,secondary_acts!$E$2:$E$771,"guidance")</f>
        <v/>
      </c>
      <c r="AP68" s="2">
        <f>COUNTIF(guidance_web!$A$2:$A$7,$A68)</f>
        <v/>
      </c>
      <c r="AQ68" s="2">
        <f>COUNTIFS(guidance_agencies!$A$2:$A$81,$A68,guidance_agencies!$D$2:$D$81,"EDPB")</f>
        <v/>
      </c>
      <c r="AR68" s="2">
        <f>COUNTIFS(guidance_agencies!$A$2:$A$81,$A68,guidance_agencies!$D$2:$D$81,"EBA")</f>
        <v/>
      </c>
      <c r="AS68" s="2">
        <f>COUNTIFS(guidance_agencies!$A$2:$A$81,$A68,guidance_agencies!$D$2:$D$81,"ESMA")</f>
        <v/>
      </c>
      <c r="AT68" s="3">
        <f>SUMIFS(secondary_acts!$S$2:$S$771,secondary_acts!$A$2:$A$771,$A68,secondary_acts!$E$2:$E$771,"implementing")+SUMIFS(secondary_acts!$S$2:$S$771,secondary_acts!$A$2:$A$771,$A68,secondary_acts!$E$2:$E$771,"delegated")</f>
        <v/>
      </c>
      <c r="AU68" s="3" t="n"/>
      <c r="AV68" s="2" t="n"/>
      <c r="AW68" s="2" t="n">
        <v>1</v>
      </c>
      <c r="AX68" s="2" t="inlineStr">
        <is>
          <t>2024-10-09</t>
        </is>
      </c>
      <c r="AY68" s="2" t="inlineStr">
        <is>
          <t>2024-10-09</t>
        </is>
      </c>
      <c r="AZ68" s="2" t="n">
        <v>4</v>
      </c>
      <c r="BA68" s="2" t="inlineStr">
        <is>
          <t>52021PC0346</t>
        </is>
      </c>
      <c r="BB68" s="2" t="inlineStr">
        <is>
          <t>EUR-Lex HTML</t>
        </is>
      </c>
      <c r="BC68" s="2" t="n">
        <v>19646</v>
      </c>
      <c r="BD68" s="2" t="n">
        <v>198</v>
      </c>
      <c r="BE68" s="2" t="n">
        <v>83</v>
      </c>
      <c r="BF68" s="2">
        <f>IF(ISNUMBER(BC68),R68-BC68,"")</f>
        <v/>
      </c>
      <c r="BG68" s="4">
        <f>IF(AND(ISNUMBER(BC68),BC68&gt;0),(R68-BC68)/BC68,"")</f>
        <v/>
      </c>
      <c r="BH68" s="2">
        <f>IF(ISNUMBER(BD68),Y68-BD68,"")</f>
        <v/>
      </c>
      <c r="BI68" s="4">
        <f>IF(AND(ISNUMBER(BD68),BD68&gt;0),(Y68-BD68)/BD68,"")</f>
        <v/>
      </c>
      <c r="BJ68" s="2">
        <f>IF(ISNUMBER(BE68),AE68-BE68,"")</f>
        <v/>
      </c>
      <c r="BK68" s="2" t="inlineStr">
        <is>
          <t>thin</t>
        </is>
      </c>
      <c r="BL68" s="2" t="inlineStr">
        <is>
          <t>thin: forecasts plus enforcement activity counts and consumer-group tests; no evaluation of effects on injuries or consumer detriment</t>
        </is>
      </c>
      <c r="BM68" s="2" t="inlineStr">
        <is>
          <t>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is>
      </c>
      <c r="BN68" s="2" t="n">
        <v>4</v>
      </c>
      <c r="BO68" s="2" t="n">
        <v>1</v>
      </c>
      <c r="BP68" s="2" t="n">
        <v>4</v>
      </c>
      <c r="BQ68" s="2" t="n">
        <v>0</v>
      </c>
      <c r="BR68" s="2" t="inlineStr"/>
    </row>
    <row r="69">
      <c r="A69" s="2" t="n">
        <v>68</v>
      </c>
      <c r="B69" s="2" t="inlineStr">
        <is>
          <t>Anti-Money Laundering Regulation</t>
        </is>
      </c>
      <c r="C69" s="2" t="inlineStr">
        <is>
          <t>Aims to prevent the EU financial system from being used for money laundering and terrorist financing. It sets the measures that obliged entities, such as banks, other financial firms and certain professions, must apply, including checks on their customers. It also sets beneficial ownership transparency rules for companies, trusts and similar arrangements, and limits the use of anonymous instruments.</t>
        </is>
      </c>
      <c r="D69" s="2" t="inlineStr">
        <is>
          <t>Regulation (EU) 2024/1624</t>
        </is>
      </c>
      <c r="E69" s="2" t="inlineStr">
        <is>
          <t>Finance</t>
        </is>
      </c>
      <c r="F69" s="2" t="inlineStr">
        <is>
          <t>enacted</t>
        </is>
      </c>
      <c r="G69" s="2" t="inlineStr">
        <is>
          <t>2021-07-20</t>
        </is>
      </c>
      <c r="H69" s="2" t="inlineStr">
        <is>
          <t>high</t>
        </is>
      </c>
      <c r="I69" s="2" t="inlineStr">
        <is>
          <t>2024-05-31</t>
        </is>
      </c>
      <c r="J69" s="2" t="inlineStr">
        <is>
          <t>2024-06-19</t>
        </is>
      </c>
      <c r="K69" s="2" t="inlineStr">
        <is>
          <t>2024-07-09</t>
        </is>
      </c>
      <c r="L69" s="2" t="inlineStr">
        <is>
          <t>adopted</t>
        </is>
      </c>
      <c r="M69" s="2" t="inlineStr">
        <is>
          <t>adopted</t>
        </is>
      </c>
      <c r="N69" s="2" t="inlineStr">
        <is>
          <t>32024R1624</t>
        </is>
      </c>
      <c r="O69" s="2" t="inlineStr">
        <is>
          <t>Original act as published in the OJ</t>
        </is>
      </c>
      <c r="P69" s="2" t="inlineStr">
        <is>
          <t>https://eur-lex.europa.eu/legal-content/EN/TXT/?uri=CELEX:32024R1624</t>
        </is>
      </c>
      <c r="Q69" s="3" t="n">
        <v>111</v>
      </c>
      <c r="R69" s="3" t="n">
        <v>63417</v>
      </c>
      <c r="S69" s="3" t="n">
        <v>25391</v>
      </c>
      <c r="T69" s="3" t="n">
        <v>25257</v>
      </c>
      <c r="U69" s="3" t="n">
        <v>35314</v>
      </c>
      <c r="V69" s="3" t="n">
        <v>2712</v>
      </c>
      <c r="W69" s="3" t="n">
        <v>0</v>
      </c>
      <c r="X69" s="3" t="n">
        <v>0</v>
      </c>
      <c r="Y69" s="3" t="n">
        <v>467</v>
      </c>
      <c r="Z69" s="3" t="n">
        <v>408</v>
      </c>
      <c r="AA69" s="3" t="n">
        <v>26</v>
      </c>
      <c r="AB69" s="3" t="n">
        <v>8</v>
      </c>
      <c r="AC69" s="3" t="n">
        <v>4</v>
      </c>
      <c r="AD69" s="3" t="n">
        <v>21</v>
      </c>
      <c r="AE69" s="3" t="n">
        <v>234</v>
      </c>
      <c r="AF69" s="3" t="n">
        <v>48</v>
      </c>
      <c r="AG69" s="3" t="n">
        <v>87</v>
      </c>
      <c r="AH69" s="3" t="n">
        <v>98</v>
      </c>
      <c r="AI69" s="2" t="inlineStr">
        <is>
          <t>02024R1624-20240619</t>
        </is>
      </c>
      <c r="AJ69" s="3" t="n">
        <v>467</v>
      </c>
      <c r="AK69" s="2" t="n">
        <v>234</v>
      </c>
      <c r="AL69" s="2">
        <f>COUNTIFS(secondary_acts!$A$2:$A$771,$A69,secondary_acts!$E$2:$E$771,"implementing")</f>
        <v/>
      </c>
      <c r="AM69" s="2">
        <f>COUNTIFS(secondary_acts!$A$2:$A$771,$A69,secondary_acts!$E$2:$E$771,"delegated")</f>
        <v/>
      </c>
      <c r="AN69" s="2">
        <f>COUNTIFS(secondary_acts!$A$2:$A$771,$A69,secondary_acts!$E$2:$E$771,"other Commission/Council act")</f>
        <v/>
      </c>
      <c r="AO69" s="2">
        <f>COUNTIFS(secondary_acts!$A$2:$A$771,$A69,secondary_acts!$E$2:$E$771,"guidance")</f>
        <v/>
      </c>
      <c r="AP69" s="2">
        <f>COUNTIF(guidance_web!$A$2:$A$7,$A69)</f>
        <v/>
      </c>
      <c r="AQ69" s="2">
        <f>COUNTIFS(guidance_agencies!$A$2:$A$81,$A69,guidance_agencies!$D$2:$D$81,"EDPB")</f>
        <v/>
      </c>
      <c r="AR69" s="2">
        <f>COUNTIFS(guidance_agencies!$A$2:$A$81,$A69,guidance_agencies!$D$2:$D$81,"EBA")</f>
        <v/>
      </c>
      <c r="AS69" s="2">
        <f>COUNTIFS(guidance_agencies!$A$2:$A$81,$A69,guidance_agencies!$D$2:$D$81,"ESMA")</f>
        <v/>
      </c>
      <c r="AT69" s="3">
        <f>SUMIFS(secondary_acts!$S$2:$S$771,secondary_acts!$A$2:$A$771,$A69,secondary_acts!$E$2:$E$771,"implementing")+SUMIFS(secondary_acts!$S$2:$S$771,secondary_acts!$A$2:$A$771,$A69,secondary_acts!$E$2:$E$771,"delegated")</f>
        <v/>
      </c>
      <c r="AU69" s="3" t="n"/>
      <c r="AV69" s="2" t="n"/>
      <c r="AW69" s="2" t="n">
        <v>0</v>
      </c>
      <c r="AX69" s="2" t="n"/>
      <c r="AY69" s="2" t="n"/>
      <c r="AZ69" s="2" t="n">
        <v>4</v>
      </c>
      <c r="BA69" s="2" t="inlineStr">
        <is>
          <t>52021PC0420</t>
        </is>
      </c>
      <c r="BB69" s="2" t="inlineStr">
        <is>
          <t>EUR-Lex HTML</t>
        </is>
      </c>
      <c r="BC69" s="2" t="n">
        <v>33016</v>
      </c>
      <c r="BD69" s="2" t="n">
        <v>264</v>
      </c>
      <c r="BE69" s="2" t="n">
        <v>129</v>
      </c>
      <c r="BF69" s="2">
        <f>IF(ISNUMBER(BC69),R69-BC69,"")</f>
        <v/>
      </c>
      <c r="BG69" s="4">
        <f>IF(AND(ISNUMBER(BC69),BC69&gt;0),(R69-BC69)/BC69,"")</f>
        <v/>
      </c>
      <c r="BH69" s="2">
        <f>IF(ISNUMBER(BD69),Y69-BD69,"")</f>
        <v/>
      </c>
      <c r="BI69" s="4">
        <f>IF(AND(ISNUMBER(BD69),BD69&gt;0),(Y69-BD69)/BD69,"")</f>
        <v/>
      </c>
      <c r="BJ69" s="2">
        <f>IF(ISNUMBER(BE69),AE69-BE69,"")</f>
        <v/>
      </c>
      <c r="BK69" s="2" t="inlineStr">
        <is>
          <t>thin</t>
        </is>
      </c>
      <c r="BL69" s="2" t="inlineStr">
        <is>
          <t>thin: not yet applicable (from July 2027); no evaluation; general literature sceptical of AML effectiveness and documents unintended costs (de-risking, credit)</t>
        </is>
      </c>
      <c r="BM69" s="2" t="inlineStr">
        <is>
          <t>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is>
      </c>
      <c r="BN69" s="2" t="n">
        <v>5</v>
      </c>
      <c r="BO69" s="2" t="n">
        <v>0</v>
      </c>
      <c r="BP69" s="2" t="n">
        <v>8</v>
      </c>
      <c r="BQ69" s="2" t="n">
        <v>2</v>
      </c>
      <c r="BR69" s="2" t="inlineStr">
        <is>
          <t>no consolidated text with amendments in EUR-Lex; consolidated count = original</t>
        </is>
      </c>
    </row>
    <row r="70">
      <c r="A70" s="2" t="n">
        <v>69</v>
      </c>
      <c r="B70" s="2" t="inlineStr">
        <is>
          <t>Vertical Block Exemption Regulation</t>
        </is>
      </c>
      <c r="C70" s="2" t="inlineStr">
        <is>
          <t>Exempts certain agreements between companies at different levels of the production or distribution chain, such as suppliers and distributors, from the EU ban on anti-competitive agreements. The exemption applies where the market shares of supplier and buyer each do not exceed 30%, and excludes agreements containing listed serious restrictions. It also covers online intermediation services and applies until 31 May 2034.</t>
        </is>
      </c>
      <c r="D70" s="2" t="inlineStr">
        <is>
          <t>Regulation (EU) 2022/720</t>
        </is>
      </c>
      <c r="E70" s="2" t="inlineStr">
        <is>
          <t>Competition &amp; Single Market</t>
        </is>
      </c>
      <c r="F70" s="2" t="inlineStr">
        <is>
          <t>enacted</t>
        </is>
      </c>
      <c r="G70" s="2" t="inlineStr">
        <is>
          <t>2021-07-09</t>
        </is>
      </c>
      <c r="H70" s="2" t="inlineStr">
        <is>
          <t>low</t>
        </is>
      </c>
      <c r="I70" s="2" t="inlineStr">
        <is>
          <t>2022-05-10</t>
        </is>
      </c>
      <c r="J70" s="2" t="inlineStr">
        <is>
          <t>2022-05-11</t>
        </is>
      </c>
      <c r="K70" s="2" t="inlineStr">
        <is>
          <t>2022-06-01</t>
        </is>
      </c>
      <c r="L70" s="2" t="inlineStr">
        <is>
          <t>adopted</t>
        </is>
      </c>
      <c r="M70" s="2" t="inlineStr">
        <is>
          <t>adopted</t>
        </is>
      </c>
      <c r="N70" s="2" t="inlineStr">
        <is>
          <t>32022R0720</t>
        </is>
      </c>
      <c r="O70" s="2" t="inlineStr">
        <is>
          <t>Original act as published in the OJ</t>
        </is>
      </c>
      <c r="P70" s="2" t="inlineStr">
        <is>
          <t>https://eur-lex.europa.eu/legal-content/EN/TXT/?uri=CELEX:32022R0720</t>
        </is>
      </c>
      <c r="Q70" s="3" t="n">
        <v>10</v>
      </c>
      <c r="R70" s="3" t="n">
        <v>5548</v>
      </c>
      <c r="S70" s="3" t="n">
        <v>1985</v>
      </c>
      <c r="T70" s="3" t="n">
        <v>1860</v>
      </c>
      <c r="U70" s="3" t="n">
        <v>3563</v>
      </c>
      <c r="V70" s="3" t="n">
        <v>0</v>
      </c>
      <c r="W70" s="3" t="n">
        <v>0</v>
      </c>
      <c r="X70" s="3" t="n">
        <v>0</v>
      </c>
      <c r="Y70" s="3" t="n">
        <v>4</v>
      </c>
      <c r="Z70" s="3" t="n">
        <v>3</v>
      </c>
      <c r="AA70" s="3" t="n">
        <v>1</v>
      </c>
      <c r="AB70" s="3" t="n">
        <v>0</v>
      </c>
      <c r="AC70" s="3" t="n">
        <v>0</v>
      </c>
      <c r="AD70" s="3" t="n">
        <v>0</v>
      </c>
      <c r="AE70" s="3" t="n">
        <v>1</v>
      </c>
      <c r="AF70" s="3" t="n">
        <v>0</v>
      </c>
      <c r="AG70" s="3" t="n">
        <v>0</v>
      </c>
      <c r="AH70" s="3" t="n">
        <v>3</v>
      </c>
      <c r="AI70" s="2" t="inlineStr">
        <is>
          <t>02022R0720-20220511</t>
        </is>
      </c>
      <c r="AJ70" s="3" t="n">
        <v>4</v>
      </c>
      <c r="AK70" s="2" t="n">
        <v>1</v>
      </c>
      <c r="AL70" s="2">
        <f>COUNTIFS(secondary_acts!$A$2:$A$771,$A70,secondary_acts!$E$2:$E$771,"implementing")</f>
        <v/>
      </c>
      <c r="AM70" s="2">
        <f>COUNTIFS(secondary_acts!$A$2:$A$771,$A70,secondary_acts!$E$2:$E$771,"delegated")</f>
        <v/>
      </c>
      <c r="AN70" s="2">
        <f>COUNTIFS(secondary_acts!$A$2:$A$771,$A70,secondary_acts!$E$2:$E$771,"other Commission/Council act")</f>
        <v/>
      </c>
      <c r="AO70" s="2">
        <f>COUNTIFS(secondary_acts!$A$2:$A$771,$A70,secondary_acts!$E$2:$E$771,"guidance")</f>
        <v/>
      </c>
      <c r="AP70" s="2">
        <f>COUNTIF(guidance_web!$A$2:$A$7,$A70)</f>
        <v/>
      </c>
      <c r="AQ70" s="2">
        <f>COUNTIFS(guidance_agencies!$A$2:$A$81,$A70,guidance_agencies!$D$2:$D$81,"EDPB")</f>
        <v/>
      </c>
      <c r="AR70" s="2">
        <f>COUNTIFS(guidance_agencies!$A$2:$A$81,$A70,guidance_agencies!$D$2:$D$81,"EBA")</f>
        <v/>
      </c>
      <c r="AS70" s="2">
        <f>COUNTIFS(guidance_agencies!$A$2:$A$81,$A70,guidance_agencies!$D$2:$D$81,"ESMA")</f>
        <v/>
      </c>
      <c r="AT70" s="3">
        <f>SUMIFS(secondary_acts!$S$2:$S$771,secondary_acts!$A$2:$A$771,$A70,secondary_acts!$E$2:$E$771,"implementing")+SUMIFS(secondary_acts!$S$2:$S$771,secondary_acts!$A$2:$A$771,$A70,secondary_acts!$E$2:$E$771,"delegated")</f>
        <v/>
      </c>
      <c r="AU70" s="3" t="n"/>
      <c r="AV70" s="2" t="n"/>
      <c r="AW70" s="2" t="n">
        <v>1</v>
      </c>
      <c r="AX70" s="2" t="inlineStr">
        <is>
          <t>2024-01-19</t>
        </is>
      </c>
      <c r="AY70" s="2" t="inlineStr">
        <is>
          <t>2024-01-19</t>
        </is>
      </c>
      <c r="AZ70" s="2" t="n">
        <v>1</v>
      </c>
      <c r="BA70" s="2" t="n"/>
      <c r="BB70" s="2" t="inlineStr">
        <is>
          <t>no legislative proposal (Commission act)</t>
        </is>
      </c>
      <c r="BC70" s="2" t="n"/>
      <c r="BD70" s="2" t="n"/>
      <c r="BE70" s="2" t="n"/>
      <c r="BF70" s="2">
        <f>IF(ISNUMBER(BC70),R70-BC70,"")</f>
        <v/>
      </c>
      <c r="BG70" s="4">
        <f>IF(AND(ISNUMBER(BC70),BC70&gt;0),(R70-BC70)/BC70,"")</f>
        <v/>
      </c>
      <c r="BH70" s="2">
        <f>IF(ISNUMBER(BD70),Y70-BD70,"")</f>
        <v/>
      </c>
      <c r="BI70" s="4">
        <f>IF(AND(ISNUMBER(BD70),BD70&gt;0),(Y70-BD70)/BD70,"")</f>
        <v/>
      </c>
      <c r="BJ70" s="2">
        <f>IF(ISNUMBER(BE70),AE70-BE70,"")</f>
        <v/>
      </c>
      <c r="BK70" s="2" t="inlineStr">
        <is>
          <t>thin</t>
        </is>
      </c>
      <c r="BL70" s="2" t="inlineStr">
        <is>
          <t>thin: no evaluation of the 2022 rules yet; causal evidence exists only for related national bans on hotel price-parity clauses</t>
        </is>
      </c>
      <c r="BM70" s="2" t="inlineStr">
        <is>
          <t>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is>
      </c>
      <c r="BN70" s="2" t="n">
        <v>3</v>
      </c>
      <c r="BO70" s="2" t="n">
        <v>0</v>
      </c>
      <c r="BP70" s="2" t="n">
        <v>7</v>
      </c>
      <c r="BQ70" s="2" t="n">
        <v>5</v>
      </c>
      <c r="BR70" s="2" t="inlineStr">
        <is>
          <t>Block exemption: defines a safe harbour ('the exemption shall not apply to...'), so few direct restrictions are counted; no consolidated text with amendments in EUR-Lex; consolidated count = original</t>
        </is>
      </c>
    </row>
    <row r="71">
      <c r="A71" s="2" t="n">
        <v>70</v>
      </c>
      <c r="B71" s="2" t="inlineStr">
        <is>
          <t>Digital Decade Policy Programme Decision</t>
        </is>
      </c>
      <c r="C71" s="2" t="inlineStr">
        <is>
          <t>Establishes the Digital Decade Policy Programme 2030 to set a clear direction for the EU's digital transformation. It sets EU-level digital targets for 2030 on skills, infrastructure, business digitalisation and public services, measured by indicators. It creates a monitoring and cooperation mechanism between the Commission and Member States, including national roadmaps and annual reports, and a framework for multi-country projects.</t>
        </is>
      </c>
      <c r="D71" s="2" t="inlineStr">
        <is>
          <t>Decision (EU) 2022/2481</t>
        </is>
      </c>
      <c r="E71" s="2" t="inlineStr">
        <is>
          <t>Industrial Policy</t>
        </is>
      </c>
      <c r="F71" s="2" t="inlineStr">
        <is>
          <t>enacted</t>
        </is>
      </c>
      <c r="G71" s="2" t="inlineStr">
        <is>
          <t>2021-09-15</t>
        </is>
      </c>
      <c r="H71" s="2" t="inlineStr">
        <is>
          <t>high</t>
        </is>
      </c>
      <c r="I71" s="2" t="inlineStr">
        <is>
          <t>2022-12-14</t>
        </is>
      </c>
      <c r="J71" s="2" t="inlineStr">
        <is>
          <t>2022-12-19</t>
        </is>
      </c>
      <c r="K71" s="2" t="inlineStr">
        <is>
          <t>2023-01-08</t>
        </is>
      </c>
      <c r="L71" s="2" t="inlineStr">
        <is>
          <t>adopted</t>
        </is>
      </c>
      <c r="M71" s="2" t="inlineStr">
        <is>
          <t>adopted</t>
        </is>
      </c>
      <c r="N71" s="2" t="inlineStr">
        <is>
          <t>32022D2481</t>
        </is>
      </c>
      <c r="O71" s="2" t="inlineStr">
        <is>
          <t>Original act as published in the OJ</t>
        </is>
      </c>
      <c r="P71" s="2" t="inlineStr">
        <is>
          <t>https://eur-lex.europa.eu/legal-content/EN/TXT/?uri=CELEX:32022D2481</t>
        </is>
      </c>
      <c r="Q71" s="3" t="n">
        <v>23</v>
      </c>
      <c r="R71" s="3" t="n">
        <v>12229</v>
      </c>
      <c r="S71" s="3" t="n">
        <v>5675</v>
      </c>
      <c r="T71" s="3" t="n">
        <v>5557</v>
      </c>
      <c r="U71" s="3" t="n">
        <v>6391</v>
      </c>
      <c r="V71" s="3" t="n">
        <v>163</v>
      </c>
      <c r="W71" s="3" t="n">
        <v>0</v>
      </c>
      <c r="X71" s="3" t="n">
        <v>0</v>
      </c>
      <c r="Y71" s="3" t="n">
        <v>114</v>
      </c>
      <c r="Z71" s="3" t="n">
        <v>110</v>
      </c>
      <c r="AA71" s="3" t="n">
        <v>2</v>
      </c>
      <c r="AB71" s="3" t="n">
        <v>0</v>
      </c>
      <c r="AC71" s="3" t="n">
        <v>1</v>
      </c>
      <c r="AD71" s="3" t="n">
        <v>1</v>
      </c>
      <c r="AE71" s="3" t="n">
        <v>0</v>
      </c>
      <c r="AF71" s="3" t="n">
        <v>20</v>
      </c>
      <c r="AG71" s="3" t="n">
        <v>50</v>
      </c>
      <c r="AH71" s="3" t="n">
        <v>44</v>
      </c>
      <c r="AI71" s="2" t="n"/>
      <c r="AJ71" s="3" t="n"/>
      <c r="AK71" s="2" t="n"/>
      <c r="AL71" s="2">
        <f>COUNTIFS(secondary_acts!$A$2:$A$771,$A71,secondary_acts!$E$2:$E$771,"implementing")</f>
        <v/>
      </c>
      <c r="AM71" s="2">
        <f>COUNTIFS(secondary_acts!$A$2:$A$771,$A71,secondary_acts!$E$2:$E$771,"delegated")</f>
        <v/>
      </c>
      <c r="AN71" s="2">
        <f>COUNTIFS(secondary_acts!$A$2:$A$771,$A71,secondary_acts!$E$2:$E$771,"other Commission/Council act")</f>
        <v/>
      </c>
      <c r="AO71" s="2">
        <f>COUNTIFS(secondary_acts!$A$2:$A$771,$A71,secondary_acts!$E$2:$E$771,"guidance")</f>
        <v/>
      </c>
      <c r="AP71" s="2">
        <f>COUNTIF(guidance_web!$A$2:$A$7,$A71)</f>
        <v/>
      </c>
      <c r="AQ71" s="2">
        <f>COUNTIFS(guidance_agencies!$A$2:$A$81,$A71,guidance_agencies!$D$2:$D$81,"EDPB")</f>
        <v/>
      </c>
      <c r="AR71" s="2">
        <f>COUNTIFS(guidance_agencies!$A$2:$A$81,$A71,guidance_agencies!$D$2:$D$81,"EBA")</f>
        <v/>
      </c>
      <c r="AS71" s="2">
        <f>COUNTIFS(guidance_agencies!$A$2:$A$81,$A71,guidance_agencies!$D$2:$D$81,"ESMA")</f>
        <v/>
      </c>
      <c r="AT71" s="3">
        <f>SUMIFS(secondary_acts!$S$2:$S$771,secondary_acts!$A$2:$A$771,$A71,secondary_acts!$E$2:$E$771,"implementing")+SUMIFS(secondary_acts!$S$2:$S$771,secondary_acts!$A$2:$A$771,$A71,secondary_acts!$E$2:$E$771,"delegated")</f>
        <v/>
      </c>
      <c r="AU71" s="3" t="n"/>
      <c r="AV71" s="2" t="n"/>
      <c r="AW71" s="2" t="n">
        <v>0</v>
      </c>
      <c r="AX71" s="2" t="n"/>
      <c r="AY71" s="2" t="n"/>
      <c r="AZ71" s="2" t="n">
        <v>0</v>
      </c>
      <c r="BA71" s="2" t="inlineStr">
        <is>
          <t>52021PC0574</t>
        </is>
      </c>
      <c r="BB71" s="2" t="inlineStr">
        <is>
          <t>EUR-Lex HTML</t>
        </is>
      </c>
      <c r="BC71" s="2" t="n">
        <v>8794</v>
      </c>
      <c r="BD71" s="2" t="n">
        <v>90</v>
      </c>
      <c r="BE71" s="2" t="n">
        <v>1</v>
      </c>
      <c r="BF71" s="2">
        <f>IF(ISNUMBER(BC71),R71-BC71,"")</f>
        <v/>
      </c>
      <c r="BG71" s="4">
        <f>IF(AND(ISNUMBER(BC71),BC71&gt;0),(R71-BC71)/BC71,"")</f>
        <v/>
      </c>
      <c r="BH71" s="2">
        <f>IF(ISNUMBER(BD71),Y71-BD71,"")</f>
        <v/>
      </c>
      <c r="BI71" s="4">
        <f>IF(AND(ISNUMBER(BD71),BD71&gt;0),(Y71-BD71)/BD71,"")</f>
        <v/>
      </c>
      <c r="BJ71" s="2">
        <f>IF(ISNUMBER(BE71),AE71-BE71,"")</f>
        <v/>
      </c>
      <c r="BK71" s="2" t="inlineStr">
        <is>
          <t>thin</t>
        </is>
      </c>
      <c r="BL71" s="2" t="inlineStr">
        <is>
          <t>thin: annual Commission KPI tracking plus an independent assessment finding the EU off track on all targets; no assessment of whether the Decision changed outcomes</t>
        </is>
      </c>
      <c r="BM71" s="2" t="inlineStr">
        <is>
          <t>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is>
      </c>
      <c r="BN71" s="2" t="n">
        <v>6</v>
      </c>
      <c r="BO71" s="2" t="n">
        <v>6</v>
      </c>
      <c r="BP71" s="2" t="n">
        <v>3</v>
      </c>
      <c r="BQ71" s="2" t="n">
        <v>0</v>
      </c>
      <c r="BR71" s="2" t="inlineStr"/>
    </row>
    <row r="72">
      <c r="A72" s="2" t="n">
        <v>71</v>
      </c>
      <c r="B72" s="2" t="inlineStr">
        <is>
          <t>Political Advertising Regulation</t>
        </is>
      </c>
      <c r="C72" s="2" t="inlineStr">
        <is>
          <t>Aims to support the internal market for political advertising while protecting fundamental rights, including privacy and data protection. It requires political advertisements to be labelled and accompanied by information on who paid for them and related transparency duties for advertising service providers. It restricts the use of targeting and ad-delivery techniques based on personal data in online political advertising and sets up supervision and enforcement.</t>
        </is>
      </c>
      <c r="D72" s="2" t="inlineStr">
        <is>
          <t>Regulation (EU) 2024/900</t>
        </is>
      </c>
      <c r="E72" s="2" t="inlineStr">
        <is>
          <t>E-commerce &amp; Consumer Protection</t>
        </is>
      </c>
      <c r="F72" s="2" t="inlineStr">
        <is>
          <t>enacted</t>
        </is>
      </c>
      <c r="G72" s="2" t="inlineStr">
        <is>
          <t>2021-11-25</t>
        </is>
      </c>
      <c r="H72" s="2" t="inlineStr">
        <is>
          <t>high</t>
        </is>
      </c>
      <c r="I72" s="2" t="inlineStr">
        <is>
          <t>2024-03-13</t>
        </is>
      </c>
      <c r="J72" s="2" t="inlineStr">
        <is>
          <t>2024-03-20</t>
        </is>
      </c>
      <c r="K72" s="2" t="inlineStr">
        <is>
          <t>2024-04-09</t>
        </is>
      </c>
      <c r="L72" s="2" t="inlineStr">
        <is>
          <t>adopted</t>
        </is>
      </c>
      <c r="M72" s="2" t="inlineStr">
        <is>
          <t>adopted</t>
        </is>
      </c>
      <c r="N72" s="2" t="inlineStr">
        <is>
          <t>32024R0900</t>
        </is>
      </c>
      <c r="O72" s="2" t="inlineStr">
        <is>
          <t>Original act as published in the OJ</t>
        </is>
      </c>
      <c r="P72" s="2" t="inlineStr">
        <is>
          <t>https://eur-lex.europa.eu/legal-content/EN/TXT/?uri=CELEX:32024R0900</t>
        </is>
      </c>
      <c r="Q72" s="3" t="n">
        <v>44</v>
      </c>
      <c r="R72" s="3" t="n">
        <v>25259</v>
      </c>
      <c r="S72" s="3" t="n">
        <v>14100</v>
      </c>
      <c r="T72" s="3" t="n">
        <v>13974</v>
      </c>
      <c r="U72" s="3" t="n">
        <v>11159</v>
      </c>
      <c r="V72" s="3" t="n">
        <v>0</v>
      </c>
      <c r="W72" s="3" t="n">
        <v>0</v>
      </c>
      <c r="X72" s="3" t="n">
        <v>0</v>
      </c>
      <c r="Y72" s="3" t="n">
        <v>187</v>
      </c>
      <c r="Z72" s="3" t="n">
        <v>157</v>
      </c>
      <c r="AA72" s="3" t="n">
        <v>9</v>
      </c>
      <c r="AB72" s="3" t="n">
        <v>1</v>
      </c>
      <c r="AC72" s="3" t="n">
        <v>0</v>
      </c>
      <c r="AD72" s="3" t="n">
        <v>20</v>
      </c>
      <c r="AE72" s="3" t="n">
        <v>77</v>
      </c>
      <c r="AF72" s="3" t="n">
        <v>44</v>
      </c>
      <c r="AG72" s="3" t="n">
        <v>23</v>
      </c>
      <c r="AH72" s="3" t="n">
        <v>43</v>
      </c>
      <c r="AI72" s="2" t="inlineStr">
        <is>
          <t>02024R0900-20240320</t>
        </is>
      </c>
      <c r="AJ72" s="3" t="n">
        <v>187</v>
      </c>
      <c r="AK72" s="2" t="n">
        <v>77</v>
      </c>
      <c r="AL72" s="2">
        <f>COUNTIFS(secondary_acts!$A$2:$A$771,$A72,secondary_acts!$E$2:$E$771,"implementing")</f>
        <v/>
      </c>
      <c r="AM72" s="2">
        <f>COUNTIFS(secondary_acts!$A$2:$A$771,$A72,secondary_acts!$E$2:$E$771,"delegated")</f>
        <v/>
      </c>
      <c r="AN72" s="2">
        <f>COUNTIFS(secondary_acts!$A$2:$A$771,$A72,secondary_acts!$E$2:$E$771,"other Commission/Council act")</f>
        <v/>
      </c>
      <c r="AO72" s="2">
        <f>COUNTIFS(secondary_acts!$A$2:$A$771,$A72,secondary_acts!$E$2:$E$771,"guidance")</f>
        <v/>
      </c>
      <c r="AP72" s="2">
        <f>COUNTIF(guidance_web!$A$2:$A$7,$A72)</f>
        <v/>
      </c>
      <c r="AQ72" s="2">
        <f>COUNTIFS(guidance_agencies!$A$2:$A$81,$A72,guidance_agencies!$D$2:$D$81,"EDPB")</f>
        <v/>
      </c>
      <c r="AR72" s="2">
        <f>COUNTIFS(guidance_agencies!$A$2:$A$81,$A72,guidance_agencies!$D$2:$D$81,"EBA")</f>
        <v/>
      </c>
      <c r="AS72" s="2">
        <f>COUNTIFS(guidance_agencies!$A$2:$A$81,$A72,guidance_agencies!$D$2:$D$81,"ESMA")</f>
        <v/>
      </c>
      <c r="AT72" s="3">
        <f>SUMIFS(secondary_acts!$S$2:$S$771,secondary_acts!$A$2:$A$771,$A72,secondary_acts!$E$2:$E$771,"implementing")+SUMIFS(secondary_acts!$S$2:$S$771,secondary_acts!$A$2:$A$771,$A72,secondary_acts!$E$2:$E$771,"delegated")</f>
        <v/>
      </c>
      <c r="AU72" s="3" t="n"/>
      <c r="AV72" s="2" t="n"/>
      <c r="AW72" s="2" t="n">
        <v>0</v>
      </c>
      <c r="AX72" s="2" t="n"/>
      <c r="AY72" s="2" t="n"/>
      <c r="AZ72" s="2" t="n">
        <v>1</v>
      </c>
      <c r="BA72" s="2" t="inlineStr">
        <is>
          <t>52021PC0731</t>
        </is>
      </c>
      <c r="BB72" s="2" t="inlineStr">
        <is>
          <t>EUR-Lex HTML</t>
        </is>
      </c>
      <c r="BC72" s="2" t="n">
        <v>12473</v>
      </c>
      <c r="BD72" s="2" t="n">
        <v>86</v>
      </c>
      <c r="BE72" s="2" t="n">
        <v>31</v>
      </c>
      <c r="BF72" s="2">
        <f>IF(ISNUMBER(BC72),R72-BC72,"")</f>
        <v/>
      </c>
      <c r="BG72" s="4">
        <f>IF(AND(ISNUMBER(BC72),BC72&gt;0),(R72-BC72)/BC72,"")</f>
        <v/>
      </c>
      <c r="BH72" s="2">
        <f>IF(ISNUMBER(BD72),Y72-BD72,"")</f>
        <v/>
      </c>
      <c r="BI72" s="4">
        <f>IF(AND(ISNUMBER(BD72),BD72&gt;0),(Y72-BD72)/BD72,"")</f>
        <v/>
      </c>
      <c r="BJ72" s="2">
        <f>IF(ISNUMBER(BE72),AE72-BE72,"")</f>
        <v/>
      </c>
      <c r="BK72" s="2" t="inlineStr">
        <is>
          <t>thin</t>
        </is>
      </c>
      <c r="BL72" s="2" t="inlineStr">
        <is>
          <t>thin: early monitoring since the rules applied in October 2025 (undeclared and mislabelled political ads on Meta and Google, platform withdrawals from political advertising); no systematic measurement</t>
        </is>
      </c>
      <c r="BM72" s="2" t="inlineStr">
        <is>
          <t>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is>
      </c>
      <c r="BN72" s="2" t="n">
        <v>3</v>
      </c>
      <c r="BO72" s="2" t="n">
        <v>1</v>
      </c>
      <c r="BP72" s="2" t="n">
        <v>6</v>
      </c>
      <c r="BQ72" s="2" t="n">
        <v>0</v>
      </c>
      <c r="BR72" s="2" t="inlineStr">
        <is>
          <t>no consolidated text with amendments in EUR-Lex; consolidated count = original</t>
        </is>
      </c>
    </row>
    <row r="73">
      <c r="A73" s="2" t="n">
        <v>72</v>
      </c>
      <c r="B73" s="2" t="inlineStr">
        <is>
          <t>Digitalisation of judicial cooperation Regulation</t>
        </is>
      </c>
      <c r="C73" s="2" t="inlineStr">
        <is>
          <t>Creates a uniform legal framework for electronic communication between courts and other competent authorities in cross-border judicial cooperation in civil, commercial and criminal matters. It also allows people and businesses to communicate electronically with authorities in cross-border civil and commercial cases. It sets rules on hearings by videoconference, electronic signatures and seals, the legal effect of electronic documents and electronic payment of fees.</t>
        </is>
      </c>
      <c r="D73" s="2" t="inlineStr">
        <is>
          <t>Regulation (EU) 2023/2844</t>
        </is>
      </c>
      <c r="E73" s="2" t="inlineStr">
        <is>
          <t>Law Enforcement</t>
        </is>
      </c>
      <c r="F73" s="2" t="inlineStr">
        <is>
          <t>enacted</t>
        </is>
      </c>
      <c r="G73" s="2" t="inlineStr">
        <is>
          <t>2021-12-01</t>
        </is>
      </c>
      <c r="H73" s="2" t="inlineStr">
        <is>
          <t>high</t>
        </is>
      </c>
      <c r="I73" s="2" t="inlineStr">
        <is>
          <t>2023-12-13</t>
        </is>
      </c>
      <c r="J73" s="2" t="inlineStr">
        <is>
          <t>2023-12-27</t>
        </is>
      </c>
      <c r="K73" s="2" t="inlineStr">
        <is>
          <t>2024-01-16</t>
        </is>
      </c>
      <c r="L73" s="2" t="inlineStr">
        <is>
          <t>adopted</t>
        </is>
      </c>
      <c r="M73" s="2" t="inlineStr">
        <is>
          <t>adopted</t>
        </is>
      </c>
      <c r="N73" s="2" t="inlineStr">
        <is>
          <t>32023R2844</t>
        </is>
      </c>
      <c r="O73" s="2" t="inlineStr">
        <is>
          <t>Original act as published in the OJ</t>
        </is>
      </c>
      <c r="P73" s="2" t="inlineStr">
        <is>
          <t>https://eur-lex.europa.eu/legal-content/EN/TXT/?uri=CELEX:32023R2844</t>
        </is>
      </c>
      <c r="Q73" s="3" t="n">
        <v>29</v>
      </c>
      <c r="R73" s="3" t="n">
        <v>15400</v>
      </c>
      <c r="S73" s="3" t="n">
        <v>5996</v>
      </c>
      <c r="T73" s="3" t="n">
        <v>5858</v>
      </c>
      <c r="U73" s="3" t="n">
        <v>8635</v>
      </c>
      <c r="V73" s="3" t="n">
        <v>769</v>
      </c>
      <c r="W73" s="3" t="n">
        <v>0</v>
      </c>
      <c r="X73" s="3" t="n">
        <v>0</v>
      </c>
      <c r="Y73" s="3" t="n">
        <v>135</v>
      </c>
      <c r="Z73" s="3" t="n">
        <v>121</v>
      </c>
      <c r="AA73" s="3" t="n">
        <v>4</v>
      </c>
      <c r="AB73" s="3" t="n">
        <v>0</v>
      </c>
      <c r="AC73" s="3" t="n">
        <v>1</v>
      </c>
      <c r="AD73" s="3" t="n">
        <v>9</v>
      </c>
      <c r="AE73" s="3" t="n">
        <v>9</v>
      </c>
      <c r="AF73" s="3" t="n">
        <v>63</v>
      </c>
      <c r="AG73" s="3" t="n">
        <v>25</v>
      </c>
      <c r="AH73" s="3" t="n">
        <v>38</v>
      </c>
      <c r="AI73" s="2" t="inlineStr">
        <is>
          <t>02023R2844-20231227</t>
        </is>
      </c>
      <c r="AJ73" s="3" t="n">
        <v>125</v>
      </c>
      <c r="AK73" s="2" t="n">
        <v>9</v>
      </c>
      <c r="AL73" s="2">
        <f>COUNTIFS(secondary_acts!$A$2:$A$771,$A73,secondary_acts!$E$2:$E$771,"implementing")</f>
        <v/>
      </c>
      <c r="AM73" s="2">
        <f>COUNTIFS(secondary_acts!$A$2:$A$771,$A73,secondary_acts!$E$2:$E$771,"delegated")</f>
        <v/>
      </c>
      <c r="AN73" s="2">
        <f>COUNTIFS(secondary_acts!$A$2:$A$771,$A73,secondary_acts!$E$2:$E$771,"other Commission/Council act")</f>
        <v/>
      </c>
      <c r="AO73" s="2">
        <f>COUNTIFS(secondary_acts!$A$2:$A$771,$A73,secondary_acts!$E$2:$E$771,"guidance")</f>
        <v/>
      </c>
      <c r="AP73" s="2">
        <f>COUNTIF(guidance_web!$A$2:$A$7,$A73)</f>
        <v/>
      </c>
      <c r="AQ73" s="2">
        <f>COUNTIFS(guidance_agencies!$A$2:$A$81,$A73,guidance_agencies!$D$2:$D$81,"EDPB")</f>
        <v/>
      </c>
      <c r="AR73" s="2">
        <f>COUNTIFS(guidance_agencies!$A$2:$A$81,$A73,guidance_agencies!$D$2:$D$81,"EBA")</f>
        <v/>
      </c>
      <c r="AS73" s="2">
        <f>COUNTIFS(guidance_agencies!$A$2:$A$81,$A73,guidance_agencies!$D$2:$D$81,"ESMA")</f>
        <v/>
      </c>
      <c r="AT73" s="3">
        <f>SUMIFS(secondary_acts!$S$2:$S$771,secondary_acts!$A$2:$A$771,$A73,secondary_acts!$E$2:$E$771,"implementing")+SUMIFS(secondary_acts!$S$2:$S$771,secondary_acts!$A$2:$A$771,$A73,secondary_acts!$E$2:$E$771,"delegated")</f>
        <v/>
      </c>
      <c r="AU73" s="3" t="n"/>
      <c r="AV73" s="2" t="n"/>
      <c r="AW73" s="2" t="n">
        <v>0</v>
      </c>
      <c r="AX73" s="2" t="n"/>
      <c r="AY73" s="2" t="n"/>
      <c r="AZ73" s="2" t="n">
        <v>2</v>
      </c>
      <c r="BA73" s="2" t="inlineStr">
        <is>
          <t>52021PC0759</t>
        </is>
      </c>
      <c r="BB73" s="2" t="inlineStr">
        <is>
          <t>EUR-Lex HTML</t>
        </is>
      </c>
      <c r="BC73" s="2" t="n">
        <v>9442</v>
      </c>
      <c r="BD73" s="2" t="n">
        <v>101</v>
      </c>
      <c r="BE73" s="2" t="n">
        <v>1</v>
      </c>
      <c r="BF73" s="2">
        <f>IF(ISNUMBER(BC73),R73-BC73,"")</f>
        <v/>
      </c>
      <c r="BG73" s="4">
        <f>IF(AND(ISNUMBER(BC73),BC73&gt;0),(R73-BC73)/BC73,"")</f>
        <v/>
      </c>
      <c r="BH73" s="2">
        <f>IF(ISNUMBER(BD73),Y73-BD73,"")</f>
        <v/>
      </c>
      <c r="BI73" s="4">
        <f>IF(AND(ISNUMBER(BD73),BD73&gt;0),(Y73-BD73)/BD73,"")</f>
        <v/>
      </c>
      <c r="BJ73" s="2">
        <f>IF(ISNUMBER(BE73),AE73-BE73,"")</f>
        <v/>
      </c>
      <c r="BK73" s="2" t="inlineStr">
        <is>
          <t>ex-ante only</t>
        </is>
      </c>
      <c r="BL73" s="2" t="inlineStr">
        <is>
          <t>ex-ante only: impact assessment forecasts; no monitoring data or independent studies found</t>
        </is>
      </c>
      <c r="BM73" s="2" t="inlineStr">
        <is>
          <t>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is>
      </c>
      <c r="BN73" s="2" t="n">
        <v>4</v>
      </c>
      <c r="BO73" s="2" t="n">
        <v>0</v>
      </c>
      <c r="BP73" s="2" t="n">
        <v>1</v>
      </c>
      <c r="BQ73" s="2" t="n">
        <v>0</v>
      </c>
      <c r="BR73" s="2" t="inlineStr"/>
    </row>
    <row r="74">
      <c r="A74" s="2" t="n">
        <v>73</v>
      </c>
      <c r="B74" s="2" t="inlineStr">
        <is>
          <t>Platform Work Directive</t>
        </is>
      </c>
      <c r="C74" s="2" t="inlineStr">
        <is>
          <t>Aims to improve working conditions and the protection of personal data in platform work. It applies to digital labour platforms organising work in the EU. It introduces measures, including a legal presumption, to help determine the correct employment status of platform workers, sets rules on transparency, fairness, human oversight and accountability in algorithmic management, and improves transparency on platform work.</t>
        </is>
      </c>
      <c r="D74" s="2" t="inlineStr">
        <is>
          <t>Directive (EU) 2024/2831</t>
        </is>
      </c>
      <c r="E74" s="2" t="inlineStr">
        <is>
          <t>Competition &amp; Single Market</t>
        </is>
      </c>
      <c r="F74" s="2" t="inlineStr">
        <is>
          <t>enacted</t>
        </is>
      </c>
      <c r="G74" s="2" t="inlineStr">
        <is>
          <t>2021-12-09</t>
        </is>
      </c>
      <c r="H74" s="2" t="inlineStr">
        <is>
          <t>high</t>
        </is>
      </c>
      <c r="I74" s="2" t="inlineStr">
        <is>
          <t>2024-10-23</t>
        </is>
      </c>
      <c r="J74" s="2" t="inlineStr">
        <is>
          <t>2024-11-11</t>
        </is>
      </c>
      <c r="K74" s="2" t="inlineStr">
        <is>
          <t>2024-12-01</t>
        </is>
      </c>
      <c r="L74" s="2" t="inlineStr">
        <is>
          <t>adopted</t>
        </is>
      </c>
      <c r="M74" s="2" t="inlineStr">
        <is>
          <t>adopted</t>
        </is>
      </c>
      <c r="N74" s="2" t="inlineStr">
        <is>
          <t>32024L2831</t>
        </is>
      </c>
      <c r="O74" s="2" t="inlineStr">
        <is>
          <t>Original act as published in the OJ</t>
        </is>
      </c>
      <c r="P74" s="2" t="inlineStr">
        <is>
          <t>https://eur-lex.europa.eu/legal-content/EN/TXT/?uri=CELEX:32024L2831</t>
        </is>
      </c>
      <c r="Q74" s="3" t="n">
        <v>26</v>
      </c>
      <c r="R74" s="3" t="n">
        <v>16094</v>
      </c>
      <c r="S74" s="3" t="n">
        <v>9641</v>
      </c>
      <c r="T74" s="3" t="n">
        <v>9503</v>
      </c>
      <c r="U74" s="3" t="n">
        <v>6453</v>
      </c>
      <c r="V74" s="3" t="n">
        <v>0</v>
      </c>
      <c r="W74" s="3" t="n">
        <v>0</v>
      </c>
      <c r="X74" s="3" t="n">
        <v>0</v>
      </c>
      <c r="Y74" s="3" t="n">
        <v>100</v>
      </c>
      <c r="Z74" s="3" t="n">
        <v>77</v>
      </c>
      <c r="AA74" s="3" t="n">
        <v>4</v>
      </c>
      <c r="AB74" s="3" t="n">
        <v>0</v>
      </c>
      <c r="AC74" s="3" t="n">
        <v>0</v>
      </c>
      <c r="AD74" s="3" t="n">
        <v>19</v>
      </c>
      <c r="AE74" s="3" t="n">
        <v>33</v>
      </c>
      <c r="AF74" s="3" t="n">
        <v>50</v>
      </c>
      <c r="AG74" s="3" t="n">
        <v>2</v>
      </c>
      <c r="AH74" s="3" t="n">
        <v>15</v>
      </c>
      <c r="AI74" s="2" t="inlineStr">
        <is>
          <t>02024L2831-20241111</t>
        </is>
      </c>
      <c r="AJ74" s="3" t="n">
        <v>100</v>
      </c>
      <c r="AK74" s="2" t="n">
        <v>33</v>
      </c>
      <c r="AL74" s="2">
        <f>COUNTIFS(secondary_acts!$A$2:$A$771,$A74,secondary_acts!$E$2:$E$771,"implementing")</f>
        <v/>
      </c>
      <c r="AM74" s="2">
        <f>COUNTIFS(secondary_acts!$A$2:$A$771,$A74,secondary_acts!$E$2:$E$771,"delegated")</f>
        <v/>
      </c>
      <c r="AN74" s="2">
        <f>COUNTIFS(secondary_acts!$A$2:$A$771,$A74,secondary_acts!$E$2:$E$771,"other Commission/Council act")</f>
        <v/>
      </c>
      <c r="AO74" s="2">
        <f>COUNTIFS(secondary_acts!$A$2:$A$771,$A74,secondary_acts!$E$2:$E$771,"guidance")</f>
        <v/>
      </c>
      <c r="AP74" s="2">
        <f>COUNTIF(guidance_web!$A$2:$A$7,$A74)</f>
        <v/>
      </c>
      <c r="AQ74" s="2">
        <f>COUNTIFS(guidance_agencies!$A$2:$A$81,$A74,guidance_agencies!$D$2:$D$81,"EDPB")</f>
        <v/>
      </c>
      <c r="AR74" s="2">
        <f>COUNTIFS(guidance_agencies!$A$2:$A$81,$A74,guidance_agencies!$D$2:$D$81,"EBA")</f>
        <v/>
      </c>
      <c r="AS74" s="2">
        <f>COUNTIFS(guidance_agencies!$A$2:$A$81,$A74,guidance_agencies!$D$2:$D$81,"ESMA")</f>
        <v/>
      </c>
      <c r="AT74" s="3">
        <f>SUMIFS(secondary_acts!$S$2:$S$771,secondary_acts!$A$2:$A$771,$A74,secondary_acts!$E$2:$E$771,"implementing")+SUMIFS(secondary_acts!$S$2:$S$771,secondary_acts!$A$2:$A$771,$A74,secondary_acts!$E$2:$E$771,"delegated")</f>
        <v/>
      </c>
      <c r="AU74" s="3" t="n">
        <v>0</v>
      </c>
      <c r="AV74" s="2" t="n">
        <v>0</v>
      </c>
      <c r="AW74" s="2" t="n">
        <v>0</v>
      </c>
      <c r="AX74" s="2" t="n"/>
      <c r="AY74" s="2" t="n"/>
      <c r="AZ74" s="2" t="n">
        <v>1</v>
      </c>
      <c r="BA74" s="2" t="inlineStr">
        <is>
          <t>52021PC0762</t>
        </is>
      </c>
      <c r="BB74" s="2" t="inlineStr">
        <is>
          <t>EUR-Lex HTML</t>
        </is>
      </c>
      <c r="BC74" s="2" t="n">
        <v>10937</v>
      </c>
      <c r="BD74" s="2" t="n">
        <v>67</v>
      </c>
      <c r="BE74" s="2" t="n">
        <v>18</v>
      </c>
      <c r="BF74" s="2">
        <f>IF(ISNUMBER(BC74),R74-BC74,"")</f>
        <v/>
      </c>
      <c r="BG74" s="4">
        <f>IF(AND(ISNUMBER(BC74),BC74&gt;0),(R74-BC74)/BC74,"")</f>
        <v/>
      </c>
      <c r="BH74" s="2">
        <f>IF(ISNUMBER(BD74),Y74-BD74,"")</f>
        <v/>
      </c>
      <c r="BI74" s="4">
        <f>IF(AND(ISNUMBER(BD74),BD74&gt;0),(Y74-BD74)/BD74,"")</f>
        <v/>
      </c>
      <c r="BJ74" s="2">
        <f>IF(ISNUMBER(BE74),AE74-BE74,"")</f>
        <v/>
      </c>
      <c r="BK74" s="2" t="inlineStr">
        <is>
          <t>ex-ante only</t>
        </is>
      </c>
      <c r="BL74" s="2" t="inlineStr">
        <is>
          <t>ex-ante only: Commission forecasts plus model-based evidence from a similar Spanish law; transposition due December 2026</t>
        </is>
      </c>
      <c r="BM74" s="2" t="inlineStr">
        <is>
          <t>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is>
      </c>
      <c r="BN74" s="2" t="n">
        <v>3</v>
      </c>
      <c r="BO74" s="2" t="n">
        <v>0</v>
      </c>
      <c r="BP74" s="2" t="n">
        <v>1</v>
      </c>
      <c r="BQ74" s="2" t="n">
        <v>0</v>
      </c>
      <c r="BR74" s="2" t="inlineStr"/>
    </row>
    <row r="75">
      <c r="A75" s="2" t="n">
        <v>74</v>
      </c>
      <c r="B75" s="2" t="inlineStr">
        <is>
          <t>European Chips Act</t>
        </is>
      </c>
      <c r="C75" s="2" t="inlineStr">
        <is>
          <t>Aims to strengthen the EU's semiconductor ecosystem, its competitiveness and innovation capacity, and its resilience and security of supply. It establishes the Chips for Europe Initiative to support research, design and production capacity, and sets criteria to recognise and support first-of-a-kind production facilities. It also creates a coordination mechanism between Member States and the Commission to monitor the sector and respond to chip shortages.</t>
        </is>
      </c>
      <c r="D75" s="2" t="inlineStr">
        <is>
          <t>Regulation (EU) 2023/1781</t>
        </is>
      </c>
      <c r="E75" s="2" t="inlineStr">
        <is>
          <t>Industrial Policy</t>
        </is>
      </c>
      <c r="F75" s="2" t="inlineStr">
        <is>
          <t>enacted</t>
        </is>
      </c>
      <c r="G75" s="2" t="inlineStr">
        <is>
          <t>2022-02-08</t>
        </is>
      </c>
      <c r="H75" s="2" t="inlineStr">
        <is>
          <t>high</t>
        </is>
      </c>
      <c r="I75" s="2" t="inlineStr">
        <is>
          <t>2023-09-13</t>
        </is>
      </c>
      <c r="J75" s="2" t="inlineStr">
        <is>
          <t>2023-09-18</t>
        </is>
      </c>
      <c r="K75" s="2" t="inlineStr">
        <is>
          <t>2023-09-21</t>
        </is>
      </c>
      <c r="L75" s="2" t="inlineStr">
        <is>
          <t>adopted</t>
        </is>
      </c>
      <c r="M75" s="2" t="inlineStr">
        <is>
          <t>adopted</t>
        </is>
      </c>
      <c r="N75" s="2" t="inlineStr">
        <is>
          <t>32023R1781</t>
        </is>
      </c>
      <c r="O75" s="2" t="inlineStr">
        <is>
          <t>Original act as published in the OJ</t>
        </is>
      </c>
      <c r="P75" s="2" t="inlineStr">
        <is>
          <t>https://eur-lex.europa.eu/legal-content/EN/TXT/?uri=CELEX:32023R1781</t>
        </is>
      </c>
      <c r="Q75" s="3" t="n">
        <v>53</v>
      </c>
      <c r="R75" s="3" t="n">
        <v>28299</v>
      </c>
      <c r="S75" s="3" t="n">
        <v>11733</v>
      </c>
      <c r="T75" s="3" t="n">
        <v>11596</v>
      </c>
      <c r="U75" s="3" t="n">
        <v>14035</v>
      </c>
      <c r="V75" s="3" t="n">
        <v>2531</v>
      </c>
      <c r="W75" s="3" t="n">
        <v>0</v>
      </c>
      <c r="X75" s="3" t="n">
        <v>0</v>
      </c>
      <c r="Y75" s="3" t="n">
        <v>242</v>
      </c>
      <c r="Z75" s="3" t="n">
        <v>210</v>
      </c>
      <c r="AA75" s="3" t="n">
        <v>12</v>
      </c>
      <c r="AB75" s="3" t="n">
        <v>0</v>
      </c>
      <c r="AC75" s="3" t="n">
        <v>5</v>
      </c>
      <c r="AD75" s="3" t="n">
        <v>15</v>
      </c>
      <c r="AE75" s="3" t="n">
        <v>14</v>
      </c>
      <c r="AF75" s="3" t="n">
        <v>28</v>
      </c>
      <c r="AG75" s="3" t="n">
        <v>114</v>
      </c>
      <c r="AH75" s="3" t="n">
        <v>86</v>
      </c>
      <c r="AI75" s="2" t="n"/>
      <c r="AJ75" s="3" t="n"/>
      <c r="AK75" s="2" t="n"/>
      <c r="AL75" s="2">
        <f>COUNTIFS(secondary_acts!$A$2:$A$771,$A75,secondary_acts!$E$2:$E$771,"implementing")</f>
        <v/>
      </c>
      <c r="AM75" s="2">
        <f>COUNTIFS(secondary_acts!$A$2:$A$771,$A75,secondary_acts!$E$2:$E$771,"delegated")</f>
        <v/>
      </c>
      <c r="AN75" s="2">
        <f>COUNTIFS(secondary_acts!$A$2:$A$771,$A75,secondary_acts!$E$2:$E$771,"other Commission/Council act")</f>
        <v/>
      </c>
      <c r="AO75" s="2">
        <f>COUNTIFS(secondary_acts!$A$2:$A$771,$A75,secondary_acts!$E$2:$E$771,"guidance")</f>
        <v/>
      </c>
      <c r="AP75" s="2">
        <f>COUNTIF(guidance_web!$A$2:$A$7,$A75)</f>
        <v/>
      </c>
      <c r="AQ75" s="2">
        <f>COUNTIFS(guidance_agencies!$A$2:$A$81,$A75,guidance_agencies!$D$2:$D$81,"EDPB")</f>
        <v/>
      </c>
      <c r="AR75" s="2">
        <f>COUNTIFS(guidance_agencies!$A$2:$A$81,$A75,guidance_agencies!$D$2:$D$81,"EBA")</f>
        <v/>
      </c>
      <c r="AS75" s="2">
        <f>COUNTIFS(guidance_agencies!$A$2:$A$81,$A75,guidance_agencies!$D$2:$D$81,"ESMA")</f>
        <v/>
      </c>
      <c r="AT75" s="3">
        <f>SUMIFS(secondary_acts!$S$2:$S$771,secondary_acts!$A$2:$A$771,$A75,secondary_acts!$E$2:$E$771,"implementing")+SUMIFS(secondary_acts!$S$2:$S$771,secondary_acts!$A$2:$A$771,$A75,secondary_acts!$E$2:$E$771,"delegated")</f>
        <v/>
      </c>
      <c r="AU75" s="3" t="n"/>
      <c r="AV75" s="2" t="n"/>
      <c r="AW75" s="2" t="n">
        <v>0</v>
      </c>
      <c r="AX75" s="2" t="n"/>
      <c r="AY75" s="2" t="n"/>
      <c r="AZ75" s="2" t="n">
        <v>0</v>
      </c>
      <c r="BA75" s="2" t="inlineStr">
        <is>
          <t>52022PC0046</t>
        </is>
      </c>
      <c r="BB75" s="2" t="inlineStr">
        <is>
          <t>EUR-Lex HTML</t>
        </is>
      </c>
      <c r="BC75" s="2" t="n">
        <v>19811</v>
      </c>
      <c r="BD75" s="2" t="n">
        <v>171</v>
      </c>
      <c r="BE75" s="2" t="n">
        <v>13</v>
      </c>
      <c r="BF75" s="2">
        <f>IF(ISNUMBER(BC75),R75-BC75,"")</f>
        <v/>
      </c>
      <c r="BG75" s="4">
        <f>IF(AND(ISNUMBER(BC75),BC75&gt;0),(R75-BC75)/BC75,"")</f>
        <v/>
      </c>
      <c r="BH75" s="2">
        <f>IF(ISNUMBER(BD75),Y75-BD75,"")</f>
        <v/>
      </c>
      <c r="BI75" s="4">
        <f>IF(AND(ISNUMBER(BD75),BD75&gt;0),(Y75-BD75)/BD75,"")</f>
        <v/>
      </c>
      <c r="BJ75" s="2">
        <f>IF(ISNUMBER(BE75),AE75-BE75,"")</f>
        <v/>
      </c>
      <c r="BK75" s="2" t="inlineStr">
        <is>
          <t>thin</t>
        </is>
      </c>
      <c r="BL75" s="2" t="inlineStr">
        <is>
          <t>thin but consistent: Commission evaluation and EU auditors agree investment rose but the 20% market-share goal is far out of reach; no causal study</t>
        </is>
      </c>
      <c r="BM75" s="2" t="inlineStr">
        <is>
          <t>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is>
      </c>
      <c r="BN75" s="2" t="n">
        <v>4</v>
      </c>
      <c r="BO75" s="2" t="n">
        <v>4</v>
      </c>
      <c r="BP75" s="2" t="n">
        <v>4</v>
      </c>
      <c r="BQ75" s="2" t="n">
        <v>0</v>
      </c>
      <c r="BR75" s="2" t="inlineStr"/>
    </row>
    <row r="76">
      <c r="A76" s="2" t="n">
        <v>75</v>
      </c>
      <c r="B76" s="2" t="inlineStr">
        <is>
          <t>Union Secure Connectivity Programme</t>
        </is>
      </c>
      <c r="C76" s="2" t="inlineStr">
        <is>
          <t>Establishes a programme to provide secure satellite communication services to government-authorised users in the EU through a multi-orbital connectivity system under civil control (known as IRIS²). It also aims to enable commercial services, including high-speed broadband, and to reduce communication dead zones. It sets the programme's objectives, funding rules and implementation, with a budget of EUR 1.65 billion for 2023-2027.</t>
        </is>
      </c>
      <c r="D76" s="2" t="inlineStr">
        <is>
          <t>Regulation (EU) 2023/588</t>
        </is>
      </c>
      <c r="E76" s="2" t="inlineStr">
        <is>
          <t>Connectivity</t>
        </is>
      </c>
      <c r="F76" s="2" t="inlineStr">
        <is>
          <t>enacted</t>
        </is>
      </c>
      <c r="G76" s="2" t="inlineStr">
        <is>
          <t>2022-02-15</t>
        </is>
      </c>
      <c r="H76" s="2" t="inlineStr">
        <is>
          <t>high</t>
        </is>
      </c>
      <c r="I76" s="2" t="inlineStr">
        <is>
          <t>2023-03-15</t>
        </is>
      </c>
      <c r="J76" s="2" t="inlineStr">
        <is>
          <t>2023-03-17</t>
        </is>
      </c>
      <c r="K76" s="2" t="inlineStr">
        <is>
          <t>2023-03-20</t>
        </is>
      </c>
      <c r="L76" s="2" t="inlineStr">
        <is>
          <t>adopted</t>
        </is>
      </c>
      <c r="M76" s="2" t="inlineStr">
        <is>
          <t>adopted</t>
        </is>
      </c>
      <c r="N76" s="2" t="inlineStr">
        <is>
          <t>32023R0588</t>
        </is>
      </c>
      <c r="O76" s="2" t="inlineStr">
        <is>
          <t>Original act as published in the OJ</t>
        </is>
      </c>
      <c r="P76" s="2" t="inlineStr">
        <is>
          <t>https://eur-lex.europa.eu/legal-content/EN/TXT/?uri=CELEX:32023R0588</t>
        </is>
      </c>
      <c r="Q76" s="3" t="n">
        <v>39</v>
      </c>
      <c r="R76" s="3" t="n">
        <v>19825</v>
      </c>
      <c r="S76" s="3" t="n">
        <v>8242</v>
      </c>
      <c r="T76" s="3" t="n">
        <v>8145</v>
      </c>
      <c r="U76" s="3" t="n">
        <v>10757</v>
      </c>
      <c r="V76" s="3" t="n">
        <v>826</v>
      </c>
      <c r="W76" s="3" t="n">
        <v>0</v>
      </c>
      <c r="X76" s="3" t="n">
        <v>0</v>
      </c>
      <c r="Y76" s="3" t="n">
        <v>174</v>
      </c>
      <c r="Z76" s="3" t="n">
        <v>154</v>
      </c>
      <c r="AA76" s="3" t="n">
        <v>4</v>
      </c>
      <c r="AB76" s="3" t="n">
        <v>0</v>
      </c>
      <c r="AC76" s="3" t="n">
        <v>1</v>
      </c>
      <c r="AD76" s="3" t="n">
        <v>15</v>
      </c>
      <c r="AE76" s="3" t="n">
        <v>10</v>
      </c>
      <c r="AF76" s="3" t="n">
        <v>14</v>
      </c>
      <c r="AG76" s="3" t="n">
        <v>82</v>
      </c>
      <c r="AH76" s="3" t="n">
        <v>68</v>
      </c>
      <c r="AI76" s="2" t="n"/>
      <c r="AJ76" s="3" t="n"/>
      <c r="AK76" s="2" t="n"/>
      <c r="AL76" s="2">
        <f>COUNTIFS(secondary_acts!$A$2:$A$771,$A76,secondary_acts!$E$2:$E$771,"implementing")</f>
        <v/>
      </c>
      <c r="AM76" s="2">
        <f>COUNTIFS(secondary_acts!$A$2:$A$771,$A76,secondary_acts!$E$2:$E$771,"delegated")</f>
        <v/>
      </c>
      <c r="AN76" s="2">
        <f>COUNTIFS(secondary_acts!$A$2:$A$771,$A76,secondary_acts!$E$2:$E$771,"other Commission/Council act")</f>
        <v/>
      </c>
      <c r="AO76" s="2">
        <f>COUNTIFS(secondary_acts!$A$2:$A$771,$A76,secondary_acts!$E$2:$E$771,"guidance")</f>
        <v/>
      </c>
      <c r="AP76" s="2">
        <f>COUNTIF(guidance_web!$A$2:$A$7,$A76)</f>
        <v/>
      </c>
      <c r="AQ76" s="2">
        <f>COUNTIFS(guidance_agencies!$A$2:$A$81,$A76,guidance_agencies!$D$2:$D$81,"EDPB")</f>
        <v/>
      </c>
      <c r="AR76" s="2">
        <f>COUNTIFS(guidance_agencies!$A$2:$A$81,$A76,guidance_agencies!$D$2:$D$81,"EBA")</f>
        <v/>
      </c>
      <c r="AS76" s="2">
        <f>COUNTIFS(guidance_agencies!$A$2:$A$81,$A76,guidance_agencies!$D$2:$D$81,"ESMA")</f>
        <v/>
      </c>
      <c r="AT76" s="3">
        <f>SUMIFS(secondary_acts!$S$2:$S$771,secondary_acts!$A$2:$A$771,$A76,secondary_acts!$E$2:$E$771,"implementing")+SUMIFS(secondary_acts!$S$2:$S$771,secondary_acts!$A$2:$A$771,$A76,secondary_acts!$E$2:$E$771,"delegated")</f>
        <v/>
      </c>
      <c r="AU76" s="3" t="n"/>
      <c r="AV76" s="2" t="n"/>
      <c r="AW76" s="2" t="n">
        <v>0</v>
      </c>
      <c r="AX76" s="2" t="n"/>
      <c r="AY76" s="2" t="n"/>
      <c r="AZ76" s="2" t="n">
        <v>0</v>
      </c>
      <c r="BA76" s="2" t="inlineStr">
        <is>
          <t>52022PC0057</t>
        </is>
      </c>
      <c r="BB76" s="2" t="inlineStr">
        <is>
          <t>EUR-Lex HTML</t>
        </is>
      </c>
      <c r="BC76" s="2" t="n">
        <v>15371</v>
      </c>
      <c r="BD76" s="2" t="n">
        <v>133</v>
      </c>
      <c r="BE76" s="2" t="n">
        <v>10</v>
      </c>
      <c r="BF76" s="2">
        <f>IF(ISNUMBER(BC76),R76-BC76,"")</f>
        <v/>
      </c>
      <c r="BG76" s="4">
        <f>IF(AND(ISNUMBER(BC76),BC76&gt;0),(R76-BC76)/BC76,"")</f>
        <v/>
      </c>
      <c r="BH76" s="2">
        <f>IF(ISNUMBER(BD76),Y76-BD76,"")</f>
        <v/>
      </c>
      <c r="BI76" s="4">
        <f>IF(AND(ISNUMBER(BD76),BD76&gt;0),(Y76-BD76)/BD76,"")</f>
        <v/>
      </c>
      <c r="BJ76" s="2">
        <f>IF(ISNUMBER(BE76),AE76-BE76,"")</f>
        <v/>
      </c>
      <c r="BK76" s="2" t="inlineStr">
        <is>
          <t>thin</t>
        </is>
      </c>
      <c r="BL76" s="2" t="inlineStr">
        <is>
          <t>thin: no outcomes yet; cost and schedule tracking via press reports shows large overruns against the impact assessment</t>
        </is>
      </c>
      <c r="BM76" s="2" t="inlineStr">
        <is>
          <t>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is>
      </c>
      <c r="BN76" s="2" t="n">
        <v>5</v>
      </c>
      <c r="BO76" s="2" t="n">
        <v>2</v>
      </c>
      <c r="BP76" s="2" t="n">
        <v>2</v>
      </c>
      <c r="BQ76" s="2" t="n">
        <v>0</v>
      </c>
      <c r="BR76" s="2" t="inlineStr"/>
    </row>
    <row r="77">
      <c r="A77" s="2" t="n">
        <v>76</v>
      </c>
      <c r="B77" s="2" t="inlineStr">
        <is>
          <t>Data Act</t>
        </is>
      </c>
      <c r="C77" s="2" t="inlineStr">
        <is>
          <t>Sets harmonised rules on access to and use of data. It gives users of connected products and related services the right to access data they generate and share it with third parties, sets conditions for data holders making data available to recipients, and allows public bodies to request data in cases of exceptional need. It also makes switching between cloud and other data processing services easier and supports interoperability standards.</t>
        </is>
      </c>
      <c r="D77" s="2" t="inlineStr">
        <is>
          <t>Regulation (EU) 2023/2854</t>
        </is>
      </c>
      <c r="E77" s="2" t="inlineStr">
        <is>
          <t>Data &amp; Privacy</t>
        </is>
      </c>
      <c r="F77" s="2" t="inlineStr">
        <is>
          <t>enacted</t>
        </is>
      </c>
      <c r="G77" s="2" t="inlineStr">
        <is>
          <t>2022-02-23</t>
        </is>
      </c>
      <c r="H77" s="2" t="inlineStr">
        <is>
          <t>high</t>
        </is>
      </c>
      <c r="I77" s="2" t="inlineStr">
        <is>
          <t>2023-12-13</t>
        </is>
      </c>
      <c r="J77" s="2" t="inlineStr">
        <is>
          <t>2023-12-22</t>
        </is>
      </c>
      <c r="K77" s="2" t="inlineStr">
        <is>
          <t>2024-01-11</t>
        </is>
      </c>
      <c r="L77" s="2" t="inlineStr">
        <is>
          <t>adopted</t>
        </is>
      </c>
      <c r="M77" s="2" t="inlineStr">
        <is>
          <t>adopted</t>
        </is>
      </c>
      <c r="N77" s="2" t="inlineStr">
        <is>
          <t>32023R2854</t>
        </is>
      </c>
      <c r="O77" s="2" t="inlineStr">
        <is>
          <t>Original act as published in the OJ</t>
        </is>
      </c>
      <c r="P77" s="2" t="inlineStr">
        <is>
          <t>https://eur-lex.europa.eu/legal-content/EN/TXT/?uri=CELEX:32023R2854</t>
        </is>
      </c>
      <c r="Q77" s="3" t="n">
        <v>71</v>
      </c>
      <c r="R77" s="3" t="n">
        <v>44522</v>
      </c>
      <c r="S77" s="3" t="n">
        <v>22506</v>
      </c>
      <c r="T77" s="3" t="n">
        <v>22355</v>
      </c>
      <c r="U77" s="3" t="n">
        <v>22016</v>
      </c>
      <c r="V77" s="3" t="n">
        <v>0</v>
      </c>
      <c r="W77" s="3" t="n">
        <v>0</v>
      </c>
      <c r="X77" s="3" t="n">
        <v>0</v>
      </c>
      <c r="Y77" s="3" t="n">
        <v>264</v>
      </c>
      <c r="Z77" s="3" t="n">
        <v>216</v>
      </c>
      <c r="AA77" s="3" t="n">
        <v>37</v>
      </c>
      <c r="AB77" s="3" t="n">
        <v>2</v>
      </c>
      <c r="AC77" s="3" t="n">
        <v>5</v>
      </c>
      <c r="AD77" s="3" t="n">
        <v>4</v>
      </c>
      <c r="AE77" s="3" t="n">
        <v>110</v>
      </c>
      <c r="AF77" s="3" t="n">
        <v>44</v>
      </c>
      <c r="AG77" s="3" t="n">
        <v>56</v>
      </c>
      <c r="AH77" s="3" t="n">
        <v>54</v>
      </c>
      <c r="AI77" s="2" t="inlineStr">
        <is>
          <t>02023R2854-20231222</t>
        </is>
      </c>
      <c r="AJ77" s="3" t="n">
        <v>264</v>
      </c>
      <c r="AK77" s="2" t="n">
        <v>110</v>
      </c>
      <c r="AL77" s="2">
        <f>COUNTIFS(secondary_acts!$A$2:$A$771,$A77,secondary_acts!$E$2:$E$771,"implementing")</f>
        <v/>
      </c>
      <c r="AM77" s="2">
        <f>COUNTIFS(secondary_acts!$A$2:$A$771,$A77,secondary_acts!$E$2:$E$771,"delegated")</f>
        <v/>
      </c>
      <c r="AN77" s="2">
        <f>COUNTIFS(secondary_acts!$A$2:$A$771,$A77,secondary_acts!$E$2:$E$771,"other Commission/Council act")</f>
        <v/>
      </c>
      <c r="AO77" s="2">
        <f>COUNTIFS(secondary_acts!$A$2:$A$771,$A77,secondary_acts!$E$2:$E$771,"guidance")</f>
        <v/>
      </c>
      <c r="AP77" s="2">
        <f>COUNTIF(guidance_web!$A$2:$A$7,$A77)</f>
        <v/>
      </c>
      <c r="AQ77" s="2">
        <f>COUNTIFS(guidance_agencies!$A$2:$A$81,$A77,guidance_agencies!$D$2:$D$81,"EDPB")</f>
        <v/>
      </c>
      <c r="AR77" s="2">
        <f>COUNTIFS(guidance_agencies!$A$2:$A$81,$A77,guidance_agencies!$D$2:$D$81,"EBA")</f>
        <v/>
      </c>
      <c r="AS77" s="2">
        <f>COUNTIFS(guidance_agencies!$A$2:$A$81,$A77,guidance_agencies!$D$2:$D$81,"ESMA")</f>
        <v/>
      </c>
      <c r="AT77" s="3">
        <f>SUMIFS(secondary_acts!$S$2:$S$771,secondary_acts!$A$2:$A$771,$A77,secondary_acts!$E$2:$E$771,"implementing")+SUMIFS(secondary_acts!$S$2:$S$771,secondary_acts!$A$2:$A$771,$A77,secondary_acts!$E$2:$E$771,"delegated")</f>
        <v/>
      </c>
      <c r="AU77" s="3" t="n"/>
      <c r="AV77" s="2" t="n"/>
      <c r="AW77" s="2" t="n">
        <v>0</v>
      </c>
      <c r="AX77" s="2" t="n"/>
      <c r="AY77" s="2" t="n"/>
      <c r="AZ77" s="2" t="n">
        <v>6</v>
      </c>
      <c r="BA77" s="2" t="inlineStr">
        <is>
          <t>52022PC0068</t>
        </is>
      </c>
      <c r="BB77" s="2" t="inlineStr">
        <is>
          <t>EUR-Lex HTML</t>
        </is>
      </c>
      <c r="BC77" s="2" t="n">
        <v>23623</v>
      </c>
      <c r="BD77" s="2" t="n">
        <v>150</v>
      </c>
      <c r="BE77" s="2" t="n">
        <v>58</v>
      </c>
      <c r="BF77" s="2">
        <f>IF(ISNUMBER(BC77),R77-BC77,"")</f>
        <v/>
      </c>
      <c r="BG77" s="4">
        <f>IF(AND(ISNUMBER(BC77),BC77&gt;0),(R77-BC77)/BC77,"")</f>
        <v/>
      </c>
      <c r="BH77" s="2">
        <f>IF(ISNUMBER(BD77),Y77-BD77,"")</f>
        <v/>
      </c>
      <c r="BI77" s="4">
        <f>IF(AND(ISNUMBER(BD77),BD77&gt;0),(Y77-BD77)/BD77,"")</f>
        <v/>
      </c>
      <c r="BJ77" s="2">
        <f>IF(ISNUMBER(BE77),AE77-BE77,"")</f>
        <v/>
      </c>
      <c r="BK77" s="2" t="inlineStr">
        <is>
          <t>ex-ante only</t>
        </is>
      </c>
      <c r="BL77" s="2" t="inlineStr">
        <is>
          <t>ex-ante only: large Commission forecasts, critical legal-economic analyses, one industry readiness survey; no ex-post evidence (applied from September 2025)</t>
        </is>
      </c>
      <c r="BM77" s="2" t="inlineStr">
        <is>
          <t>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is>
      </c>
      <c r="BN77" s="2" t="n">
        <v>4</v>
      </c>
      <c r="BO77" s="2" t="n">
        <v>0</v>
      </c>
      <c r="BP77" s="2" t="n">
        <v>7</v>
      </c>
      <c r="BQ77" s="2" t="n">
        <v>0</v>
      </c>
      <c r="BR77" s="2" t="inlineStr">
        <is>
          <t>no consolidated text with amendments in EUR-Lex; consolidated count = original</t>
        </is>
      </c>
    </row>
    <row r="78">
      <c r="A78" s="2" t="n">
        <v>77</v>
      </c>
      <c r="B78" s="2" t="inlineStr">
        <is>
          <t>Violence Against Women Directive</t>
        </is>
      </c>
      <c r="C78" s="2" t="inlineStr">
        <is>
          <t>Aims to prevent and combat violence against women and domestic violence. It requires Member States to criminalise female genital mutilation, forced marriage, non-consensual sharing of intimate or manipulated images, cyber stalking, cyber harassment and cyber incitement to violence or hatred. It also sets minimum rules on victims' rights, protection and support, and on prevention and early intervention.</t>
        </is>
      </c>
      <c r="D78" s="2" t="inlineStr">
        <is>
          <t>Directive (EU) 2024/1385</t>
        </is>
      </c>
      <c r="E78" s="2" t="inlineStr">
        <is>
          <t>Law Enforcement</t>
        </is>
      </c>
      <c r="F78" s="2" t="inlineStr">
        <is>
          <t>enacted</t>
        </is>
      </c>
      <c r="G78" s="2" t="inlineStr">
        <is>
          <t>2022-03-08</t>
        </is>
      </c>
      <c r="H78" s="2" t="inlineStr">
        <is>
          <t>high</t>
        </is>
      </c>
      <c r="I78" s="2" t="inlineStr">
        <is>
          <t>2024-05-14</t>
        </is>
      </c>
      <c r="J78" s="2" t="inlineStr">
        <is>
          <t>2024-05-24</t>
        </is>
      </c>
      <c r="K78" s="2" t="inlineStr">
        <is>
          <t>2024-06-13</t>
        </is>
      </c>
      <c r="L78" s="2" t="inlineStr">
        <is>
          <t>adopted</t>
        </is>
      </c>
      <c r="M78" s="2" t="inlineStr">
        <is>
          <t>adopted</t>
        </is>
      </c>
      <c r="N78" s="2" t="inlineStr">
        <is>
          <t>32024L1385</t>
        </is>
      </c>
      <c r="O78" s="2" t="inlineStr">
        <is>
          <t>Original act as published in the OJ</t>
        </is>
      </c>
      <c r="P78" s="2" t="inlineStr">
        <is>
          <t>https://eur-lex.europa.eu/legal-content/EN/TXT/?uri=CELEX:32024L1385</t>
        </is>
      </c>
      <c r="Q78" s="3" t="n">
        <v>36</v>
      </c>
      <c r="R78" s="3" t="n">
        <v>21341</v>
      </c>
      <c r="S78" s="3" t="n">
        <v>10771</v>
      </c>
      <c r="T78" s="3" t="n">
        <v>10658</v>
      </c>
      <c r="U78" s="3" t="n">
        <v>10570</v>
      </c>
      <c r="V78" s="3" t="n">
        <v>0</v>
      </c>
      <c r="W78" s="3" t="n">
        <v>0</v>
      </c>
      <c r="X78" s="3" t="n">
        <v>0</v>
      </c>
      <c r="Y78" s="3" t="n">
        <v>206</v>
      </c>
      <c r="Z78" s="3" t="n">
        <v>132</v>
      </c>
      <c r="AA78" s="3" t="n">
        <v>3</v>
      </c>
      <c r="AB78" s="3" t="n">
        <v>0</v>
      </c>
      <c r="AC78" s="3" t="n">
        <v>0</v>
      </c>
      <c r="AD78" s="3" t="n">
        <v>71</v>
      </c>
      <c r="AE78" s="3" t="n">
        <v>6</v>
      </c>
      <c r="AF78" s="3" t="n">
        <v>131</v>
      </c>
      <c r="AG78" s="3" t="n">
        <v>3</v>
      </c>
      <c r="AH78" s="3" t="n">
        <v>66</v>
      </c>
      <c r="AI78" s="2" t="n"/>
      <c r="AJ78" s="3" t="n"/>
      <c r="AK78" s="2" t="n"/>
      <c r="AL78" s="2">
        <f>COUNTIFS(secondary_acts!$A$2:$A$771,$A78,secondary_acts!$E$2:$E$771,"implementing")</f>
        <v/>
      </c>
      <c r="AM78" s="2">
        <f>COUNTIFS(secondary_acts!$A$2:$A$771,$A78,secondary_acts!$E$2:$E$771,"delegated")</f>
        <v/>
      </c>
      <c r="AN78" s="2">
        <f>COUNTIFS(secondary_acts!$A$2:$A$771,$A78,secondary_acts!$E$2:$E$771,"other Commission/Council act")</f>
        <v/>
      </c>
      <c r="AO78" s="2">
        <f>COUNTIFS(secondary_acts!$A$2:$A$771,$A78,secondary_acts!$E$2:$E$771,"guidance")</f>
        <v/>
      </c>
      <c r="AP78" s="2">
        <f>COUNTIF(guidance_web!$A$2:$A$7,$A78)</f>
        <v/>
      </c>
      <c r="AQ78" s="2">
        <f>COUNTIFS(guidance_agencies!$A$2:$A$81,$A78,guidance_agencies!$D$2:$D$81,"EDPB")</f>
        <v/>
      </c>
      <c r="AR78" s="2">
        <f>COUNTIFS(guidance_agencies!$A$2:$A$81,$A78,guidance_agencies!$D$2:$D$81,"EBA")</f>
        <v/>
      </c>
      <c r="AS78" s="2">
        <f>COUNTIFS(guidance_agencies!$A$2:$A$81,$A78,guidance_agencies!$D$2:$D$81,"ESMA")</f>
        <v/>
      </c>
      <c r="AT78" s="3">
        <f>SUMIFS(secondary_acts!$S$2:$S$771,secondary_acts!$A$2:$A$771,$A78,secondary_acts!$E$2:$E$771,"implementing")+SUMIFS(secondary_acts!$S$2:$S$771,secondary_acts!$A$2:$A$771,$A78,secondary_acts!$E$2:$E$771,"delegated")</f>
        <v/>
      </c>
      <c r="AU78" s="3" t="n">
        <v>3503</v>
      </c>
      <c r="AV78" s="2" t="n">
        <v>4</v>
      </c>
      <c r="AW78" s="2" t="n">
        <v>0</v>
      </c>
      <c r="AX78" s="2" t="n"/>
      <c r="AY78" s="2" t="n"/>
      <c r="AZ78" s="2" t="n">
        <v>0</v>
      </c>
      <c r="BA78" s="2" t="inlineStr">
        <is>
          <t>52022PC0105</t>
        </is>
      </c>
      <c r="BB78" s="2" t="inlineStr">
        <is>
          <t>EUR-Lex HTML</t>
        </is>
      </c>
      <c r="BC78" s="2" t="n">
        <v>15874</v>
      </c>
      <c r="BD78" s="2" t="n">
        <v>187</v>
      </c>
      <c r="BE78" s="2" t="n">
        <v>3</v>
      </c>
      <c r="BF78" s="2">
        <f>IF(ISNUMBER(BC78),R78-BC78,"")</f>
        <v/>
      </c>
      <c r="BG78" s="4">
        <f>IF(AND(ISNUMBER(BC78),BC78&gt;0),(R78-BC78)/BC78,"")</f>
        <v/>
      </c>
      <c r="BH78" s="2">
        <f>IF(ISNUMBER(BD78),Y78-BD78,"")</f>
        <v/>
      </c>
      <c r="BI78" s="4">
        <f>IF(AND(ISNUMBER(BD78),BD78&gt;0),(Y78-BD78)/BD78,"")</f>
        <v/>
      </c>
      <c r="BJ78" s="2">
        <f>IF(ISNUMBER(BE78),AE78-BE78,"")</f>
        <v/>
      </c>
      <c r="BK78" s="2" t="inlineStr">
        <is>
          <t>ex-ante only</t>
        </is>
      </c>
      <c r="BL78" s="2" t="inlineStr">
        <is>
          <t>ex-ante only: Commission forecasts and a fresh survey baseline; transposition not due until 2027</t>
        </is>
      </c>
      <c r="BM78" s="2" t="inlineStr">
        <is>
          <t>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is>
      </c>
      <c r="BN78" s="2" t="n">
        <v>4</v>
      </c>
      <c r="BO78" s="2" t="n">
        <v>0</v>
      </c>
      <c r="BP78" s="2" t="n">
        <v>1</v>
      </c>
      <c r="BQ78" s="2" t="n">
        <v>0</v>
      </c>
      <c r="BR78" s="2" t="inlineStr"/>
    </row>
    <row r="79">
      <c r="A79" s="2" t="n">
        <v>78</v>
      </c>
      <c r="B79" s="2" t="inlineStr">
        <is>
          <t>Cybersecurity Regulation (EU institutions)</t>
        </is>
      </c>
      <c r="C79" s="2" t="inlineStr">
        <is>
          <t>Aims to achieve a high common level of cybersecurity within EU institutions, bodies, offices and agencies. It requires each of them to set up an internal cybersecurity risk-management, governance and control framework and sets rules on risk management, incident reporting and information sharing. It establishes an Interinstitutional Cybersecurity Board and sets out the role of CERT-EU, the EU entities' cybersecurity service.</t>
        </is>
      </c>
      <c r="D79" s="2" t="inlineStr">
        <is>
          <t>Regulation (EU) 2023/2841</t>
        </is>
      </c>
      <c r="E79" s="2" t="inlineStr">
        <is>
          <t>Cybersecurity</t>
        </is>
      </c>
      <c r="F79" s="2" t="inlineStr">
        <is>
          <t>enacted</t>
        </is>
      </c>
      <c r="G79" s="2" t="inlineStr">
        <is>
          <t>2022-03-22</t>
        </is>
      </c>
      <c r="H79" s="2" t="inlineStr">
        <is>
          <t>high</t>
        </is>
      </c>
      <c r="I79" s="2" t="inlineStr">
        <is>
          <t>2023-12-13</t>
        </is>
      </c>
      <c r="J79" s="2" t="inlineStr">
        <is>
          <t>2023-12-18</t>
        </is>
      </c>
      <c r="K79" s="2" t="inlineStr">
        <is>
          <t>2024-01-07</t>
        </is>
      </c>
      <c r="L79" s="2" t="inlineStr">
        <is>
          <t>adopted</t>
        </is>
      </c>
      <c r="M79" s="2" t="inlineStr">
        <is>
          <t>adopted</t>
        </is>
      </c>
      <c r="N79" s="2" t="inlineStr">
        <is>
          <t>32023R2841</t>
        </is>
      </c>
      <c r="O79" s="2" t="inlineStr">
        <is>
          <t>Original act as published in the OJ</t>
        </is>
      </c>
      <c r="P79" s="2" t="inlineStr">
        <is>
          <t>https://eur-lex.europa.eu/legal-content/EN/TXT/?uri=CELEX:32023R2841</t>
        </is>
      </c>
      <c r="Q79" s="3" t="n">
        <v>27</v>
      </c>
      <c r="R79" s="3" t="n">
        <v>14545</v>
      </c>
      <c r="S79" s="3" t="n">
        <v>5325</v>
      </c>
      <c r="T79" s="3" t="n">
        <v>5200</v>
      </c>
      <c r="U79" s="3" t="n">
        <v>9220</v>
      </c>
      <c r="V79" s="3" t="n">
        <v>0</v>
      </c>
      <c r="W79" s="3" t="n">
        <v>0</v>
      </c>
      <c r="X79" s="3" t="n">
        <v>0</v>
      </c>
      <c r="Y79" s="3" t="n">
        <v>166</v>
      </c>
      <c r="Z79" s="3" t="n">
        <v>153</v>
      </c>
      <c r="AA79" s="3" t="n">
        <v>6</v>
      </c>
      <c r="AB79" s="3" t="n">
        <v>1</v>
      </c>
      <c r="AC79" s="3" t="n">
        <v>2</v>
      </c>
      <c r="AD79" s="3" t="n">
        <v>4</v>
      </c>
      <c r="AE79" s="3" t="n">
        <v>1</v>
      </c>
      <c r="AF79" s="3" t="n">
        <v>1</v>
      </c>
      <c r="AG79" s="3" t="n">
        <v>126</v>
      </c>
      <c r="AH79" s="3" t="n">
        <v>38</v>
      </c>
      <c r="AI79" s="2" t="inlineStr">
        <is>
          <t>02023R2841-20231218</t>
        </is>
      </c>
      <c r="AJ79" s="3" t="n">
        <v>166</v>
      </c>
      <c r="AK79" s="2" t="n">
        <v>1</v>
      </c>
      <c r="AL79" s="2">
        <f>COUNTIFS(secondary_acts!$A$2:$A$771,$A79,secondary_acts!$E$2:$E$771,"implementing")</f>
        <v/>
      </c>
      <c r="AM79" s="2">
        <f>COUNTIFS(secondary_acts!$A$2:$A$771,$A79,secondary_acts!$E$2:$E$771,"delegated")</f>
        <v/>
      </c>
      <c r="AN79" s="2">
        <f>COUNTIFS(secondary_acts!$A$2:$A$771,$A79,secondary_acts!$E$2:$E$771,"other Commission/Council act")</f>
        <v/>
      </c>
      <c r="AO79" s="2">
        <f>COUNTIFS(secondary_acts!$A$2:$A$771,$A79,secondary_acts!$E$2:$E$771,"guidance")</f>
        <v/>
      </c>
      <c r="AP79" s="2">
        <f>COUNTIF(guidance_web!$A$2:$A$7,$A79)</f>
        <v/>
      </c>
      <c r="AQ79" s="2">
        <f>COUNTIFS(guidance_agencies!$A$2:$A$81,$A79,guidance_agencies!$D$2:$D$81,"EDPB")</f>
        <v/>
      </c>
      <c r="AR79" s="2">
        <f>COUNTIFS(guidance_agencies!$A$2:$A$81,$A79,guidance_agencies!$D$2:$D$81,"EBA")</f>
        <v/>
      </c>
      <c r="AS79" s="2">
        <f>COUNTIFS(guidance_agencies!$A$2:$A$81,$A79,guidance_agencies!$D$2:$D$81,"ESMA")</f>
        <v/>
      </c>
      <c r="AT79" s="3">
        <f>SUMIFS(secondary_acts!$S$2:$S$771,secondary_acts!$A$2:$A$771,$A79,secondary_acts!$E$2:$E$771,"implementing")+SUMIFS(secondary_acts!$S$2:$S$771,secondary_acts!$A$2:$A$771,$A79,secondary_acts!$E$2:$E$771,"delegated")</f>
        <v/>
      </c>
      <c r="AU79" s="3" t="n"/>
      <c r="AV79" s="2" t="n"/>
      <c r="AW79" s="2" t="n">
        <v>0</v>
      </c>
      <c r="AX79" s="2" t="n"/>
      <c r="AY79" s="2" t="n"/>
      <c r="AZ79" s="2" t="n">
        <v>2</v>
      </c>
      <c r="BA79" s="2" t="inlineStr">
        <is>
          <t>52022PC0122</t>
        </is>
      </c>
      <c r="BB79" s="2" t="inlineStr">
        <is>
          <t>EUR-Lex HTML</t>
        </is>
      </c>
      <c r="BC79" s="2" t="n">
        <v>7223</v>
      </c>
      <c r="BD79" s="2" t="n">
        <v>94</v>
      </c>
      <c r="BE79" s="2" t="n">
        <v>6</v>
      </c>
      <c r="BF79" s="2">
        <f>IF(ISNUMBER(BC79),R79-BC79,"")</f>
        <v/>
      </c>
      <c r="BG79" s="4">
        <f>IF(AND(ISNUMBER(BC79),BC79&gt;0),(R79-BC79)/BC79,"")</f>
        <v/>
      </c>
      <c r="BH79" s="2">
        <f>IF(ISNUMBER(BD79),Y79-BD79,"")</f>
        <v/>
      </c>
      <c r="BI79" s="4">
        <f>IF(AND(ISNUMBER(BD79),BD79&gt;0),(Y79-BD79)/BD79,"")</f>
        <v/>
      </c>
      <c r="BJ79" s="2">
        <f>IF(ISNUMBER(BE79),AE79-BE79,"")</f>
        <v/>
      </c>
      <c r="BK79" s="2" t="inlineStr">
        <is>
          <t>thin</t>
        </is>
      </c>
      <c r="BL79" s="2" t="inlineStr">
        <is>
          <t>thin: self-reported implementation monitoring plus a pre-regulation audit baseline; no independent assessment of outcomes</t>
        </is>
      </c>
      <c r="BM79" s="2" t="inlineStr">
        <is>
          <t>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is>
      </c>
      <c r="BN79" s="2" t="n">
        <v>4</v>
      </c>
      <c r="BO79" s="2" t="n">
        <v>3</v>
      </c>
      <c r="BP79" s="2" t="n">
        <v>3</v>
      </c>
      <c r="BQ79" s="2" t="n">
        <v>0</v>
      </c>
      <c r="BR79" s="2" t="inlineStr">
        <is>
          <t>no consolidated text with amendments in EUR-Lex; consolidated count = original</t>
        </is>
      </c>
    </row>
    <row r="80">
      <c r="A80" s="2" t="n">
        <v>79</v>
      </c>
      <c r="B80" s="2" t="inlineStr">
        <is>
          <t>Information Security Regulation</t>
        </is>
      </c>
      <c r="C80" s="2" t="inlineStr">
        <is>
          <t>Would lay down common information security rules for all EU institutions and bodies. It would apply to all information they handle and store, both non-classified and EU classified information, with common confidentiality levels and protective measures. It would create an Interinstitutional Coordination Group of the institutions' security authorities to issue guidance and work with Member States' national security authorities.</t>
        </is>
      </c>
      <c r="D80" s="2" t="inlineStr">
        <is>
          <t>2022/0084(COD)</t>
        </is>
      </c>
      <c r="E80" s="2" t="inlineStr">
        <is>
          <t>Cybersecurity</t>
        </is>
      </c>
      <c r="F80" s="2" t="inlineStr">
        <is>
          <t>proposal</t>
        </is>
      </c>
      <c r="G80" s="2" t="inlineStr">
        <is>
          <t>2022-03-22</t>
        </is>
      </c>
      <c r="H80" s="2" t="inlineStr">
        <is>
          <t>high</t>
        </is>
      </c>
      <c r="I80" s="2" t="n"/>
      <c r="J80" s="2" t="n"/>
      <c r="K80" s="2" t="n"/>
      <c r="L80" s="2" t="inlineStr">
        <is>
          <t>proposed</t>
        </is>
      </c>
      <c r="M80" s="2" t="inlineStr">
        <is>
          <t>proposed</t>
        </is>
      </c>
      <c r="N80" s="2" t="inlineStr">
        <is>
          <t>52022PC0119</t>
        </is>
      </c>
      <c r="O80" s="2" t="inlineStr">
        <is>
          <t>Commission proposal (COM)</t>
        </is>
      </c>
      <c r="P80" s="2" t="inlineStr">
        <is>
          <t>https://eur-lex.europa.eu/legal-content/EN/TXT/?uri=CELEX:52022PC0119</t>
        </is>
      </c>
      <c r="Q80" s="3" t="n">
        <v>90</v>
      </c>
      <c r="R80" s="3" t="n">
        <v>22121</v>
      </c>
      <c r="S80" s="3" t="n">
        <v>2056</v>
      </c>
      <c r="T80" s="3" t="n">
        <v>1958</v>
      </c>
      <c r="U80" s="3" t="n">
        <v>13090</v>
      </c>
      <c r="V80" s="3" t="n">
        <v>6975</v>
      </c>
      <c r="W80" s="3" t="n">
        <v>3755</v>
      </c>
      <c r="X80" s="3" t="n">
        <v>4388</v>
      </c>
      <c r="Y80" s="3" t="n">
        <v>398</v>
      </c>
      <c r="Z80" s="3" t="n">
        <v>364</v>
      </c>
      <c r="AA80" s="3" t="n">
        <v>19</v>
      </c>
      <c r="AB80" s="3" t="n">
        <v>5</v>
      </c>
      <c r="AC80" s="3" t="n">
        <v>2</v>
      </c>
      <c r="AD80" s="3" t="n">
        <v>8</v>
      </c>
      <c r="AE80" s="3" t="n">
        <v>30</v>
      </c>
      <c r="AF80" s="3" t="n">
        <v>15</v>
      </c>
      <c r="AG80" s="3" t="n">
        <v>163</v>
      </c>
      <c r="AH80" s="3" t="n">
        <v>190</v>
      </c>
      <c r="AI80" s="2" t="n"/>
      <c r="AJ80" s="3" t="n"/>
      <c r="AK80" s="2" t="n"/>
      <c r="AL80" s="2">
        <f>COUNTIFS(secondary_acts!$A$2:$A$771,$A80,secondary_acts!$E$2:$E$771,"implementing")</f>
        <v/>
      </c>
      <c r="AM80" s="2">
        <f>COUNTIFS(secondary_acts!$A$2:$A$771,$A80,secondary_acts!$E$2:$E$771,"delegated")</f>
        <v/>
      </c>
      <c r="AN80" s="2">
        <f>COUNTIFS(secondary_acts!$A$2:$A$771,$A80,secondary_acts!$E$2:$E$771,"other Commission/Council act")</f>
        <v/>
      </c>
      <c r="AO80" s="2">
        <f>COUNTIFS(secondary_acts!$A$2:$A$771,$A80,secondary_acts!$E$2:$E$771,"guidance")</f>
        <v/>
      </c>
      <c r="AP80" s="2">
        <f>COUNTIF(guidance_web!$A$2:$A$7,$A80)</f>
        <v/>
      </c>
      <c r="AQ80" s="2">
        <f>COUNTIFS(guidance_agencies!$A$2:$A$81,$A80,guidance_agencies!$D$2:$D$81,"EDPB")</f>
        <v/>
      </c>
      <c r="AR80" s="2">
        <f>COUNTIFS(guidance_agencies!$A$2:$A$81,$A80,guidance_agencies!$D$2:$D$81,"EBA")</f>
        <v/>
      </c>
      <c r="AS80" s="2">
        <f>COUNTIFS(guidance_agencies!$A$2:$A$81,$A80,guidance_agencies!$D$2:$D$81,"ESMA")</f>
        <v/>
      </c>
      <c r="AT80" s="3">
        <f>SUMIFS(secondary_acts!$S$2:$S$771,secondary_acts!$A$2:$A$771,$A80,secondary_acts!$E$2:$E$771,"implementing")+SUMIFS(secondary_acts!$S$2:$S$771,secondary_acts!$A$2:$A$771,$A80,secondary_acts!$E$2:$E$771,"delegated")</f>
        <v/>
      </c>
      <c r="AU80" s="3" t="n"/>
      <c r="AV80" s="2" t="n"/>
      <c r="AW80" s="2" t="n"/>
      <c r="AX80" s="2" t="n"/>
      <c r="AY80" s="2" t="n"/>
      <c r="AZ80" s="2" t="n"/>
      <c r="BA80" s="2" t="n"/>
      <c r="BB80" s="2" t="inlineStr">
        <is>
          <t>row is itself a proposal</t>
        </is>
      </c>
      <c r="BC80" s="2" t="n"/>
      <c r="BD80" s="2" t="n"/>
      <c r="BE80" s="2" t="n"/>
      <c r="BF80" s="2">
        <f>IF(ISNUMBER(BC80),R80-BC80,"")</f>
        <v/>
      </c>
      <c r="BG80" s="4">
        <f>IF(AND(ISNUMBER(BC80),BC80&gt;0),(R80-BC80)/BC80,"")</f>
        <v/>
      </c>
      <c r="BH80" s="2">
        <f>IF(ISNUMBER(BD80),Y80-BD80,"")</f>
        <v/>
      </c>
      <c r="BI80" s="4">
        <f>IF(AND(ISNUMBER(BD80),BD80&gt;0),(Y80-BD80)/BD80,"")</f>
        <v/>
      </c>
      <c r="BJ80" s="2">
        <f>IF(ISNUMBER(BE80),AE80-BE80,"")</f>
        <v/>
      </c>
      <c r="BK80" s="2" t="inlineStr">
        <is>
          <t>ex-ante only</t>
        </is>
      </c>
      <c r="BL80" s="2" t="inlineStr">
        <is>
          <t>ex-ante only: proposal still pending; qualitative impact analysis and audit baseline</t>
        </is>
      </c>
      <c r="BM80" s="2" t="inlineStr">
        <is>
          <t>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is>
      </c>
      <c r="BN80" s="2" t="n">
        <v>4</v>
      </c>
      <c r="BO80" s="2" t="n">
        <v>0</v>
      </c>
      <c r="BP80" s="2" t="n">
        <v>1</v>
      </c>
      <c r="BQ80" s="2" t="n">
        <v>0</v>
      </c>
      <c r="BR80" s="2" t="inlineStr"/>
    </row>
    <row r="81">
      <c r="A81" s="2" t="n">
        <v>80</v>
      </c>
      <c r="B81" s="2" t="inlineStr">
        <is>
          <t>Ecodesign for Sustainable Products Regulation</t>
        </is>
      </c>
      <c r="C81" s="2" t="inlineStr">
        <is>
          <t>Aims to make sustainable products the norm in the EU and reduce their environmental and carbon footprint over their life cycle. It sets a framework for ecodesign requirements, such as durability, repairability and recycled content, that almost all physical goods must meet before being placed on the market. It also creates a digital product passport, enables green public procurement requirements and addresses the destruction of unsold consumer products.</t>
        </is>
      </c>
      <c r="D81" s="2" t="inlineStr">
        <is>
          <t>Regulation (EU) 2024/1781</t>
        </is>
      </c>
      <c r="E81" s="2" t="inlineStr">
        <is>
          <t>Trust &amp; Safety</t>
        </is>
      </c>
      <c r="F81" s="2" t="inlineStr">
        <is>
          <t>enacted</t>
        </is>
      </c>
      <c r="G81" s="2" t="inlineStr">
        <is>
          <t>2022-03-30</t>
        </is>
      </c>
      <c r="H81" s="2" t="inlineStr">
        <is>
          <t>high</t>
        </is>
      </c>
      <c r="I81" s="2" t="inlineStr">
        <is>
          <t>2024-06-13</t>
        </is>
      </c>
      <c r="J81" s="2" t="inlineStr">
        <is>
          <t>2024-06-28</t>
        </is>
      </c>
      <c r="K81" s="2" t="inlineStr">
        <is>
          <t>2024-07-18</t>
        </is>
      </c>
      <c r="L81" s="2" t="inlineStr">
        <is>
          <t>adopted</t>
        </is>
      </c>
      <c r="M81" s="2" t="inlineStr">
        <is>
          <t>adopted</t>
        </is>
      </c>
      <c r="N81" s="2" t="inlineStr">
        <is>
          <t>32024R1781</t>
        </is>
      </c>
      <c r="O81" s="2" t="inlineStr">
        <is>
          <t>Original act as published in the OJ</t>
        </is>
      </c>
      <c r="P81" s="2" t="inlineStr">
        <is>
          <t>https://eur-lex.europa.eu/legal-content/EN/TXT/?uri=CELEX:32024R1781</t>
        </is>
      </c>
      <c r="Q81" s="3" t="n">
        <v>89</v>
      </c>
      <c r="R81" s="3" t="n">
        <v>49096</v>
      </c>
      <c r="S81" s="3" t="n">
        <v>18418</v>
      </c>
      <c r="T81" s="3" t="n">
        <v>18286</v>
      </c>
      <c r="U81" s="3" t="n">
        <v>27289</v>
      </c>
      <c r="V81" s="3" t="n">
        <v>3389</v>
      </c>
      <c r="W81" s="3" t="n">
        <v>0</v>
      </c>
      <c r="X81" s="3" t="n">
        <v>0</v>
      </c>
      <c r="Y81" s="3" t="n">
        <v>466</v>
      </c>
      <c r="Z81" s="3" t="n">
        <v>395</v>
      </c>
      <c r="AA81" s="3" t="n">
        <v>34</v>
      </c>
      <c r="AB81" s="3" t="n">
        <v>6</v>
      </c>
      <c r="AC81" s="3" t="n">
        <v>4</v>
      </c>
      <c r="AD81" s="3" t="n">
        <v>27</v>
      </c>
      <c r="AE81" s="3" t="n">
        <v>116</v>
      </c>
      <c r="AF81" s="3" t="n">
        <v>58</v>
      </c>
      <c r="AG81" s="3" t="n">
        <v>149</v>
      </c>
      <c r="AH81" s="3" t="n">
        <v>143</v>
      </c>
      <c r="AI81" s="2" t="inlineStr">
        <is>
          <t>02024R1781-20240628</t>
        </is>
      </c>
      <c r="AJ81" s="3" t="n">
        <v>466</v>
      </c>
      <c r="AK81" s="2" t="n">
        <v>116</v>
      </c>
      <c r="AL81" s="2">
        <f>COUNTIFS(secondary_acts!$A$2:$A$771,$A81,secondary_acts!$E$2:$E$771,"implementing")</f>
        <v/>
      </c>
      <c r="AM81" s="2">
        <f>COUNTIFS(secondary_acts!$A$2:$A$771,$A81,secondary_acts!$E$2:$E$771,"delegated")</f>
        <v/>
      </c>
      <c r="AN81" s="2">
        <f>COUNTIFS(secondary_acts!$A$2:$A$771,$A81,secondary_acts!$E$2:$E$771,"other Commission/Council act")</f>
        <v/>
      </c>
      <c r="AO81" s="2">
        <f>COUNTIFS(secondary_acts!$A$2:$A$771,$A81,secondary_acts!$E$2:$E$771,"guidance")</f>
        <v/>
      </c>
      <c r="AP81" s="2">
        <f>COUNTIF(guidance_web!$A$2:$A$7,$A81)</f>
        <v/>
      </c>
      <c r="AQ81" s="2">
        <f>COUNTIFS(guidance_agencies!$A$2:$A$81,$A81,guidance_agencies!$D$2:$D$81,"EDPB")</f>
        <v/>
      </c>
      <c r="AR81" s="2">
        <f>COUNTIFS(guidance_agencies!$A$2:$A$81,$A81,guidance_agencies!$D$2:$D$81,"EBA")</f>
        <v/>
      </c>
      <c r="AS81" s="2">
        <f>COUNTIFS(guidance_agencies!$A$2:$A$81,$A81,guidance_agencies!$D$2:$D$81,"ESMA")</f>
        <v/>
      </c>
      <c r="AT81" s="3">
        <f>SUMIFS(secondary_acts!$S$2:$S$771,secondary_acts!$A$2:$A$771,$A81,secondary_acts!$E$2:$E$771,"implementing")+SUMIFS(secondary_acts!$S$2:$S$771,secondary_acts!$A$2:$A$771,$A81,secondary_acts!$E$2:$E$771,"delegated")</f>
        <v/>
      </c>
      <c r="AU81" s="3" t="n"/>
      <c r="AV81" s="2" t="n"/>
      <c r="AW81" s="2" t="n">
        <v>0</v>
      </c>
      <c r="AX81" s="2" t="n"/>
      <c r="AY81" s="2" t="n"/>
      <c r="AZ81" s="2" t="n">
        <v>4</v>
      </c>
      <c r="BA81" s="2" t="inlineStr">
        <is>
          <t>52022PC0142</t>
        </is>
      </c>
      <c r="BB81" s="2" t="inlineStr">
        <is>
          <t>EUR-Lex HTML</t>
        </is>
      </c>
      <c r="BC81" s="2" t="n">
        <v>38936</v>
      </c>
      <c r="BD81" s="2" t="n">
        <v>474</v>
      </c>
      <c r="BE81" s="2" t="n">
        <v>117</v>
      </c>
      <c r="BF81" s="2">
        <f>IF(ISNUMBER(BC81),R81-BC81,"")</f>
        <v/>
      </c>
      <c r="BG81" s="4">
        <f>IF(AND(ISNUMBER(BC81),BC81&gt;0),(R81-BC81)/BC81,"")</f>
        <v/>
      </c>
      <c r="BH81" s="2">
        <f>IF(ISNUMBER(BD81),Y81-BD81,"")</f>
        <v/>
      </c>
      <c r="BI81" s="4">
        <f>IF(AND(ISNUMBER(BD81),BD81&gt;0),(Y81-BD81)/BD81,"")</f>
        <v/>
      </c>
      <c r="BJ81" s="2">
        <f>IF(ISNUMBER(BE81),AE81-BE81,"")</f>
        <v/>
      </c>
      <c r="BK81" s="2" t="inlineStr">
        <is>
          <t>ex-ante only</t>
        </is>
      </c>
      <c r="BL81" s="2" t="inlineStr">
        <is>
          <t>ex-ante only: framework law, product rules not yet adopted; forecasts largely unquantified</t>
        </is>
      </c>
      <c r="BM81" s="2" t="inlineStr">
        <is>
          <t>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is>
      </c>
      <c r="BN81" s="2" t="n">
        <v>5</v>
      </c>
      <c r="BO81" s="2" t="n">
        <v>1</v>
      </c>
      <c r="BP81" s="2" t="n">
        <v>2</v>
      </c>
      <c r="BQ81" s="2" t="n">
        <v>0</v>
      </c>
      <c r="BR81" s="2" t="inlineStr"/>
    </row>
    <row r="82">
      <c r="A82" s="2" t="n">
        <v>81</v>
      </c>
      <c r="B82" s="2" t="inlineStr">
        <is>
          <t>European Health Data Space</t>
        </is>
      </c>
      <c r="C82" s="2" t="inlineStr">
        <is>
          <t>Establishes the European Health Data Space to make it easier to access electronic health data, both for patient care and for uses such as research, innovation and policymaking. It strengthens people's rights over their health data, sets common rules for electronic health record systems, creates cross-border infrastructures for exchanging health data, and sets up governance at EU and national level.</t>
        </is>
      </c>
      <c r="D82" s="2" t="inlineStr">
        <is>
          <t>Regulation (EU) 2025/327</t>
        </is>
      </c>
      <c r="E82" s="2" t="inlineStr">
        <is>
          <t>Data &amp; Privacy</t>
        </is>
      </c>
      <c r="F82" s="2" t="inlineStr">
        <is>
          <t>enacted</t>
        </is>
      </c>
      <c r="G82" s="2" t="inlineStr">
        <is>
          <t>2022-05-03</t>
        </is>
      </c>
      <c r="H82" s="2" t="inlineStr">
        <is>
          <t>high</t>
        </is>
      </c>
      <c r="I82" s="2" t="inlineStr">
        <is>
          <t>2025-02-11</t>
        </is>
      </c>
      <c r="J82" s="2" t="inlineStr">
        <is>
          <t>2025-03-05</t>
        </is>
      </c>
      <c r="K82" s="2" t="inlineStr">
        <is>
          <t>2025-03-25</t>
        </is>
      </c>
      <c r="L82" s="2" t="inlineStr">
        <is>
          <t>adopted</t>
        </is>
      </c>
      <c r="M82" s="2" t="inlineStr">
        <is>
          <t>adopted</t>
        </is>
      </c>
      <c r="N82" s="2" t="inlineStr">
        <is>
          <t>32025R0327</t>
        </is>
      </c>
      <c r="O82" s="2" t="inlineStr">
        <is>
          <t>Original act as published in the OJ</t>
        </is>
      </c>
      <c r="P82" s="2" t="inlineStr">
        <is>
          <t>https://eur-lex.europa.eu/legal-content/EN/TXT/?uri=CELEX:32025R0327</t>
        </is>
      </c>
      <c r="Q82" s="3" t="n">
        <v>96</v>
      </c>
      <c r="R82" s="3" t="n">
        <v>59369</v>
      </c>
      <c r="S82" s="3" t="n">
        <v>22349</v>
      </c>
      <c r="T82" s="3" t="n">
        <v>22214</v>
      </c>
      <c r="U82" s="3" t="n">
        <v>35353</v>
      </c>
      <c r="V82" s="3" t="n">
        <v>1667</v>
      </c>
      <c r="W82" s="3" t="n">
        <v>0</v>
      </c>
      <c r="X82" s="3" t="n">
        <v>0</v>
      </c>
      <c r="Y82" s="3" t="n">
        <v>609</v>
      </c>
      <c r="Z82" s="3" t="n">
        <v>541</v>
      </c>
      <c r="AA82" s="3" t="n">
        <v>26</v>
      </c>
      <c r="AB82" s="3" t="n">
        <v>6</v>
      </c>
      <c r="AC82" s="3" t="n">
        <v>4</v>
      </c>
      <c r="AD82" s="3" t="n">
        <v>32</v>
      </c>
      <c r="AE82" s="3" t="n">
        <v>164</v>
      </c>
      <c r="AF82" s="3" t="n">
        <v>128</v>
      </c>
      <c r="AG82" s="3" t="n">
        <v>140</v>
      </c>
      <c r="AH82" s="3" t="n">
        <v>177</v>
      </c>
      <c r="AI82" s="2" t="inlineStr">
        <is>
          <t>02025R0327-20250305</t>
        </is>
      </c>
      <c r="AJ82" s="3" t="n">
        <v>609</v>
      </c>
      <c r="AK82" s="2" t="n">
        <v>164</v>
      </c>
      <c r="AL82" s="2">
        <f>COUNTIFS(secondary_acts!$A$2:$A$771,$A82,secondary_acts!$E$2:$E$771,"implementing")</f>
        <v/>
      </c>
      <c r="AM82" s="2">
        <f>COUNTIFS(secondary_acts!$A$2:$A$771,$A82,secondary_acts!$E$2:$E$771,"delegated")</f>
        <v/>
      </c>
      <c r="AN82" s="2">
        <f>COUNTIFS(secondary_acts!$A$2:$A$771,$A82,secondary_acts!$E$2:$E$771,"other Commission/Council act")</f>
        <v/>
      </c>
      <c r="AO82" s="2">
        <f>COUNTIFS(secondary_acts!$A$2:$A$771,$A82,secondary_acts!$E$2:$E$771,"guidance")</f>
        <v/>
      </c>
      <c r="AP82" s="2">
        <f>COUNTIF(guidance_web!$A$2:$A$7,$A82)</f>
        <v/>
      </c>
      <c r="AQ82" s="2">
        <f>COUNTIFS(guidance_agencies!$A$2:$A$81,$A82,guidance_agencies!$D$2:$D$81,"EDPB")</f>
        <v/>
      </c>
      <c r="AR82" s="2">
        <f>COUNTIFS(guidance_agencies!$A$2:$A$81,$A82,guidance_agencies!$D$2:$D$81,"EBA")</f>
        <v/>
      </c>
      <c r="AS82" s="2">
        <f>COUNTIFS(guidance_agencies!$A$2:$A$81,$A82,guidance_agencies!$D$2:$D$81,"ESMA")</f>
        <v/>
      </c>
      <c r="AT82" s="3">
        <f>SUMIFS(secondary_acts!$S$2:$S$771,secondary_acts!$A$2:$A$771,$A82,secondary_acts!$E$2:$E$771,"implementing")+SUMIFS(secondary_acts!$S$2:$S$771,secondary_acts!$A$2:$A$771,$A82,secondary_acts!$E$2:$E$771,"delegated")</f>
        <v/>
      </c>
      <c r="AU82" s="3" t="n"/>
      <c r="AV82" s="2" t="n"/>
      <c r="AW82" s="2" t="n">
        <v>0</v>
      </c>
      <c r="AX82" s="2" t="n"/>
      <c r="AY82" s="2" t="n"/>
      <c r="AZ82" s="2" t="n">
        <v>3</v>
      </c>
      <c r="BA82" s="2" t="inlineStr">
        <is>
          <t>52022PC0197</t>
        </is>
      </c>
      <c r="BB82" s="2" t="inlineStr">
        <is>
          <t>EUR-Lex HTML</t>
        </is>
      </c>
      <c r="BC82" s="2" t="n">
        <v>37113</v>
      </c>
      <c r="BD82" s="2" t="n">
        <v>398</v>
      </c>
      <c r="BE82" s="2" t="n">
        <v>91</v>
      </c>
      <c r="BF82" s="2">
        <f>IF(ISNUMBER(BC82),R82-BC82,"")</f>
        <v/>
      </c>
      <c r="BG82" s="4">
        <f>IF(AND(ISNUMBER(BC82),BC82&gt;0),(R82-BC82)/BC82,"")</f>
        <v/>
      </c>
      <c r="BH82" s="2">
        <f>IF(ISNUMBER(BD82),Y82-BD82,"")</f>
        <v/>
      </c>
      <c r="BI82" s="4">
        <f>IF(AND(ISNUMBER(BD82),BD82&gt;0),(Y82-BD82)/BD82,"")</f>
        <v/>
      </c>
      <c r="BJ82" s="2">
        <f>IF(ISNUMBER(BE82),AE82-BE82,"")</f>
        <v/>
      </c>
      <c r="BK82" s="2" t="inlineStr">
        <is>
          <t>ex-ante only</t>
        </is>
      </c>
      <c r="BL82" s="2" t="inlineStr">
        <is>
          <t>ex-ante only: Commission IA forecast and baseline counts; obligations apply from 2027-2031 so no outcome evidence</t>
        </is>
      </c>
      <c r="BM82" s="2" t="inlineStr">
        <is>
          <t>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is>
      </c>
      <c r="BN82" s="2" t="n">
        <v>4</v>
      </c>
      <c r="BO82" s="2" t="n">
        <v>1</v>
      </c>
      <c r="BP82" s="2" t="n">
        <v>4</v>
      </c>
      <c r="BQ82" s="2" t="n">
        <v>0</v>
      </c>
      <c r="BR82" s="2" t="inlineStr">
        <is>
          <t>no consolidated text with amendments in EUR-Lex; consolidated count = original</t>
        </is>
      </c>
    </row>
    <row r="83">
      <c r="A83" s="2" t="n">
        <v>82</v>
      </c>
      <c r="B83" s="2" t="inlineStr">
        <is>
          <t>Child Sexual Abuse Regulation (CSAR)</t>
        </is>
      </c>
      <c r="C83" s="2" t="inlineStr">
        <is>
          <t>Would set uniform rules to tackle the misuse of online services for child sexual abuse. It would require online service providers to assess and reduce the risk of such misuse and, following a detection order, require hosting and messaging services to detect and report abuse. It would also require removing or blocking child sexual abuse material and would create an EU Centre on Child Sexual Abuse.</t>
        </is>
      </c>
      <c r="D83" s="2" t="inlineStr">
        <is>
          <t>2022/0155(COD)</t>
        </is>
      </c>
      <c r="E83" s="2" t="inlineStr">
        <is>
          <t>Law Enforcement</t>
        </is>
      </c>
      <c r="F83" s="2" t="inlineStr">
        <is>
          <t>proposal (listed in the cell of its enacted predecessor)</t>
        </is>
      </c>
      <c r="G83" s="2" t="inlineStr">
        <is>
          <t>2022-05-11</t>
        </is>
      </c>
      <c r="H83" s="2" t="inlineStr">
        <is>
          <t>high</t>
        </is>
      </c>
      <c r="I83" s="2" t="n"/>
      <c r="J83" s="2" t="n"/>
      <c r="K83" s="2" t="n"/>
      <c r="L83" s="2" t="inlineStr">
        <is>
          <t>proposed</t>
        </is>
      </c>
      <c r="M83" s="2" t="inlineStr">
        <is>
          <t>proposed</t>
        </is>
      </c>
      <c r="N83" s="2" t="inlineStr">
        <is>
          <t>52022PC0209</t>
        </is>
      </c>
      <c r="O83" s="2" t="inlineStr">
        <is>
          <t>Commission proposal (COM)</t>
        </is>
      </c>
      <c r="P83" s="2" t="inlineStr">
        <is>
          <t>https://eur-lex.europa.eu/legal-content/EN/TXT/?uri=CELEX:52022PC0209</t>
        </is>
      </c>
      <c r="Q83" s="3" t="n">
        <v>156</v>
      </c>
      <c r="R83" s="3" t="n">
        <v>41850</v>
      </c>
      <c r="S83" s="3" t="n">
        <v>9755</v>
      </c>
      <c r="T83" s="3" t="n">
        <v>9630</v>
      </c>
      <c r="U83" s="3" t="n">
        <v>28710</v>
      </c>
      <c r="V83" s="3" t="n">
        <v>3385</v>
      </c>
      <c r="W83" s="3" t="n">
        <v>10245</v>
      </c>
      <c r="X83" s="3" t="n">
        <v>8749</v>
      </c>
      <c r="Y83" s="3" t="n">
        <v>467</v>
      </c>
      <c r="Z83" s="3" t="n">
        <v>410</v>
      </c>
      <c r="AA83" s="3" t="n">
        <v>20</v>
      </c>
      <c r="AB83" s="3" t="n">
        <v>5</v>
      </c>
      <c r="AC83" s="3" t="n">
        <v>5</v>
      </c>
      <c r="AD83" s="3" t="n">
        <v>27</v>
      </c>
      <c r="AE83" s="3" t="n">
        <v>67</v>
      </c>
      <c r="AF83" s="3" t="n">
        <v>124</v>
      </c>
      <c r="AG83" s="3" t="n">
        <v>125</v>
      </c>
      <c r="AH83" s="3" t="n">
        <v>151</v>
      </c>
      <c r="AI83" s="2" t="n"/>
      <c r="AJ83" s="3" t="n"/>
      <c r="AK83" s="2" t="n"/>
      <c r="AL83" s="2">
        <f>COUNTIFS(secondary_acts!$A$2:$A$771,$A83,secondary_acts!$E$2:$E$771,"implementing")</f>
        <v/>
      </c>
      <c r="AM83" s="2">
        <f>COUNTIFS(secondary_acts!$A$2:$A$771,$A83,secondary_acts!$E$2:$E$771,"delegated")</f>
        <v/>
      </c>
      <c r="AN83" s="2">
        <f>COUNTIFS(secondary_acts!$A$2:$A$771,$A83,secondary_acts!$E$2:$E$771,"other Commission/Council act")</f>
        <v/>
      </c>
      <c r="AO83" s="2">
        <f>COUNTIFS(secondary_acts!$A$2:$A$771,$A83,secondary_acts!$E$2:$E$771,"guidance")</f>
        <v/>
      </c>
      <c r="AP83" s="2">
        <f>COUNTIF(guidance_web!$A$2:$A$7,$A83)</f>
        <v/>
      </c>
      <c r="AQ83" s="2">
        <f>COUNTIFS(guidance_agencies!$A$2:$A$81,$A83,guidance_agencies!$D$2:$D$81,"EDPB")</f>
        <v/>
      </c>
      <c r="AR83" s="2">
        <f>COUNTIFS(guidance_agencies!$A$2:$A$81,$A83,guidance_agencies!$D$2:$D$81,"EBA")</f>
        <v/>
      </c>
      <c r="AS83" s="2">
        <f>COUNTIFS(guidance_agencies!$A$2:$A$81,$A83,guidance_agencies!$D$2:$D$81,"ESMA")</f>
        <v/>
      </c>
      <c r="AT83" s="3">
        <f>SUMIFS(secondary_acts!$S$2:$S$771,secondary_acts!$A$2:$A$771,$A83,secondary_acts!$E$2:$E$771,"implementing")+SUMIFS(secondary_acts!$S$2:$S$771,secondary_acts!$A$2:$A$771,$A83,secondary_acts!$E$2:$E$771,"delegated")</f>
        <v/>
      </c>
      <c r="AU83" s="3" t="n"/>
      <c r="AV83" s="2" t="n"/>
      <c r="AW83" s="2" t="n"/>
      <c r="AX83" s="2" t="n"/>
      <c r="AY83" s="2" t="n"/>
      <c r="AZ83" s="2" t="n"/>
      <c r="BA83" s="2" t="n"/>
      <c r="BB83" s="2" t="inlineStr">
        <is>
          <t>row is itself a proposal</t>
        </is>
      </c>
      <c r="BC83" s="2" t="n"/>
      <c r="BD83" s="2" t="n"/>
      <c r="BE83" s="2" t="n"/>
      <c r="BF83" s="2">
        <f>IF(ISNUMBER(BC83),R83-BC83,"")</f>
        <v/>
      </c>
      <c r="BG83" s="4">
        <f>IF(AND(ISNUMBER(BC83),BC83&gt;0),(R83-BC83)/BC83,"")</f>
        <v/>
      </c>
      <c r="BH83" s="2">
        <f>IF(ISNUMBER(BD83),Y83-BD83,"")</f>
        <v/>
      </c>
      <c r="BI83" s="4">
        <f>IF(AND(ISNUMBER(BD83),BD83&gt;0),(Y83-BD83)/BD83,"")</f>
        <v/>
      </c>
      <c r="BJ83" s="2">
        <f>IF(ISNUMBER(BE83),AE83-BE83,"")</f>
        <v/>
      </c>
      <c r="BK83" s="2" t="inlineStr">
        <is>
          <t>ex-ante only</t>
        </is>
      </c>
      <c r="BL83" s="2" t="inlineStr">
        <is>
          <t>ex-ante only and contested: Commission IA cost forecasts versus critical Parliament complementary IA and regulators' opinion; proposal still in trilogue</t>
        </is>
      </c>
      <c r="BM83" s="2" t="inlineStr">
        <is>
          <t>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is>
      </c>
      <c r="BN83" s="2" t="n">
        <v>2</v>
      </c>
      <c r="BO83" s="2" t="n">
        <v>0</v>
      </c>
      <c r="BP83" s="2" t="n">
        <v>1</v>
      </c>
      <c r="BQ83" s="2" t="n">
        <v>0</v>
      </c>
      <c r="BR83" s="2" t="inlineStr"/>
    </row>
    <row r="84">
      <c r="A84" s="2" t="n">
        <v>83</v>
      </c>
      <c r="B84" s="2" t="inlineStr">
        <is>
          <t>Cyber Resilience Act</t>
        </is>
      </c>
      <c r="C84" s="2" t="inlineStr">
        <is>
          <t>Aims to ensure the cybersecurity of hardware and software products with digital elements that connect to a device or network. It sets essential cybersecurity requirements for their design, development and production, and requires manufacturers to handle vulnerabilities throughout the period the products are expected to be in use. It sets obligations for manufacturers, importers and distributors and provides for market surveillance and enforcement.</t>
        </is>
      </c>
      <c r="D84" s="2" t="inlineStr">
        <is>
          <t>Regulation (EU) 2024/2847</t>
        </is>
      </c>
      <c r="E84" s="2" t="inlineStr">
        <is>
          <t>Cybersecurity</t>
        </is>
      </c>
      <c r="F84" s="2" t="inlineStr">
        <is>
          <t>enacted</t>
        </is>
      </c>
      <c r="G84" s="2" t="inlineStr">
        <is>
          <t>2022-09-15</t>
        </is>
      </c>
      <c r="H84" s="2" t="inlineStr">
        <is>
          <t>high</t>
        </is>
      </c>
      <c r="I84" s="2" t="inlineStr">
        <is>
          <t>2024-10-23</t>
        </is>
      </c>
      <c r="J84" s="2" t="inlineStr">
        <is>
          <t>2024-11-20</t>
        </is>
      </c>
      <c r="K84" s="2" t="inlineStr">
        <is>
          <t>2024-12-10</t>
        </is>
      </c>
      <c r="L84" s="2" t="inlineStr">
        <is>
          <t>adopted</t>
        </is>
      </c>
      <c r="M84" s="2" t="inlineStr">
        <is>
          <t>adopted</t>
        </is>
      </c>
      <c r="N84" s="2" t="inlineStr">
        <is>
          <t>32024R2847</t>
        </is>
      </c>
      <c r="O84" s="2" t="inlineStr">
        <is>
          <t>Original act as published in the OJ</t>
        </is>
      </c>
      <c r="P84" s="2" t="inlineStr">
        <is>
          <t>https://eur-lex.europa.eu/legal-content/EN/TXT/?uri=CELEX:32024R2847</t>
        </is>
      </c>
      <c r="Q84" s="3" t="n">
        <v>81</v>
      </c>
      <c r="R84" s="3" t="n">
        <v>51049</v>
      </c>
      <c r="S84" s="3" t="n">
        <v>21364</v>
      </c>
      <c r="T84" s="3" t="n">
        <v>21224</v>
      </c>
      <c r="U84" s="3" t="n">
        <v>23872</v>
      </c>
      <c r="V84" s="3" t="n">
        <v>5813</v>
      </c>
      <c r="W84" s="3" t="n">
        <v>0</v>
      </c>
      <c r="X84" s="3" t="n">
        <v>0</v>
      </c>
      <c r="Y84" s="3" t="n">
        <v>501</v>
      </c>
      <c r="Z84" s="3" t="n">
        <v>451</v>
      </c>
      <c r="AA84" s="3" t="n">
        <v>18</v>
      </c>
      <c r="AB84" s="3" t="n">
        <v>2</v>
      </c>
      <c r="AC84" s="3" t="n">
        <v>3</v>
      </c>
      <c r="AD84" s="3" t="n">
        <v>27</v>
      </c>
      <c r="AE84" s="3" t="n">
        <v>183</v>
      </c>
      <c r="AF84" s="3" t="n">
        <v>90</v>
      </c>
      <c r="AG84" s="3" t="n">
        <v>102</v>
      </c>
      <c r="AH84" s="3" t="n">
        <v>126</v>
      </c>
      <c r="AI84" s="2" t="inlineStr">
        <is>
          <t>02024R2847-20241120</t>
        </is>
      </c>
      <c r="AJ84" s="3" t="n">
        <v>501</v>
      </c>
      <c r="AK84" s="2" t="n">
        <v>183</v>
      </c>
      <c r="AL84" s="2">
        <f>COUNTIFS(secondary_acts!$A$2:$A$771,$A84,secondary_acts!$E$2:$E$771,"implementing")</f>
        <v/>
      </c>
      <c r="AM84" s="2">
        <f>COUNTIFS(secondary_acts!$A$2:$A$771,$A84,secondary_acts!$E$2:$E$771,"delegated")</f>
        <v/>
      </c>
      <c r="AN84" s="2">
        <f>COUNTIFS(secondary_acts!$A$2:$A$771,$A84,secondary_acts!$E$2:$E$771,"other Commission/Council act")</f>
        <v/>
      </c>
      <c r="AO84" s="2">
        <f>COUNTIFS(secondary_acts!$A$2:$A$771,$A84,secondary_acts!$E$2:$E$771,"guidance")</f>
        <v/>
      </c>
      <c r="AP84" s="2">
        <f>COUNTIF(guidance_web!$A$2:$A$7,$A84)</f>
        <v/>
      </c>
      <c r="AQ84" s="2">
        <f>COUNTIFS(guidance_agencies!$A$2:$A$81,$A84,guidance_agencies!$D$2:$D$81,"EDPB")</f>
        <v/>
      </c>
      <c r="AR84" s="2">
        <f>COUNTIFS(guidance_agencies!$A$2:$A$81,$A84,guidance_agencies!$D$2:$D$81,"EBA")</f>
        <v/>
      </c>
      <c r="AS84" s="2">
        <f>COUNTIFS(guidance_agencies!$A$2:$A$81,$A84,guidance_agencies!$D$2:$D$81,"ESMA")</f>
        <v/>
      </c>
      <c r="AT84" s="3">
        <f>SUMIFS(secondary_acts!$S$2:$S$771,secondary_acts!$A$2:$A$771,$A84,secondary_acts!$E$2:$E$771,"implementing")+SUMIFS(secondary_acts!$S$2:$S$771,secondary_acts!$A$2:$A$771,$A84,secondary_acts!$E$2:$E$771,"delegated")</f>
        <v/>
      </c>
      <c r="AU84" s="3" t="n"/>
      <c r="AV84" s="2" t="n"/>
      <c r="AW84" s="2" t="n">
        <v>1</v>
      </c>
      <c r="AX84" s="2" t="inlineStr">
        <is>
          <t>2025-02-11</t>
        </is>
      </c>
      <c r="AY84" s="2" t="inlineStr">
        <is>
          <t>2025-02-11</t>
        </is>
      </c>
      <c r="AZ84" s="2" t="n">
        <v>8</v>
      </c>
      <c r="BA84" s="2" t="inlineStr">
        <is>
          <t>52022PC0454</t>
        </is>
      </c>
      <c r="BB84" s="2" t="inlineStr">
        <is>
          <t>EUR-Lex HTML</t>
        </is>
      </c>
      <c r="BC84" s="2" t="n">
        <v>30753</v>
      </c>
      <c r="BD84" s="2" t="n">
        <v>356</v>
      </c>
      <c r="BE84" s="2" t="n">
        <v>140</v>
      </c>
      <c r="BF84" s="2">
        <f>IF(ISNUMBER(BC84),R84-BC84,"")</f>
        <v/>
      </c>
      <c r="BG84" s="4">
        <f>IF(AND(ISNUMBER(BC84),BC84&gt;0),(R84-BC84)/BC84,"")</f>
        <v/>
      </c>
      <c r="BH84" s="2">
        <f>IF(ISNUMBER(BD84),Y84-BD84,"")</f>
        <v/>
      </c>
      <c r="BI84" s="4">
        <f>IF(AND(ISNUMBER(BD84),BD84&gt;0),(Y84-BD84)/BD84,"")</f>
        <v/>
      </c>
      <c r="BJ84" s="2">
        <f>IF(ISNUMBER(BE84),AE84-BE84,"")</f>
        <v/>
      </c>
      <c r="BK84" s="2" t="inlineStr">
        <is>
          <t>ex-ante only</t>
        </is>
      </c>
      <c r="BL84" s="2" t="inlineStr">
        <is>
          <t>ex-ante only: obligations apply 2026-27; one readiness survey by an interested party</t>
        </is>
      </c>
      <c r="BM84" s="2" t="inlineStr">
        <is>
          <t>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is>
      </c>
      <c r="BN84" s="2" t="n">
        <v>5</v>
      </c>
      <c r="BO84" s="2" t="n">
        <v>0</v>
      </c>
      <c r="BP84" s="2" t="n">
        <v>5</v>
      </c>
      <c r="BQ84" s="2" t="n">
        <v>0</v>
      </c>
      <c r="BR84" s="2" t="inlineStr"/>
    </row>
    <row r="85">
      <c r="A85" s="2" t="n">
        <v>84</v>
      </c>
      <c r="B85" s="2" t="inlineStr">
        <is>
          <t>European Media Freedom Act</t>
        </is>
      </c>
      <c r="C85" s="2" t="inlineStr">
        <is>
          <t>Sets common rules for the internal market for media services while safeguarding media independence and pluralism. It protects editorial independence and journalistic sources, sets requirements for the independent functioning of public service media and for transparency of media ownership, and requires assessment of media market concentrations. It establishes the European Board for Media Services to support consistent application.</t>
        </is>
      </c>
      <c r="D85" s="2" t="inlineStr">
        <is>
          <t>Regulation (EU) 2024/1083</t>
        </is>
      </c>
      <c r="E85" s="2" t="inlineStr">
        <is>
          <t>Media</t>
        </is>
      </c>
      <c r="F85" s="2" t="inlineStr">
        <is>
          <t>enacted</t>
        </is>
      </c>
      <c r="G85" s="2" t="inlineStr">
        <is>
          <t>2022-09-16</t>
        </is>
      </c>
      <c r="H85" s="2" t="inlineStr">
        <is>
          <t>high</t>
        </is>
      </c>
      <c r="I85" s="2" t="inlineStr">
        <is>
          <t>2024-04-11</t>
        </is>
      </c>
      <c r="J85" s="2" t="inlineStr">
        <is>
          <t>2024-04-17</t>
        </is>
      </c>
      <c r="K85" s="2" t="inlineStr">
        <is>
          <t>2024-05-07</t>
        </is>
      </c>
      <c r="L85" s="2" t="inlineStr">
        <is>
          <t>adopted</t>
        </is>
      </c>
      <c r="M85" s="2" t="inlineStr">
        <is>
          <t>adopted</t>
        </is>
      </c>
      <c r="N85" s="2" t="inlineStr">
        <is>
          <t>32024R1083</t>
        </is>
      </c>
      <c r="O85" s="2" t="inlineStr">
        <is>
          <t>Original act as published in the OJ</t>
        </is>
      </c>
      <c r="P85" s="2" t="inlineStr">
        <is>
          <t>https://eur-lex.europa.eu/legal-content/EN/TXT/?uri=CELEX:32024R1083</t>
        </is>
      </c>
      <c r="Q85" s="3" t="n">
        <v>37</v>
      </c>
      <c r="R85" s="3" t="n">
        <v>26160</v>
      </c>
      <c r="S85" s="3" t="n">
        <v>16599</v>
      </c>
      <c r="T85" s="3" t="n">
        <v>16462</v>
      </c>
      <c r="U85" s="3" t="n">
        <v>9561</v>
      </c>
      <c r="V85" s="3" t="n">
        <v>0</v>
      </c>
      <c r="W85" s="3" t="n">
        <v>0</v>
      </c>
      <c r="X85" s="3" t="n">
        <v>0</v>
      </c>
      <c r="Y85" s="3" t="n">
        <v>153</v>
      </c>
      <c r="Z85" s="3" t="n">
        <v>131</v>
      </c>
      <c r="AA85" s="3" t="n">
        <v>3</v>
      </c>
      <c r="AB85" s="3" t="n">
        <v>1</v>
      </c>
      <c r="AC85" s="3" t="n">
        <v>1</v>
      </c>
      <c r="AD85" s="3" t="n">
        <v>17</v>
      </c>
      <c r="AE85" s="3" t="n">
        <v>24</v>
      </c>
      <c r="AF85" s="3" t="n">
        <v>48</v>
      </c>
      <c r="AG85" s="3" t="n">
        <v>63</v>
      </c>
      <c r="AH85" s="3" t="n">
        <v>18</v>
      </c>
      <c r="AI85" s="2" t="inlineStr">
        <is>
          <t>02024R1083-20240417</t>
        </is>
      </c>
      <c r="AJ85" s="3" t="n">
        <v>153</v>
      </c>
      <c r="AK85" s="2" t="n">
        <v>24</v>
      </c>
      <c r="AL85" s="2">
        <f>COUNTIFS(secondary_acts!$A$2:$A$771,$A85,secondary_acts!$E$2:$E$771,"implementing")</f>
        <v/>
      </c>
      <c r="AM85" s="2">
        <f>COUNTIFS(secondary_acts!$A$2:$A$771,$A85,secondary_acts!$E$2:$E$771,"delegated")</f>
        <v/>
      </c>
      <c r="AN85" s="2">
        <f>COUNTIFS(secondary_acts!$A$2:$A$771,$A85,secondary_acts!$E$2:$E$771,"other Commission/Council act")</f>
        <v/>
      </c>
      <c r="AO85" s="2">
        <f>COUNTIFS(secondary_acts!$A$2:$A$771,$A85,secondary_acts!$E$2:$E$771,"guidance")</f>
        <v/>
      </c>
      <c r="AP85" s="2">
        <f>COUNTIF(guidance_web!$A$2:$A$7,$A85)</f>
        <v/>
      </c>
      <c r="AQ85" s="2">
        <f>COUNTIFS(guidance_agencies!$A$2:$A$81,$A85,guidance_agencies!$D$2:$D$81,"EDPB")</f>
        <v/>
      </c>
      <c r="AR85" s="2">
        <f>COUNTIFS(guidance_agencies!$A$2:$A$81,$A85,guidance_agencies!$D$2:$D$81,"EBA")</f>
        <v/>
      </c>
      <c r="AS85" s="2">
        <f>COUNTIFS(guidance_agencies!$A$2:$A$81,$A85,guidance_agencies!$D$2:$D$81,"ESMA")</f>
        <v/>
      </c>
      <c r="AT85" s="3">
        <f>SUMIFS(secondary_acts!$S$2:$S$771,secondary_acts!$A$2:$A$771,$A85,secondary_acts!$E$2:$E$771,"implementing")+SUMIFS(secondary_acts!$S$2:$S$771,secondary_acts!$A$2:$A$771,$A85,secondary_acts!$E$2:$E$771,"delegated")</f>
        <v/>
      </c>
      <c r="AU85" s="3" t="n"/>
      <c r="AV85" s="2" t="n"/>
      <c r="AW85" s="2" t="n">
        <v>0</v>
      </c>
      <c r="AX85" s="2" t="n"/>
      <c r="AY85" s="2" t="n"/>
      <c r="AZ85" s="2" t="n">
        <v>4</v>
      </c>
      <c r="BA85" s="2" t="inlineStr">
        <is>
          <t>52022PC0457</t>
        </is>
      </c>
      <c r="BB85" s="2" t="inlineStr">
        <is>
          <t>EUR-Lex HTML</t>
        </is>
      </c>
      <c r="BC85" s="2" t="n">
        <v>14840</v>
      </c>
      <c r="BD85" s="2" t="n">
        <v>108</v>
      </c>
      <c r="BE85" s="2" t="n">
        <v>13</v>
      </c>
      <c r="BF85" s="2">
        <f>IF(ISNUMBER(BC85),R85-BC85,"")</f>
        <v/>
      </c>
      <c r="BG85" s="4">
        <f>IF(AND(ISNUMBER(BC85),BC85&gt;0),(R85-BC85)/BC85,"")</f>
        <v/>
      </c>
      <c r="BH85" s="2">
        <f>IF(ISNUMBER(BD85),Y85-BD85,"")</f>
        <v/>
      </c>
      <c r="BI85" s="4">
        <f>IF(AND(ISNUMBER(BD85),BD85&gt;0),(Y85-BD85)/BD85,"")</f>
        <v/>
      </c>
      <c r="BJ85" s="2">
        <f>IF(ISNUMBER(BE85),AE85-BE85,"")</f>
        <v/>
      </c>
      <c r="BK85" s="2" t="inlineStr">
        <is>
          <t>thin</t>
        </is>
      </c>
      <c r="BL85" s="2" t="inlineStr">
        <is>
          <t>thin: NGO and think tank monitoring since full application in August 2025 finds most provisions not applied nationally (Hungary none); no measurement of effects on media freedom</t>
        </is>
      </c>
      <c r="BM85" s="2" t="inlineStr">
        <is>
          <t>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is>
      </c>
      <c r="BN85" s="2" t="n">
        <v>5</v>
      </c>
      <c r="BO85" s="2" t="n">
        <v>2</v>
      </c>
      <c r="BP85" s="2" t="n">
        <v>3</v>
      </c>
      <c r="BQ85" s="2" t="n">
        <v>0</v>
      </c>
      <c r="BR85" s="2" t="inlineStr">
        <is>
          <t>no consolidated text with amendments in EUR-Lex; consolidated count = original</t>
        </is>
      </c>
    </row>
    <row r="86">
      <c r="A86" s="2" t="n">
        <v>85</v>
      </c>
      <c r="B86" s="2" t="inlineStr">
        <is>
          <t>Single Market Emergency Instrument (IMERA)</t>
        </is>
      </c>
      <c r="C86" s="2" t="inlineStr">
        <is>
          <t>Creates a framework to anticipate, prepare for and respond to the impact of crises on the EU internal market. It aims to keep goods, services and people moving freely and to ensure the availability of crisis-relevant goods and services. It sets up an Internal Market Emergency and Resilience Board, contingency planning and measures for vigilance and emergency modes, including joint public procurement.</t>
        </is>
      </c>
      <c r="D86" s="2" t="inlineStr">
        <is>
          <t>Regulation (EU) 2024/2747</t>
        </is>
      </c>
      <c r="E86" s="2" t="inlineStr">
        <is>
          <t>Competition &amp; Single Market</t>
        </is>
      </c>
      <c r="F86" s="2" t="inlineStr">
        <is>
          <t>enacted</t>
        </is>
      </c>
      <c r="G86" s="2" t="inlineStr">
        <is>
          <t>2022-09-19</t>
        </is>
      </c>
      <c r="H86" s="2" t="inlineStr">
        <is>
          <t>high</t>
        </is>
      </c>
      <c r="I86" s="2" t="inlineStr">
        <is>
          <t>2024-10-09</t>
        </is>
      </c>
      <c r="J86" s="2" t="inlineStr">
        <is>
          <t>2024-11-08</t>
        </is>
      </c>
      <c r="K86" s="2" t="inlineStr">
        <is>
          <t>2024-11-28</t>
        </is>
      </c>
      <c r="L86" s="2" t="inlineStr">
        <is>
          <t>adopted</t>
        </is>
      </c>
      <c r="M86" s="2" t="inlineStr">
        <is>
          <t>adopted</t>
        </is>
      </c>
      <c r="N86" s="2" t="inlineStr">
        <is>
          <t>32024R2747</t>
        </is>
      </c>
      <c r="O86" s="2" t="inlineStr">
        <is>
          <t>Original act as published in the OJ</t>
        </is>
      </c>
      <c r="P86" s="2" t="inlineStr">
        <is>
          <t>https://eur-lex.europa.eu/legal-content/EN/TXT/?uri=CELEX:32024R2747</t>
        </is>
      </c>
      <c r="Q86" s="3" t="n">
        <v>43</v>
      </c>
      <c r="R86" s="3" t="n">
        <v>24374</v>
      </c>
      <c r="S86" s="3" t="n">
        <v>10138</v>
      </c>
      <c r="T86" s="3" t="n">
        <v>9986</v>
      </c>
      <c r="U86" s="3" t="n">
        <v>14236</v>
      </c>
      <c r="V86" s="3" t="n">
        <v>0</v>
      </c>
      <c r="W86" s="3" t="n">
        <v>0</v>
      </c>
      <c r="X86" s="3" t="n">
        <v>0</v>
      </c>
      <c r="Y86" s="3" t="n">
        <v>204</v>
      </c>
      <c r="Z86" s="3" t="n">
        <v>172</v>
      </c>
      <c r="AA86" s="3" t="n">
        <v>15</v>
      </c>
      <c r="AB86" s="3" t="n">
        <v>2</v>
      </c>
      <c r="AC86" s="3" t="n">
        <v>1</v>
      </c>
      <c r="AD86" s="3" t="n">
        <v>14</v>
      </c>
      <c r="AE86" s="3" t="n">
        <v>8</v>
      </c>
      <c r="AF86" s="3" t="n">
        <v>33</v>
      </c>
      <c r="AG86" s="3" t="n">
        <v>127</v>
      </c>
      <c r="AH86" s="3" t="n">
        <v>36</v>
      </c>
      <c r="AI86" s="2" t="inlineStr">
        <is>
          <t>02024R2747-20241108</t>
        </is>
      </c>
      <c r="AJ86" s="3" t="n">
        <v>204</v>
      </c>
      <c r="AK86" s="2" t="n">
        <v>8</v>
      </c>
      <c r="AL86" s="2">
        <f>COUNTIFS(secondary_acts!$A$2:$A$771,$A86,secondary_acts!$E$2:$E$771,"implementing")</f>
        <v/>
      </c>
      <c r="AM86" s="2">
        <f>COUNTIFS(secondary_acts!$A$2:$A$771,$A86,secondary_acts!$E$2:$E$771,"delegated")</f>
        <v/>
      </c>
      <c r="AN86" s="2">
        <f>COUNTIFS(secondary_acts!$A$2:$A$771,$A86,secondary_acts!$E$2:$E$771,"other Commission/Council act")</f>
        <v/>
      </c>
      <c r="AO86" s="2">
        <f>COUNTIFS(secondary_acts!$A$2:$A$771,$A86,secondary_acts!$E$2:$E$771,"guidance")</f>
        <v/>
      </c>
      <c r="AP86" s="2">
        <f>COUNTIF(guidance_web!$A$2:$A$7,$A86)</f>
        <v/>
      </c>
      <c r="AQ86" s="2">
        <f>COUNTIFS(guidance_agencies!$A$2:$A$81,$A86,guidance_agencies!$D$2:$D$81,"EDPB")</f>
        <v/>
      </c>
      <c r="AR86" s="2">
        <f>COUNTIFS(guidance_agencies!$A$2:$A$81,$A86,guidance_agencies!$D$2:$D$81,"EBA")</f>
        <v/>
      </c>
      <c r="AS86" s="2">
        <f>COUNTIFS(guidance_agencies!$A$2:$A$81,$A86,guidance_agencies!$D$2:$D$81,"ESMA")</f>
        <v/>
      </c>
      <c r="AT86" s="3">
        <f>SUMIFS(secondary_acts!$S$2:$S$771,secondary_acts!$A$2:$A$771,$A86,secondary_acts!$E$2:$E$771,"implementing")+SUMIFS(secondary_acts!$S$2:$S$771,secondary_acts!$A$2:$A$771,$A86,secondary_acts!$E$2:$E$771,"delegated")</f>
        <v/>
      </c>
      <c r="AU86" s="3" t="n"/>
      <c r="AV86" s="2" t="n"/>
      <c r="AW86" s="2" t="n">
        <v>0</v>
      </c>
      <c r="AX86" s="2" t="n"/>
      <c r="AY86" s="2" t="n"/>
      <c r="AZ86" s="2" t="n">
        <v>2</v>
      </c>
      <c r="BA86" s="2" t="inlineStr">
        <is>
          <t>52022PC0459</t>
        </is>
      </c>
      <c r="BB86" s="2" t="inlineStr">
        <is>
          <t>EUR-Lex HTML</t>
        </is>
      </c>
      <c r="BC86" s="2" t="n">
        <v>16426</v>
      </c>
      <c r="BD86" s="2" t="n">
        <v>191</v>
      </c>
      <c r="BE86" s="2" t="n">
        <v>7</v>
      </c>
      <c r="BF86" s="2">
        <f>IF(ISNUMBER(BC86),R86-BC86,"")</f>
        <v/>
      </c>
      <c r="BG86" s="4">
        <f>IF(AND(ISNUMBER(BC86),BC86&gt;0),(R86-BC86)/BC86,"")</f>
        <v/>
      </c>
      <c r="BH86" s="2">
        <f>IF(ISNUMBER(BD86),Y86-BD86,"")</f>
        <v/>
      </c>
      <c r="BI86" s="4">
        <f>IF(AND(ISNUMBER(BD86),BD86&gt;0),(Y86-BD86)/BD86,"")</f>
        <v/>
      </c>
      <c r="BJ86" s="2">
        <f>IF(ISNUMBER(BE86),AE86-BE86,"")</f>
        <v/>
      </c>
      <c r="BK86" s="2" t="inlineStr">
        <is>
          <t>ex-ante only</t>
        </is>
      </c>
      <c r="BL86" s="2" t="inlineStr">
        <is>
          <t>ex-ante only: unquantified forecasts; applies from May 2026 and never yet activated</t>
        </is>
      </c>
      <c r="BM86" s="2" t="inlineStr">
        <is>
          <t>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is>
      </c>
      <c r="BN86" s="2" t="n">
        <v>2</v>
      </c>
      <c r="BO86" s="2" t="n">
        <v>0</v>
      </c>
      <c r="BP86" s="2" t="n">
        <v>0</v>
      </c>
      <c r="BQ86" s="2" t="n">
        <v>0</v>
      </c>
      <c r="BR86" s="2" t="inlineStr">
        <is>
          <t>no consolidated text with amendments in EUR-Lex; consolidated count = original</t>
        </is>
      </c>
    </row>
    <row r="87">
      <c r="A87" s="2" t="n">
        <v>86</v>
      </c>
      <c r="B87" s="2" t="inlineStr">
        <is>
          <t>Product Liability Directive</t>
        </is>
      </c>
      <c r="C87" s="2" t="inlineStr">
        <is>
          <t>Sets common rules on the liability of economic operators for damage that defective products cause to people, and on compensation. It aims to ensure a high level of protection for consumers and other natural persons while supporting the internal market. It covers products placed on the market from 9 December 2026, including software, and does not apply to non-commercial free and open-source software.</t>
        </is>
      </c>
      <c r="D87" s="2" t="inlineStr">
        <is>
          <t>Directive (EU) 2024/2853</t>
        </is>
      </c>
      <c r="E87" s="2" t="inlineStr">
        <is>
          <t>Trust &amp; Safety</t>
        </is>
      </c>
      <c r="F87" s="2" t="inlineStr">
        <is>
          <t>enacted</t>
        </is>
      </c>
      <c r="G87" s="2" t="inlineStr">
        <is>
          <t>2022-09-28</t>
        </is>
      </c>
      <c r="H87" s="2" t="inlineStr">
        <is>
          <t>high</t>
        </is>
      </c>
      <c r="I87" s="2" t="inlineStr">
        <is>
          <t>2024-10-23</t>
        </is>
      </c>
      <c r="J87" s="2" t="inlineStr">
        <is>
          <t>2024-11-18</t>
        </is>
      </c>
      <c r="K87" s="2" t="inlineStr">
        <is>
          <t>2024-12-08</t>
        </is>
      </c>
      <c r="L87" s="2" t="inlineStr">
        <is>
          <t>adopted</t>
        </is>
      </c>
      <c r="M87" s="2" t="inlineStr">
        <is>
          <t>adopted</t>
        </is>
      </c>
      <c r="N87" s="2" t="inlineStr">
        <is>
          <t>32024L2853</t>
        </is>
      </c>
      <c r="O87" s="2" t="inlineStr">
        <is>
          <t>Original act as published in the OJ</t>
        </is>
      </c>
      <c r="P87" s="2" t="inlineStr">
        <is>
          <t>https://eur-lex.europa.eu/legal-content/EN/TXT/?uri=CELEX:32024L2853</t>
        </is>
      </c>
      <c r="Q87" s="3" t="n">
        <v>22</v>
      </c>
      <c r="R87" s="3" t="n">
        <v>13026</v>
      </c>
      <c r="S87" s="3" t="n">
        <v>8269</v>
      </c>
      <c r="T87" s="3" t="n">
        <v>8153</v>
      </c>
      <c r="U87" s="3" t="n">
        <v>4486</v>
      </c>
      <c r="V87" s="3" t="n">
        <v>271</v>
      </c>
      <c r="W87" s="3" t="n">
        <v>0</v>
      </c>
      <c r="X87" s="3" t="n">
        <v>0</v>
      </c>
      <c r="Y87" s="3" t="n">
        <v>46</v>
      </c>
      <c r="Z87" s="3" t="n">
        <v>24</v>
      </c>
      <c r="AA87" s="3" t="n">
        <v>4</v>
      </c>
      <c r="AB87" s="3" t="n">
        <v>0</v>
      </c>
      <c r="AC87" s="3" t="n">
        <v>2</v>
      </c>
      <c r="AD87" s="3" t="n">
        <v>16</v>
      </c>
      <c r="AE87" s="3" t="n">
        <v>5</v>
      </c>
      <c r="AF87" s="3" t="n">
        <v>30</v>
      </c>
      <c r="AG87" s="3" t="n">
        <v>4</v>
      </c>
      <c r="AH87" s="3" t="n">
        <v>7</v>
      </c>
      <c r="AI87" s="2" t="inlineStr">
        <is>
          <t>02024L2853-20241118</t>
        </is>
      </c>
      <c r="AJ87" s="3" t="n">
        <v>46</v>
      </c>
      <c r="AK87" s="2" t="n">
        <v>5</v>
      </c>
      <c r="AL87" s="2">
        <f>COUNTIFS(secondary_acts!$A$2:$A$771,$A87,secondary_acts!$E$2:$E$771,"implementing")</f>
        <v/>
      </c>
      <c r="AM87" s="2">
        <f>COUNTIFS(secondary_acts!$A$2:$A$771,$A87,secondary_acts!$E$2:$E$771,"delegated")</f>
        <v/>
      </c>
      <c r="AN87" s="2">
        <f>COUNTIFS(secondary_acts!$A$2:$A$771,$A87,secondary_acts!$E$2:$E$771,"other Commission/Council act")</f>
        <v/>
      </c>
      <c r="AO87" s="2">
        <f>COUNTIFS(secondary_acts!$A$2:$A$771,$A87,secondary_acts!$E$2:$E$771,"guidance")</f>
        <v/>
      </c>
      <c r="AP87" s="2">
        <f>COUNTIF(guidance_web!$A$2:$A$7,$A87)</f>
        <v/>
      </c>
      <c r="AQ87" s="2">
        <f>COUNTIFS(guidance_agencies!$A$2:$A$81,$A87,guidance_agencies!$D$2:$D$81,"EDPB")</f>
        <v/>
      </c>
      <c r="AR87" s="2">
        <f>COUNTIFS(guidance_agencies!$A$2:$A$81,$A87,guidance_agencies!$D$2:$D$81,"EBA")</f>
        <v/>
      </c>
      <c r="AS87" s="2">
        <f>COUNTIFS(guidance_agencies!$A$2:$A$81,$A87,guidance_agencies!$D$2:$D$81,"ESMA")</f>
        <v/>
      </c>
      <c r="AT87" s="3">
        <f>SUMIFS(secondary_acts!$S$2:$S$771,secondary_acts!$A$2:$A$771,$A87,secondary_acts!$E$2:$E$771,"implementing")+SUMIFS(secondary_acts!$S$2:$S$771,secondary_acts!$A$2:$A$771,$A87,secondary_acts!$E$2:$E$771,"delegated")</f>
        <v/>
      </c>
      <c r="AU87" s="3" t="n">
        <v>80</v>
      </c>
      <c r="AV87" s="2" t="n">
        <v>2</v>
      </c>
      <c r="AW87" s="2" t="n">
        <v>0</v>
      </c>
      <c r="AX87" s="2" t="n"/>
      <c r="AY87" s="2" t="n"/>
      <c r="AZ87" s="2" t="n">
        <v>2</v>
      </c>
      <c r="BA87" s="2" t="inlineStr">
        <is>
          <t>52022PC0495</t>
        </is>
      </c>
      <c r="BB87" s="2" t="inlineStr">
        <is>
          <t>EUR-Lex HTML</t>
        </is>
      </c>
      <c r="BC87" s="2" t="n">
        <v>8628</v>
      </c>
      <c r="BD87" s="2" t="n">
        <v>32</v>
      </c>
      <c r="BE87" s="2" t="n">
        <v>2</v>
      </c>
      <c r="BF87" s="2">
        <f>IF(ISNUMBER(BC87),R87-BC87,"")</f>
        <v/>
      </c>
      <c r="BG87" s="4">
        <f>IF(AND(ISNUMBER(BC87),BC87&gt;0),(R87-BC87)/BC87,"")</f>
        <v/>
      </c>
      <c r="BH87" s="2">
        <f>IF(ISNUMBER(BD87),Y87-BD87,"")</f>
        <v/>
      </c>
      <c r="BI87" s="4">
        <f>IF(AND(ISNUMBER(BD87),BD87&gt;0),(Y87-BD87)/BD87,"")</f>
        <v/>
      </c>
      <c r="BJ87" s="2">
        <f>IF(ISNUMBER(BE87),AE87-BE87,"")</f>
        <v/>
      </c>
      <c r="BK87" s="2" t="inlineStr">
        <is>
          <t>ex-ante only</t>
        </is>
      </c>
      <c r="BL87" s="2" t="inlineStr">
        <is>
          <t>ex-ante only: Commission forecasts, an evaluation of the old law and industry critique; applies from December 2026</t>
        </is>
      </c>
      <c r="BM87" s="2" t="inlineStr">
        <is>
          <t>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is>
      </c>
      <c r="BN87" s="2" t="n">
        <v>3</v>
      </c>
      <c r="BO87" s="2" t="n">
        <v>0</v>
      </c>
      <c r="BP87" s="2" t="n">
        <v>2</v>
      </c>
      <c r="BQ87" s="2" t="n">
        <v>0</v>
      </c>
      <c r="BR87" s="2" t="inlineStr"/>
    </row>
    <row r="88">
      <c r="A88" s="2" t="n">
        <v>87</v>
      </c>
      <c r="B88" s="2" t="inlineStr">
        <is>
          <t>Horizontal Block Exemption Regulations</t>
        </is>
      </c>
      <c r="C88" s="2" t="inlineStr">
        <is>
          <t>Two regulations exempt certain agreements between companies, including competitors, from the EU ban on anti-competitive agreements. Regulation 2023/1066 covers research and development agreements, subject to conditions on access to results and market share thresholds; Regulation 2023/1067 covers specialisation and joint production agreements where the parties' combined market share does not exceed 20%. Agreements with listed serious restrictions are excluded.</t>
        </is>
      </c>
      <c r="D88" s="2" t="inlineStr">
        <is>
          <t>Regulations (EU) 2023/1066, 2023/1067</t>
        </is>
      </c>
      <c r="E88" s="2" t="inlineStr">
        <is>
          <t>Competition &amp; Single Market</t>
        </is>
      </c>
      <c r="F88" s="2" t="inlineStr">
        <is>
          <t>enacted</t>
        </is>
      </c>
      <c r="G88" s="2" t="inlineStr">
        <is>
          <t>2022-03-01</t>
        </is>
      </c>
      <c r="H88" s="2" t="inlineStr">
        <is>
          <t>low</t>
        </is>
      </c>
      <c r="I88" s="2" t="inlineStr">
        <is>
          <t>2023-06-01</t>
        </is>
      </c>
      <c r="J88" s="2" t="inlineStr">
        <is>
          <t>2023-06-02</t>
        </is>
      </c>
      <c r="K88" s="2" t="inlineStr">
        <is>
          <t>2023-07-01</t>
        </is>
      </c>
      <c r="L88" s="2" t="inlineStr">
        <is>
          <t>adopted</t>
        </is>
      </c>
      <c r="M88" s="2" t="inlineStr">
        <is>
          <t>adopted</t>
        </is>
      </c>
      <c r="N88" s="2" t="inlineStr">
        <is>
          <t>32023R1066;32023R1067</t>
        </is>
      </c>
      <c r="O88" s="2" t="inlineStr">
        <is>
          <t>Original act as published in the OJ</t>
        </is>
      </c>
      <c r="P88" s="2" t="inlineStr">
        <is>
          <t>https://eur-lex.europa.eu/legal-content/EN/TXT/?uri=CELEX:32023R1066 ; https://eur-lex.europa.eu/legal-content/EN/TXT/?uri=CELEX:32023R1067</t>
        </is>
      </c>
      <c r="Q88" s="3" t="n">
        <v>18</v>
      </c>
      <c r="R88" s="3" t="n">
        <v>8700</v>
      </c>
      <c r="S88" s="3" t="n">
        <v>3248</v>
      </c>
      <c r="T88" s="3" t="n">
        <v>2996</v>
      </c>
      <c r="U88" s="3" t="n">
        <v>5452</v>
      </c>
      <c r="V88" s="3" t="n">
        <v>0</v>
      </c>
      <c r="W88" s="3" t="n">
        <v>0</v>
      </c>
      <c r="X88" s="3" t="n">
        <v>0</v>
      </c>
      <c r="Y88" s="3" t="n">
        <v>12</v>
      </c>
      <c r="Z88" s="3" t="n">
        <v>5</v>
      </c>
      <c r="AA88" s="3" t="n">
        <v>2</v>
      </c>
      <c r="AB88" s="3" t="n">
        <v>0</v>
      </c>
      <c r="AC88" s="3" t="n">
        <v>5</v>
      </c>
      <c r="AD88" s="3" t="n">
        <v>0</v>
      </c>
      <c r="AE88" s="3" t="n">
        <v>2</v>
      </c>
      <c r="AF88" s="3" t="n">
        <v>0</v>
      </c>
      <c r="AG88" s="3" t="n">
        <v>0</v>
      </c>
      <c r="AH88" s="3" t="n">
        <v>10</v>
      </c>
      <c r="AI88" s="2" t="inlineStr">
        <is>
          <t>02023R1066-20230602;02023R1067-20230602</t>
        </is>
      </c>
      <c r="AJ88" s="3" t="n">
        <v>12</v>
      </c>
      <c r="AK88" s="2" t="n">
        <v>2</v>
      </c>
      <c r="AL88" s="2">
        <f>COUNTIFS(secondary_acts!$A$2:$A$771,$A88,secondary_acts!$E$2:$E$771,"implementing")</f>
        <v/>
      </c>
      <c r="AM88" s="2">
        <f>COUNTIFS(secondary_acts!$A$2:$A$771,$A88,secondary_acts!$E$2:$E$771,"delegated")</f>
        <v/>
      </c>
      <c r="AN88" s="2">
        <f>COUNTIFS(secondary_acts!$A$2:$A$771,$A88,secondary_acts!$E$2:$E$771,"other Commission/Council act")</f>
        <v/>
      </c>
      <c r="AO88" s="2">
        <f>COUNTIFS(secondary_acts!$A$2:$A$771,$A88,secondary_acts!$E$2:$E$771,"guidance")</f>
        <v/>
      </c>
      <c r="AP88" s="2">
        <f>COUNTIF(guidance_web!$A$2:$A$7,$A88)</f>
        <v/>
      </c>
      <c r="AQ88" s="2">
        <f>COUNTIFS(guidance_agencies!$A$2:$A$81,$A88,guidance_agencies!$D$2:$D$81,"EDPB")</f>
        <v/>
      </c>
      <c r="AR88" s="2">
        <f>COUNTIFS(guidance_agencies!$A$2:$A$81,$A88,guidance_agencies!$D$2:$D$81,"EBA")</f>
        <v/>
      </c>
      <c r="AS88" s="2">
        <f>COUNTIFS(guidance_agencies!$A$2:$A$81,$A88,guidance_agencies!$D$2:$D$81,"ESMA")</f>
        <v/>
      </c>
      <c r="AT88" s="3">
        <f>SUMIFS(secondary_acts!$S$2:$S$771,secondary_acts!$A$2:$A$771,$A88,secondary_acts!$E$2:$E$771,"implementing")+SUMIFS(secondary_acts!$S$2:$S$771,secondary_acts!$A$2:$A$771,$A88,secondary_acts!$E$2:$E$771,"delegated")</f>
        <v/>
      </c>
      <c r="AU88" s="3" t="n"/>
      <c r="AV88" s="2" t="n"/>
      <c r="AW88" s="2" t="n">
        <v>0</v>
      </c>
      <c r="AX88" s="2" t="n"/>
      <c r="AY88" s="2" t="n"/>
      <c r="AZ88" s="2" t="n">
        <v>2</v>
      </c>
      <c r="BA88" s="2" t="n"/>
      <c r="BB88" s="2" t="inlineStr">
        <is>
          <t>no legislative proposal (Commission act)</t>
        </is>
      </c>
      <c r="BC88" s="2" t="n"/>
      <c r="BD88" s="2" t="n"/>
      <c r="BE88" s="2" t="n"/>
      <c r="BF88" s="2">
        <f>IF(ISNUMBER(BC88),R88-BC88,"")</f>
        <v/>
      </c>
      <c r="BG88" s="4">
        <f>IF(AND(ISNUMBER(BC88),BC88&gt;0),(R88-BC88)/BC88,"")</f>
        <v/>
      </c>
      <c r="BH88" s="2">
        <f>IF(ISNUMBER(BD88),Y88-BD88,"")</f>
        <v/>
      </c>
      <c r="BI88" s="4">
        <f>IF(AND(ISNUMBER(BD88),BD88&gt;0),(Y88-BD88)/BD88,"")</f>
        <v/>
      </c>
      <c r="BJ88" s="2">
        <f>IF(ISNUMBER(BE88),AE88-BE88,"")</f>
        <v/>
      </c>
      <c r="BK88" s="2" t="inlineStr">
        <is>
          <t>thin</t>
        </is>
      </c>
      <c r="BL88" s="2" t="inlineStr">
        <is>
          <t>very thin: Commission evaluation of the predecessor rules (qualitative) and theory; no empirical study of effects on R&amp;D cooperation or innovation</t>
        </is>
      </c>
      <c r="BM88" s="2" t="inlineStr">
        <is>
          <t>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is>
      </c>
      <c r="BN88" s="2" t="n">
        <v>3</v>
      </c>
      <c r="BO88" s="2" t="n">
        <v>1</v>
      </c>
      <c r="BP88" s="2" t="n">
        <v>2</v>
      </c>
      <c r="BQ88" s="2" t="n">
        <v>0</v>
      </c>
      <c r="BR88" s="2" t="inlineStr">
        <is>
          <t>Block exemption: defines a safe harbour ('the exemption shall not apply to...'), so few direct restrictions are counted; no consolidated text with amendments in EUR-Lex; consolidated count = original</t>
        </is>
      </c>
    </row>
    <row r="89">
      <c r="A89" s="2" t="n">
        <v>88</v>
      </c>
      <c r="B89" s="2" t="inlineStr">
        <is>
          <t>Interoperable Europe Act</t>
        </is>
      </c>
      <c r="C89" s="2" t="inlineStr">
        <is>
          <t>Aims to make public administrations' digital services work together across borders. Applies to EU bodies and public sector bodies that regulate, provide or manage trans-European digital public services. It requires interoperability assessments before binding requirements are set, creates an Interoperable Europe Board and portal to steer and share reusable solutions, and supports innovation measures such as regulatory sandboxes.</t>
        </is>
      </c>
      <c r="D89" s="2" t="inlineStr">
        <is>
          <t>Regulation (EU) 2024/903</t>
        </is>
      </c>
      <c r="E89" s="2" t="inlineStr">
        <is>
          <t>Data &amp; Privacy</t>
        </is>
      </c>
      <c r="F89" s="2" t="inlineStr">
        <is>
          <t>enacted</t>
        </is>
      </c>
      <c r="G89" s="2" t="inlineStr">
        <is>
          <t>2022-11-18</t>
        </is>
      </c>
      <c r="H89" s="2" t="inlineStr">
        <is>
          <t>high</t>
        </is>
      </c>
      <c r="I89" s="2" t="inlineStr">
        <is>
          <t>2024-03-13</t>
        </is>
      </c>
      <c r="J89" s="2" t="inlineStr">
        <is>
          <t>2024-03-22</t>
        </is>
      </c>
      <c r="K89" s="2" t="inlineStr">
        <is>
          <t>2024-04-11</t>
        </is>
      </c>
      <c r="L89" s="2" t="inlineStr">
        <is>
          <t>adopted</t>
        </is>
      </c>
      <c r="M89" s="2" t="inlineStr">
        <is>
          <t>adopted</t>
        </is>
      </c>
      <c r="N89" s="2" t="inlineStr">
        <is>
          <t>32024R0903</t>
        </is>
      </c>
      <c r="O89" s="2" t="inlineStr">
        <is>
          <t>Original act as published in the OJ</t>
        </is>
      </c>
      <c r="P89" s="2" t="inlineStr">
        <is>
          <t>https://eur-lex.europa.eu/legal-content/EN/TXT/?uri=CELEX:32024R0903</t>
        </is>
      </c>
      <c r="Q89" s="3" t="n">
        <v>26</v>
      </c>
      <c r="R89" s="3" t="n">
        <v>13633</v>
      </c>
      <c r="S89" s="3" t="n">
        <v>6335</v>
      </c>
      <c r="T89" s="3" t="n">
        <v>6206</v>
      </c>
      <c r="U89" s="3" t="n">
        <v>7199</v>
      </c>
      <c r="V89" s="3" t="n">
        <v>99</v>
      </c>
      <c r="W89" s="3" t="n">
        <v>0</v>
      </c>
      <c r="X89" s="3" t="n">
        <v>0</v>
      </c>
      <c r="Y89" s="3" t="n">
        <v>129</v>
      </c>
      <c r="Z89" s="3" t="n">
        <v>116</v>
      </c>
      <c r="AA89" s="3" t="n">
        <v>8</v>
      </c>
      <c r="AB89" s="3" t="n">
        <v>0</v>
      </c>
      <c r="AC89" s="3" t="n">
        <v>1</v>
      </c>
      <c r="AD89" s="3" t="n">
        <v>4</v>
      </c>
      <c r="AE89" s="3" t="n">
        <v>6</v>
      </c>
      <c r="AF89" s="3" t="n">
        <v>14</v>
      </c>
      <c r="AG89" s="3" t="n">
        <v>66</v>
      </c>
      <c r="AH89" s="3" t="n">
        <v>43</v>
      </c>
      <c r="AI89" s="2" t="n"/>
      <c r="AJ89" s="3" t="n"/>
      <c r="AK89" s="2" t="n"/>
      <c r="AL89" s="2">
        <f>COUNTIFS(secondary_acts!$A$2:$A$771,$A89,secondary_acts!$E$2:$E$771,"implementing")</f>
        <v/>
      </c>
      <c r="AM89" s="2">
        <f>COUNTIFS(secondary_acts!$A$2:$A$771,$A89,secondary_acts!$E$2:$E$771,"delegated")</f>
        <v/>
      </c>
      <c r="AN89" s="2">
        <f>COUNTIFS(secondary_acts!$A$2:$A$771,$A89,secondary_acts!$E$2:$E$771,"other Commission/Council act")</f>
        <v/>
      </c>
      <c r="AO89" s="2">
        <f>COUNTIFS(secondary_acts!$A$2:$A$771,$A89,secondary_acts!$E$2:$E$771,"guidance")</f>
        <v/>
      </c>
      <c r="AP89" s="2">
        <f>COUNTIF(guidance_web!$A$2:$A$7,$A89)</f>
        <v/>
      </c>
      <c r="AQ89" s="2">
        <f>COUNTIFS(guidance_agencies!$A$2:$A$81,$A89,guidance_agencies!$D$2:$D$81,"EDPB")</f>
        <v/>
      </c>
      <c r="AR89" s="2">
        <f>COUNTIFS(guidance_agencies!$A$2:$A$81,$A89,guidance_agencies!$D$2:$D$81,"EBA")</f>
        <v/>
      </c>
      <c r="AS89" s="2">
        <f>COUNTIFS(guidance_agencies!$A$2:$A$81,$A89,guidance_agencies!$D$2:$D$81,"ESMA")</f>
        <v/>
      </c>
      <c r="AT89" s="3">
        <f>SUMIFS(secondary_acts!$S$2:$S$771,secondary_acts!$A$2:$A$771,$A89,secondary_acts!$E$2:$E$771,"implementing")+SUMIFS(secondary_acts!$S$2:$S$771,secondary_acts!$A$2:$A$771,$A89,secondary_acts!$E$2:$E$771,"delegated")</f>
        <v/>
      </c>
      <c r="AU89" s="3" t="n"/>
      <c r="AV89" s="2" t="n"/>
      <c r="AW89" s="2" t="n">
        <v>0</v>
      </c>
      <c r="AX89" s="2" t="n"/>
      <c r="AY89" s="2" t="n"/>
      <c r="AZ89" s="2" t="n">
        <v>0</v>
      </c>
      <c r="BA89" s="2" t="inlineStr">
        <is>
          <t>52022PC0720</t>
        </is>
      </c>
      <c r="BB89" s="2" t="inlineStr">
        <is>
          <t>EUR-Lex HTML</t>
        </is>
      </c>
      <c r="BC89" s="2" t="n">
        <v>9785</v>
      </c>
      <c r="BD89" s="2" t="n">
        <v>99</v>
      </c>
      <c r="BE89" s="2" t="n">
        <v>4</v>
      </c>
      <c r="BF89" s="2">
        <f>IF(ISNUMBER(BC89),R89-BC89,"")</f>
        <v/>
      </c>
      <c r="BG89" s="4">
        <f>IF(AND(ISNUMBER(BC89),BC89&gt;0),(R89-BC89)/BC89,"")</f>
        <v/>
      </c>
      <c r="BH89" s="2">
        <f>IF(ISNUMBER(BD89),Y89-BD89,"")</f>
        <v/>
      </c>
      <c r="BI89" s="4">
        <f>IF(AND(ISNUMBER(BD89),BD89&gt;0),(Y89-BD89)/BD89,"")</f>
        <v/>
      </c>
      <c r="BJ89" s="2">
        <f>IF(ISNUMBER(BE89),AE89-BE89,"")</f>
        <v/>
      </c>
      <c r="BK89" s="2" t="inlineStr">
        <is>
          <t>ex-ante only</t>
        </is>
      </c>
      <c r="BL89" s="2" t="inlineStr">
        <is>
          <t>ex-ante only: savings potential not attributable to the Act; Commission activity reporting</t>
        </is>
      </c>
      <c r="BM89" s="2" t="inlineStr">
        <is>
          <t>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is>
      </c>
      <c r="BN89" s="2" t="n">
        <v>2</v>
      </c>
      <c r="BO89" s="2" t="n">
        <v>1</v>
      </c>
      <c r="BP89" s="2" t="n">
        <v>3</v>
      </c>
      <c r="BQ89" s="2" t="n">
        <v>0</v>
      </c>
      <c r="BR89" s="2" t="inlineStr"/>
    </row>
    <row r="90">
      <c r="A90" s="2" t="n">
        <v>89</v>
      </c>
      <c r="B90" s="2" t="inlineStr">
        <is>
          <t>Design Directive</t>
        </is>
      </c>
      <c r="C90" s="2" t="inlineStr">
        <is>
          <t>Recasts and modernises EU rules harmonising national design protection, to make it more accessible, efficient and suited to new technologies, especially for individual designers and SMEs. Applies to designs registered with national and Benelux offices or under international arrangements. It aligns the definitions of design and product, harmonises protection rules, introduces a repair clause for spare parts and allows administrative invalidity procedures.</t>
        </is>
      </c>
      <c r="D90" s="2" t="inlineStr">
        <is>
          <t>Directive (EU) 2024/2823</t>
        </is>
      </c>
      <c r="E90" s="2" t="inlineStr">
        <is>
          <t>IPR</t>
        </is>
      </c>
      <c r="F90" s="2" t="inlineStr">
        <is>
          <t>enacted</t>
        </is>
      </c>
      <c r="G90" s="2" t="inlineStr">
        <is>
          <t>2022-11-28</t>
        </is>
      </c>
      <c r="H90" s="2" t="inlineStr">
        <is>
          <t>high</t>
        </is>
      </c>
      <c r="I90" s="2" t="inlineStr">
        <is>
          <t>2024-10-23</t>
        </is>
      </c>
      <c r="J90" s="2" t="inlineStr">
        <is>
          <t>2024-11-18</t>
        </is>
      </c>
      <c r="K90" s="2" t="inlineStr">
        <is>
          <t>2024-12-08</t>
        </is>
      </c>
      <c r="L90" s="2" t="inlineStr">
        <is>
          <t>adopted</t>
        </is>
      </c>
      <c r="M90" s="2" t="inlineStr">
        <is>
          <t>adopted</t>
        </is>
      </c>
      <c r="N90" s="2" t="inlineStr">
        <is>
          <t>32024L2823</t>
        </is>
      </c>
      <c r="O90" s="2" t="inlineStr">
        <is>
          <t>Original act as published in the OJ</t>
        </is>
      </c>
      <c r="P90" s="2" t="inlineStr">
        <is>
          <t>https://eur-lex.europa.eu/legal-content/EN/TXT/?uri=CELEX:32024L2823</t>
        </is>
      </c>
      <c r="Q90" s="3" t="n">
        <v>18</v>
      </c>
      <c r="R90" s="3" t="n">
        <v>9716</v>
      </c>
      <c r="S90" s="3" t="n">
        <v>4254</v>
      </c>
      <c r="T90" s="3" t="n">
        <v>4142</v>
      </c>
      <c r="U90" s="3" t="n">
        <v>5241</v>
      </c>
      <c r="V90" s="3" t="n">
        <v>221</v>
      </c>
      <c r="W90" s="3" t="n">
        <v>0</v>
      </c>
      <c r="X90" s="3" t="n">
        <v>0</v>
      </c>
      <c r="Y90" s="3" t="n">
        <v>69</v>
      </c>
      <c r="Z90" s="3" t="n">
        <v>55</v>
      </c>
      <c r="AA90" s="3" t="n">
        <v>14</v>
      </c>
      <c r="AB90" s="3" t="n">
        <v>0</v>
      </c>
      <c r="AC90" s="3" t="n">
        <v>0</v>
      </c>
      <c r="AD90" s="3" t="n">
        <v>0</v>
      </c>
      <c r="AE90" s="3" t="n">
        <v>4</v>
      </c>
      <c r="AF90" s="3" t="n">
        <v>12</v>
      </c>
      <c r="AG90" s="3" t="n">
        <v>4</v>
      </c>
      <c r="AH90" s="3" t="n">
        <v>49</v>
      </c>
      <c r="AI90" s="2" t="inlineStr">
        <is>
          <t>02024L2823-20241118</t>
        </is>
      </c>
      <c r="AJ90" s="3" t="n">
        <v>69</v>
      </c>
      <c r="AK90" s="2" t="n">
        <v>4</v>
      </c>
      <c r="AL90" s="2">
        <f>COUNTIFS(secondary_acts!$A$2:$A$771,$A90,secondary_acts!$E$2:$E$771,"implementing")</f>
        <v/>
      </c>
      <c r="AM90" s="2">
        <f>COUNTIFS(secondary_acts!$A$2:$A$771,$A90,secondary_acts!$E$2:$E$771,"delegated")</f>
        <v/>
      </c>
      <c r="AN90" s="2">
        <f>COUNTIFS(secondary_acts!$A$2:$A$771,$A90,secondary_acts!$E$2:$E$771,"other Commission/Council act")</f>
        <v/>
      </c>
      <c r="AO90" s="2">
        <f>COUNTIFS(secondary_acts!$A$2:$A$771,$A90,secondary_acts!$E$2:$E$771,"guidance")</f>
        <v/>
      </c>
      <c r="AP90" s="2">
        <f>COUNTIF(guidance_web!$A$2:$A$7,$A90)</f>
        <v/>
      </c>
      <c r="AQ90" s="2">
        <f>COUNTIFS(guidance_agencies!$A$2:$A$81,$A90,guidance_agencies!$D$2:$D$81,"EDPB")</f>
        <v/>
      </c>
      <c r="AR90" s="2">
        <f>COUNTIFS(guidance_agencies!$A$2:$A$81,$A90,guidance_agencies!$D$2:$D$81,"EBA")</f>
        <v/>
      </c>
      <c r="AS90" s="2">
        <f>COUNTIFS(guidance_agencies!$A$2:$A$81,$A90,guidance_agencies!$D$2:$D$81,"ESMA")</f>
        <v/>
      </c>
      <c r="AT90" s="3">
        <f>SUMIFS(secondary_acts!$S$2:$S$771,secondary_acts!$A$2:$A$771,$A90,secondary_acts!$E$2:$E$771,"implementing")+SUMIFS(secondary_acts!$S$2:$S$771,secondary_acts!$A$2:$A$771,$A90,secondary_acts!$E$2:$E$771,"delegated")</f>
        <v/>
      </c>
      <c r="AU90" s="3" t="n">
        <v>0</v>
      </c>
      <c r="AV90" s="2" t="n">
        <v>0</v>
      </c>
      <c r="AW90" s="2" t="n">
        <v>0</v>
      </c>
      <c r="AX90" s="2" t="n"/>
      <c r="AY90" s="2" t="n"/>
      <c r="AZ90" s="2" t="n">
        <v>2</v>
      </c>
      <c r="BA90" s="2" t="inlineStr">
        <is>
          <t>52022PC0667</t>
        </is>
      </c>
      <c r="BB90" s="2" t="inlineStr">
        <is>
          <t>EUR-Lex HTML</t>
        </is>
      </c>
      <c r="BC90" s="2" t="n">
        <v>10541</v>
      </c>
      <c r="BD90" s="2" t="n">
        <v>81</v>
      </c>
      <c r="BE90" s="2" t="n">
        <v>3</v>
      </c>
      <c r="BF90" s="2">
        <f>IF(ISNUMBER(BC90),R90-BC90,"")</f>
        <v/>
      </c>
      <c r="BG90" s="4">
        <f>IF(AND(ISNUMBER(BC90),BC90&gt;0),(R90-BC90)/BC90,"")</f>
        <v/>
      </c>
      <c r="BH90" s="2">
        <f>IF(ISNUMBER(BD90),Y90-BD90,"")</f>
        <v/>
      </c>
      <c r="BI90" s="4">
        <f>IF(AND(ISNUMBER(BD90),BD90&gt;0),(Y90-BD90)/BD90,"")</f>
        <v/>
      </c>
      <c r="BJ90" s="2">
        <f>IF(ISNUMBER(BE90),AE90-BE90,"")</f>
        <v/>
      </c>
      <c r="BK90" s="2" t="inlineStr">
        <is>
          <t>ex-ante only</t>
        </is>
      </c>
      <c r="BL90" s="2" t="inlineStr">
        <is>
          <t>ex-ante only, backed by one pre-reform causal price study; transposition due December 2027</t>
        </is>
      </c>
      <c r="BM90" s="2" t="inlineStr">
        <is>
          <t>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is>
      </c>
      <c r="BN90" s="2" t="n">
        <v>3</v>
      </c>
      <c r="BO90" s="2" t="n">
        <v>0</v>
      </c>
      <c r="BP90" s="2" t="n">
        <v>3</v>
      </c>
      <c r="BQ90" s="2" t="n">
        <v>1</v>
      </c>
      <c r="BR90" s="2" t="inlineStr">
        <is>
          <t>no consolidated text with amendments in EUR-Lex; consolidated count = original</t>
        </is>
      </c>
    </row>
    <row r="91">
      <c r="A91" s="2" t="n">
        <v>90</v>
      </c>
      <c r="B91" s="2" t="inlineStr">
        <is>
          <t>VAT in the Digital Age (ViDA)</t>
        </is>
      </c>
      <c r="C91" s="2" t="inlineStr">
        <is>
          <t>Amends the EU VAT Directive to modernise VAT for the digital economy, improve tax collection and reduce fraud and compliance burdens. It introduces EU digital reporting requirements based on electronic invoicing for cross-border transactions, makes platforms for short-term accommodation and passenger road transport the 'deemed supplier' collecting VAT in certain cases, and extends one-stop-shop schemes to reduce the need for multiple VAT registrations.</t>
        </is>
      </c>
      <c r="D91" s="2" t="inlineStr">
        <is>
          <t>2022/0407(CNS)</t>
        </is>
      </c>
      <c r="E91" s="2" t="inlineStr">
        <is>
          <t>Finance</t>
        </is>
      </c>
      <c r="F91" s="2" t="inlineStr">
        <is>
          <t>proposal (listed in the cell of its enacted predecessor)</t>
        </is>
      </c>
      <c r="G91" s="2" t="inlineStr">
        <is>
          <t>2022-12-08</t>
        </is>
      </c>
      <c r="H91" s="2" t="inlineStr">
        <is>
          <t>high</t>
        </is>
      </c>
      <c r="I91" s="2" t="inlineStr">
        <is>
          <t>2025-03-11</t>
        </is>
      </c>
      <c r="J91" s="2" t="inlineStr">
        <is>
          <t>2025-03-25</t>
        </is>
      </c>
      <c r="K91" s="2" t="inlineStr">
        <is>
          <t>2025-04-14</t>
        </is>
      </c>
      <c r="L91" s="2" t="inlineStr">
        <is>
          <t>proposed</t>
        </is>
      </c>
      <c r="M91" s="2" t="inlineStr">
        <is>
          <t>adopted</t>
        </is>
      </c>
      <c r="N91" s="2" t="inlineStr">
        <is>
          <t>32025L0516</t>
        </is>
      </c>
      <c r="O91" s="2" t="inlineStr">
        <is>
          <t>Original act as published in the OJ</t>
        </is>
      </c>
      <c r="P91" s="2" t="inlineStr">
        <is>
          <t>https://eur-lex.europa.eu/legal-content/EN/TXT/?uri=CELEX:32025L0516</t>
        </is>
      </c>
      <c r="Q91" s="3" t="n">
        <v>28</v>
      </c>
      <c r="R91" s="3" t="n">
        <v>16279</v>
      </c>
      <c r="S91" s="3" t="n">
        <v>4856</v>
      </c>
      <c r="T91" s="3" t="n">
        <v>4745</v>
      </c>
      <c r="U91" s="3" t="n">
        <v>11423</v>
      </c>
      <c r="V91" s="3" t="n">
        <v>0</v>
      </c>
      <c r="W91" s="3" t="n">
        <v>0</v>
      </c>
      <c r="X91" s="3" t="n">
        <v>0</v>
      </c>
      <c r="Y91" s="3" t="n">
        <v>86</v>
      </c>
      <c r="Z91" s="3" t="n">
        <v>76</v>
      </c>
      <c r="AA91" s="3" t="n">
        <v>7</v>
      </c>
      <c r="AB91" s="3" t="n">
        <v>0</v>
      </c>
      <c r="AC91" s="3" t="n">
        <v>3</v>
      </c>
      <c r="AD91" s="3" t="n">
        <v>0</v>
      </c>
      <c r="AE91" s="3" t="n">
        <v>19</v>
      </c>
      <c r="AF91" s="3" t="n">
        <v>31</v>
      </c>
      <c r="AG91" s="3" t="n">
        <v>4</v>
      </c>
      <c r="AH91" s="3" t="n">
        <v>32</v>
      </c>
      <c r="AI91" s="2" t="inlineStr">
        <is>
          <t>02025L0516-20250325</t>
        </is>
      </c>
      <c r="AJ91" s="3" t="n">
        <v>86</v>
      </c>
      <c r="AK91" s="2" t="n">
        <v>19</v>
      </c>
      <c r="AL91" s="2">
        <f>COUNTIFS(secondary_acts!$A$2:$A$771,$A91,secondary_acts!$E$2:$E$771,"implementing")</f>
        <v/>
      </c>
      <c r="AM91" s="2">
        <f>COUNTIFS(secondary_acts!$A$2:$A$771,$A91,secondary_acts!$E$2:$E$771,"delegated")</f>
        <v/>
      </c>
      <c r="AN91" s="2">
        <f>COUNTIFS(secondary_acts!$A$2:$A$771,$A91,secondary_acts!$E$2:$E$771,"other Commission/Council act")</f>
        <v/>
      </c>
      <c r="AO91" s="2">
        <f>COUNTIFS(secondary_acts!$A$2:$A$771,$A91,secondary_acts!$E$2:$E$771,"guidance")</f>
        <v/>
      </c>
      <c r="AP91" s="2">
        <f>COUNTIF(guidance_web!$A$2:$A$7,$A91)</f>
        <v/>
      </c>
      <c r="AQ91" s="2">
        <f>COUNTIFS(guidance_agencies!$A$2:$A$81,$A91,guidance_agencies!$D$2:$D$81,"EDPB")</f>
        <v/>
      </c>
      <c r="AR91" s="2">
        <f>COUNTIFS(guidance_agencies!$A$2:$A$81,$A91,guidance_agencies!$D$2:$D$81,"EBA")</f>
        <v/>
      </c>
      <c r="AS91" s="2">
        <f>COUNTIFS(guidance_agencies!$A$2:$A$81,$A91,guidance_agencies!$D$2:$D$81,"ESMA")</f>
        <v/>
      </c>
      <c r="AT91" s="3">
        <f>SUMIFS(secondary_acts!$S$2:$S$771,secondary_acts!$A$2:$A$771,$A91,secondary_acts!$E$2:$E$771,"implementing")+SUMIFS(secondary_acts!$S$2:$S$771,secondary_acts!$A$2:$A$771,$A91,secondary_acts!$E$2:$E$771,"delegated")</f>
        <v/>
      </c>
      <c r="AU91" s="3" t="n">
        <v>87</v>
      </c>
      <c r="AV91" s="2" t="n">
        <v>5</v>
      </c>
      <c r="AW91" s="2" t="n">
        <v>0</v>
      </c>
      <c r="AX91" s="2" t="n"/>
      <c r="AY91" s="2" t="n"/>
      <c r="AZ91" s="2" t="n">
        <v>1</v>
      </c>
      <c r="BA91" s="2" t="inlineStr">
        <is>
          <t>52022PC0701</t>
        </is>
      </c>
      <c r="BB91" s="2" t="inlineStr">
        <is>
          <t>EUR-Lex HTML</t>
        </is>
      </c>
      <c r="BC91" s="2" t="n">
        <v>12271</v>
      </c>
      <c r="BD91" s="2" t="n">
        <v>59</v>
      </c>
      <c r="BE91" s="2" t="n">
        <v>8</v>
      </c>
      <c r="BF91" s="2">
        <f>IF(ISNUMBER(BC91),R91-BC91,"")</f>
        <v/>
      </c>
      <c r="BG91" s="4">
        <f>IF(AND(ISNUMBER(BC91),BC91&gt;0),(R91-BC91)/BC91,"")</f>
        <v/>
      </c>
      <c r="BH91" s="2">
        <f>IF(ISNUMBER(BD91),Y91-BD91,"")</f>
        <v/>
      </c>
      <c r="BI91" s="4">
        <f>IF(AND(ISNUMBER(BD91),BD91&gt;0),(Y91-BD91)/BD91,"")</f>
        <v/>
      </c>
      <c r="BJ91" s="2">
        <f>IF(ISNUMBER(BE91),AE91-BE91,"")</f>
        <v/>
      </c>
      <c r="BK91" s="2" t="inlineStr">
        <is>
          <t>ex-ante only</t>
        </is>
      </c>
      <c r="BL91" s="2" t="inlineStr">
        <is>
          <t>ex-ante only: Commission IA and contracted study forecasts; key measures apply 2027-2035 so no outcome evidence yet</t>
        </is>
      </c>
      <c r="BM91" s="2" t="inlineStr">
        <is>
          <t>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is>
      </c>
      <c r="BN91" s="2" t="n">
        <v>4</v>
      </c>
      <c r="BO91" s="2" t="n">
        <v>0</v>
      </c>
      <c r="BP91" s="2" t="n">
        <v>4</v>
      </c>
      <c r="BQ91" s="2" t="n">
        <v>1</v>
      </c>
      <c r="BR91" s="2" t="inlineStr">
        <is>
          <t>Adopted after CEPS snapshot: Council Directive (EU) 2025/516 (11 Mar 2025); no consolidated text with amendments in EUR-Lex; consolidated count = original</t>
        </is>
      </c>
    </row>
    <row r="92">
      <c r="A92" s="2" t="n">
        <v>91</v>
      </c>
      <c r="B92" s="2" t="inlineStr">
        <is>
          <t>Gigabit Infrastructure Act</t>
        </is>
      </c>
      <c r="C92" s="2" t="inlineStr">
        <is>
          <t>Aims to make the roll-out of very high capacity (gigabit) networks faster and cheaper. It requires network operators and public bodies to open existing physical infrastructure such as ducts and poles for joint use, coordinate civil works, share information on infrastructure, streamline and digitalise permit granting, and fit new and renovated buildings with high-speed-ready infrastructure. It sets minimum rules that Member States may in part go beyond.</t>
        </is>
      </c>
      <c r="D92" s="2" t="inlineStr">
        <is>
          <t>Regulation (EU) 2024/1309</t>
        </is>
      </c>
      <c r="E92" s="2" t="inlineStr">
        <is>
          <t>Connectivity</t>
        </is>
      </c>
      <c r="F92" s="2" t="inlineStr">
        <is>
          <t>enacted</t>
        </is>
      </c>
      <c r="G92" s="2" t="inlineStr">
        <is>
          <t>2023-02-23</t>
        </is>
      </c>
      <c r="H92" s="2" t="inlineStr">
        <is>
          <t>high</t>
        </is>
      </c>
      <c r="I92" s="2" t="inlineStr">
        <is>
          <t>2024-04-29</t>
        </is>
      </c>
      <c r="J92" s="2" t="inlineStr">
        <is>
          <t>2024-05-08</t>
        </is>
      </c>
      <c r="K92" s="2" t="inlineStr">
        <is>
          <t>2024-05-11</t>
        </is>
      </c>
      <c r="L92" s="2" t="inlineStr">
        <is>
          <t>adopted</t>
        </is>
      </c>
      <c r="M92" s="2" t="inlineStr">
        <is>
          <t>adopted</t>
        </is>
      </c>
      <c r="N92" s="2" t="inlineStr">
        <is>
          <t>32024R1309</t>
        </is>
      </c>
      <c r="O92" s="2" t="inlineStr">
        <is>
          <t>Original act as published in the OJ</t>
        </is>
      </c>
      <c r="P92" s="2" t="inlineStr">
        <is>
          <t>https://eur-lex.europa.eu/legal-content/EN/TXT/?uri=CELEX:32024R1309</t>
        </is>
      </c>
      <c r="Q92" s="3" t="n">
        <v>40</v>
      </c>
      <c r="R92" s="3" t="n">
        <v>23456</v>
      </c>
      <c r="S92" s="3" t="n">
        <v>13087</v>
      </c>
      <c r="T92" s="3" t="n">
        <v>12957</v>
      </c>
      <c r="U92" s="3" t="n">
        <v>9868</v>
      </c>
      <c r="V92" s="3" t="n">
        <v>501</v>
      </c>
      <c r="W92" s="3" t="n">
        <v>0</v>
      </c>
      <c r="X92" s="3" t="n">
        <v>0</v>
      </c>
      <c r="Y92" s="3" t="n">
        <v>114</v>
      </c>
      <c r="Z92" s="3" t="n">
        <v>89</v>
      </c>
      <c r="AA92" s="3" t="n">
        <v>12</v>
      </c>
      <c r="AB92" s="3" t="n">
        <v>2</v>
      </c>
      <c r="AC92" s="3" t="n">
        <v>2</v>
      </c>
      <c r="AD92" s="3" t="n">
        <v>9</v>
      </c>
      <c r="AE92" s="3" t="n">
        <v>13</v>
      </c>
      <c r="AF92" s="3" t="n">
        <v>57</v>
      </c>
      <c r="AG92" s="3" t="n">
        <v>5</v>
      </c>
      <c r="AH92" s="3" t="n">
        <v>39</v>
      </c>
      <c r="AI92" s="2" t="inlineStr">
        <is>
          <t>02024R1309-20240508</t>
        </is>
      </c>
      <c r="AJ92" s="3" t="n">
        <v>114</v>
      </c>
      <c r="AK92" s="2" t="n">
        <v>13</v>
      </c>
      <c r="AL92" s="2">
        <f>COUNTIFS(secondary_acts!$A$2:$A$771,$A92,secondary_acts!$E$2:$E$771,"implementing")</f>
        <v/>
      </c>
      <c r="AM92" s="2">
        <f>COUNTIFS(secondary_acts!$A$2:$A$771,$A92,secondary_acts!$E$2:$E$771,"delegated")</f>
        <v/>
      </c>
      <c r="AN92" s="2">
        <f>COUNTIFS(secondary_acts!$A$2:$A$771,$A92,secondary_acts!$E$2:$E$771,"other Commission/Council act")</f>
        <v/>
      </c>
      <c r="AO92" s="2">
        <f>COUNTIFS(secondary_acts!$A$2:$A$771,$A92,secondary_acts!$E$2:$E$771,"guidance")</f>
        <v/>
      </c>
      <c r="AP92" s="2">
        <f>COUNTIF(guidance_web!$A$2:$A$7,$A92)</f>
        <v/>
      </c>
      <c r="AQ92" s="2">
        <f>COUNTIFS(guidance_agencies!$A$2:$A$81,$A92,guidance_agencies!$D$2:$D$81,"EDPB")</f>
        <v/>
      </c>
      <c r="AR92" s="2">
        <f>COUNTIFS(guidance_agencies!$A$2:$A$81,$A92,guidance_agencies!$D$2:$D$81,"EBA")</f>
        <v/>
      </c>
      <c r="AS92" s="2">
        <f>COUNTIFS(guidance_agencies!$A$2:$A$81,$A92,guidance_agencies!$D$2:$D$81,"ESMA")</f>
        <v/>
      </c>
      <c r="AT92" s="3">
        <f>SUMIFS(secondary_acts!$S$2:$S$771,secondary_acts!$A$2:$A$771,$A92,secondary_acts!$E$2:$E$771,"implementing")+SUMIFS(secondary_acts!$S$2:$S$771,secondary_acts!$A$2:$A$771,$A92,secondary_acts!$E$2:$E$771,"delegated")</f>
        <v/>
      </c>
      <c r="AU92" s="3" t="n"/>
      <c r="AV92" s="2" t="n"/>
      <c r="AW92" s="2" t="n">
        <v>0</v>
      </c>
      <c r="AX92" s="2" t="n"/>
      <c r="AY92" s="2" t="n"/>
      <c r="AZ92" s="2" t="n">
        <v>3</v>
      </c>
      <c r="BA92" s="2" t="inlineStr">
        <is>
          <t>52023PC0094</t>
        </is>
      </c>
      <c r="BB92" s="2" t="inlineStr">
        <is>
          <t>EUR-Lex HTML</t>
        </is>
      </c>
      <c r="BC92" s="2" t="n">
        <v>15565</v>
      </c>
      <c r="BD92" s="2" t="n">
        <v>89</v>
      </c>
      <c r="BE92" s="2" t="n">
        <v>12</v>
      </c>
      <c r="BF92" s="2">
        <f>IF(ISNUMBER(BC92),R92-BC92,"")</f>
        <v/>
      </c>
      <c r="BG92" s="4">
        <f>IF(AND(ISNUMBER(BC92),BC92&gt;0),(R92-BC92)/BC92,"")</f>
        <v/>
      </c>
      <c r="BH92" s="2">
        <f>IF(ISNUMBER(BD92),Y92-BD92,"")</f>
        <v/>
      </c>
      <c r="BI92" s="4">
        <f>IF(AND(ISNUMBER(BD92),BD92&gt;0),(Y92-BD92)/BD92,"")</f>
        <v/>
      </c>
      <c r="BJ92" s="2">
        <f>IF(ISNUMBER(BE92),AE92-BE92,"")</f>
        <v/>
      </c>
      <c r="BK92" s="2" t="inlineStr">
        <is>
          <t>ex-ante only</t>
        </is>
      </c>
      <c r="BL92" s="2" t="inlineStr">
        <is>
          <t>ex-ante only: applied from Nov 2025; only implementation tracking</t>
        </is>
      </c>
      <c r="BM92" s="2" t="inlineStr">
        <is>
          <t>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is>
      </c>
      <c r="BN92" s="2" t="n">
        <v>4</v>
      </c>
      <c r="BO92" s="2" t="n">
        <v>1</v>
      </c>
      <c r="BP92" s="2" t="n">
        <v>2</v>
      </c>
      <c r="BQ92" s="2" t="n">
        <v>0</v>
      </c>
      <c r="BR92" s="2" t="inlineStr"/>
    </row>
    <row r="93">
      <c r="A93" s="2" t="n">
        <v>92</v>
      </c>
      <c r="B93" s="2" t="inlineStr">
        <is>
          <t>Critical Raw Materials Act</t>
        </is>
      </c>
      <c r="C93" s="2" t="inlineStr">
        <is>
          <t>Aims to secure the EU's access to a secure, resilient and sustainable supply of critical raw materials. It identifies critical and strategic raw materials, sets benchmarks for EU extraction, processing and recycling capacity, supports 'strategic projects' with faster permitting and access to finance, requires monitoring and stress tests of supply risks, and promotes circularity and the free movement of these materials in the internal market.</t>
        </is>
      </c>
      <c r="D93" s="2" t="inlineStr">
        <is>
          <t>Regulation (EU) 2024/1252</t>
        </is>
      </c>
      <c r="E93" s="2" t="inlineStr">
        <is>
          <t>Industrial Policy</t>
        </is>
      </c>
      <c r="F93" s="2" t="inlineStr">
        <is>
          <t>enacted</t>
        </is>
      </c>
      <c r="G93" s="2" t="inlineStr">
        <is>
          <t>2023-03-16</t>
        </is>
      </c>
      <c r="H93" s="2" t="inlineStr">
        <is>
          <t>high</t>
        </is>
      </c>
      <c r="I93" s="2" t="inlineStr">
        <is>
          <t>2024-04-11</t>
        </is>
      </c>
      <c r="J93" s="2" t="inlineStr">
        <is>
          <t>2024-05-03</t>
        </is>
      </c>
      <c r="K93" s="2" t="inlineStr">
        <is>
          <t>2024-05-23</t>
        </is>
      </c>
      <c r="L93" s="2" t="inlineStr">
        <is>
          <t>adopted</t>
        </is>
      </c>
      <c r="M93" s="2" t="inlineStr">
        <is>
          <t>adopted</t>
        </is>
      </c>
      <c r="N93" s="2" t="inlineStr">
        <is>
          <t>32024R1252</t>
        </is>
      </c>
      <c r="O93" s="2" t="inlineStr">
        <is>
          <t>Original act as published in the OJ</t>
        </is>
      </c>
      <c r="P93" s="2" t="inlineStr">
        <is>
          <t>https://eur-lex.europa.eu/legal-content/EN/TXT/?uri=CELEX:32024R1252</t>
        </is>
      </c>
      <c r="Q93" s="3" t="n">
        <v>67</v>
      </c>
      <c r="R93" s="3" t="n">
        <v>37779</v>
      </c>
      <c r="S93" s="3" t="n">
        <v>11892</v>
      </c>
      <c r="T93" s="3" t="n">
        <v>11757</v>
      </c>
      <c r="U93" s="3" t="n">
        <v>21960</v>
      </c>
      <c r="V93" s="3" t="n">
        <v>3927</v>
      </c>
      <c r="W93" s="3" t="n">
        <v>0</v>
      </c>
      <c r="X93" s="3" t="n">
        <v>0</v>
      </c>
      <c r="Y93" s="3" t="n">
        <v>364</v>
      </c>
      <c r="Z93" s="3" t="n">
        <v>317</v>
      </c>
      <c r="AA93" s="3" t="n">
        <v>20</v>
      </c>
      <c r="AB93" s="3" t="n">
        <v>0</v>
      </c>
      <c r="AC93" s="3" t="n">
        <v>6</v>
      </c>
      <c r="AD93" s="3" t="n">
        <v>21</v>
      </c>
      <c r="AE93" s="3" t="n">
        <v>34</v>
      </c>
      <c r="AF93" s="3" t="n">
        <v>76</v>
      </c>
      <c r="AG93" s="3" t="n">
        <v>137</v>
      </c>
      <c r="AH93" s="3" t="n">
        <v>117</v>
      </c>
      <c r="AI93" s="2" t="inlineStr">
        <is>
          <t>02024R1252-20240503</t>
        </is>
      </c>
      <c r="AJ93" s="3" t="n">
        <v>365</v>
      </c>
      <c r="AK93" s="2" t="n">
        <v>34</v>
      </c>
      <c r="AL93" s="2">
        <f>COUNTIFS(secondary_acts!$A$2:$A$771,$A93,secondary_acts!$E$2:$E$771,"implementing")</f>
        <v/>
      </c>
      <c r="AM93" s="2">
        <f>COUNTIFS(secondary_acts!$A$2:$A$771,$A93,secondary_acts!$E$2:$E$771,"delegated")</f>
        <v/>
      </c>
      <c r="AN93" s="2">
        <f>COUNTIFS(secondary_acts!$A$2:$A$771,$A93,secondary_acts!$E$2:$E$771,"other Commission/Council act")</f>
        <v/>
      </c>
      <c r="AO93" s="2">
        <f>COUNTIFS(secondary_acts!$A$2:$A$771,$A93,secondary_acts!$E$2:$E$771,"guidance")</f>
        <v/>
      </c>
      <c r="AP93" s="2">
        <f>COUNTIF(guidance_web!$A$2:$A$7,$A93)</f>
        <v/>
      </c>
      <c r="AQ93" s="2">
        <f>COUNTIFS(guidance_agencies!$A$2:$A$81,$A93,guidance_agencies!$D$2:$D$81,"EDPB")</f>
        <v/>
      </c>
      <c r="AR93" s="2">
        <f>COUNTIFS(guidance_agencies!$A$2:$A$81,$A93,guidance_agencies!$D$2:$D$81,"EBA")</f>
        <v/>
      </c>
      <c r="AS93" s="2">
        <f>COUNTIFS(guidance_agencies!$A$2:$A$81,$A93,guidance_agencies!$D$2:$D$81,"ESMA")</f>
        <v/>
      </c>
      <c r="AT93" s="3">
        <f>SUMIFS(secondary_acts!$S$2:$S$771,secondary_acts!$A$2:$A$771,$A93,secondary_acts!$E$2:$E$771,"implementing")+SUMIFS(secondary_acts!$S$2:$S$771,secondary_acts!$A$2:$A$771,$A93,secondary_acts!$E$2:$E$771,"delegated")</f>
        <v/>
      </c>
      <c r="AU93" s="3" t="n"/>
      <c r="AV93" s="2" t="n"/>
      <c r="AW93" s="2" t="n">
        <v>0</v>
      </c>
      <c r="AX93" s="2" t="n"/>
      <c r="AY93" s="2" t="n"/>
      <c r="AZ93" s="2" t="n">
        <v>5</v>
      </c>
      <c r="BA93" s="2" t="inlineStr">
        <is>
          <t>52023PC0160</t>
        </is>
      </c>
      <c r="BB93" s="2" t="inlineStr">
        <is>
          <t>EUR-Lex HTML</t>
        </is>
      </c>
      <c r="BC93" s="2" t="n">
        <v>29042</v>
      </c>
      <c r="BD93" s="2" t="n">
        <v>296</v>
      </c>
      <c r="BE93" s="2" t="n">
        <v>24</v>
      </c>
      <c r="BF93" s="2">
        <f>IF(ISNUMBER(BC93),R93-BC93,"")</f>
        <v/>
      </c>
      <c r="BG93" s="4">
        <f>IF(AND(ISNUMBER(BC93),BC93&gt;0),(R93-BC93)/BC93,"")</f>
        <v/>
      </c>
      <c r="BH93" s="2">
        <f>IF(ISNUMBER(BD93),Y93-BD93,"")</f>
        <v/>
      </c>
      <c r="BI93" s="4">
        <f>IF(AND(ISNUMBER(BD93),BD93&gt;0),(Y93-BD93)/BD93,"")</f>
        <v/>
      </c>
      <c r="BJ93" s="2">
        <f>IF(ISNUMBER(BE93),AE93-BE93,"")</f>
        <v/>
      </c>
      <c r="BK93" s="2" t="inlineStr">
        <is>
          <t>thin</t>
        </is>
      </c>
      <c r="BL93" s="2" t="inlineStr">
        <is>
          <t>thin: early stock-takes of the strategic-project pipeline (Bruegel: targets met for only five materials; delays in Global South projects) and a critical ECA audit; no causal studies</t>
        </is>
      </c>
      <c r="BM93" s="2" t="inlineStr">
        <is>
          <t>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is>
      </c>
      <c r="BN93" s="2" t="n">
        <v>5</v>
      </c>
      <c r="BO93" s="2" t="n">
        <v>4</v>
      </c>
      <c r="BP93" s="2" t="n">
        <v>6</v>
      </c>
      <c r="BQ93" s="2" t="n">
        <v>0</v>
      </c>
      <c r="BR93" s="2" t="inlineStr"/>
    </row>
    <row r="94">
      <c r="A94" s="2" t="n">
        <v>93</v>
      </c>
      <c r="B94" s="2" t="inlineStr">
        <is>
          <t>Net-Zero Industry Act</t>
        </is>
      </c>
      <c r="C94" s="2" t="inlineStr">
        <is>
          <t>Aims to secure the EU's supply of net-zero technologies by scaling up their manufacturing in Europe, in support of climate neutrality, quality jobs and competitiveness. It supports manufacturing projects with faster permitting and 'strategic project' status, creates an EU market for CO2 storage, encourages demand through sustainability and resilience criteria in public procurement and auctions, and promotes skills academies and regulatory sandboxes.</t>
        </is>
      </c>
      <c r="D94" s="2" t="inlineStr">
        <is>
          <t>Regulation (EU) 2024/1735</t>
        </is>
      </c>
      <c r="E94" s="2" t="inlineStr">
        <is>
          <t>Industrial Policy</t>
        </is>
      </c>
      <c r="F94" s="2" t="inlineStr">
        <is>
          <t>enacted</t>
        </is>
      </c>
      <c r="G94" s="2" t="inlineStr">
        <is>
          <t>2023-03-16</t>
        </is>
      </c>
      <c r="H94" s="2" t="inlineStr">
        <is>
          <t>high</t>
        </is>
      </c>
      <c r="I94" s="2" t="inlineStr">
        <is>
          <t>2024-06-13</t>
        </is>
      </c>
      <c r="J94" s="2" t="inlineStr">
        <is>
          <t>2024-06-28</t>
        </is>
      </c>
      <c r="K94" s="2" t="inlineStr">
        <is>
          <t>2024-06-29</t>
        </is>
      </c>
      <c r="L94" s="2" t="inlineStr">
        <is>
          <t>adopted</t>
        </is>
      </c>
      <c r="M94" s="2" t="inlineStr">
        <is>
          <t>adopted</t>
        </is>
      </c>
      <c r="N94" s="2" t="inlineStr">
        <is>
          <t>32024R1735</t>
        </is>
      </c>
      <c r="O94" s="2" t="inlineStr">
        <is>
          <t>Original act as published in the OJ</t>
        </is>
      </c>
      <c r="P94" s="2" t="inlineStr">
        <is>
          <t>https://eur-lex.europa.eu/legal-content/EN/TXT/?uri=CELEX:32024R1735</t>
        </is>
      </c>
      <c r="Q94" s="3" t="n">
        <v>63</v>
      </c>
      <c r="R94" s="3" t="n">
        <v>37451</v>
      </c>
      <c r="S94" s="3" t="n">
        <v>17117</v>
      </c>
      <c r="T94" s="3" t="n">
        <v>16982</v>
      </c>
      <c r="U94" s="3" t="n">
        <v>20058</v>
      </c>
      <c r="V94" s="3" t="n">
        <v>276</v>
      </c>
      <c r="W94" s="3" t="n">
        <v>0</v>
      </c>
      <c r="X94" s="3" t="n">
        <v>0</v>
      </c>
      <c r="Y94" s="3" t="n">
        <v>288</v>
      </c>
      <c r="Z94" s="3" t="n">
        <v>248</v>
      </c>
      <c r="AA94" s="3" t="n">
        <v>16</v>
      </c>
      <c r="AB94" s="3" t="n">
        <v>2</v>
      </c>
      <c r="AC94" s="3" t="n">
        <v>7</v>
      </c>
      <c r="AD94" s="3" t="n">
        <v>15</v>
      </c>
      <c r="AE94" s="3" t="n">
        <v>6</v>
      </c>
      <c r="AF94" s="3" t="n">
        <v>92</v>
      </c>
      <c r="AG94" s="3" t="n">
        <v>96</v>
      </c>
      <c r="AH94" s="3" t="n">
        <v>94</v>
      </c>
      <c r="AI94" s="2" t="inlineStr">
        <is>
          <t>02024R1735-20250817</t>
        </is>
      </c>
      <c r="AJ94" s="3" t="n">
        <v>289</v>
      </c>
      <c r="AK94" s="2" t="n">
        <v>6</v>
      </c>
      <c r="AL94" s="2">
        <f>COUNTIFS(secondary_acts!$A$2:$A$771,$A94,secondary_acts!$E$2:$E$771,"implementing")</f>
        <v/>
      </c>
      <c r="AM94" s="2">
        <f>COUNTIFS(secondary_acts!$A$2:$A$771,$A94,secondary_acts!$E$2:$E$771,"delegated")</f>
        <v/>
      </c>
      <c r="AN94" s="2">
        <f>COUNTIFS(secondary_acts!$A$2:$A$771,$A94,secondary_acts!$E$2:$E$771,"other Commission/Council act")</f>
        <v/>
      </c>
      <c r="AO94" s="2">
        <f>COUNTIFS(secondary_acts!$A$2:$A$771,$A94,secondary_acts!$E$2:$E$771,"guidance")</f>
        <v/>
      </c>
      <c r="AP94" s="2">
        <f>COUNTIF(guidance_web!$A$2:$A$7,$A94)</f>
        <v/>
      </c>
      <c r="AQ94" s="2">
        <f>COUNTIFS(guidance_agencies!$A$2:$A$81,$A94,guidance_agencies!$D$2:$D$81,"EDPB")</f>
        <v/>
      </c>
      <c r="AR94" s="2">
        <f>COUNTIFS(guidance_agencies!$A$2:$A$81,$A94,guidance_agencies!$D$2:$D$81,"EBA")</f>
        <v/>
      </c>
      <c r="AS94" s="2">
        <f>COUNTIFS(guidance_agencies!$A$2:$A$81,$A94,guidance_agencies!$D$2:$D$81,"ESMA")</f>
        <v/>
      </c>
      <c r="AT94" s="3">
        <f>SUMIFS(secondary_acts!$S$2:$S$771,secondary_acts!$A$2:$A$771,$A94,secondary_acts!$E$2:$E$771,"implementing")+SUMIFS(secondary_acts!$S$2:$S$771,secondary_acts!$A$2:$A$771,$A94,secondary_acts!$E$2:$E$771,"delegated")</f>
        <v/>
      </c>
      <c r="AU94" s="3" t="n"/>
      <c r="AV94" s="2" t="n"/>
      <c r="AW94" s="2" t="n">
        <v>1</v>
      </c>
      <c r="AX94" s="2" t="inlineStr">
        <is>
          <t>2025-05-23</t>
        </is>
      </c>
      <c r="AY94" s="2" t="inlineStr">
        <is>
          <t>2025-05-23</t>
        </is>
      </c>
      <c r="AZ94" s="2" t="n">
        <v>4</v>
      </c>
      <c r="BA94" s="2" t="inlineStr">
        <is>
          <t>52023PC0161</t>
        </is>
      </c>
      <c r="BB94" s="2" t="inlineStr">
        <is>
          <t>EUR-Lex HTML</t>
        </is>
      </c>
      <c r="BC94" s="2" t="n">
        <v>19871</v>
      </c>
      <c r="BD94" s="2" t="n">
        <v>153</v>
      </c>
      <c r="BE94" s="2" t="n">
        <v>9</v>
      </c>
      <c r="BF94" s="2">
        <f>IF(ISNUMBER(BC94),R94-BC94,"")</f>
        <v/>
      </c>
      <c r="BG94" s="4">
        <f>IF(AND(ISNUMBER(BC94),BC94&gt;0),(R94-BC94)/BC94,"")</f>
        <v/>
      </c>
      <c r="BH94" s="2">
        <f>IF(ISNUMBER(BD94),Y94-BD94,"")</f>
        <v/>
      </c>
      <c r="BI94" s="4">
        <f>IF(AND(ISNUMBER(BD94),BD94&gt;0),(Y94-BD94)/BD94,"")</f>
        <v/>
      </c>
      <c r="BJ94" s="2">
        <f>IF(ISNUMBER(BE94),AE94-BE94,"")</f>
        <v/>
      </c>
      <c r="BK94" s="2" t="inlineStr">
        <is>
          <t>ex-ante only</t>
        </is>
      </c>
      <c r="BL94" s="2" t="inlineStr">
        <is>
          <t>ex-ante only, no impact assessment: one think-tank critique; no measurement of the 40% benchmark</t>
        </is>
      </c>
      <c r="BM94" s="2" t="inlineStr">
        <is>
          <t>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is>
      </c>
      <c r="BN94" s="2" t="n">
        <v>3</v>
      </c>
      <c r="BO94" s="2" t="n">
        <v>0</v>
      </c>
      <c r="BP94" s="2" t="n">
        <v>2</v>
      </c>
      <c r="BQ94" s="2" t="n">
        <v>0</v>
      </c>
      <c r="BR94" s="2" t="inlineStr"/>
    </row>
    <row r="95">
      <c r="A95" s="2" t="n">
        <v>94</v>
      </c>
      <c r="B95" s="2" t="inlineStr">
        <is>
          <t>Right to Repair Directive</t>
        </is>
      </c>
      <c r="C95" s="2" t="inlineStr">
        <is>
          <t>Sets common rules to encourage the repair of consumer goods outside the legal guarantee, supporting the internal market and consumer and environmental protection. It requires manufacturers to repair certain goods covered by EU repairability requirements, creates an optional European Repair Information Form and a European online platform for repair, and extends the legal guarantee by 12 months when consumers choose repair.</t>
        </is>
      </c>
      <c r="D95" s="2" t="inlineStr">
        <is>
          <t>Directive (EU) 2024/1799</t>
        </is>
      </c>
      <c r="E95" s="2" t="inlineStr">
        <is>
          <t>E-commerce &amp; Consumer Protection</t>
        </is>
      </c>
      <c r="F95" s="2" t="inlineStr">
        <is>
          <t>enacted</t>
        </is>
      </c>
      <c r="G95" s="2" t="inlineStr">
        <is>
          <t>2023-03-22</t>
        </is>
      </c>
      <c r="H95" s="2" t="inlineStr">
        <is>
          <t>high</t>
        </is>
      </c>
      <c r="I95" s="2" t="inlineStr">
        <is>
          <t>2024-06-13</t>
        </is>
      </c>
      <c r="J95" s="2" t="inlineStr">
        <is>
          <t>2024-07-10</t>
        </is>
      </c>
      <c r="K95" s="2" t="inlineStr">
        <is>
          <t>2024-07-30</t>
        </is>
      </c>
      <c r="L95" s="2" t="inlineStr">
        <is>
          <t>adopted</t>
        </is>
      </c>
      <c r="M95" s="2" t="inlineStr">
        <is>
          <t>adopted</t>
        </is>
      </c>
      <c r="N95" s="2" t="inlineStr">
        <is>
          <t>32024L1799</t>
        </is>
      </c>
      <c r="O95" s="2" t="inlineStr">
        <is>
          <t>Original act as published in the OJ</t>
        </is>
      </c>
      <c r="P95" s="2" t="inlineStr">
        <is>
          <t>https://eur-lex.europa.eu/legal-content/EN/TXT/?uri=CELEX:32024L1799</t>
        </is>
      </c>
      <c r="Q95" s="3" t="n">
        <v>20</v>
      </c>
      <c r="R95" s="3" t="n">
        <v>11685</v>
      </c>
      <c r="S95" s="3" t="n">
        <v>6256</v>
      </c>
      <c r="T95" s="3" t="n">
        <v>6117</v>
      </c>
      <c r="U95" s="3" t="n">
        <v>4468</v>
      </c>
      <c r="V95" s="3" t="n">
        <v>961</v>
      </c>
      <c r="W95" s="3" t="n">
        <v>0</v>
      </c>
      <c r="X95" s="3" t="n">
        <v>0</v>
      </c>
      <c r="Y95" s="3" t="n">
        <v>77</v>
      </c>
      <c r="Z95" s="3" t="n">
        <v>63</v>
      </c>
      <c r="AA95" s="3" t="n">
        <v>6</v>
      </c>
      <c r="AB95" s="3" t="n">
        <v>0</v>
      </c>
      <c r="AC95" s="3" t="n">
        <v>2</v>
      </c>
      <c r="AD95" s="3" t="n">
        <v>6</v>
      </c>
      <c r="AE95" s="3" t="n">
        <v>15</v>
      </c>
      <c r="AF95" s="3" t="n">
        <v>26</v>
      </c>
      <c r="AG95" s="3" t="n">
        <v>14</v>
      </c>
      <c r="AH95" s="3" t="n">
        <v>22</v>
      </c>
      <c r="AI95" s="2" t="inlineStr">
        <is>
          <t>02024L1799-20260731</t>
        </is>
      </c>
      <c r="AJ95" s="3" t="n">
        <v>77</v>
      </c>
      <c r="AK95" s="2" t="n">
        <v>15</v>
      </c>
      <c r="AL95" s="2">
        <f>COUNTIFS(secondary_acts!$A$2:$A$771,$A95,secondary_acts!$E$2:$E$771,"implementing")</f>
        <v/>
      </c>
      <c r="AM95" s="2">
        <f>COUNTIFS(secondary_acts!$A$2:$A$771,$A95,secondary_acts!$E$2:$E$771,"delegated")</f>
        <v/>
      </c>
      <c r="AN95" s="2">
        <f>COUNTIFS(secondary_acts!$A$2:$A$771,$A95,secondary_acts!$E$2:$E$771,"other Commission/Council act")</f>
        <v/>
      </c>
      <c r="AO95" s="2">
        <f>COUNTIFS(secondary_acts!$A$2:$A$771,$A95,secondary_acts!$E$2:$E$771,"guidance")</f>
        <v/>
      </c>
      <c r="AP95" s="2">
        <f>COUNTIF(guidance_web!$A$2:$A$7,$A95)</f>
        <v/>
      </c>
      <c r="AQ95" s="2">
        <f>COUNTIFS(guidance_agencies!$A$2:$A$81,$A95,guidance_agencies!$D$2:$D$81,"EDPB")</f>
        <v/>
      </c>
      <c r="AR95" s="2">
        <f>COUNTIFS(guidance_agencies!$A$2:$A$81,$A95,guidance_agencies!$D$2:$D$81,"EBA")</f>
        <v/>
      </c>
      <c r="AS95" s="2">
        <f>COUNTIFS(guidance_agencies!$A$2:$A$81,$A95,guidance_agencies!$D$2:$D$81,"ESMA")</f>
        <v/>
      </c>
      <c r="AT95" s="3">
        <f>SUMIFS(secondary_acts!$S$2:$S$771,secondary_acts!$A$2:$A$771,$A95,secondary_acts!$E$2:$E$771,"implementing")+SUMIFS(secondary_acts!$S$2:$S$771,secondary_acts!$A$2:$A$771,$A95,secondary_acts!$E$2:$E$771,"delegated")</f>
        <v/>
      </c>
      <c r="AU95" s="3" t="n">
        <v>387</v>
      </c>
      <c r="AV95" s="2" t="n">
        <v>11</v>
      </c>
      <c r="AW95" s="2" t="n">
        <v>1</v>
      </c>
      <c r="AX95" s="2" t="inlineStr">
        <is>
          <t>2026-01-12</t>
        </is>
      </c>
      <c r="AY95" s="2" t="inlineStr">
        <is>
          <t>2026-01-12</t>
        </is>
      </c>
      <c r="AZ95" s="2" t="n">
        <v>3</v>
      </c>
      <c r="BA95" s="2" t="inlineStr">
        <is>
          <t>52023PC0155</t>
        </is>
      </c>
      <c r="BB95" s="2" t="inlineStr">
        <is>
          <t>EUR-Lex HTML</t>
        </is>
      </c>
      <c r="BC95" s="2" t="n">
        <v>7869</v>
      </c>
      <c r="BD95" s="2" t="n">
        <v>42</v>
      </c>
      <c r="BE95" s="2" t="n">
        <v>6</v>
      </c>
      <c r="BF95" s="2">
        <f>IF(ISNUMBER(BC95),R95-BC95,"")</f>
        <v/>
      </c>
      <c r="BG95" s="4">
        <f>IF(AND(ISNUMBER(BC95),BC95&gt;0),(R95-BC95)/BC95,"")</f>
        <v/>
      </c>
      <c r="BH95" s="2">
        <f>IF(ISNUMBER(BD95),Y95-BD95,"")</f>
        <v/>
      </c>
      <c r="BI95" s="4">
        <f>IF(AND(ISNUMBER(BD95),BD95&gt;0),(Y95-BD95)/BD95,"")</f>
        <v/>
      </c>
      <c r="BJ95" s="2">
        <f>IF(ISNUMBER(BE95),AE95-BE95,"")</f>
        <v/>
      </c>
      <c r="BK95" s="2" t="inlineStr">
        <is>
          <t>ex-ante only</t>
        </is>
      </c>
      <c r="BL95" s="2" t="inlineStr">
        <is>
          <t>ex-ante only: Commission forecasts plus academic critique; rules apply from July 2026</t>
        </is>
      </c>
      <c r="BM95" s="2" t="inlineStr">
        <is>
          <t>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is>
      </c>
      <c r="BN95" s="2" t="n">
        <v>3</v>
      </c>
      <c r="BO95" s="2" t="n">
        <v>0</v>
      </c>
      <c r="BP95" s="2" t="n">
        <v>2</v>
      </c>
      <c r="BQ95" s="2" t="n">
        <v>0</v>
      </c>
      <c r="BR95" s="2" t="inlineStr"/>
    </row>
    <row r="96">
      <c r="A96" s="2" t="n">
        <v>95</v>
      </c>
      <c r="B96" s="2" t="inlineStr">
        <is>
          <t>Cyber Solidarity Act</t>
        </is>
      </c>
      <c r="C96" s="2" t="inlineStr">
        <is>
          <t>Aims to strengthen the EU's capacity to detect, prepare for and respond to significant and large-scale cyber threats and incidents. It establishes a European Cybersecurity Alert System of cross-border cyber hubs, a Cybersecurity Emergency Mechanism to help Member States prepare and respond, including through an EU Cybersecurity Reserve of trusted private providers, and an Incident Review Mechanism to assess major incidents.</t>
        </is>
      </c>
      <c r="D96" s="2" t="inlineStr">
        <is>
          <t>Regulation (EU) 2025/38</t>
        </is>
      </c>
      <c r="E96" s="2" t="inlineStr">
        <is>
          <t>Cybersecurity</t>
        </is>
      </c>
      <c r="F96" s="2" t="inlineStr">
        <is>
          <t>enacted</t>
        </is>
      </c>
      <c r="G96" s="2" t="inlineStr">
        <is>
          <t>2023-04-18</t>
        </is>
      </c>
      <c r="H96" s="2" t="inlineStr">
        <is>
          <t>high</t>
        </is>
      </c>
      <c r="I96" s="2" t="inlineStr">
        <is>
          <t>2024-12-19</t>
        </is>
      </c>
      <c r="J96" s="2" t="inlineStr">
        <is>
          <t>2025-01-15</t>
        </is>
      </c>
      <c r="K96" s="2" t="inlineStr">
        <is>
          <t>2025-02-04</t>
        </is>
      </c>
      <c r="L96" s="2" t="inlineStr">
        <is>
          <t>adopted</t>
        </is>
      </c>
      <c r="M96" s="2" t="inlineStr">
        <is>
          <t>adopted</t>
        </is>
      </c>
      <c r="N96" s="2" t="inlineStr">
        <is>
          <t>32025R0038</t>
        </is>
      </c>
      <c r="O96" s="2" t="inlineStr">
        <is>
          <t>Original act as published in the OJ</t>
        </is>
      </c>
      <c r="P96" s="2" t="inlineStr">
        <is>
          <t>https://eur-lex.europa.eu/legal-content/EN/TXT/?uri=CELEX:32025R0038</t>
        </is>
      </c>
      <c r="Q96" s="3" t="n">
        <v>34</v>
      </c>
      <c r="R96" s="3" t="n">
        <v>20994</v>
      </c>
      <c r="S96" s="3" t="n">
        <v>9482</v>
      </c>
      <c r="T96" s="3" t="n">
        <v>9321</v>
      </c>
      <c r="U96" s="3" t="n">
        <v>11054</v>
      </c>
      <c r="V96" s="3" t="n">
        <v>458</v>
      </c>
      <c r="W96" s="3" t="n">
        <v>0</v>
      </c>
      <c r="X96" s="3" t="n">
        <v>0</v>
      </c>
      <c r="Y96" s="3" t="n">
        <v>173</v>
      </c>
      <c r="Z96" s="3" t="n">
        <v>162</v>
      </c>
      <c r="AA96" s="3" t="n">
        <v>2</v>
      </c>
      <c r="AB96" s="3" t="n">
        <v>2</v>
      </c>
      <c r="AC96" s="3" t="n">
        <v>0</v>
      </c>
      <c r="AD96" s="3" t="n">
        <v>7</v>
      </c>
      <c r="AE96" s="3" t="n">
        <v>28</v>
      </c>
      <c r="AF96" s="3" t="n">
        <v>25</v>
      </c>
      <c r="AG96" s="3" t="n">
        <v>62</v>
      </c>
      <c r="AH96" s="3" t="n">
        <v>58</v>
      </c>
      <c r="AI96" s="2" t="inlineStr">
        <is>
          <t>02025R0038-20250115</t>
        </is>
      </c>
      <c r="AJ96" s="3" t="n">
        <v>173</v>
      </c>
      <c r="AK96" s="2" t="n">
        <v>28</v>
      </c>
      <c r="AL96" s="2">
        <f>COUNTIFS(secondary_acts!$A$2:$A$771,$A96,secondary_acts!$E$2:$E$771,"implementing")</f>
        <v/>
      </c>
      <c r="AM96" s="2">
        <f>COUNTIFS(secondary_acts!$A$2:$A$771,$A96,secondary_acts!$E$2:$E$771,"delegated")</f>
        <v/>
      </c>
      <c r="AN96" s="2">
        <f>COUNTIFS(secondary_acts!$A$2:$A$771,$A96,secondary_acts!$E$2:$E$771,"other Commission/Council act")</f>
        <v/>
      </c>
      <c r="AO96" s="2">
        <f>COUNTIFS(secondary_acts!$A$2:$A$771,$A96,secondary_acts!$E$2:$E$771,"guidance")</f>
        <v/>
      </c>
      <c r="AP96" s="2">
        <f>COUNTIF(guidance_web!$A$2:$A$7,$A96)</f>
        <v/>
      </c>
      <c r="AQ96" s="2">
        <f>COUNTIFS(guidance_agencies!$A$2:$A$81,$A96,guidance_agencies!$D$2:$D$81,"EDPB")</f>
        <v/>
      </c>
      <c r="AR96" s="2">
        <f>COUNTIFS(guidance_agencies!$A$2:$A$81,$A96,guidance_agencies!$D$2:$D$81,"EBA")</f>
        <v/>
      </c>
      <c r="AS96" s="2">
        <f>COUNTIFS(guidance_agencies!$A$2:$A$81,$A96,guidance_agencies!$D$2:$D$81,"ESMA")</f>
        <v/>
      </c>
      <c r="AT96" s="3">
        <f>SUMIFS(secondary_acts!$S$2:$S$771,secondary_acts!$A$2:$A$771,$A96,secondary_acts!$E$2:$E$771,"implementing")+SUMIFS(secondary_acts!$S$2:$S$771,secondary_acts!$A$2:$A$771,$A96,secondary_acts!$E$2:$E$771,"delegated")</f>
        <v/>
      </c>
      <c r="AU96" s="3" t="n"/>
      <c r="AV96" s="2" t="n"/>
      <c r="AW96" s="2" t="n">
        <v>0</v>
      </c>
      <c r="AX96" s="2" t="n"/>
      <c r="AY96" s="2" t="n"/>
      <c r="AZ96" s="2" t="n">
        <v>3</v>
      </c>
      <c r="BA96" s="2" t="inlineStr">
        <is>
          <t>52023PC0209</t>
        </is>
      </c>
      <c r="BB96" s="2" t="inlineStr">
        <is>
          <t>EUR-Lex HTML</t>
        </is>
      </c>
      <c r="BC96" s="2" t="n">
        <v>10677</v>
      </c>
      <c r="BD96" s="2" t="n">
        <v>105</v>
      </c>
      <c r="BE96" s="2" t="n">
        <v>22</v>
      </c>
      <c r="BF96" s="2">
        <f>IF(ISNUMBER(BC96),R96-BC96,"")</f>
        <v/>
      </c>
      <c r="BG96" s="4">
        <f>IF(AND(ISNUMBER(BC96),BC96&gt;0),(R96-BC96)/BC96,"")</f>
        <v/>
      </c>
      <c r="BH96" s="2">
        <f>IF(ISNUMBER(BD96),Y96-BD96,"")</f>
        <v/>
      </c>
      <c r="BI96" s="4">
        <f>IF(AND(ISNUMBER(BD96),BD96&gt;0),(Y96-BD96)/BD96,"")</f>
        <v/>
      </c>
      <c r="BJ96" s="2">
        <f>IF(ISNUMBER(BE96),AE96-BE96,"")</f>
        <v/>
      </c>
      <c r="BK96" s="2" t="inlineStr">
        <is>
          <t>ex-ante only</t>
        </is>
      </c>
      <c r="BL96" s="2" t="inlineStr">
        <is>
          <t>ex-ante only and thin: no impact assessment, output indicators only; early activity counts from Commission</t>
        </is>
      </c>
      <c r="BM96" s="2" t="inlineStr">
        <is>
          <t>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is>
      </c>
      <c r="BN96" s="2" t="n">
        <v>2</v>
      </c>
      <c r="BO96" s="2" t="n">
        <v>1</v>
      </c>
      <c r="BP96" s="2" t="n">
        <v>2</v>
      </c>
      <c r="BQ96" s="2" t="n">
        <v>0</v>
      </c>
      <c r="BR96" s="2" t="inlineStr"/>
    </row>
    <row r="97">
      <c r="A97" s="2" t="n">
        <v>96</v>
      </c>
      <c r="B97" s="2" t="inlineStr">
        <is>
          <t>Compulsory licensing of patents Regulation</t>
        </is>
      </c>
      <c r="C97" s="2" t="inlineStr">
        <is>
          <t>Aims to ensure access to crisis-relevant products during a crisis or emergency declared under an EU crisis mechanism. It creates a Union compulsory licence, granted by the Commission as a measure of last resort and in the public interest, that allows the use of patents, utility models and supplementary protection certificates without the holder's consent, subject to conditions and remuneration of the rights holder.</t>
        </is>
      </c>
      <c r="D97" s="2" t="inlineStr">
        <is>
          <t>2023/0129(COD)</t>
        </is>
      </c>
      <c r="E97" s="2" t="inlineStr">
        <is>
          <t>IPR</t>
        </is>
      </c>
      <c r="F97" s="2" t="inlineStr">
        <is>
          <t>proposal</t>
        </is>
      </c>
      <c r="G97" s="2" t="inlineStr">
        <is>
          <t>2023-04-27</t>
        </is>
      </c>
      <c r="H97" s="2" t="inlineStr">
        <is>
          <t>high</t>
        </is>
      </c>
      <c r="I97" s="2" t="inlineStr">
        <is>
          <t>2025-12-16</t>
        </is>
      </c>
      <c r="J97" s="2" t="inlineStr">
        <is>
          <t>2025-12-30</t>
        </is>
      </c>
      <c r="K97" s="2" t="inlineStr">
        <is>
          <t>2026-01-19</t>
        </is>
      </c>
      <c r="L97" s="2" t="inlineStr">
        <is>
          <t>proposed</t>
        </is>
      </c>
      <c r="M97" s="2" t="inlineStr">
        <is>
          <t>adopted</t>
        </is>
      </c>
      <c r="N97" s="2" t="inlineStr">
        <is>
          <t>32025R2645</t>
        </is>
      </c>
      <c r="O97" s="2" t="inlineStr">
        <is>
          <t>Original act as published in the OJ</t>
        </is>
      </c>
      <c r="P97" s="2" t="inlineStr">
        <is>
          <t>https://eur-lex.europa.eu/legal-content/EN/TXT/?uri=CELEX:32025R2645</t>
        </is>
      </c>
      <c r="Q97" s="3" t="n">
        <v>27</v>
      </c>
      <c r="R97" s="3" t="n">
        <v>16187</v>
      </c>
      <c r="S97" s="3" t="n">
        <v>9032</v>
      </c>
      <c r="T97" s="3" t="n">
        <v>8906</v>
      </c>
      <c r="U97" s="3" t="n">
        <v>6911</v>
      </c>
      <c r="V97" s="3" t="n">
        <v>244</v>
      </c>
      <c r="W97" s="3" t="n">
        <v>0</v>
      </c>
      <c r="X97" s="3" t="n">
        <v>0</v>
      </c>
      <c r="Y97" s="3" t="n">
        <v>112</v>
      </c>
      <c r="Z97" s="3" t="n">
        <v>91</v>
      </c>
      <c r="AA97" s="3" t="n">
        <v>10</v>
      </c>
      <c r="AB97" s="3" t="n">
        <v>1</v>
      </c>
      <c r="AC97" s="3" t="n">
        <v>3</v>
      </c>
      <c r="AD97" s="3" t="n">
        <v>7</v>
      </c>
      <c r="AE97" s="3" t="n">
        <v>17</v>
      </c>
      <c r="AF97" s="3" t="n">
        <v>7</v>
      </c>
      <c r="AG97" s="3" t="n">
        <v>60</v>
      </c>
      <c r="AH97" s="3" t="n">
        <v>28</v>
      </c>
      <c r="AI97" s="2" t="n"/>
      <c r="AJ97" s="3" t="n"/>
      <c r="AK97" s="2" t="n"/>
      <c r="AL97" s="2">
        <f>COUNTIFS(secondary_acts!$A$2:$A$771,$A97,secondary_acts!$E$2:$E$771,"implementing")</f>
        <v/>
      </c>
      <c r="AM97" s="2">
        <f>COUNTIFS(secondary_acts!$A$2:$A$771,$A97,secondary_acts!$E$2:$E$771,"delegated")</f>
        <v/>
      </c>
      <c r="AN97" s="2">
        <f>COUNTIFS(secondary_acts!$A$2:$A$771,$A97,secondary_acts!$E$2:$E$771,"other Commission/Council act")</f>
        <v/>
      </c>
      <c r="AO97" s="2">
        <f>COUNTIFS(secondary_acts!$A$2:$A$771,$A97,secondary_acts!$E$2:$E$771,"guidance")</f>
        <v/>
      </c>
      <c r="AP97" s="2">
        <f>COUNTIF(guidance_web!$A$2:$A$7,$A97)</f>
        <v/>
      </c>
      <c r="AQ97" s="2">
        <f>COUNTIFS(guidance_agencies!$A$2:$A$81,$A97,guidance_agencies!$D$2:$D$81,"EDPB")</f>
        <v/>
      </c>
      <c r="AR97" s="2">
        <f>COUNTIFS(guidance_agencies!$A$2:$A$81,$A97,guidance_agencies!$D$2:$D$81,"EBA")</f>
        <v/>
      </c>
      <c r="AS97" s="2">
        <f>COUNTIFS(guidance_agencies!$A$2:$A$81,$A97,guidance_agencies!$D$2:$D$81,"ESMA")</f>
        <v/>
      </c>
      <c r="AT97" s="3">
        <f>SUMIFS(secondary_acts!$S$2:$S$771,secondary_acts!$A$2:$A$771,$A97,secondary_acts!$E$2:$E$771,"implementing")+SUMIFS(secondary_acts!$S$2:$S$771,secondary_acts!$A$2:$A$771,$A97,secondary_acts!$E$2:$E$771,"delegated")</f>
        <v/>
      </c>
      <c r="AU97" s="3" t="n"/>
      <c r="AV97" s="2" t="n"/>
      <c r="AW97" s="2" t="n">
        <v>0</v>
      </c>
      <c r="AX97" s="2" t="n"/>
      <c r="AY97" s="2" t="n"/>
      <c r="AZ97" s="2" t="n">
        <v>0</v>
      </c>
      <c r="BA97" s="2" t="inlineStr">
        <is>
          <t>52023PC0224</t>
        </is>
      </c>
      <c r="BB97" s="2" t="inlineStr">
        <is>
          <t>EUR-Lex HTML</t>
        </is>
      </c>
      <c r="BC97" s="2" t="n">
        <v>10918</v>
      </c>
      <c r="BD97" s="2" t="n">
        <v>81</v>
      </c>
      <c r="BE97" s="2" t="n">
        <v>9</v>
      </c>
      <c r="BF97" s="2">
        <f>IF(ISNUMBER(BC97),R97-BC97,"")</f>
        <v/>
      </c>
      <c r="BG97" s="4">
        <f>IF(AND(ISNUMBER(BC97),BC97&gt;0),(R97-BC97)/BC97,"")</f>
        <v/>
      </c>
      <c r="BH97" s="2">
        <f>IF(ISNUMBER(BD97),Y97-BD97,"")</f>
        <v/>
      </c>
      <c r="BI97" s="4">
        <f>IF(AND(ISNUMBER(BD97),BD97&gt;0),(Y97-BD97)/BD97,"")</f>
        <v/>
      </c>
      <c r="BJ97" s="2">
        <f>IF(ISNUMBER(BE97),AE97-BE97,"")</f>
        <v/>
      </c>
      <c r="BK97" s="2" t="inlineStr">
        <is>
          <t>ex-ante only</t>
        </is>
      </c>
      <c r="BL97" s="2" t="inlineStr">
        <is>
          <t>ex-ante only: qualitative IA, no indicators; no licence granted so nothing to measure</t>
        </is>
      </c>
      <c r="BM97" s="2" t="inlineStr">
        <is>
          <t>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is>
      </c>
      <c r="BN97" s="2" t="n">
        <v>1</v>
      </c>
      <c r="BO97" s="2" t="n">
        <v>0</v>
      </c>
      <c r="BP97" s="2" t="n">
        <v>1</v>
      </c>
      <c r="BQ97" s="2" t="n">
        <v>0</v>
      </c>
      <c r="BR97" s="2" t="inlineStr">
        <is>
          <t>Adopted after CEPS snapshot: Regulation (EU) 2025/2645 (16 Dec 2025)</t>
        </is>
      </c>
    </row>
    <row r="98">
      <c r="A98" s="2" t="n">
        <v>97</v>
      </c>
      <c r="B98" s="2" t="inlineStr">
        <is>
          <t>Strategic Technologies for Europe Platform (STEP)</t>
        </is>
      </c>
      <c r="C98" s="2" t="inlineStr">
        <is>
          <t>Establishes a platform to support the development and manufacturing of critical technologies in the digital, clean and biotech sectors and in defence, and their value chains. It channels funding from existing EU programmes, adds EUR 1.5 billion to the European Defence Fund envelope for STEP objectives, awards a 'Sovereignty Seal' to quality projects and creates a Sovereignty Portal listing funding opportunities.</t>
        </is>
      </c>
      <c r="D98" s="2" t="inlineStr">
        <is>
          <t>Regulation (EU) 2024/795</t>
        </is>
      </c>
      <c r="E98" s="2" t="inlineStr">
        <is>
          <t>Industrial Policy</t>
        </is>
      </c>
      <c r="F98" s="2" t="inlineStr">
        <is>
          <t>enacted</t>
        </is>
      </c>
      <c r="G98" s="2" t="inlineStr">
        <is>
          <t>2023-06-20</t>
        </is>
      </c>
      <c r="H98" s="2" t="inlineStr">
        <is>
          <t>high</t>
        </is>
      </c>
      <c r="I98" s="2" t="inlineStr">
        <is>
          <t>2024-02-29</t>
        </is>
      </c>
      <c r="J98" s="2" t="inlineStr">
        <is>
          <t>2024-02-29</t>
        </is>
      </c>
      <c r="K98" s="2" t="inlineStr">
        <is>
          <t>2024-03-01</t>
        </is>
      </c>
      <c r="L98" s="2" t="inlineStr">
        <is>
          <t>adopted</t>
        </is>
      </c>
      <c r="M98" s="2" t="inlineStr">
        <is>
          <t>adopted</t>
        </is>
      </c>
      <c r="N98" s="2" t="inlineStr">
        <is>
          <t>32024R0795</t>
        </is>
      </c>
      <c r="O98" s="2" t="inlineStr">
        <is>
          <t>Original act as published in the OJ</t>
        </is>
      </c>
      <c r="P98" s="2" t="inlineStr">
        <is>
          <t>https://eur-lex.europa.eu/legal-content/EN/TXT/?uri=CELEX:32024R0795</t>
        </is>
      </c>
      <c r="Q98" s="3" t="n">
        <v>27</v>
      </c>
      <c r="R98" s="3" t="n">
        <v>14337</v>
      </c>
      <c r="S98" s="3" t="n">
        <v>5782</v>
      </c>
      <c r="T98" s="3" t="n">
        <v>5603</v>
      </c>
      <c r="U98" s="3" t="n">
        <v>8555</v>
      </c>
      <c r="V98" s="3" t="n">
        <v>0</v>
      </c>
      <c r="W98" s="3" t="n">
        <v>0</v>
      </c>
      <c r="X98" s="3" t="n">
        <v>0</v>
      </c>
      <c r="Y98" s="3" t="n">
        <v>48</v>
      </c>
      <c r="Z98" s="3" t="n">
        <v>45</v>
      </c>
      <c r="AA98" s="3" t="n">
        <v>2</v>
      </c>
      <c r="AB98" s="3" t="n">
        <v>0</v>
      </c>
      <c r="AC98" s="3" t="n">
        <v>0</v>
      </c>
      <c r="AD98" s="3" t="n">
        <v>1</v>
      </c>
      <c r="AE98" s="3" t="n">
        <v>3</v>
      </c>
      <c r="AF98" s="3" t="n">
        <v>7</v>
      </c>
      <c r="AG98" s="3" t="n">
        <v>11</v>
      </c>
      <c r="AH98" s="3" t="n">
        <v>27</v>
      </c>
      <c r="AI98" s="2" t="inlineStr">
        <is>
          <t>02024R0795-20251223</t>
        </is>
      </c>
      <c r="AJ98" s="3" t="n">
        <v>49</v>
      </c>
      <c r="AK98" s="2" t="n">
        <v>3</v>
      </c>
      <c r="AL98" s="2">
        <f>COUNTIFS(secondary_acts!$A$2:$A$771,$A98,secondary_acts!$E$2:$E$771,"implementing")</f>
        <v/>
      </c>
      <c r="AM98" s="2">
        <f>COUNTIFS(secondary_acts!$A$2:$A$771,$A98,secondary_acts!$E$2:$E$771,"delegated")</f>
        <v/>
      </c>
      <c r="AN98" s="2">
        <f>COUNTIFS(secondary_acts!$A$2:$A$771,$A98,secondary_acts!$E$2:$E$771,"other Commission/Council act")</f>
        <v/>
      </c>
      <c r="AO98" s="2">
        <f>COUNTIFS(secondary_acts!$A$2:$A$771,$A98,secondary_acts!$E$2:$E$771,"guidance")</f>
        <v/>
      </c>
      <c r="AP98" s="2">
        <f>COUNTIF(guidance_web!$A$2:$A$7,$A98)</f>
        <v/>
      </c>
      <c r="AQ98" s="2">
        <f>COUNTIFS(guidance_agencies!$A$2:$A$81,$A98,guidance_agencies!$D$2:$D$81,"EDPB")</f>
        <v/>
      </c>
      <c r="AR98" s="2">
        <f>COUNTIFS(guidance_agencies!$A$2:$A$81,$A98,guidance_agencies!$D$2:$D$81,"EBA")</f>
        <v/>
      </c>
      <c r="AS98" s="2">
        <f>COUNTIFS(guidance_agencies!$A$2:$A$81,$A98,guidance_agencies!$D$2:$D$81,"ESMA")</f>
        <v/>
      </c>
      <c r="AT98" s="3">
        <f>SUMIFS(secondary_acts!$S$2:$S$771,secondary_acts!$A$2:$A$771,$A98,secondary_acts!$E$2:$E$771,"implementing")+SUMIFS(secondary_acts!$S$2:$S$771,secondary_acts!$A$2:$A$771,$A98,secondary_acts!$E$2:$E$771,"delegated")</f>
        <v/>
      </c>
      <c r="AU98" s="3" t="n"/>
      <c r="AV98" s="2" t="n"/>
      <c r="AW98" s="2" t="n">
        <v>1</v>
      </c>
      <c r="AX98" s="2" t="inlineStr">
        <is>
          <t>2025-12-19</t>
        </is>
      </c>
      <c r="AY98" s="2" t="inlineStr">
        <is>
          <t>2025-12-19</t>
        </is>
      </c>
      <c r="AZ98" s="2" t="n">
        <v>2</v>
      </c>
      <c r="BA98" s="2" t="inlineStr">
        <is>
          <t>52023PC0335</t>
        </is>
      </c>
      <c r="BB98" s="2" t="inlineStr">
        <is>
          <t>EUR-Lex HTML</t>
        </is>
      </c>
      <c r="BC98" s="2" t="n">
        <v>9976</v>
      </c>
      <c r="BD98" s="2" t="n">
        <v>56</v>
      </c>
      <c r="BE98" s="2" t="n">
        <v>1</v>
      </c>
      <c r="BF98" s="2">
        <f>IF(ISNUMBER(BC98),R98-BC98,"")</f>
        <v/>
      </c>
      <c r="BG98" s="4">
        <f>IF(AND(ISNUMBER(BC98),BC98&gt;0),(R98-BC98)/BC98,"")</f>
        <v/>
      </c>
      <c r="BH98" s="2">
        <f>IF(ISNUMBER(BD98),Y98-BD98,"")</f>
        <v/>
      </c>
      <c r="BI98" s="4">
        <f>IF(AND(ISNUMBER(BD98),BD98&gt;0),(Y98-BD98)/BD98,"")</f>
        <v/>
      </c>
      <c r="BJ98" s="2">
        <f>IF(ISNUMBER(BE98),AE98-BE98,"")</f>
        <v/>
      </c>
      <c r="BK98" s="2" t="inlineStr">
        <is>
          <t>ex-ante only</t>
        </is>
      </c>
      <c r="BL98" s="2" t="inlineStr">
        <is>
          <t>ex-ante only: no impact assessment; Commission activity figures; no independent impact study</t>
        </is>
      </c>
      <c r="BM98" s="2" t="inlineStr">
        <is>
          <t>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is>
      </c>
      <c r="BN98" s="2" t="n">
        <v>3</v>
      </c>
      <c r="BO98" s="2" t="n">
        <v>2</v>
      </c>
      <c r="BP98" s="2" t="n">
        <v>2</v>
      </c>
      <c r="BQ98" s="2" t="n">
        <v>0</v>
      </c>
      <c r="BR98" s="2" t="inlineStr"/>
    </row>
    <row r="99">
      <c r="A99" s="2" t="n">
        <v>98</v>
      </c>
      <c r="B99" s="2" t="inlineStr">
        <is>
          <t>Financial Data Access Regulation (FiDA)</t>
        </is>
      </c>
      <c r="C99" s="2" t="inlineStr">
        <is>
          <t>Would establish rules on access to, sharing and use of customer data in financial services beyond payment accounts, such as savings, investments, pensions and insurance. It would give customers control over sharing their data with third parties, require data holders to make data available on request through standardised interfaces, create financial data sharing schemes, and set authorisation rules for financial information service providers.</t>
        </is>
      </c>
      <c r="D99" s="2" t="inlineStr">
        <is>
          <t>2023/0205(COD)</t>
        </is>
      </c>
      <c r="E99" s="2" t="inlineStr">
        <is>
          <t>Finance</t>
        </is>
      </c>
      <c r="F99" s="2" t="inlineStr">
        <is>
          <t>proposal</t>
        </is>
      </c>
      <c r="G99" s="2" t="inlineStr">
        <is>
          <t>2023-06-28</t>
        </is>
      </c>
      <c r="H99" s="2" t="inlineStr">
        <is>
          <t>high</t>
        </is>
      </c>
      <c r="I99" s="2" t="n"/>
      <c r="J99" s="2" t="n"/>
      <c r="K99" s="2" t="n"/>
      <c r="L99" s="2" t="inlineStr">
        <is>
          <t>proposed</t>
        </is>
      </c>
      <c r="M99" s="2" t="inlineStr">
        <is>
          <t>proposed</t>
        </is>
      </c>
      <c r="N99" s="2" t="inlineStr">
        <is>
          <t>52023PC0360</t>
        </is>
      </c>
      <c r="O99" s="2" t="inlineStr">
        <is>
          <t>Commission proposal (COM)</t>
        </is>
      </c>
      <c r="P99" s="2" t="inlineStr">
        <is>
          <t>https://eur-lex.europa.eu/legal-content/EN/TXT/?uri=CELEX:52023PC0360</t>
        </is>
      </c>
      <c r="Q99" s="3" t="n">
        <v>54</v>
      </c>
      <c r="R99" s="3" t="n">
        <v>19053</v>
      </c>
      <c r="S99" s="3" t="n">
        <v>7197</v>
      </c>
      <c r="T99" s="3" t="n">
        <v>7086</v>
      </c>
      <c r="U99" s="3" t="n">
        <v>11856</v>
      </c>
      <c r="V99" s="3" t="n">
        <v>0</v>
      </c>
      <c r="W99" s="3" t="n">
        <v>5800</v>
      </c>
      <c r="X99" s="3" t="n">
        <v>0</v>
      </c>
      <c r="Y99" s="3" t="n">
        <v>155</v>
      </c>
      <c r="Z99" s="3" t="n">
        <v>134</v>
      </c>
      <c r="AA99" s="3" t="n">
        <v>8</v>
      </c>
      <c r="AB99" s="3" t="n">
        <v>4</v>
      </c>
      <c r="AC99" s="3" t="n">
        <v>1</v>
      </c>
      <c r="AD99" s="3" t="n">
        <v>8</v>
      </c>
      <c r="AE99" s="3" t="n">
        <v>42</v>
      </c>
      <c r="AF99" s="3" t="n">
        <v>53</v>
      </c>
      <c r="AG99" s="3" t="n">
        <v>24</v>
      </c>
      <c r="AH99" s="3" t="n">
        <v>36</v>
      </c>
      <c r="AI99" s="2" t="n"/>
      <c r="AJ99" s="3" t="n"/>
      <c r="AK99" s="2" t="n"/>
      <c r="AL99" s="2">
        <f>COUNTIFS(secondary_acts!$A$2:$A$771,$A99,secondary_acts!$E$2:$E$771,"implementing")</f>
        <v/>
      </c>
      <c r="AM99" s="2">
        <f>COUNTIFS(secondary_acts!$A$2:$A$771,$A99,secondary_acts!$E$2:$E$771,"delegated")</f>
        <v/>
      </c>
      <c r="AN99" s="2">
        <f>COUNTIFS(secondary_acts!$A$2:$A$771,$A99,secondary_acts!$E$2:$E$771,"other Commission/Council act")</f>
        <v/>
      </c>
      <c r="AO99" s="2">
        <f>COUNTIFS(secondary_acts!$A$2:$A$771,$A99,secondary_acts!$E$2:$E$771,"guidance")</f>
        <v/>
      </c>
      <c r="AP99" s="2">
        <f>COUNTIF(guidance_web!$A$2:$A$7,$A99)</f>
        <v/>
      </c>
      <c r="AQ99" s="2">
        <f>COUNTIFS(guidance_agencies!$A$2:$A$81,$A99,guidance_agencies!$D$2:$D$81,"EDPB")</f>
        <v/>
      </c>
      <c r="AR99" s="2">
        <f>COUNTIFS(guidance_agencies!$A$2:$A$81,$A99,guidance_agencies!$D$2:$D$81,"EBA")</f>
        <v/>
      </c>
      <c r="AS99" s="2">
        <f>COUNTIFS(guidance_agencies!$A$2:$A$81,$A99,guidance_agencies!$D$2:$D$81,"ESMA")</f>
        <v/>
      </c>
      <c r="AT99" s="3">
        <f>SUMIFS(secondary_acts!$S$2:$S$771,secondary_acts!$A$2:$A$771,$A99,secondary_acts!$E$2:$E$771,"implementing")+SUMIFS(secondary_acts!$S$2:$S$771,secondary_acts!$A$2:$A$771,$A99,secondary_acts!$E$2:$E$771,"delegated")</f>
        <v/>
      </c>
      <c r="AU99" s="3" t="n"/>
      <c r="AV99" s="2" t="n"/>
      <c r="AW99" s="2" t="n"/>
      <c r="AX99" s="2" t="n"/>
      <c r="AY99" s="2" t="n"/>
      <c r="AZ99" s="2" t="n"/>
      <c r="BA99" s="2" t="n"/>
      <c r="BB99" s="2" t="inlineStr">
        <is>
          <t>row is itself a proposal</t>
        </is>
      </c>
      <c r="BC99" s="2" t="n"/>
      <c r="BD99" s="2" t="n"/>
      <c r="BE99" s="2" t="n"/>
      <c r="BF99" s="2">
        <f>IF(ISNUMBER(BC99),R99-BC99,"")</f>
        <v/>
      </c>
      <c r="BG99" s="4">
        <f>IF(AND(ISNUMBER(BC99),BC99&gt;0),(R99-BC99)/BC99,"")</f>
        <v/>
      </c>
      <c r="BH99" s="2">
        <f>IF(ISNUMBER(BD99),Y99-BD99,"")</f>
        <v/>
      </c>
      <c r="BI99" s="4">
        <f>IF(AND(ISNUMBER(BD99),BD99&gt;0),(Y99-BD99)/BD99,"")</f>
        <v/>
      </c>
      <c r="BJ99" s="2">
        <f>IF(ISNUMBER(BE99),AE99-BE99,"")</f>
        <v/>
      </c>
      <c r="BK99" s="2" t="inlineStr">
        <is>
          <t>ex-ante only</t>
        </is>
      </c>
      <c r="BL99" s="2" t="inlineStr">
        <is>
          <t>ex-ante only: impact assessment cost estimates; no indicators; regulation not adopted</t>
        </is>
      </c>
      <c r="BM99" s="2" t="inlineStr">
        <is>
          <t>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is>
      </c>
      <c r="BN99" s="2" t="n">
        <v>3</v>
      </c>
      <c r="BO99" s="2" t="n">
        <v>0</v>
      </c>
      <c r="BP99" s="2" t="n">
        <v>1</v>
      </c>
      <c r="BQ99" s="2" t="n">
        <v>0</v>
      </c>
      <c r="BR99" s="2" t="inlineStr"/>
    </row>
    <row r="100">
      <c r="A100" s="2" t="n">
        <v>99</v>
      </c>
      <c r="B100" s="2" t="inlineStr">
        <is>
          <t>Payment Services Regulation (PSR)</t>
        </is>
      </c>
      <c r="C100" s="2" t="inlineStr">
        <is>
          <t>Would set uniform, directly applicable rules for payment and e-money services across the EU, covering transparency, information requirements and the rights and obligations of providers and users. It would strengthen measures against payment fraud, including fraud-data sharing and IBAN-name verification, improve open banking by tackling obstacles to account data access, and give payment institutions fairer access to payment systems.</t>
        </is>
      </c>
      <c r="D100" s="2" t="inlineStr">
        <is>
          <t>2023/0210(COD)</t>
        </is>
      </c>
      <c r="E100" s="2" t="inlineStr">
        <is>
          <t>Finance</t>
        </is>
      </c>
      <c r="F100" s="2" t="inlineStr">
        <is>
          <t>proposal</t>
        </is>
      </c>
      <c r="G100" s="2" t="inlineStr">
        <is>
          <t>2023-06-28</t>
        </is>
      </c>
      <c r="H100" s="2" t="inlineStr">
        <is>
          <t>high</t>
        </is>
      </c>
      <c r="I100" s="2" t="n"/>
      <c r="J100" s="2" t="n"/>
      <c r="K100" s="2" t="n"/>
      <c r="L100" s="2" t="inlineStr">
        <is>
          <t>proposed</t>
        </is>
      </c>
      <c r="M100" s="2" t="inlineStr">
        <is>
          <t>agreed</t>
        </is>
      </c>
      <c r="N100" s="2" t="inlineStr">
        <is>
          <t>52023PC0367</t>
        </is>
      </c>
      <c r="O100" s="2" t="inlineStr">
        <is>
          <t>Commission proposal (COM)</t>
        </is>
      </c>
      <c r="P100" s="2" t="inlineStr">
        <is>
          <t>https://eur-lex.europa.eu/legal-content/EN/TXT/?uri=CELEX:52023PC0367</t>
        </is>
      </c>
      <c r="Q100" s="3" t="n">
        <v>159</v>
      </c>
      <c r="R100" s="3" t="n">
        <v>55334</v>
      </c>
      <c r="S100" s="3" t="n">
        <v>19804</v>
      </c>
      <c r="T100" s="3" t="n">
        <v>19694</v>
      </c>
      <c r="U100" s="3" t="n">
        <v>32412</v>
      </c>
      <c r="V100" s="3" t="n">
        <v>3118</v>
      </c>
      <c r="W100" s="3" t="n">
        <v>5272</v>
      </c>
      <c r="X100" s="3" t="n">
        <v>0</v>
      </c>
      <c r="Y100" s="3" t="n">
        <v>447</v>
      </c>
      <c r="Z100" s="3" t="n">
        <v>354</v>
      </c>
      <c r="AA100" s="3" t="n">
        <v>50</v>
      </c>
      <c r="AB100" s="3" t="n">
        <v>8</v>
      </c>
      <c r="AC100" s="3" t="n">
        <v>6</v>
      </c>
      <c r="AD100" s="3" t="n">
        <v>29</v>
      </c>
      <c r="AE100" s="3" t="n">
        <v>249</v>
      </c>
      <c r="AF100" s="3" t="n">
        <v>69</v>
      </c>
      <c r="AG100" s="3" t="n">
        <v>45</v>
      </c>
      <c r="AH100" s="3" t="n">
        <v>84</v>
      </c>
      <c r="AI100" s="2" t="n"/>
      <c r="AJ100" s="3" t="n"/>
      <c r="AK100" s="2" t="n"/>
      <c r="AL100" s="2">
        <f>COUNTIFS(secondary_acts!$A$2:$A$771,$A100,secondary_acts!$E$2:$E$771,"implementing")</f>
        <v/>
      </c>
      <c r="AM100" s="2">
        <f>COUNTIFS(secondary_acts!$A$2:$A$771,$A100,secondary_acts!$E$2:$E$771,"delegated")</f>
        <v/>
      </c>
      <c r="AN100" s="2">
        <f>COUNTIFS(secondary_acts!$A$2:$A$771,$A100,secondary_acts!$E$2:$E$771,"other Commission/Council act")</f>
        <v/>
      </c>
      <c r="AO100" s="2">
        <f>COUNTIFS(secondary_acts!$A$2:$A$771,$A100,secondary_acts!$E$2:$E$771,"guidance")</f>
        <v/>
      </c>
      <c r="AP100" s="2">
        <f>COUNTIF(guidance_web!$A$2:$A$7,$A100)</f>
        <v/>
      </c>
      <c r="AQ100" s="2">
        <f>COUNTIFS(guidance_agencies!$A$2:$A$81,$A100,guidance_agencies!$D$2:$D$81,"EDPB")</f>
        <v/>
      </c>
      <c r="AR100" s="2">
        <f>COUNTIFS(guidance_agencies!$A$2:$A$81,$A100,guidance_agencies!$D$2:$D$81,"EBA")</f>
        <v/>
      </c>
      <c r="AS100" s="2">
        <f>COUNTIFS(guidance_agencies!$A$2:$A$81,$A100,guidance_agencies!$D$2:$D$81,"ESMA")</f>
        <v/>
      </c>
      <c r="AT100" s="3">
        <f>SUMIFS(secondary_acts!$S$2:$S$771,secondary_acts!$A$2:$A$771,$A100,secondary_acts!$E$2:$E$771,"implementing")+SUMIFS(secondary_acts!$S$2:$S$771,secondary_acts!$A$2:$A$771,$A100,secondary_acts!$E$2:$E$771,"delegated")</f>
        <v/>
      </c>
      <c r="AU100" s="3" t="n"/>
      <c r="AV100" s="2" t="n"/>
      <c r="AW100" s="2" t="n"/>
      <c r="AX100" s="2" t="n"/>
      <c r="AY100" s="2" t="n"/>
      <c r="AZ100" s="2" t="n"/>
      <c r="BA100" s="2" t="n"/>
      <c r="BB100" s="2" t="inlineStr">
        <is>
          <t>row is itself a proposal</t>
        </is>
      </c>
      <c r="BC100" s="2" t="n"/>
      <c r="BD100" s="2" t="n"/>
      <c r="BE100" s="2" t="n"/>
      <c r="BF100" s="2">
        <f>IF(ISNUMBER(BC100),R100-BC100,"")</f>
        <v/>
      </c>
      <c r="BG100" s="4">
        <f>IF(AND(ISNUMBER(BC100),BC100&gt;0),(R100-BC100)/BC100,"")</f>
        <v/>
      </c>
      <c r="BH100" s="2">
        <f>IF(ISNUMBER(BD100),Y100-BD100,"")</f>
        <v/>
      </c>
      <c r="BI100" s="4">
        <f>IF(AND(ISNUMBER(BD100),BD100&gt;0),(Y100-BD100)/BD100,"")</f>
        <v/>
      </c>
      <c r="BJ100" s="2">
        <f>IF(ISNUMBER(BE100),AE100-BE100,"")</f>
        <v/>
      </c>
      <c r="BK100" s="2" t="inlineStr">
        <is>
          <t>ex-ante only</t>
        </is>
      </c>
      <c r="BL100" s="2" t="inlineStr">
        <is>
          <t>ex-ante only: joint impact assessment with PSD3; fraud baseline statistics; not yet applied</t>
        </is>
      </c>
      <c r="BM100" s="2" t="inlineStr">
        <is>
          <t>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is>
      </c>
      <c r="BN100" s="2" t="n">
        <v>3</v>
      </c>
      <c r="BO100" s="2" t="n">
        <v>0</v>
      </c>
      <c r="BP100" s="2" t="n">
        <v>2</v>
      </c>
      <c r="BQ100" s="2" t="n">
        <v>0</v>
      </c>
      <c r="BR100" s="2" t="inlineStr">
        <is>
          <t>Provisional agreement 27 Nov 2025; measured on the 2023 Commission proposal (user choice). Council final compromise text ST 8221/26: 431 Council-format pages, 74,497 words of legal text, 588 restrictions (323 on private parties)</t>
        </is>
      </c>
    </row>
    <row r="101">
      <c r="A101" s="2" t="n">
        <v>100</v>
      </c>
      <c r="B101" s="2" t="inlineStr">
        <is>
          <t>Payment Services Directive 3 (PSD3)</t>
        </is>
      </c>
      <c r="C101" s="2" t="inlineStr">
        <is>
          <t>Would update EU rules on the authorisation and supervision of payment institutions, merging the regimes for payment and e-money institutions. It would set requirements for licensing, capital, safeguarding of customer funds and supervision of payment institutions, while giving national supervisors tools to oversee them. It accompanies the Payment Services Regulation, which would cover conduct rules.</t>
        </is>
      </c>
      <c r="D101" s="2" t="inlineStr">
        <is>
          <t>2023/0209(COD)</t>
        </is>
      </c>
      <c r="E101" s="2" t="inlineStr">
        <is>
          <t>Finance</t>
        </is>
      </c>
      <c r="F101" s="2" t="inlineStr">
        <is>
          <t>proposal (listed in the cell of its enacted predecessor)</t>
        </is>
      </c>
      <c r="G101" s="2" t="inlineStr">
        <is>
          <t>2023-06-28</t>
        </is>
      </c>
      <c r="H101" s="2" t="inlineStr">
        <is>
          <t>high</t>
        </is>
      </c>
      <c r="I101" s="2" t="n"/>
      <c r="J101" s="2" t="n"/>
      <c r="K101" s="2" t="n"/>
      <c r="L101" s="2" t="inlineStr">
        <is>
          <t>proposed</t>
        </is>
      </c>
      <c r="M101" s="2" t="inlineStr">
        <is>
          <t>agreed</t>
        </is>
      </c>
      <c r="N101" s="2" t="inlineStr">
        <is>
          <t>52023PC0366</t>
        </is>
      </c>
      <c r="O101" s="2" t="inlineStr">
        <is>
          <t>Commission proposal (COM)</t>
        </is>
      </c>
      <c r="P101" s="2" t="inlineStr">
        <is>
          <t>https://eur-lex.europa.eu/legal-content/EN/TXT/?uri=CELEX:52023PC0366</t>
        </is>
      </c>
      <c r="Q101" s="3" t="n">
        <v>99</v>
      </c>
      <c r="R101" s="3" t="n">
        <v>29148</v>
      </c>
      <c r="S101" s="3" t="n">
        <v>8708</v>
      </c>
      <c r="T101" s="3" t="n">
        <v>8583</v>
      </c>
      <c r="U101" s="3" t="n">
        <v>17309</v>
      </c>
      <c r="V101" s="3" t="n">
        <v>3131</v>
      </c>
      <c r="W101" s="3" t="n">
        <v>3955</v>
      </c>
      <c r="X101" s="3" t="n">
        <v>0</v>
      </c>
      <c r="Y101" s="3" t="n">
        <v>243</v>
      </c>
      <c r="Z101" s="3" t="n">
        <v>193</v>
      </c>
      <c r="AA101" s="3" t="n">
        <v>16</v>
      </c>
      <c r="AB101" s="3" t="n">
        <v>5</v>
      </c>
      <c r="AC101" s="3" t="n">
        <v>0</v>
      </c>
      <c r="AD101" s="3" t="n">
        <v>29</v>
      </c>
      <c r="AE101" s="3" t="n">
        <v>48</v>
      </c>
      <c r="AF101" s="3" t="n">
        <v>135</v>
      </c>
      <c r="AG101" s="3" t="n">
        <v>28</v>
      </c>
      <c r="AH101" s="3" t="n">
        <v>32</v>
      </c>
      <c r="AI101" s="2" t="n"/>
      <c r="AJ101" s="3" t="n"/>
      <c r="AK101" s="2" t="n"/>
      <c r="AL101" s="2">
        <f>COUNTIFS(secondary_acts!$A$2:$A$771,$A101,secondary_acts!$E$2:$E$771,"implementing")</f>
        <v/>
      </c>
      <c r="AM101" s="2">
        <f>COUNTIFS(secondary_acts!$A$2:$A$771,$A101,secondary_acts!$E$2:$E$771,"delegated")</f>
        <v/>
      </c>
      <c r="AN101" s="2">
        <f>COUNTIFS(secondary_acts!$A$2:$A$771,$A101,secondary_acts!$E$2:$E$771,"other Commission/Council act")</f>
        <v/>
      </c>
      <c r="AO101" s="2">
        <f>COUNTIFS(secondary_acts!$A$2:$A$771,$A101,secondary_acts!$E$2:$E$771,"guidance")</f>
        <v/>
      </c>
      <c r="AP101" s="2">
        <f>COUNTIF(guidance_web!$A$2:$A$7,$A101)</f>
        <v/>
      </c>
      <c r="AQ101" s="2">
        <f>COUNTIFS(guidance_agencies!$A$2:$A$81,$A101,guidance_agencies!$D$2:$D$81,"EDPB")</f>
        <v/>
      </c>
      <c r="AR101" s="2">
        <f>COUNTIFS(guidance_agencies!$A$2:$A$81,$A101,guidance_agencies!$D$2:$D$81,"EBA")</f>
        <v/>
      </c>
      <c r="AS101" s="2">
        <f>COUNTIFS(guidance_agencies!$A$2:$A$81,$A101,guidance_agencies!$D$2:$D$81,"ESMA")</f>
        <v/>
      </c>
      <c r="AT101" s="3">
        <f>SUMIFS(secondary_acts!$S$2:$S$771,secondary_acts!$A$2:$A$771,$A101,secondary_acts!$E$2:$E$771,"implementing")+SUMIFS(secondary_acts!$S$2:$S$771,secondary_acts!$A$2:$A$771,$A101,secondary_acts!$E$2:$E$771,"delegated")</f>
        <v/>
      </c>
      <c r="AU101" s="3" t="n"/>
      <c r="AV101" s="2" t="n"/>
      <c r="AW101" s="2" t="n"/>
      <c r="AX101" s="2" t="n"/>
      <c r="AY101" s="2" t="n"/>
      <c r="AZ101" s="2" t="n"/>
      <c r="BA101" s="2" t="n"/>
      <c r="BB101" s="2" t="inlineStr">
        <is>
          <t>row is itself a proposal</t>
        </is>
      </c>
      <c r="BC101" s="2" t="n"/>
      <c r="BD101" s="2" t="n"/>
      <c r="BE101" s="2" t="n"/>
      <c r="BF101" s="2">
        <f>IF(ISNUMBER(BC101),R101-BC101,"")</f>
        <v/>
      </c>
      <c r="BG101" s="4">
        <f>IF(AND(ISNUMBER(BC101),BC101&gt;0),(R101-BC101)/BC101,"")</f>
        <v/>
      </c>
      <c r="BH101" s="2">
        <f>IF(ISNUMBER(BD101),Y101-BD101,"")</f>
        <v/>
      </c>
      <c r="BI101" s="4">
        <f>IF(AND(ISNUMBER(BD101),BD101&gt;0),(Y101-BD101)/BD101,"")</f>
        <v/>
      </c>
      <c r="BJ101" s="2">
        <f>IF(ISNUMBER(BE101),AE101-BE101,"")</f>
        <v/>
      </c>
      <c r="BK101" s="2" t="inlineStr">
        <is>
          <t>ex-ante only</t>
        </is>
      </c>
      <c r="BL101" s="2" t="inlineStr">
        <is>
          <t>ex-ante only: joint impact assessment with PSR; fraud baseline statistics; not yet applied</t>
        </is>
      </c>
      <c r="BM101" s="2" t="inlineStr">
        <is>
          <t>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is>
      </c>
      <c r="BN101" s="2" t="n">
        <v>3</v>
      </c>
      <c r="BO101" s="2" t="n">
        <v>0</v>
      </c>
      <c r="BP101" s="2" t="n">
        <v>2</v>
      </c>
      <c r="BQ101" s="2" t="n">
        <v>0</v>
      </c>
      <c r="BR101" s="2" t="inlineStr">
        <is>
          <t>Provisional agreement 27 Nov 2025; measured on the 2023 Commission proposal (user choice). Council final compromise text ST 8222/26: 167 Council-format pages, 30,433 words of legal text, 266 restrictions (56 on private parties)</t>
        </is>
      </c>
    </row>
    <row r="102">
      <c r="A102" s="2" t="n">
        <v>101</v>
      </c>
      <c r="B102" s="2" t="inlineStr">
        <is>
          <t>Digital Euro Regulation</t>
        </is>
      </c>
      <c r="C102" s="2" t="inlineStr">
        <is>
          <t>Would establish the digital euro, a digital form of the single currency issued by the European Central Bank, to adapt the euro to technological change. It would give it legal tender status, set rules for its distribution by payment service providers, online and offline use, holding limits, privacy and data protection, and require basic digital euro services to be provided free of charge to individuals.</t>
        </is>
      </c>
      <c r="D102" s="2" t="inlineStr">
        <is>
          <t>2023/0212(COD)</t>
        </is>
      </c>
      <c r="E102" s="2" t="inlineStr">
        <is>
          <t>Finance</t>
        </is>
      </c>
      <c r="F102" s="2" t="inlineStr">
        <is>
          <t>proposal</t>
        </is>
      </c>
      <c r="G102" s="2" t="inlineStr">
        <is>
          <t>2023-06-28</t>
        </is>
      </c>
      <c r="H102" s="2" t="inlineStr">
        <is>
          <t>high</t>
        </is>
      </c>
      <c r="I102" s="2" t="n"/>
      <c r="J102" s="2" t="n"/>
      <c r="K102" s="2" t="n"/>
      <c r="L102" s="2" t="inlineStr">
        <is>
          <t>proposed</t>
        </is>
      </c>
      <c r="M102" s="2" t="inlineStr">
        <is>
          <t>proposed</t>
        </is>
      </c>
      <c r="N102" s="2" t="inlineStr">
        <is>
          <t>52023PC0369</t>
        </is>
      </c>
      <c r="O102" s="2" t="inlineStr">
        <is>
          <t>Commission proposal (COM)</t>
        </is>
      </c>
      <c r="P102" s="2" t="inlineStr">
        <is>
          <t>https://eur-lex.europa.eu/legal-content/EN/TXT/?uri=CELEX:52023PC0369</t>
        </is>
      </c>
      <c r="Q102" s="3" t="n">
        <v>68</v>
      </c>
      <c r="R102" s="3" t="n">
        <v>23989</v>
      </c>
      <c r="S102" s="3" t="n">
        <v>12376</v>
      </c>
      <c r="T102" s="3" t="n">
        <v>12277</v>
      </c>
      <c r="U102" s="3" t="n">
        <v>10828</v>
      </c>
      <c r="V102" s="3" t="n">
        <v>785</v>
      </c>
      <c r="W102" s="3" t="n">
        <v>7972</v>
      </c>
      <c r="X102" s="3" t="n">
        <v>0</v>
      </c>
      <c r="Y102" s="3" t="n">
        <v>153</v>
      </c>
      <c r="Z102" s="3" t="n">
        <v>123</v>
      </c>
      <c r="AA102" s="3" t="n">
        <v>19</v>
      </c>
      <c r="AB102" s="3" t="n">
        <v>6</v>
      </c>
      <c r="AC102" s="3" t="n">
        <v>2</v>
      </c>
      <c r="AD102" s="3" t="n">
        <v>3</v>
      </c>
      <c r="AE102" s="3" t="n">
        <v>74</v>
      </c>
      <c r="AF102" s="3" t="n">
        <v>16</v>
      </c>
      <c r="AG102" s="3" t="n">
        <v>16</v>
      </c>
      <c r="AH102" s="3" t="n">
        <v>47</v>
      </c>
      <c r="AI102" s="2" t="n"/>
      <c r="AJ102" s="3" t="n"/>
      <c r="AK102" s="2" t="n"/>
      <c r="AL102" s="2">
        <f>COUNTIFS(secondary_acts!$A$2:$A$771,$A102,secondary_acts!$E$2:$E$771,"implementing")</f>
        <v/>
      </c>
      <c r="AM102" s="2">
        <f>COUNTIFS(secondary_acts!$A$2:$A$771,$A102,secondary_acts!$E$2:$E$771,"delegated")</f>
        <v/>
      </c>
      <c r="AN102" s="2">
        <f>COUNTIFS(secondary_acts!$A$2:$A$771,$A102,secondary_acts!$E$2:$E$771,"other Commission/Council act")</f>
        <v/>
      </c>
      <c r="AO102" s="2">
        <f>COUNTIFS(secondary_acts!$A$2:$A$771,$A102,secondary_acts!$E$2:$E$771,"guidance")</f>
        <v/>
      </c>
      <c r="AP102" s="2">
        <f>COUNTIF(guidance_web!$A$2:$A$7,$A102)</f>
        <v/>
      </c>
      <c r="AQ102" s="2">
        <f>COUNTIFS(guidance_agencies!$A$2:$A$81,$A102,guidance_agencies!$D$2:$D$81,"EDPB")</f>
        <v/>
      </c>
      <c r="AR102" s="2">
        <f>COUNTIFS(guidance_agencies!$A$2:$A$81,$A102,guidance_agencies!$D$2:$D$81,"EBA")</f>
        <v/>
      </c>
      <c r="AS102" s="2">
        <f>COUNTIFS(guidance_agencies!$A$2:$A$81,$A102,guidance_agencies!$D$2:$D$81,"ESMA")</f>
        <v/>
      </c>
      <c r="AT102" s="3">
        <f>SUMIFS(secondary_acts!$S$2:$S$771,secondary_acts!$A$2:$A$771,$A102,secondary_acts!$E$2:$E$771,"implementing")+SUMIFS(secondary_acts!$S$2:$S$771,secondary_acts!$A$2:$A$771,$A102,secondary_acts!$E$2:$E$771,"delegated")</f>
        <v/>
      </c>
      <c r="AU102" s="3" t="n"/>
      <c r="AV102" s="2" t="n"/>
      <c r="AW102" s="2" t="n"/>
      <c r="AX102" s="2" t="n"/>
      <c r="AY102" s="2" t="n"/>
      <c r="AZ102" s="2" t="n"/>
      <c r="BA102" s="2" t="n"/>
      <c r="BB102" s="2" t="inlineStr">
        <is>
          <t>row is itself a proposal</t>
        </is>
      </c>
      <c r="BC102" s="2" t="n"/>
      <c r="BD102" s="2" t="n"/>
      <c r="BE102" s="2" t="n"/>
      <c r="BF102" s="2">
        <f>IF(ISNUMBER(BC102),R102-BC102,"")</f>
        <v/>
      </c>
      <c r="BG102" s="4">
        <f>IF(AND(ISNUMBER(BC102),BC102&gt;0),(R102-BC102)/BC102,"")</f>
        <v/>
      </c>
      <c r="BH102" s="2">
        <f>IF(ISNUMBER(BD102),Y102-BD102,"")</f>
        <v/>
      </c>
      <c r="BI102" s="4">
        <f>IF(AND(ISNUMBER(BD102),BD102&gt;0),(Y102-BD102)/BD102,"")</f>
        <v/>
      </c>
      <c r="BJ102" s="2">
        <f>IF(ISNUMBER(BE102),AE102-BE102,"")</f>
        <v/>
      </c>
      <c r="BK102" s="2" t="inlineStr">
        <is>
          <t>ex-ante only</t>
        </is>
      </c>
      <c r="BL102" s="2" t="inlineStr">
        <is>
          <t>ex-ante only: Commission IA and ECB simulations, contested industry cost study; regulation not adopted</t>
        </is>
      </c>
      <c r="BM102" s="2" t="inlineStr">
        <is>
          <t>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is>
      </c>
      <c r="BN102" s="2" t="n">
        <v>3</v>
      </c>
      <c r="BO102" s="2" t="n">
        <v>1</v>
      </c>
      <c r="BP102" s="2" t="n">
        <v>3</v>
      </c>
      <c r="BQ102" s="2" t="n">
        <v>0</v>
      </c>
      <c r="BR102" s="2" t="inlineStr"/>
    </row>
    <row r="103">
      <c r="A103" s="2" t="n">
        <v>102</v>
      </c>
      <c r="B103" s="2" t="inlineStr">
        <is>
          <t>GDPR Procedural Regulation</t>
        </is>
      </c>
      <c r="C103" s="2" t="inlineStr">
        <is>
          <t>Sets common procedural rules for how national data protection authorities handle complaints and investigations in cross-border cases under the GDPR. It harmonises the admissibility of complaints, the rights of complainants and companies under investigation, such as the right to be heard and access to the file, and cooperation and dispute resolution between authorities, to make enforcement faster and more consistent.</t>
        </is>
      </c>
      <c r="D103" s="2" t="inlineStr">
        <is>
          <t>2023/0202(COD)</t>
        </is>
      </c>
      <c r="E103" s="2" t="inlineStr">
        <is>
          <t>Data &amp; Privacy</t>
        </is>
      </c>
      <c r="F103" s="2" t="inlineStr">
        <is>
          <t>proposal</t>
        </is>
      </c>
      <c r="G103" s="2" t="inlineStr">
        <is>
          <t>2023-07-04</t>
        </is>
      </c>
      <c r="H103" s="2" t="inlineStr">
        <is>
          <t>high</t>
        </is>
      </c>
      <c r="I103" s="2" t="inlineStr">
        <is>
          <t>2025-11-26</t>
        </is>
      </c>
      <c r="J103" s="2" t="inlineStr">
        <is>
          <t>2025-12-12</t>
        </is>
      </c>
      <c r="K103" s="2" t="inlineStr">
        <is>
          <t>2026-01-01</t>
        </is>
      </c>
      <c r="L103" s="2" t="inlineStr">
        <is>
          <t>proposed</t>
        </is>
      </c>
      <c r="M103" s="2" t="inlineStr">
        <is>
          <t>adopted</t>
        </is>
      </c>
      <c r="N103" s="2" t="inlineStr">
        <is>
          <t>32025R2518</t>
        </is>
      </c>
      <c r="O103" s="2" t="inlineStr">
        <is>
          <t>Original act as published in the OJ</t>
        </is>
      </c>
      <c r="P103" s="2" t="inlineStr">
        <is>
          <t>https://eur-lex.europa.eu/legal-content/EN/TXT/?uri=CELEX:32025R2518</t>
        </is>
      </c>
      <c r="Q103" s="3" t="n">
        <v>27</v>
      </c>
      <c r="R103" s="3" t="n">
        <v>17116</v>
      </c>
      <c r="S103" s="3" t="n">
        <v>6916</v>
      </c>
      <c r="T103" s="3" t="n">
        <v>6792</v>
      </c>
      <c r="U103" s="3" t="n">
        <v>10200</v>
      </c>
      <c r="V103" s="3" t="n">
        <v>0</v>
      </c>
      <c r="W103" s="3" t="n">
        <v>0</v>
      </c>
      <c r="X103" s="3" t="n">
        <v>0</v>
      </c>
      <c r="Y103" s="3" t="n">
        <v>133</v>
      </c>
      <c r="Z103" s="3" t="n">
        <v>123</v>
      </c>
      <c r="AA103" s="3" t="n">
        <v>5</v>
      </c>
      <c r="AB103" s="3" t="n">
        <v>0</v>
      </c>
      <c r="AC103" s="3" t="n">
        <v>3</v>
      </c>
      <c r="AD103" s="3" t="n">
        <v>2</v>
      </c>
      <c r="AE103" s="3" t="n">
        <v>5</v>
      </c>
      <c r="AF103" s="3" t="n">
        <v>76</v>
      </c>
      <c r="AG103" s="3" t="n">
        <v>20</v>
      </c>
      <c r="AH103" s="3" t="n">
        <v>32</v>
      </c>
      <c r="AI103" s="2" t="n"/>
      <c r="AJ103" s="3" t="n"/>
      <c r="AK103" s="2" t="n"/>
      <c r="AL103" s="2">
        <f>COUNTIFS(secondary_acts!$A$2:$A$771,$A103,secondary_acts!$E$2:$E$771,"implementing")</f>
        <v/>
      </c>
      <c r="AM103" s="2">
        <f>COUNTIFS(secondary_acts!$A$2:$A$771,$A103,secondary_acts!$E$2:$E$771,"delegated")</f>
        <v/>
      </c>
      <c r="AN103" s="2">
        <f>COUNTIFS(secondary_acts!$A$2:$A$771,$A103,secondary_acts!$E$2:$E$771,"other Commission/Council act")</f>
        <v/>
      </c>
      <c r="AO103" s="2">
        <f>COUNTIFS(secondary_acts!$A$2:$A$771,$A103,secondary_acts!$E$2:$E$771,"guidance")</f>
        <v/>
      </c>
      <c r="AP103" s="2">
        <f>COUNTIF(guidance_web!$A$2:$A$7,$A103)</f>
        <v/>
      </c>
      <c r="AQ103" s="2">
        <f>COUNTIFS(guidance_agencies!$A$2:$A$81,$A103,guidance_agencies!$D$2:$D$81,"EDPB")</f>
        <v/>
      </c>
      <c r="AR103" s="2">
        <f>COUNTIFS(guidance_agencies!$A$2:$A$81,$A103,guidance_agencies!$D$2:$D$81,"EBA")</f>
        <v/>
      </c>
      <c r="AS103" s="2">
        <f>COUNTIFS(guidance_agencies!$A$2:$A$81,$A103,guidance_agencies!$D$2:$D$81,"ESMA")</f>
        <v/>
      </c>
      <c r="AT103" s="3">
        <f>SUMIFS(secondary_acts!$S$2:$S$771,secondary_acts!$A$2:$A$771,$A103,secondary_acts!$E$2:$E$771,"implementing")+SUMIFS(secondary_acts!$S$2:$S$771,secondary_acts!$A$2:$A$771,$A103,secondary_acts!$E$2:$E$771,"delegated")</f>
        <v/>
      </c>
      <c r="AU103" s="3" t="n"/>
      <c r="AV103" s="2" t="n"/>
      <c r="AW103" s="2" t="n">
        <v>0</v>
      </c>
      <c r="AX103" s="2" t="n"/>
      <c r="AY103" s="2" t="n"/>
      <c r="AZ103" s="2" t="n">
        <v>0</v>
      </c>
      <c r="BA103" s="2" t="inlineStr">
        <is>
          <t>52023PC0348</t>
        </is>
      </c>
      <c r="BB103" s="2" t="inlineStr">
        <is>
          <t>EUR-Lex HTML</t>
        </is>
      </c>
      <c r="BC103" s="2" t="n">
        <v>10780</v>
      </c>
      <c r="BD103" s="2" t="n">
        <v>105</v>
      </c>
      <c r="BE103" s="2" t="n">
        <v>4</v>
      </c>
      <c r="BF103" s="2">
        <f>IF(ISNUMBER(BC103),R103-BC103,"")</f>
        <v/>
      </c>
      <c r="BG103" s="4">
        <f>IF(AND(ISNUMBER(BC103),BC103&gt;0),(R103-BC103)/BC103,"")</f>
        <v/>
      </c>
      <c r="BH103" s="2">
        <f>IF(ISNUMBER(BD103),Y103-BD103,"")</f>
        <v/>
      </c>
      <c r="BI103" s="4">
        <f>IF(AND(ISNUMBER(BD103),BD103&gt;0),(Y103-BD103)/BD103,"")</f>
        <v/>
      </c>
      <c r="BJ103" s="2">
        <f>IF(ISNUMBER(BE103),AE103-BE103,"")</f>
        <v/>
      </c>
      <c r="BK103" s="2" t="inlineStr">
        <is>
          <t>ex-ante only</t>
        </is>
      </c>
      <c r="BL103" s="2" t="inlineStr">
        <is>
          <t>ex-ante only: no IA or indicators; baseline figures and opposing expert opinions; applies from 2027</t>
        </is>
      </c>
      <c r="BM103" s="2" t="inlineStr">
        <is>
          <t>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is>
      </c>
      <c r="BN103" s="2" t="n">
        <v>1</v>
      </c>
      <c r="BO103" s="2" t="n">
        <v>0</v>
      </c>
      <c r="BP103" s="2" t="n">
        <v>3</v>
      </c>
      <c r="BQ103" s="2" t="n">
        <v>0</v>
      </c>
      <c r="BR103" s="2" t="inlineStr">
        <is>
          <t>Adopted after CEPS snapshot: Regulation (EU) 2025/2518 (26 Nov 2025)</t>
        </is>
      </c>
    </row>
    <row r="104">
      <c r="A104" s="2" t="n">
        <v>103</v>
      </c>
      <c r="B104" s="2" t="inlineStr">
        <is>
          <t>Toys Safety Regulation</t>
        </is>
      </c>
      <c r="C104" s="2" t="inlineStr">
        <is>
          <t>Lays down rules on the safety of toys for children under 14, to ensure a high level of protection of health and safety and the free movement of toys in the EU. It sets safety requirements for toys, extends bans on harmful chemicals such as endocrine disruptors and certain bisphenols, and requires a digital product passport for each toy, including those sold online.</t>
        </is>
      </c>
      <c r="D104" s="2" t="inlineStr">
        <is>
          <t>2023/0290(COD)</t>
        </is>
      </c>
      <c r="E104" s="2" t="inlineStr">
        <is>
          <t>Trust &amp; Safety</t>
        </is>
      </c>
      <c r="F104" s="2" t="inlineStr">
        <is>
          <t>proposal (listed in the cell of its enacted predecessor)</t>
        </is>
      </c>
      <c r="G104" s="2" t="inlineStr">
        <is>
          <t>2023-07-28</t>
        </is>
      </c>
      <c r="H104" s="2" t="inlineStr">
        <is>
          <t>high</t>
        </is>
      </c>
      <c r="I104" s="2" t="inlineStr">
        <is>
          <t>2025-11-26</t>
        </is>
      </c>
      <c r="J104" s="2" t="inlineStr">
        <is>
          <t>2025-12-12</t>
        </is>
      </c>
      <c r="K104" s="2" t="inlineStr">
        <is>
          <t>2026-01-01</t>
        </is>
      </c>
      <c r="L104" s="2" t="inlineStr">
        <is>
          <t>proposed</t>
        </is>
      </c>
      <c r="M104" s="2" t="inlineStr">
        <is>
          <t>adopted</t>
        </is>
      </c>
      <c r="N104" s="2" t="inlineStr">
        <is>
          <t>32025R2509</t>
        </is>
      </c>
      <c r="O104" s="2" t="inlineStr">
        <is>
          <t>Original act as published in the OJ</t>
        </is>
      </c>
      <c r="P104" s="2" t="inlineStr">
        <is>
          <t>https://eur-lex.europa.eu/legal-content/EN/TXT/?uri=CELEX:32025R2509</t>
        </is>
      </c>
      <c r="Q104" s="3" t="n">
        <v>82</v>
      </c>
      <c r="R104" s="3" t="n">
        <v>36819</v>
      </c>
      <c r="S104" s="3" t="n">
        <v>9321</v>
      </c>
      <c r="T104" s="3" t="n">
        <v>9206</v>
      </c>
      <c r="U104" s="3" t="n">
        <v>16538</v>
      </c>
      <c r="V104" s="3" t="n">
        <v>10960</v>
      </c>
      <c r="W104" s="3" t="n">
        <v>0</v>
      </c>
      <c r="X104" s="3" t="n">
        <v>0</v>
      </c>
      <c r="Y104" s="3" t="n">
        <v>478</v>
      </c>
      <c r="Z104" s="3" t="n">
        <v>392</v>
      </c>
      <c r="AA104" s="3" t="n">
        <v>56</v>
      </c>
      <c r="AB104" s="3" t="n">
        <v>6</v>
      </c>
      <c r="AC104" s="3" t="n">
        <v>1</v>
      </c>
      <c r="AD104" s="3" t="n">
        <v>23</v>
      </c>
      <c r="AE104" s="3" t="n">
        <v>162</v>
      </c>
      <c r="AF104" s="3" t="n">
        <v>48</v>
      </c>
      <c r="AG104" s="3" t="n">
        <v>66</v>
      </c>
      <c r="AH104" s="3" t="n">
        <v>202</v>
      </c>
      <c r="AI104" s="2" t="inlineStr">
        <is>
          <t>02025R2509-20251212</t>
        </is>
      </c>
      <c r="AJ104" s="3" t="n">
        <v>478</v>
      </c>
      <c r="AK104" s="2" t="n">
        <v>162</v>
      </c>
      <c r="AL104" s="2">
        <f>COUNTIFS(secondary_acts!$A$2:$A$771,$A104,secondary_acts!$E$2:$E$771,"implementing")</f>
        <v/>
      </c>
      <c r="AM104" s="2">
        <f>COUNTIFS(secondary_acts!$A$2:$A$771,$A104,secondary_acts!$E$2:$E$771,"delegated")</f>
        <v/>
      </c>
      <c r="AN104" s="2">
        <f>COUNTIFS(secondary_acts!$A$2:$A$771,$A104,secondary_acts!$E$2:$E$771,"other Commission/Council act")</f>
        <v/>
      </c>
      <c r="AO104" s="2">
        <f>COUNTIFS(secondary_acts!$A$2:$A$771,$A104,secondary_acts!$E$2:$E$771,"guidance")</f>
        <v/>
      </c>
      <c r="AP104" s="2">
        <f>COUNTIF(guidance_web!$A$2:$A$7,$A104)</f>
        <v/>
      </c>
      <c r="AQ104" s="2">
        <f>COUNTIFS(guidance_agencies!$A$2:$A$81,$A104,guidance_agencies!$D$2:$D$81,"EDPB")</f>
        <v/>
      </c>
      <c r="AR104" s="2">
        <f>COUNTIFS(guidance_agencies!$A$2:$A$81,$A104,guidance_agencies!$D$2:$D$81,"EBA")</f>
        <v/>
      </c>
      <c r="AS104" s="2">
        <f>COUNTIFS(guidance_agencies!$A$2:$A$81,$A104,guidance_agencies!$D$2:$D$81,"ESMA")</f>
        <v/>
      </c>
      <c r="AT104" s="3">
        <f>SUMIFS(secondary_acts!$S$2:$S$771,secondary_acts!$A$2:$A$771,$A104,secondary_acts!$E$2:$E$771,"implementing")+SUMIFS(secondary_acts!$S$2:$S$771,secondary_acts!$A$2:$A$771,$A104,secondary_acts!$E$2:$E$771,"delegated")</f>
        <v/>
      </c>
      <c r="AU104" s="3" t="n"/>
      <c r="AV104" s="2" t="n"/>
      <c r="AW104" s="2" t="n">
        <v>0</v>
      </c>
      <c r="AX104" s="2" t="n"/>
      <c r="AY104" s="2" t="n"/>
      <c r="AZ104" s="2" t="n">
        <v>2</v>
      </c>
      <c r="BA104" s="2" t="inlineStr">
        <is>
          <t>52023PC0462</t>
        </is>
      </c>
      <c r="BB104" s="2" t="inlineStr">
        <is>
          <t>EUR-Lex HTML</t>
        </is>
      </c>
      <c r="BC104" s="2" t="n">
        <v>29688</v>
      </c>
      <c r="BD104" s="2" t="n">
        <v>406</v>
      </c>
      <c r="BE104" s="2" t="n">
        <v>134</v>
      </c>
      <c r="BF104" s="2">
        <f>IF(ISNUMBER(BC104),R104-BC104,"")</f>
        <v/>
      </c>
      <c r="BG104" s="4">
        <f>IF(AND(ISNUMBER(BC104),BC104&gt;0),(R104-BC104)/BC104,"")</f>
        <v/>
      </c>
      <c r="BH104" s="2">
        <f>IF(ISNUMBER(BD104),Y104-BD104,"")</f>
        <v/>
      </c>
      <c r="BI104" s="4">
        <f>IF(AND(ISNUMBER(BD104),BD104&gt;0),(Y104-BD104)/BD104,"")</f>
        <v/>
      </c>
      <c r="BJ104" s="2">
        <f>IF(ISNUMBER(BE104),AE104-BE104,"")</f>
        <v/>
      </c>
      <c r="BK104" s="2" t="inlineStr">
        <is>
          <t>ex-ante only</t>
        </is>
      </c>
      <c r="BL104" s="2" t="inlineStr">
        <is>
          <t>ex-ante only: Commission IA forecasts plus baseline data on unsafe toys; rules apply from 2030</t>
        </is>
      </c>
      <c r="BM104" s="2" t="inlineStr">
        <is>
          <t>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is>
      </c>
      <c r="BN104" s="2" t="n">
        <v>3</v>
      </c>
      <c r="BO104" s="2" t="n">
        <v>0</v>
      </c>
      <c r="BP104" s="2" t="n">
        <v>2</v>
      </c>
      <c r="BQ104" s="2" t="n">
        <v>0</v>
      </c>
      <c r="BR104" s="2" t="inlineStr">
        <is>
          <t>Adopted after CEPS snapshot: Regulation (EU) 2025/2509 (26 Nov 2025); no consolidated text with amendments in EUR-Lex; consolidated count = original</t>
        </is>
      </c>
    </row>
    <row r="105">
      <c r="A105" s="2" t="n">
        <v>104</v>
      </c>
      <c r="B105" s="2" t="inlineStr">
        <is>
          <t>Late Payment Regulation</t>
        </is>
      </c>
      <c r="C105" s="2" t="inlineStr">
        <is>
          <t>Would combat late payments in commercial transactions between businesses, and between businesses and public authorities as debtors, replacing the Late Payment Directive. It would cap payment terms and acceptance procedures at 30 calendar days, make interest and compensation for late payment automatic, and require Member States to designate enforcement authorities with investigative and sanctioning powers.</t>
        </is>
      </c>
      <c r="D105" s="2" t="inlineStr">
        <is>
          <t>2023/0323(COD)</t>
        </is>
      </c>
      <c r="E105" s="2" t="inlineStr">
        <is>
          <t>Finance</t>
        </is>
      </c>
      <c r="F105" s="2" t="inlineStr">
        <is>
          <t>proposal</t>
        </is>
      </c>
      <c r="G105" s="2" t="inlineStr">
        <is>
          <t>2023-09-12</t>
        </is>
      </c>
      <c r="H105" s="2" t="inlineStr">
        <is>
          <t>high</t>
        </is>
      </c>
      <c r="I105" s="2" t="n"/>
      <c r="J105" s="2" t="n"/>
      <c r="K105" s="2" t="n"/>
      <c r="L105" s="2" t="inlineStr">
        <is>
          <t>proposed</t>
        </is>
      </c>
      <c r="M105" s="2" t="inlineStr">
        <is>
          <t>proposed</t>
        </is>
      </c>
      <c r="N105" s="2" t="inlineStr">
        <is>
          <t>52023PC0533</t>
        </is>
      </c>
      <c r="O105" s="2" t="inlineStr">
        <is>
          <t>Commission proposal (COM)</t>
        </is>
      </c>
      <c r="P105" s="2" t="inlineStr">
        <is>
          <t>https://eur-lex.europa.eu/legal-content/EN/TXT/?uri=CELEX:52023PC0533</t>
        </is>
      </c>
      <c r="Q105" s="3" t="n">
        <v>26</v>
      </c>
      <c r="R105" s="3" t="n">
        <v>5601</v>
      </c>
      <c r="S105" s="3" t="n">
        <v>2616</v>
      </c>
      <c r="T105" s="3" t="n">
        <v>2524</v>
      </c>
      <c r="U105" s="3" t="n">
        <v>2985</v>
      </c>
      <c r="V105" s="3" t="n">
        <v>0</v>
      </c>
      <c r="W105" s="3" t="n">
        <v>5166</v>
      </c>
      <c r="X105" s="3" t="n">
        <v>0</v>
      </c>
      <c r="Y105" s="3" t="n">
        <v>56</v>
      </c>
      <c r="Z105" s="3" t="n">
        <v>46</v>
      </c>
      <c r="AA105" s="3" t="n">
        <v>6</v>
      </c>
      <c r="AB105" s="3" t="n">
        <v>0</v>
      </c>
      <c r="AC105" s="3" t="n">
        <v>0</v>
      </c>
      <c r="AD105" s="3" t="n">
        <v>4</v>
      </c>
      <c r="AE105" s="3" t="n">
        <v>9</v>
      </c>
      <c r="AF105" s="3" t="n">
        <v>22</v>
      </c>
      <c r="AG105" s="3" t="n">
        <v>5</v>
      </c>
      <c r="AH105" s="3" t="n">
        <v>20</v>
      </c>
      <c r="AI105" s="2" t="n"/>
      <c r="AJ105" s="3" t="n"/>
      <c r="AK105" s="2" t="n"/>
      <c r="AL105" s="2">
        <f>COUNTIFS(secondary_acts!$A$2:$A$771,$A105,secondary_acts!$E$2:$E$771,"implementing")</f>
        <v/>
      </c>
      <c r="AM105" s="2">
        <f>COUNTIFS(secondary_acts!$A$2:$A$771,$A105,secondary_acts!$E$2:$E$771,"delegated")</f>
        <v/>
      </c>
      <c r="AN105" s="2">
        <f>COUNTIFS(secondary_acts!$A$2:$A$771,$A105,secondary_acts!$E$2:$E$771,"other Commission/Council act")</f>
        <v/>
      </c>
      <c r="AO105" s="2">
        <f>COUNTIFS(secondary_acts!$A$2:$A$771,$A105,secondary_acts!$E$2:$E$771,"guidance")</f>
        <v/>
      </c>
      <c r="AP105" s="2">
        <f>COUNTIF(guidance_web!$A$2:$A$7,$A105)</f>
        <v/>
      </c>
      <c r="AQ105" s="2">
        <f>COUNTIFS(guidance_agencies!$A$2:$A$81,$A105,guidance_agencies!$D$2:$D$81,"EDPB")</f>
        <v/>
      </c>
      <c r="AR105" s="2">
        <f>COUNTIFS(guidance_agencies!$A$2:$A$81,$A105,guidance_agencies!$D$2:$D$81,"EBA")</f>
        <v/>
      </c>
      <c r="AS105" s="2">
        <f>COUNTIFS(guidance_agencies!$A$2:$A$81,$A105,guidance_agencies!$D$2:$D$81,"ESMA")</f>
        <v/>
      </c>
      <c r="AT105" s="3">
        <f>SUMIFS(secondary_acts!$S$2:$S$771,secondary_acts!$A$2:$A$771,$A105,secondary_acts!$E$2:$E$771,"implementing")+SUMIFS(secondary_acts!$S$2:$S$771,secondary_acts!$A$2:$A$771,$A105,secondary_acts!$E$2:$E$771,"delegated")</f>
        <v/>
      </c>
      <c r="AU105" s="3" t="n"/>
      <c r="AV105" s="2" t="n"/>
      <c r="AW105" s="2" t="n"/>
      <c r="AX105" s="2" t="n"/>
      <c r="AY105" s="2" t="n"/>
      <c r="AZ105" s="2" t="n"/>
      <c r="BA105" s="2" t="n"/>
      <c r="BB105" s="2" t="inlineStr">
        <is>
          <t>row is itself a proposal</t>
        </is>
      </c>
      <c r="BC105" s="2" t="n"/>
      <c r="BD105" s="2" t="n"/>
      <c r="BE105" s="2" t="n"/>
      <c r="BF105" s="2">
        <f>IF(ISNUMBER(BC105),R105-BC105,"")</f>
        <v/>
      </c>
      <c r="BG105" s="4">
        <f>IF(AND(ISNUMBER(BC105),BC105&gt;0),(R105-BC105)/BC105,"")</f>
        <v/>
      </c>
      <c r="BH105" s="2">
        <f>IF(ISNUMBER(BD105),Y105-BD105,"")</f>
        <v/>
      </c>
      <c r="BI105" s="4">
        <f>IF(AND(ISNUMBER(BD105),BD105&gt;0),(Y105-BD105)/BD105,"")</f>
        <v/>
      </c>
      <c r="BJ105" s="2">
        <f>IF(ISNUMBER(BE105),AE105-BE105,"")</f>
        <v/>
      </c>
      <c r="BK105" s="2" t="inlineStr">
        <is>
          <t>ex-ante only</t>
        </is>
      </c>
      <c r="BL105" s="2" t="inlineStr">
        <is>
          <t>ex-ante only: impact assessment forecasts with clear targets; contested by stakeholders; not adopted</t>
        </is>
      </c>
      <c r="BM105" s="2" t="inlineStr">
        <is>
          <t>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is>
      </c>
      <c r="BN105" s="2" t="n">
        <v>3</v>
      </c>
      <c r="BO105" s="2" t="n">
        <v>0</v>
      </c>
      <c r="BP105" s="2" t="n">
        <v>2</v>
      </c>
      <c r="BQ105" s="2" t="n">
        <v>0</v>
      </c>
      <c r="BR105" s="2" t="inlineStr"/>
    </row>
    <row r="106">
      <c r="A106" s="2" t="n">
        <v>105</v>
      </c>
      <c r="B106" s="2" t="inlineStr">
        <is>
          <t>Child Sexual Abuse Directive (recast)</t>
        </is>
      </c>
      <c r="C106" s="2" t="inlineStr">
        <is>
          <t>Would update EU minimum rules defining criminal offences and penalties for the sexual abuse and exploitation of children, child sexual abuse material and online solicitation. It would cover new forms of abuse, including AI-generated material and livestreaming, lengthen limitation periods, and strengthen prevention measures and support and protection for victims.</t>
        </is>
      </c>
      <c r="D106" s="2" t="inlineStr">
        <is>
          <t>2024/0035(COD)</t>
        </is>
      </c>
      <c r="E106" s="2" t="inlineStr">
        <is>
          <t>Law Enforcement</t>
        </is>
      </c>
      <c r="F106" s="2" t="inlineStr">
        <is>
          <t>proposal</t>
        </is>
      </c>
      <c r="G106" s="2" t="inlineStr">
        <is>
          <t>2024-02-06</t>
        </is>
      </c>
      <c r="H106" s="2" t="inlineStr">
        <is>
          <t>high</t>
        </is>
      </c>
      <c r="I106" s="2" t="n"/>
      <c r="J106" s="2" t="n"/>
      <c r="K106" s="2" t="n"/>
      <c r="L106" s="2" t="inlineStr">
        <is>
          <t>proposed</t>
        </is>
      </c>
      <c r="M106" s="2" t="inlineStr">
        <is>
          <t>proposed</t>
        </is>
      </c>
      <c r="N106" s="2" t="inlineStr">
        <is>
          <t>52024PC0060</t>
        </is>
      </c>
      <c r="O106" s="2" t="inlineStr">
        <is>
          <t>Commission proposal (COM)</t>
        </is>
      </c>
      <c r="P106" s="2" t="inlineStr">
        <is>
          <t>https://eur-lex.europa.eu/legal-content/EN/TXT/?uri=CELEX:52024PC0060</t>
        </is>
      </c>
      <c r="Q106" s="3" t="n">
        <v>82</v>
      </c>
      <c r="R106" s="3" t="n">
        <v>20780</v>
      </c>
      <c r="S106" s="3" t="n">
        <v>8856</v>
      </c>
      <c r="T106" s="3" t="n">
        <v>8736</v>
      </c>
      <c r="U106" s="3" t="n">
        <v>10327</v>
      </c>
      <c r="V106" s="3" t="n">
        <v>1597</v>
      </c>
      <c r="W106" s="3" t="n">
        <v>7673</v>
      </c>
      <c r="X106" s="3" t="n">
        <v>0</v>
      </c>
      <c r="Y106" s="3" t="n">
        <v>160</v>
      </c>
      <c r="Z106" s="3" t="n">
        <v>140</v>
      </c>
      <c r="AA106" s="3" t="n">
        <v>5</v>
      </c>
      <c r="AB106" s="3" t="n">
        <v>0</v>
      </c>
      <c r="AC106" s="3" t="n">
        <v>0</v>
      </c>
      <c r="AD106" s="3" t="n">
        <v>15</v>
      </c>
      <c r="AE106" s="3" t="n">
        <v>2</v>
      </c>
      <c r="AF106" s="3" t="n">
        <v>107</v>
      </c>
      <c r="AG106" s="3" t="n">
        <v>3</v>
      </c>
      <c r="AH106" s="3" t="n">
        <v>48</v>
      </c>
      <c r="AI106" s="2" t="n"/>
      <c r="AJ106" s="3" t="n"/>
      <c r="AK106" s="2" t="n"/>
      <c r="AL106" s="2">
        <f>COUNTIFS(secondary_acts!$A$2:$A$771,$A106,secondary_acts!$E$2:$E$771,"implementing")</f>
        <v/>
      </c>
      <c r="AM106" s="2">
        <f>COUNTIFS(secondary_acts!$A$2:$A$771,$A106,secondary_acts!$E$2:$E$771,"delegated")</f>
        <v/>
      </c>
      <c r="AN106" s="2">
        <f>COUNTIFS(secondary_acts!$A$2:$A$771,$A106,secondary_acts!$E$2:$E$771,"other Commission/Council act")</f>
        <v/>
      </c>
      <c r="AO106" s="2">
        <f>COUNTIFS(secondary_acts!$A$2:$A$771,$A106,secondary_acts!$E$2:$E$771,"guidance")</f>
        <v/>
      </c>
      <c r="AP106" s="2">
        <f>COUNTIF(guidance_web!$A$2:$A$7,$A106)</f>
        <v/>
      </c>
      <c r="AQ106" s="2">
        <f>COUNTIFS(guidance_agencies!$A$2:$A$81,$A106,guidance_agencies!$D$2:$D$81,"EDPB")</f>
        <v/>
      </c>
      <c r="AR106" s="2">
        <f>COUNTIFS(guidance_agencies!$A$2:$A$81,$A106,guidance_agencies!$D$2:$D$81,"EBA")</f>
        <v/>
      </c>
      <c r="AS106" s="2">
        <f>COUNTIFS(guidance_agencies!$A$2:$A$81,$A106,guidance_agencies!$D$2:$D$81,"ESMA")</f>
        <v/>
      </c>
      <c r="AT106" s="3">
        <f>SUMIFS(secondary_acts!$S$2:$S$771,secondary_acts!$A$2:$A$771,$A106,secondary_acts!$E$2:$E$771,"implementing")+SUMIFS(secondary_acts!$S$2:$S$771,secondary_acts!$A$2:$A$771,$A106,secondary_acts!$E$2:$E$771,"delegated")</f>
        <v/>
      </c>
      <c r="AU106" s="3" t="n"/>
      <c r="AV106" s="2" t="n"/>
      <c r="AW106" s="2" t="n"/>
      <c r="AX106" s="2" t="n"/>
      <c r="AY106" s="2" t="n"/>
      <c r="AZ106" s="2" t="n"/>
      <c r="BA106" s="2" t="n"/>
      <c r="BB106" s="2" t="inlineStr">
        <is>
          <t>row is itself a proposal</t>
        </is>
      </c>
      <c r="BC106" s="2" t="n"/>
      <c r="BD106" s="2" t="n"/>
      <c r="BE106" s="2" t="n"/>
      <c r="BF106" s="2">
        <f>IF(ISNUMBER(BC106),R106-BC106,"")</f>
        <v/>
      </c>
      <c r="BG106" s="4">
        <f>IF(AND(ISNUMBER(BC106),BC106&gt;0),(R106-BC106)/BC106,"")</f>
        <v/>
      </c>
      <c r="BH106" s="2">
        <f>IF(ISNUMBER(BD106),Y106-BD106,"")</f>
        <v/>
      </c>
      <c r="BI106" s="4">
        <f>IF(AND(ISNUMBER(BD106),BD106&gt;0),(Y106-BD106)/BD106,"")</f>
        <v/>
      </c>
      <c r="BJ106" s="2">
        <f>IF(ISNUMBER(BE106),AE106-BE106,"")</f>
        <v/>
      </c>
      <c r="BK106" s="2" t="inlineStr">
        <is>
          <t>ex-ante only</t>
        </is>
      </c>
      <c r="BL106" s="2" t="inlineStr">
        <is>
          <t>ex-ante only: qualitative impact assessment; no quantified forecasts; not yet adopted</t>
        </is>
      </c>
      <c r="BM106" s="2" t="inlineStr">
        <is>
          <t>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is>
      </c>
      <c r="BN106" s="2" t="n">
        <v>2</v>
      </c>
      <c r="BO106" s="2" t="n">
        <v>0</v>
      </c>
      <c r="BP106" s="2" t="n">
        <v>0</v>
      </c>
      <c r="BQ106" s="2" t="n">
        <v>0</v>
      </c>
      <c r="BR106" s="2" t="inlineStr"/>
    </row>
    <row r="107">
      <c r="A107" s="2" t="n">
        <v>106</v>
      </c>
      <c r="B107" s="2" t="inlineStr">
        <is>
          <t>EU Digital Travel Application Regulation</t>
        </is>
      </c>
      <c r="C107" s="2" t="inlineStr">
        <is>
          <t>Would create an EU Digital Travel application allowing travellers to create digital travel credentials from their passports or identity cards, enter travel data, and submit them securely in advance to border authorities. It aims to facilitate travel and border checks at the Schengen external borders and sets the conditions for developing, operating and maintaining the application.</t>
        </is>
      </c>
      <c r="D107" s="2" t="inlineStr">
        <is>
          <t>2024/0670(COD)</t>
        </is>
      </c>
      <c r="E107" s="2" t="inlineStr">
        <is>
          <t>Law Enforcement</t>
        </is>
      </c>
      <c r="F107" s="2" t="inlineStr">
        <is>
          <t>proposal</t>
        </is>
      </c>
      <c r="G107" s="2" t="inlineStr">
        <is>
          <t>2024-10-08</t>
        </is>
      </c>
      <c r="H107" s="2" t="inlineStr">
        <is>
          <t>high</t>
        </is>
      </c>
      <c r="I107" s="2" t="n"/>
      <c r="J107" s="2" t="n"/>
      <c r="K107" s="2" t="n"/>
      <c r="L107" s="2" t="inlineStr">
        <is>
          <t>proposed</t>
        </is>
      </c>
      <c r="M107" s="2" t="inlineStr">
        <is>
          <t>proposed</t>
        </is>
      </c>
      <c r="N107" s="2" t="inlineStr">
        <is>
          <t>52024PC0670</t>
        </is>
      </c>
      <c r="O107" s="2" t="inlineStr">
        <is>
          <t>Commission proposal (COM)</t>
        </is>
      </c>
      <c r="P107" s="2" t="inlineStr">
        <is>
          <t>https://eur-lex.europa.eu/legal-content/EN/TXT/?uri=CELEX:52024PC0670</t>
        </is>
      </c>
      <c r="Q107" s="3" t="n">
        <v>60</v>
      </c>
      <c r="R107" s="3" t="n">
        <v>7556</v>
      </c>
      <c r="S107" s="3" t="n">
        <v>3129</v>
      </c>
      <c r="T107" s="3" t="n">
        <v>3010</v>
      </c>
      <c r="U107" s="3" t="n">
        <v>4348</v>
      </c>
      <c r="V107" s="3" t="n">
        <v>79</v>
      </c>
      <c r="W107" s="3" t="n">
        <v>6803</v>
      </c>
      <c r="X107" s="3" t="n">
        <v>6692</v>
      </c>
      <c r="Y107" s="3" t="n">
        <v>53</v>
      </c>
      <c r="Z107" s="3" t="n">
        <v>46</v>
      </c>
      <c r="AA107" s="3" t="n">
        <v>2</v>
      </c>
      <c r="AB107" s="3" t="n">
        <v>0</v>
      </c>
      <c r="AC107" s="3" t="n">
        <v>0</v>
      </c>
      <c r="AD107" s="3" t="n">
        <v>5</v>
      </c>
      <c r="AE107" s="3" t="n">
        <v>3</v>
      </c>
      <c r="AF107" s="3" t="n">
        <v>6</v>
      </c>
      <c r="AG107" s="3" t="n">
        <v>29</v>
      </c>
      <c r="AH107" s="3" t="n">
        <v>15</v>
      </c>
      <c r="AI107" s="2" t="n"/>
      <c r="AJ107" s="3" t="n"/>
      <c r="AK107" s="2" t="n"/>
      <c r="AL107" s="2">
        <f>COUNTIFS(secondary_acts!$A$2:$A$771,$A107,secondary_acts!$E$2:$E$771,"implementing")</f>
        <v/>
      </c>
      <c r="AM107" s="2">
        <f>COUNTIFS(secondary_acts!$A$2:$A$771,$A107,secondary_acts!$E$2:$E$771,"delegated")</f>
        <v/>
      </c>
      <c r="AN107" s="2">
        <f>COUNTIFS(secondary_acts!$A$2:$A$771,$A107,secondary_acts!$E$2:$E$771,"other Commission/Council act")</f>
        <v/>
      </c>
      <c r="AO107" s="2">
        <f>COUNTIFS(secondary_acts!$A$2:$A$771,$A107,secondary_acts!$E$2:$E$771,"guidance")</f>
        <v/>
      </c>
      <c r="AP107" s="2">
        <f>COUNTIF(guidance_web!$A$2:$A$7,$A107)</f>
        <v/>
      </c>
      <c r="AQ107" s="2">
        <f>COUNTIFS(guidance_agencies!$A$2:$A$81,$A107,guidance_agencies!$D$2:$D$81,"EDPB")</f>
        <v/>
      </c>
      <c r="AR107" s="2">
        <f>COUNTIFS(guidance_agencies!$A$2:$A$81,$A107,guidance_agencies!$D$2:$D$81,"EBA")</f>
        <v/>
      </c>
      <c r="AS107" s="2">
        <f>COUNTIFS(guidance_agencies!$A$2:$A$81,$A107,guidance_agencies!$D$2:$D$81,"ESMA")</f>
        <v/>
      </c>
      <c r="AT107" s="3">
        <f>SUMIFS(secondary_acts!$S$2:$S$771,secondary_acts!$A$2:$A$771,$A107,secondary_acts!$E$2:$E$771,"implementing")+SUMIFS(secondary_acts!$S$2:$S$771,secondary_acts!$A$2:$A$771,$A107,secondary_acts!$E$2:$E$771,"delegated")</f>
        <v/>
      </c>
      <c r="AU107" s="3" t="n"/>
      <c r="AV107" s="2" t="n"/>
      <c r="AW107" s="2" t="n"/>
      <c r="AX107" s="2" t="n"/>
      <c r="AY107" s="2" t="n"/>
      <c r="AZ107" s="2" t="n"/>
      <c r="BA107" s="2" t="n"/>
      <c r="BB107" s="2" t="inlineStr">
        <is>
          <t>row is itself a proposal</t>
        </is>
      </c>
      <c r="BC107" s="2" t="n"/>
      <c r="BD107" s="2" t="n"/>
      <c r="BE107" s="2" t="n"/>
      <c r="BF107" s="2">
        <f>IF(ISNUMBER(BC107),R107-BC107,"")</f>
        <v/>
      </c>
      <c r="BG107" s="4">
        <f>IF(AND(ISNUMBER(BC107),BC107&gt;0),(R107-BC107)/BC107,"")</f>
        <v/>
      </c>
      <c r="BH107" s="2">
        <f>IF(ISNUMBER(BD107),Y107-BD107,"")</f>
        <v/>
      </c>
      <c r="BI107" s="4">
        <f>IF(AND(ISNUMBER(BD107),BD107&gt;0),(Y107-BD107)/BD107,"")</f>
        <v/>
      </c>
      <c r="BJ107" s="2">
        <f>IF(ISNUMBER(BE107),AE107-BE107,"")</f>
        <v/>
      </c>
      <c r="BK107" s="2" t="inlineStr">
        <is>
          <t>ex-ante only</t>
        </is>
      </c>
      <c r="BL107" s="2" t="inlineStr">
        <is>
          <t>ex-ante only: detailed LFS uptake targets; small pilot evidence cited by the Commission; proposal pending</t>
        </is>
      </c>
      <c r="BM107" s="2" t="inlineStr">
        <is>
          <t>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is>
      </c>
      <c r="BN107" s="2" t="n">
        <v>5</v>
      </c>
      <c r="BO107" s="2" t="n">
        <v>1</v>
      </c>
      <c r="BP107" s="2" t="n">
        <v>0</v>
      </c>
      <c r="BQ107" s="2" t="n">
        <v>0</v>
      </c>
      <c r="BR107" s="2" t="inlineStr"/>
    </row>
    <row r="108">
      <c r="A108" s="2" t="n">
        <v>107</v>
      </c>
      <c r="B108" s="2" t="inlineStr">
        <is>
          <t>EU Space Act</t>
        </is>
      </c>
      <c r="C108" s="2" t="inlineStr">
        <is>
          <t>Would create an internal market for space-based data and services with common safety, resilience and environmental sustainability rules. It would require authorisation, registration and supervision of EU space operators and registration of non-EU providers offering services in the EU, set collision-avoidance and space-traffic rules, establish governance and enforcement arrangements, and create a Union Space Label.</t>
        </is>
      </c>
      <c r="D108" s="2" t="inlineStr">
        <is>
          <t>COM(2025) 335</t>
        </is>
      </c>
      <c r="E108" s="2" t="inlineStr">
        <is>
          <t>Industrial Policy</t>
        </is>
      </c>
      <c r="F108" s="2" t="inlineStr">
        <is>
          <t>planned</t>
        </is>
      </c>
      <c r="G108" s="2" t="inlineStr">
        <is>
          <t>2025-06-25</t>
        </is>
      </c>
      <c r="H108" s="2" t="inlineStr">
        <is>
          <t>medium</t>
        </is>
      </c>
      <c r="I108" s="2" t="n"/>
      <c r="J108" s="2" t="n"/>
      <c r="K108" s="2" t="n"/>
      <c r="L108" s="2" t="inlineStr">
        <is>
          <t>proposed</t>
        </is>
      </c>
      <c r="M108" s="2" t="inlineStr">
        <is>
          <t>proposed</t>
        </is>
      </c>
      <c r="N108" s="2" t="inlineStr">
        <is>
          <t>52025PC0335</t>
        </is>
      </c>
      <c r="O108" s="2" t="inlineStr">
        <is>
          <t>Commission proposal (COM)</t>
        </is>
      </c>
      <c r="P108" s="2" t="inlineStr">
        <is>
          <t>https://eur-lex.europa.eu/legal-content/EN/TXT/?uri=CELEX:52025PC0335</t>
        </is>
      </c>
      <c r="Q108" s="3" t="n">
        <v>186</v>
      </c>
      <c r="R108" s="3" t="n">
        <v>58336</v>
      </c>
      <c r="S108" s="3" t="n">
        <v>12071</v>
      </c>
      <c r="T108" s="3" t="n">
        <v>11964</v>
      </c>
      <c r="U108" s="3" t="n">
        <v>32425</v>
      </c>
      <c r="V108" s="3" t="n">
        <v>13840</v>
      </c>
      <c r="W108" s="3" t="n">
        <v>5989</v>
      </c>
      <c r="X108" s="3" t="n">
        <v>9075</v>
      </c>
      <c r="Y108" s="3" t="n">
        <v>800</v>
      </c>
      <c r="Z108" s="3" t="n">
        <v>726</v>
      </c>
      <c r="AA108" s="3" t="n">
        <v>17</v>
      </c>
      <c r="AB108" s="3" t="n">
        <v>4</v>
      </c>
      <c r="AC108" s="3" t="n">
        <v>4</v>
      </c>
      <c r="AD108" s="3" t="n">
        <v>49</v>
      </c>
      <c r="AE108" s="3" t="n">
        <v>238</v>
      </c>
      <c r="AF108" s="3" t="n">
        <v>75</v>
      </c>
      <c r="AG108" s="3" t="n">
        <v>241</v>
      </c>
      <c r="AH108" s="3" t="n">
        <v>246</v>
      </c>
      <c r="AI108" s="2" t="n"/>
      <c r="AJ108" s="3" t="n"/>
      <c r="AK108" s="2" t="n"/>
      <c r="AL108" s="2">
        <f>COUNTIFS(secondary_acts!$A$2:$A$771,$A108,secondary_acts!$E$2:$E$771,"implementing")</f>
        <v/>
      </c>
      <c r="AM108" s="2">
        <f>COUNTIFS(secondary_acts!$A$2:$A$771,$A108,secondary_acts!$E$2:$E$771,"delegated")</f>
        <v/>
      </c>
      <c r="AN108" s="2">
        <f>COUNTIFS(secondary_acts!$A$2:$A$771,$A108,secondary_acts!$E$2:$E$771,"other Commission/Council act")</f>
        <v/>
      </c>
      <c r="AO108" s="2">
        <f>COUNTIFS(secondary_acts!$A$2:$A$771,$A108,secondary_acts!$E$2:$E$771,"guidance")</f>
        <v/>
      </c>
      <c r="AP108" s="2">
        <f>COUNTIF(guidance_web!$A$2:$A$7,$A108)</f>
        <v/>
      </c>
      <c r="AQ108" s="2">
        <f>COUNTIFS(guidance_agencies!$A$2:$A$81,$A108,guidance_agencies!$D$2:$D$81,"EDPB")</f>
        <v/>
      </c>
      <c r="AR108" s="2">
        <f>COUNTIFS(guidance_agencies!$A$2:$A$81,$A108,guidance_agencies!$D$2:$D$81,"EBA")</f>
        <v/>
      </c>
      <c r="AS108" s="2">
        <f>COUNTIFS(guidance_agencies!$A$2:$A$81,$A108,guidance_agencies!$D$2:$D$81,"ESMA")</f>
        <v/>
      </c>
      <c r="AT108" s="3">
        <f>SUMIFS(secondary_acts!$S$2:$S$771,secondary_acts!$A$2:$A$771,$A108,secondary_acts!$E$2:$E$771,"implementing")+SUMIFS(secondary_acts!$S$2:$S$771,secondary_acts!$A$2:$A$771,$A108,secondary_acts!$E$2:$E$771,"delegated")</f>
        <v/>
      </c>
      <c r="AU108" s="3" t="n"/>
      <c r="AV108" s="2" t="n"/>
      <c r="AW108" s="2" t="n"/>
      <c r="AX108" s="2" t="n"/>
      <c r="AY108" s="2" t="n"/>
      <c r="AZ108" s="2" t="n"/>
      <c r="BA108" s="2" t="n"/>
      <c r="BB108" s="2" t="inlineStr">
        <is>
          <t>row is itself a proposal</t>
        </is>
      </c>
      <c r="BC108" s="2" t="n"/>
      <c r="BD108" s="2" t="n"/>
      <c r="BE108" s="2" t="n"/>
      <c r="BF108" s="2">
        <f>IF(ISNUMBER(BC108),R108-BC108,"")</f>
        <v/>
      </c>
      <c r="BG108" s="4">
        <f>IF(AND(ISNUMBER(BC108),BC108&gt;0),(R108-BC108)/BC108,"")</f>
        <v/>
      </c>
      <c r="BH108" s="2">
        <f>IF(ISNUMBER(BD108),Y108-BD108,"")</f>
        <v/>
      </c>
      <c r="BI108" s="4">
        <f>IF(AND(ISNUMBER(BD108),BD108&gt;0),(Y108-BD108)/BD108,"")</f>
        <v/>
      </c>
      <c r="BJ108" s="2">
        <f>IF(ISNUMBER(BE108),AE108-BE108,"")</f>
        <v/>
      </c>
      <c r="BK108" s="2" t="inlineStr">
        <is>
          <t>ex-ante only</t>
        </is>
      </c>
      <c r="BL108" s="2" t="inlineStr">
        <is>
          <t>ex-ante only: impact assessment with cost estimates; qualitative critiques; proposal pending</t>
        </is>
      </c>
      <c r="BM108" s="2" t="inlineStr">
        <is>
          <t>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is>
      </c>
      <c r="BN108" s="2" t="n">
        <v>3</v>
      </c>
      <c r="BO108" s="2" t="n">
        <v>0</v>
      </c>
      <c r="BP108" s="2" t="n">
        <v>1</v>
      </c>
      <c r="BQ108" s="2" t="n">
        <v>0</v>
      </c>
      <c r="BR108" s="2" t="inlineStr"/>
    </row>
    <row r="109">
      <c r="A109" s="2" t="n">
        <v>108</v>
      </c>
      <c r="B109" s="2" t="inlineStr">
        <is>
          <t>European Standardisation Regulation</t>
        </is>
      </c>
      <c r="C109" s="2" t="inlineStr">
        <is>
          <t>Sets the framework for cooperation between European standardisation organisations, national standards bodies, Member States and the Commission. It governs how the Commission requests European standards in support of EU law and policies, how ICT technical specifications can be identified for use in public procurement, how European standardisation is financed, and how SMEs and other stakeholders participate.</t>
        </is>
      </c>
      <c r="D109" s="2" t="inlineStr">
        <is>
          <t>Regulation (EU) 1025/2012</t>
        </is>
      </c>
      <c r="E109" s="2" t="inlineStr">
        <is>
          <t>Trust &amp; Safety</t>
        </is>
      </c>
      <c r="F109" s="2" t="inlineStr">
        <is>
          <t>enacted</t>
        </is>
      </c>
      <c r="G109" s="2" t="inlineStr">
        <is>
          <t>2011-06-01</t>
        </is>
      </c>
      <c r="H109" s="2" t="inlineStr">
        <is>
          <t>high</t>
        </is>
      </c>
      <c r="I109" s="2" t="inlineStr">
        <is>
          <t>2012-10-25</t>
        </is>
      </c>
      <c r="J109" s="2" t="inlineStr">
        <is>
          <t>2012-10-25</t>
        </is>
      </c>
      <c r="K109" s="2" t="inlineStr">
        <is>
          <t>2012-12-04</t>
        </is>
      </c>
      <c r="L109" s="2" t="inlineStr">
        <is>
          <t>adopted</t>
        </is>
      </c>
      <c r="M109" s="2" t="inlineStr">
        <is>
          <t>adopted</t>
        </is>
      </c>
      <c r="N109" s="2" t="inlineStr">
        <is>
          <t>32012R1025</t>
        </is>
      </c>
      <c r="O109" s="2" t="inlineStr">
        <is>
          <t>Original act as published in the OJ</t>
        </is>
      </c>
      <c r="P109" s="2" t="inlineStr">
        <is>
          <t>https://eur-lex.europa.eu/legal-content/EN/TXT/?uri=CELEX:32012R1025</t>
        </is>
      </c>
      <c r="Q109" s="3" t="n">
        <v>22</v>
      </c>
      <c r="R109" s="3" t="n">
        <v>12297</v>
      </c>
      <c r="S109" s="3" t="n">
        <v>5610</v>
      </c>
      <c r="T109" s="3" t="n">
        <v>5434</v>
      </c>
      <c r="U109" s="3" t="n">
        <v>5609</v>
      </c>
      <c r="V109" s="3" t="n">
        <v>1078</v>
      </c>
      <c r="W109" s="3" t="n">
        <v>0</v>
      </c>
      <c r="X109" s="3" t="n">
        <v>0</v>
      </c>
      <c r="Y109" s="3" t="n">
        <v>77</v>
      </c>
      <c r="Z109" s="3" t="n">
        <v>70</v>
      </c>
      <c r="AA109" s="3" t="n">
        <v>6</v>
      </c>
      <c r="AB109" s="3" t="n">
        <v>0</v>
      </c>
      <c r="AC109" s="3" t="n">
        <v>0</v>
      </c>
      <c r="AD109" s="3" t="n">
        <v>1</v>
      </c>
      <c r="AE109" s="3" t="n">
        <v>10</v>
      </c>
      <c r="AF109" s="3" t="n">
        <v>19</v>
      </c>
      <c r="AG109" s="3" t="n">
        <v>30</v>
      </c>
      <c r="AH109" s="3" t="n">
        <v>18</v>
      </c>
      <c r="AI109" s="2" t="inlineStr">
        <is>
          <t>02012R1025-20241213</t>
        </is>
      </c>
      <c r="AJ109" s="3" t="n">
        <v>77</v>
      </c>
      <c r="AK109" s="2" t="n">
        <v>10</v>
      </c>
      <c r="AL109" s="2">
        <f>COUNTIFS(secondary_acts!$A$2:$A$771,$A109,secondary_acts!$E$2:$E$771,"implementing")</f>
        <v/>
      </c>
      <c r="AM109" s="2">
        <f>COUNTIFS(secondary_acts!$A$2:$A$771,$A109,secondary_acts!$E$2:$E$771,"delegated")</f>
        <v/>
      </c>
      <c r="AN109" s="2">
        <f>COUNTIFS(secondary_acts!$A$2:$A$771,$A109,secondary_acts!$E$2:$E$771,"other Commission/Council act")</f>
        <v/>
      </c>
      <c r="AO109" s="2">
        <f>COUNTIFS(secondary_acts!$A$2:$A$771,$A109,secondary_acts!$E$2:$E$771,"guidance")</f>
        <v/>
      </c>
      <c r="AP109" s="2">
        <f>COUNTIF(guidance_web!$A$2:$A$7,$A109)</f>
        <v/>
      </c>
      <c r="AQ109" s="2">
        <f>COUNTIFS(guidance_agencies!$A$2:$A$81,$A109,guidance_agencies!$D$2:$D$81,"EDPB")</f>
        <v/>
      </c>
      <c r="AR109" s="2">
        <f>COUNTIFS(guidance_agencies!$A$2:$A$81,$A109,guidance_agencies!$D$2:$D$81,"EBA")</f>
        <v/>
      </c>
      <c r="AS109" s="2">
        <f>COUNTIFS(guidance_agencies!$A$2:$A$81,$A109,guidance_agencies!$D$2:$D$81,"ESMA")</f>
        <v/>
      </c>
      <c r="AT109" s="3">
        <f>SUMIFS(secondary_acts!$S$2:$S$771,secondary_acts!$A$2:$A$771,$A109,secondary_acts!$E$2:$E$771,"implementing")+SUMIFS(secondary_acts!$S$2:$S$771,secondary_acts!$A$2:$A$771,$A109,secondary_acts!$E$2:$E$771,"delegated")</f>
        <v/>
      </c>
      <c r="AU109" s="3" t="n"/>
      <c r="AV109" s="2" t="n"/>
      <c r="AW109" s="2" t="n">
        <v>12</v>
      </c>
      <c r="AX109" s="2" t="inlineStr">
        <is>
          <t>2013-06-12</t>
        </is>
      </c>
      <c r="AY109" s="2" t="inlineStr">
        <is>
          <t>2023-05-10</t>
        </is>
      </c>
      <c r="AZ109" s="2" t="n">
        <v>1</v>
      </c>
      <c r="BA109" s="2" t="inlineStr">
        <is>
          <t>52011PC0315</t>
        </is>
      </c>
      <c r="BB109" s="2" t="inlineStr">
        <is>
          <t>EUR-Lex HTML</t>
        </is>
      </c>
      <c r="BC109" s="2" t="n">
        <v>8721</v>
      </c>
      <c r="BD109" s="2" t="n">
        <v>47</v>
      </c>
      <c r="BE109" s="2" t="n">
        <v>1</v>
      </c>
      <c r="BF109" s="2">
        <f>IF(ISNUMBER(BC109),R109-BC109,"")</f>
        <v/>
      </c>
      <c r="BG109" s="4">
        <f>IF(AND(ISNUMBER(BC109),BC109&gt;0),(R109-BC109)/BC109,"")</f>
        <v/>
      </c>
      <c r="BH109" s="2">
        <f>IF(ISNUMBER(BD109),Y109-BD109,"")</f>
        <v/>
      </c>
      <c r="BI109" s="4">
        <f>IF(AND(ISNUMBER(BD109),BD109&gt;0),(Y109-BD109)/BD109,"")</f>
        <v/>
      </c>
      <c r="BJ109" s="2">
        <f>IF(ISNUMBER(BE109),AE109-BE109,"")</f>
        <v/>
      </c>
      <c r="BK109" s="2" t="inlineStr">
        <is>
          <t>thin</t>
        </is>
      </c>
      <c r="BL109" s="2" t="inlineStr">
        <is>
          <t>thin: Commission monitoring reports and one evaluation track speed and participation; no independent causal study of economic effects found</t>
        </is>
      </c>
      <c r="BM109" s="2" t="inlineStr">
        <is>
          <t>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is>
      </c>
      <c r="BN109" s="2" t="n">
        <v>4</v>
      </c>
      <c r="BO109" s="2" t="n">
        <v>4</v>
      </c>
      <c r="BP109" s="2" t="n">
        <v>2</v>
      </c>
      <c r="BQ109" s="2" t="n">
        <v>0</v>
      </c>
      <c r="BR109" s="2" t="inlineStr"/>
    </row>
    <row r="110">
      <c r="A110" s="2" t="n">
        <v>109</v>
      </c>
      <c r="B110" s="2" t="inlineStr">
        <is>
          <t>Electromagnetic Compatibility Directive</t>
        </is>
      </c>
      <c r="C110" s="2" t="inlineStr">
        <is>
          <t>Regulates the electromagnetic compatibility of electrical and electronic equipment so that it neither causes nor suffers from unacceptable electromagnetic interference, ensuring the functioning of the internal market. It requires equipment to meet essential requirements before being placed on the market, sets obligations for manufacturers, importers and distributors, and relies on conformity assessment, CE marking and harmonised standards.</t>
        </is>
      </c>
      <c r="D110" s="2" t="inlineStr">
        <is>
          <t>Directive 2014/30/EU</t>
        </is>
      </c>
      <c r="E110" s="2" t="inlineStr">
        <is>
          <t>Connectivity</t>
        </is>
      </c>
      <c r="F110" s="2" t="inlineStr">
        <is>
          <t>enacted</t>
        </is>
      </c>
      <c r="G110" s="2" t="inlineStr">
        <is>
          <t>2011-11-21</t>
        </is>
      </c>
      <c r="H110" s="2" t="inlineStr">
        <is>
          <t>high</t>
        </is>
      </c>
      <c r="I110" s="2" t="inlineStr">
        <is>
          <t>2014-02-26</t>
        </is>
      </c>
      <c r="J110" s="2" t="inlineStr">
        <is>
          <t>2014-03-29</t>
        </is>
      </c>
      <c r="K110" s="2" t="inlineStr">
        <is>
          <t>2014-04-18</t>
        </is>
      </c>
      <c r="L110" s="2" t="inlineStr">
        <is>
          <t>adopted</t>
        </is>
      </c>
      <c r="M110" s="2" t="inlineStr">
        <is>
          <t>adopted</t>
        </is>
      </c>
      <c r="N110" s="2" t="inlineStr">
        <is>
          <t>32014L0030</t>
        </is>
      </c>
      <c r="O110" s="2" t="inlineStr">
        <is>
          <t>Original act as published in the OJ</t>
        </is>
      </c>
      <c r="P110" s="2" t="inlineStr">
        <is>
          <t>https://eur-lex.europa.eu/legal-content/EN/TXT/?uri=CELEX:32014L0030</t>
        </is>
      </c>
      <c r="Q110" s="3" t="n">
        <v>28</v>
      </c>
      <c r="R110" s="3" t="n">
        <v>14216</v>
      </c>
      <c r="S110" s="3" t="n">
        <v>3466</v>
      </c>
      <c r="T110" s="3" t="n">
        <v>3348</v>
      </c>
      <c r="U110" s="3" t="n">
        <v>8270</v>
      </c>
      <c r="V110" s="3" t="n">
        <v>2480</v>
      </c>
      <c r="W110" s="3" t="n">
        <v>0</v>
      </c>
      <c r="X110" s="3" t="n">
        <v>0</v>
      </c>
      <c r="Y110" s="3" t="n">
        <v>243</v>
      </c>
      <c r="Z110" s="3" t="n">
        <v>207</v>
      </c>
      <c r="AA110" s="3" t="n">
        <v>15</v>
      </c>
      <c r="AB110" s="3" t="n">
        <v>3</v>
      </c>
      <c r="AC110" s="3" t="n">
        <v>0</v>
      </c>
      <c r="AD110" s="3" t="n">
        <v>18</v>
      </c>
      <c r="AE110" s="3" t="n">
        <v>98</v>
      </c>
      <c r="AF110" s="3" t="n">
        <v>52</v>
      </c>
      <c r="AG110" s="3" t="n">
        <v>20</v>
      </c>
      <c r="AH110" s="3" t="n">
        <v>73</v>
      </c>
      <c r="AI110" s="2" t="inlineStr">
        <is>
          <t>02014L0030-20260530</t>
        </is>
      </c>
      <c r="AJ110" s="3" t="n">
        <v>258</v>
      </c>
      <c r="AK110" s="2" t="n">
        <v>98</v>
      </c>
      <c r="AL110" s="2">
        <f>COUNTIFS(secondary_acts!$A$2:$A$771,$A110,secondary_acts!$E$2:$E$771,"implementing")</f>
        <v/>
      </c>
      <c r="AM110" s="2">
        <f>COUNTIFS(secondary_acts!$A$2:$A$771,$A110,secondary_acts!$E$2:$E$771,"delegated")</f>
        <v/>
      </c>
      <c r="AN110" s="2">
        <f>COUNTIFS(secondary_acts!$A$2:$A$771,$A110,secondary_acts!$E$2:$E$771,"other Commission/Council act")</f>
        <v/>
      </c>
      <c r="AO110" s="2">
        <f>COUNTIFS(secondary_acts!$A$2:$A$771,$A110,secondary_acts!$E$2:$E$771,"guidance")</f>
        <v/>
      </c>
      <c r="AP110" s="2">
        <f>COUNTIF(guidance_web!$A$2:$A$7,$A110)</f>
        <v/>
      </c>
      <c r="AQ110" s="2">
        <f>COUNTIFS(guidance_agencies!$A$2:$A$81,$A110,guidance_agencies!$D$2:$D$81,"EDPB")</f>
        <v/>
      </c>
      <c r="AR110" s="2">
        <f>COUNTIFS(guidance_agencies!$A$2:$A$81,$A110,guidance_agencies!$D$2:$D$81,"EBA")</f>
        <v/>
      </c>
      <c r="AS110" s="2">
        <f>COUNTIFS(guidance_agencies!$A$2:$A$81,$A110,guidance_agencies!$D$2:$D$81,"ESMA")</f>
        <v/>
      </c>
      <c r="AT110" s="3">
        <f>SUMIFS(secondary_acts!$S$2:$S$771,secondary_acts!$A$2:$A$771,$A110,secondary_acts!$E$2:$E$771,"implementing")+SUMIFS(secondary_acts!$S$2:$S$771,secondary_acts!$A$2:$A$771,$A110,secondary_acts!$E$2:$E$771,"delegated")</f>
        <v/>
      </c>
      <c r="AU110" s="3" t="n">
        <v>595</v>
      </c>
      <c r="AV110" s="2" t="n">
        <v>27</v>
      </c>
      <c r="AW110" s="2" t="n">
        <v>2</v>
      </c>
      <c r="AX110" s="2" t="inlineStr">
        <is>
          <t>2018-07-04</t>
        </is>
      </c>
      <c r="AY110" s="2" t="inlineStr">
        <is>
          <t>2024-10-09</t>
        </is>
      </c>
      <c r="AZ110" s="2" t="n">
        <v>2</v>
      </c>
      <c r="BA110" s="2" t="inlineStr">
        <is>
          <t>52011PC0765</t>
        </is>
      </c>
      <c r="BB110" s="2" t="inlineStr">
        <is>
          <t>EUR-Lex HTML</t>
        </is>
      </c>
      <c r="BC110" s="2" t="n">
        <v>17621</v>
      </c>
      <c r="BD110" s="2" t="n">
        <v>303</v>
      </c>
      <c r="BE110" s="2" t="n">
        <v>55</v>
      </c>
      <c r="BF110" s="2">
        <f>IF(ISNUMBER(BC110),R110-BC110,"")</f>
        <v/>
      </c>
      <c r="BG110" s="4">
        <f>IF(AND(ISNUMBER(BC110),BC110&gt;0),(R110-BC110)/BC110,"")</f>
        <v/>
      </c>
      <c r="BH110" s="2">
        <f>IF(ISNUMBER(BD110),Y110-BD110,"")</f>
        <v/>
      </c>
      <c r="BI110" s="4">
        <f>IF(AND(ISNUMBER(BD110),BD110&gt;0),(Y110-BD110)/BD110,"")</f>
        <v/>
      </c>
      <c r="BJ110" s="2">
        <f>IF(ISNUMBER(BE110),AE110-BE110,"")</f>
        <v/>
      </c>
      <c r="BK110" s="2" t="inlineStr">
        <is>
          <t>thin</t>
        </is>
      </c>
      <c r="BL110" s="2" t="inlineStr">
        <is>
          <t>thin: one Commission evaluation based on stakeholder views; no measured compliance trend and no independent studies found</t>
        </is>
      </c>
      <c r="BM110" s="2" t="inlineStr">
        <is>
          <t>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is>
      </c>
      <c r="BN110" s="2" t="n">
        <v>2</v>
      </c>
      <c r="BO110" s="2" t="n">
        <v>2</v>
      </c>
      <c r="BP110" s="2" t="n">
        <v>1</v>
      </c>
      <c r="BQ110" s="2" t="n">
        <v>0</v>
      </c>
      <c r="BR110" s="2" t="inlineStr"/>
    </row>
    <row r="111">
      <c r="A111" s="2" t="n">
        <v>110</v>
      </c>
      <c r="B111" s="2" t="inlineStr">
        <is>
          <t>Radio Equipment Directive</t>
        </is>
      </c>
      <c r="C111" s="2" t="inlineStr">
        <is>
          <t>Establishes the framework for placing radio equipment on the EU market and putting it into service. It requires equipment such as phones and connected devices to meet essential requirements on health and safety, electromagnetic compatibility and efficient use of radio spectrum, and allows further requirements, for example on common chargers or cybersecurity, backed by conformity assessment and CE marking.</t>
        </is>
      </c>
      <c r="D111" s="2" t="inlineStr">
        <is>
          <t>Directive 2014/53/EU</t>
        </is>
      </c>
      <c r="E111" s="2" t="inlineStr">
        <is>
          <t>Trust &amp; Safety</t>
        </is>
      </c>
      <c r="F111" s="2" t="inlineStr">
        <is>
          <t>enacted</t>
        </is>
      </c>
      <c r="G111" s="2" t="inlineStr">
        <is>
          <t>2012-10-17</t>
        </is>
      </c>
      <c r="H111" s="2" t="inlineStr">
        <is>
          <t>high</t>
        </is>
      </c>
      <c r="I111" s="2" t="inlineStr">
        <is>
          <t>2014-04-16</t>
        </is>
      </c>
      <c r="J111" s="2" t="inlineStr">
        <is>
          <t>2014-05-22</t>
        </is>
      </c>
      <c r="K111" s="2" t="inlineStr">
        <is>
          <t>2014-06-11</t>
        </is>
      </c>
      <c r="L111" s="2" t="inlineStr">
        <is>
          <t>adopted</t>
        </is>
      </c>
      <c r="M111" s="2" t="inlineStr">
        <is>
          <t>adopted</t>
        </is>
      </c>
      <c r="N111" s="2" t="inlineStr">
        <is>
          <t>32014L0053</t>
        </is>
      </c>
      <c r="O111" s="2" t="inlineStr">
        <is>
          <t>Original act as published in the OJ</t>
        </is>
      </c>
      <c r="P111" s="2" t="inlineStr">
        <is>
          <t>https://eur-lex.europa.eu/legal-content/EN/TXT/?uri=CELEX:32014L0053</t>
        </is>
      </c>
      <c r="Q111" s="3" t="n">
        <v>45</v>
      </c>
      <c r="R111" s="3" t="n">
        <v>20009</v>
      </c>
      <c r="S111" s="3" t="n">
        <v>5171</v>
      </c>
      <c r="T111" s="3" t="n">
        <v>5042</v>
      </c>
      <c r="U111" s="3" t="n">
        <v>10906</v>
      </c>
      <c r="V111" s="3" t="n">
        <v>3932</v>
      </c>
      <c r="W111" s="3" t="n">
        <v>0</v>
      </c>
      <c r="X111" s="3" t="n">
        <v>0</v>
      </c>
      <c r="Y111" s="3" t="n">
        <v>335</v>
      </c>
      <c r="Z111" s="3" t="n">
        <v>294</v>
      </c>
      <c r="AA111" s="3" t="n">
        <v>14</v>
      </c>
      <c r="AB111" s="3" t="n">
        <v>4</v>
      </c>
      <c r="AC111" s="3" t="n">
        <v>0</v>
      </c>
      <c r="AD111" s="3" t="n">
        <v>23</v>
      </c>
      <c r="AE111" s="3" t="n">
        <v>138</v>
      </c>
      <c r="AF111" s="3" t="n">
        <v>52</v>
      </c>
      <c r="AG111" s="3" t="n">
        <v>44</v>
      </c>
      <c r="AH111" s="3" t="n">
        <v>101</v>
      </c>
      <c r="AI111" s="2" t="inlineStr">
        <is>
          <t>02014L0053-20260530</t>
        </is>
      </c>
      <c r="AJ111" s="3" t="n">
        <v>408</v>
      </c>
      <c r="AK111" s="2" t="n">
        <v>152</v>
      </c>
      <c r="AL111" s="2">
        <f>COUNTIFS(secondary_acts!$A$2:$A$771,$A111,secondary_acts!$E$2:$E$771,"implementing")</f>
        <v/>
      </c>
      <c r="AM111" s="2">
        <f>COUNTIFS(secondary_acts!$A$2:$A$771,$A111,secondary_acts!$E$2:$E$771,"delegated")</f>
        <v/>
      </c>
      <c r="AN111" s="2">
        <f>COUNTIFS(secondary_acts!$A$2:$A$771,$A111,secondary_acts!$E$2:$E$771,"other Commission/Council act")</f>
        <v/>
      </c>
      <c r="AO111" s="2">
        <f>COUNTIFS(secondary_acts!$A$2:$A$771,$A111,secondary_acts!$E$2:$E$771,"guidance")</f>
        <v/>
      </c>
      <c r="AP111" s="2">
        <f>COUNTIF(guidance_web!$A$2:$A$7,$A111)</f>
        <v/>
      </c>
      <c r="AQ111" s="2">
        <f>COUNTIFS(guidance_agencies!$A$2:$A$81,$A111,guidance_agencies!$D$2:$D$81,"EDPB")</f>
        <v/>
      </c>
      <c r="AR111" s="2">
        <f>COUNTIFS(guidance_agencies!$A$2:$A$81,$A111,guidance_agencies!$D$2:$D$81,"EBA")</f>
        <v/>
      </c>
      <c r="AS111" s="2">
        <f>COUNTIFS(guidance_agencies!$A$2:$A$81,$A111,guidance_agencies!$D$2:$D$81,"ESMA")</f>
        <v/>
      </c>
      <c r="AT111" s="3">
        <f>SUMIFS(secondary_acts!$S$2:$S$771,secondary_acts!$A$2:$A$771,$A111,secondary_acts!$E$2:$E$771,"implementing")+SUMIFS(secondary_acts!$S$2:$S$771,secondary_acts!$A$2:$A$771,$A111,secondary_acts!$E$2:$E$771,"delegated")</f>
        <v/>
      </c>
      <c r="AU111" s="3" t="n">
        <v>1512</v>
      </c>
      <c r="AV111" s="2" t="n">
        <v>28</v>
      </c>
      <c r="AW111" s="2" t="n">
        <v>5</v>
      </c>
      <c r="AX111" s="2" t="inlineStr">
        <is>
          <t>2018-07-04</t>
        </is>
      </c>
      <c r="AY111" s="2" t="inlineStr">
        <is>
          <t>2024-10-23</t>
        </is>
      </c>
      <c r="AZ111" s="2" t="n">
        <v>3</v>
      </c>
      <c r="BA111" s="2" t="inlineStr">
        <is>
          <t>52012PC0584</t>
        </is>
      </c>
      <c r="BB111" s="2" t="inlineStr">
        <is>
          <t>EUR-Lex HTML</t>
        </is>
      </c>
      <c r="BC111" s="2" t="n">
        <v>17820</v>
      </c>
      <c r="BD111" s="2" t="n">
        <v>325</v>
      </c>
      <c r="BE111" s="2" t="n">
        <v>107</v>
      </c>
      <c r="BF111" s="2">
        <f>IF(ISNUMBER(BC111),R111-BC111,"")</f>
        <v/>
      </c>
      <c r="BG111" s="4">
        <f>IF(AND(ISNUMBER(BC111),BC111&gt;0),(R111-BC111)/BC111,"")</f>
        <v/>
      </c>
      <c r="BH111" s="2">
        <f>IF(ISNUMBER(BD111),Y111-BD111,"")</f>
        <v/>
      </c>
      <c r="BI111" s="4">
        <f>IF(AND(ISNUMBER(BD111),BD111&gt;0),(Y111-BD111)/BD111,"")</f>
        <v/>
      </c>
      <c r="BJ111" s="2">
        <f>IF(ISNUMBER(BE111),AE111-BE111,"")</f>
        <v/>
      </c>
      <c r="BK111" s="2" t="inlineStr">
        <is>
          <t>thin</t>
        </is>
      </c>
      <c r="BL111" s="2" t="inlineStr">
        <is>
          <t>thin: compliance indicator partially tracked through targeted (non-representative) inspections; burden and innovation indicators not measured; no independent studies found</t>
        </is>
      </c>
      <c r="BM111" s="2" t="inlineStr">
        <is>
          <t>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is>
      </c>
      <c r="BN111" s="2" t="n">
        <v>4</v>
      </c>
      <c r="BO111" s="2" t="n">
        <v>1</v>
      </c>
      <c r="BP111" s="2" t="n">
        <v>2</v>
      </c>
      <c r="BQ111" s="2" t="n">
        <v>0</v>
      </c>
      <c r="BR111" s="2" t="inlineStr"/>
    </row>
    <row r="112">
      <c r="A112" s="2" t="n">
        <v>111</v>
      </c>
      <c r="B112" s="2" t="inlineStr">
        <is>
          <t>E-invoicing Directive</t>
        </is>
      </c>
      <c r="C112" s="2" t="inlineStr">
        <is>
          <t>Aims to facilitate the use of electronic invoices in public procurement across the EU. It provides for a European standard on electronic invoicing and requires Member States to ensure that contracting authorities and entities receive and process electronic invoices that comply with that standard, reducing barriers caused by differing national formats.</t>
        </is>
      </c>
      <c r="D112" s="2" t="inlineStr">
        <is>
          <t>Directive 2014/55/EU</t>
        </is>
      </c>
      <c r="E112" s="2" t="inlineStr">
        <is>
          <t>E-commerce &amp; Consumer Protection</t>
        </is>
      </c>
      <c r="F112" s="2" t="inlineStr">
        <is>
          <t>enacted</t>
        </is>
      </c>
      <c r="G112" s="2" t="inlineStr">
        <is>
          <t>2013-06-26</t>
        </is>
      </c>
      <c r="H112" s="2" t="inlineStr">
        <is>
          <t>high</t>
        </is>
      </c>
      <c r="I112" s="2" t="inlineStr">
        <is>
          <t>2014-04-16</t>
        </is>
      </c>
      <c r="J112" s="2" t="inlineStr">
        <is>
          <t>2014-05-06</t>
        </is>
      </c>
      <c r="K112" s="2" t="inlineStr">
        <is>
          <t>2014-05-26</t>
        </is>
      </c>
      <c r="L112" s="2" t="inlineStr">
        <is>
          <t>adopted</t>
        </is>
      </c>
      <c r="M112" s="2" t="inlineStr">
        <is>
          <t>adopted</t>
        </is>
      </c>
      <c r="N112" s="2" t="inlineStr">
        <is>
          <t>32014L0055</t>
        </is>
      </c>
      <c r="O112" s="2" t="inlineStr">
        <is>
          <t>Original act as published in the OJ</t>
        </is>
      </c>
      <c r="P112" s="2" t="inlineStr">
        <is>
          <t>https://eur-lex.europa.eu/legal-content/EN/TXT/?uri=CELEX:32014L0055</t>
        </is>
      </c>
      <c r="Q112" s="3" t="n">
        <v>11</v>
      </c>
      <c r="R112" s="3" t="n">
        <v>6167</v>
      </c>
      <c r="S112" s="3" t="n">
        <v>4218</v>
      </c>
      <c r="T112" s="3" t="n">
        <v>4097</v>
      </c>
      <c r="U112" s="3" t="n">
        <v>1949</v>
      </c>
      <c r="V112" s="3" t="n">
        <v>0</v>
      </c>
      <c r="W112" s="3" t="n">
        <v>0</v>
      </c>
      <c r="X112" s="3" t="n">
        <v>0</v>
      </c>
      <c r="Y112" s="3" t="n">
        <v>35</v>
      </c>
      <c r="Z112" s="3" t="n">
        <v>31</v>
      </c>
      <c r="AA112" s="3" t="n">
        <v>0</v>
      </c>
      <c r="AB112" s="3" t="n">
        <v>1</v>
      </c>
      <c r="AC112" s="3" t="n">
        <v>0</v>
      </c>
      <c r="AD112" s="3" t="n">
        <v>3</v>
      </c>
      <c r="AE112" s="3" t="n">
        <v>2</v>
      </c>
      <c r="AF112" s="3" t="n">
        <v>6</v>
      </c>
      <c r="AG112" s="3" t="n">
        <v>19</v>
      </c>
      <c r="AH112" s="3" t="n">
        <v>8</v>
      </c>
      <c r="AI112" s="2" t="inlineStr">
        <is>
          <t>02014L0055-20140526</t>
        </is>
      </c>
      <c r="AJ112" s="3" t="n">
        <v>35</v>
      </c>
      <c r="AK112" s="2" t="n">
        <v>2</v>
      </c>
      <c r="AL112" s="2">
        <f>COUNTIFS(secondary_acts!$A$2:$A$771,$A112,secondary_acts!$E$2:$E$771,"implementing")</f>
        <v/>
      </c>
      <c r="AM112" s="2">
        <f>COUNTIFS(secondary_acts!$A$2:$A$771,$A112,secondary_acts!$E$2:$E$771,"delegated")</f>
        <v/>
      </c>
      <c r="AN112" s="2">
        <f>COUNTIFS(secondary_acts!$A$2:$A$771,$A112,secondary_acts!$E$2:$E$771,"other Commission/Council act")</f>
        <v/>
      </c>
      <c r="AO112" s="2">
        <f>COUNTIFS(secondary_acts!$A$2:$A$771,$A112,secondary_acts!$E$2:$E$771,"guidance")</f>
        <v/>
      </c>
      <c r="AP112" s="2">
        <f>COUNTIF(guidance_web!$A$2:$A$7,$A112)</f>
        <v/>
      </c>
      <c r="AQ112" s="2">
        <f>COUNTIFS(guidance_agencies!$A$2:$A$81,$A112,guidance_agencies!$D$2:$D$81,"EDPB")</f>
        <v/>
      </c>
      <c r="AR112" s="2">
        <f>COUNTIFS(guidance_agencies!$A$2:$A$81,$A112,guidance_agencies!$D$2:$D$81,"EBA")</f>
        <v/>
      </c>
      <c r="AS112" s="2">
        <f>COUNTIFS(guidance_agencies!$A$2:$A$81,$A112,guidance_agencies!$D$2:$D$81,"ESMA")</f>
        <v/>
      </c>
      <c r="AT112" s="3">
        <f>SUMIFS(secondary_acts!$S$2:$S$771,secondary_acts!$A$2:$A$771,$A112,secondary_acts!$E$2:$E$771,"implementing")+SUMIFS(secondary_acts!$S$2:$S$771,secondary_acts!$A$2:$A$771,$A112,secondary_acts!$E$2:$E$771,"delegated")</f>
        <v/>
      </c>
      <c r="AU112" s="3" t="n">
        <v>203</v>
      </c>
      <c r="AV112" s="2" t="n">
        <v>28</v>
      </c>
      <c r="AW112" s="2" t="n">
        <v>0</v>
      </c>
      <c r="AX112" s="2" t="n"/>
      <c r="AY112" s="2" t="n"/>
      <c r="AZ112" s="2" t="n">
        <v>2</v>
      </c>
      <c r="BA112" s="2" t="inlineStr">
        <is>
          <t>52013PC0449</t>
        </is>
      </c>
      <c r="BB112" s="2" t="inlineStr">
        <is>
          <t>EUR-Lex HTML</t>
        </is>
      </c>
      <c r="BC112" s="2" t="n">
        <v>2079</v>
      </c>
      <c r="BD112" s="2" t="n">
        <v>12</v>
      </c>
      <c r="BE112" s="2" t="n">
        <v>0</v>
      </c>
      <c r="BF112" s="2">
        <f>IF(ISNUMBER(BC112),R112-BC112,"")</f>
        <v/>
      </c>
      <c r="BG112" s="4">
        <f>IF(AND(ISNUMBER(BC112),BC112&gt;0),(R112-BC112)/BC112,"")</f>
        <v/>
      </c>
      <c r="BH112" s="2">
        <f>IF(ISNUMBER(BD112),Y112-BD112,"")</f>
        <v/>
      </c>
      <c r="BI112" s="4">
        <f>IF(AND(ISNUMBER(BD112),BD112&gt;0),(Y112-BD112)/BD112,"")</f>
        <v/>
      </c>
      <c r="BJ112" s="2">
        <f>IF(ISNUMBER(BE112),AE112-BE112,"")</f>
        <v/>
      </c>
      <c r="BK112" s="2" t="inlineStr">
        <is>
          <t>thin</t>
        </is>
      </c>
      <c r="BL112" s="2" t="inlineStr">
        <is>
          <t>thin: Commission evaluation confirms standard and partial uptake; forecast savings never measured; no independent studies of this Directive found</t>
        </is>
      </c>
      <c r="BM112" s="2" t="inlineStr">
        <is>
          <t>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is>
      </c>
      <c r="BN112" s="2" t="n">
        <v>3</v>
      </c>
      <c r="BO112" s="2" t="n">
        <v>2</v>
      </c>
      <c r="BP112" s="2" t="n">
        <v>1</v>
      </c>
      <c r="BQ112" s="2" t="n">
        <v>0</v>
      </c>
      <c r="BR112" s="2" t="inlineStr">
        <is>
          <t>no consolidated text with amendments in EUR-Lex; consolidated count = original</t>
        </is>
      </c>
    </row>
    <row r="113">
      <c r="A113" s="2" t="n">
        <v>112</v>
      </c>
      <c r="B113" s="2" t="inlineStr">
        <is>
          <t>Portability Regulation</t>
        </is>
      </c>
      <c r="C113" s="2" t="inlineStr">
        <is>
          <t>Ensures that consumers subscribing to online content services, such as streaming of films, music, sport or e-books, in their home Member State can access and use them when temporarily in another EU country. It requires providers of paid services to offer such cross-border portability at no extra cost and with the same content, and sets rules for verifying the subscriber's country of residence.</t>
        </is>
      </c>
      <c r="D113" s="2" t="inlineStr">
        <is>
          <t>Regulation (EU) 2017/1128</t>
        </is>
      </c>
      <c r="E113" s="2" t="inlineStr">
        <is>
          <t>Media</t>
        </is>
      </c>
      <c r="F113" s="2" t="inlineStr">
        <is>
          <t>enacted</t>
        </is>
      </c>
      <c r="G113" s="2" t="inlineStr">
        <is>
          <t>2015-12-09</t>
        </is>
      </c>
      <c r="H113" s="2" t="inlineStr">
        <is>
          <t>high</t>
        </is>
      </c>
      <c r="I113" s="2" t="inlineStr">
        <is>
          <t>2017-06-14</t>
        </is>
      </c>
      <c r="J113" s="2" t="inlineStr">
        <is>
          <t>2017-06-30</t>
        </is>
      </c>
      <c r="K113" s="2" t="inlineStr">
        <is>
          <t>2017-07-20</t>
        </is>
      </c>
      <c r="L113" s="2" t="inlineStr">
        <is>
          <t>adopted</t>
        </is>
      </c>
      <c r="M113" s="2" t="inlineStr">
        <is>
          <t>adopted</t>
        </is>
      </c>
      <c r="N113" s="2" t="inlineStr">
        <is>
          <t>32017R1128</t>
        </is>
      </c>
      <c r="O113" s="2" t="inlineStr">
        <is>
          <t>Original act as published in the OJ</t>
        </is>
      </c>
      <c r="P113" s="2" t="inlineStr">
        <is>
          <t>https://eur-lex.europa.eu/legal-content/EN/TXT/?uri=CELEX:32017R1128</t>
        </is>
      </c>
      <c r="Q113" s="3" t="n">
        <v>11</v>
      </c>
      <c r="R113" s="3" t="n">
        <v>7424</v>
      </c>
      <c r="S113" s="3" t="n">
        <v>5289</v>
      </c>
      <c r="T113" s="3" t="n">
        <v>5163</v>
      </c>
      <c r="U113" s="3" t="n">
        <v>2135</v>
      </c>
      <c r="V113" s="3" t="n">
        <v>0</v>
      </c>
      <c r="W113" s="3" t="n">
        <v>0</v>
      </c>
      <c r="X113" s="3" t="n">
        <v>0</v>
      </c>
      <c r="Y113" s="3" t="n">
        <v>27</v>
      </c>
      <c r="Z113" s="3" t="n">
        <v>18</v>
      </c>
      <c r="AA113" s="3" t="n">
        <v>7</v>
      </c>
      <c r="AB113" s="3" t="n">
        <v>1</v>
      </c>
      <c r="AC113" s="3" t="n">
        <v>0</v>
      </c>
      <c r="AD113" s="3" t="n">
        <v>1</v>
      </c>
      <c r="AE113" s="3" t="n">
        <v>13</v>
      </c>
      <c r="AF113" s="3" t="n">
        <v>2</v>
      </c>
      <c r="AG113" s="3" t="n">
        <v>2</v>
      </c>
      <c r="AH113" s="3" t="n">
        <v>10</v>
      </c>
      <c r="AI113" s="2" t="inlineStr">
        <is>
          <t>02017R1128-20170630</t>
        </is>
      </c>
      <c r="AJ113" s="3" t="n">
        <v>27</v>
      </c>
      <c r="AK113" s="2" t="n">
        <v>13</v>
      </c>
      <c r="AL113" s="2">
        <f>COUNTIFS(secondary_acts!$A$2:$A$771,$A113,secondary_acts!$E$2:$E$771,"implementing")</f>
        <v/>
      </c>
      <c r="AM113" s="2">
        <f>COUNTIFS(secondary_acts!$A$2:$A$771,$A113,secondary_acts!$E$2:$E$771,"delegated")</f>
        <v/>
      </c>
      <c r="AN113" s="2">
        <f>COUNTIFS(secondary_acts!$A$2:$A$771,$A113,secondary_acts!$E$2:$E$771,"other Commission/Council act")</f>
        <v/>
      </c>
      <c r="AO113" s="2">
        <f>COUNTIFS(secondary_acts!$A$2:$A$771,$A113,secondary_acts!$E$2:$E$771,"guidance")</f>
        <v/>
      </c>
      <c r="AP113" s="2">
        <f>COUNTIF(guidance_web!$A$2:$A$7,$A113)</f>
        <v/>
      </c>
      <c r="AQ113" s="2">
        <f>COUNTIFS(guidance_agencies!$A$2:$A$81,$A113,guidance_agencies!$D$2:$D$81,"EDPB")</f>
        <v/>
      </c>
      <c r="AR113" s="2">
        <f>COUNTIFS(guidance_agencies!$A$2:$A$81,$A113,guidance_agencies!$D$2:$D$81,"EBA")</f>
        <v/>
      </c>
      <c r="AS113" s="2">
        <f>COUNTIFS(guidance_agencies!$A$2:$A$81,$A113,guidance_agencies!$D$2:$D$81,"ESMA")</f>
        <v/>
      </c>
      <c r="AT113" s="3">
        <f>SUMIFS(secondary_acts!$S$2:$S$771,secondary_acts!$A$2:$A$771,$A113,secondary_acts!$E$2:$E$771,"implementing")+SUMIFS(secondary_acts!$S$2:$S$771,secondary_acts!$A$2:$A$771,$A113,secondary_acts!$E$2:$E$771,"delegated")</f>
        <v/>
      </c>
      <c r="AU113" s="3" t="n"/>
      <c r="AV113" s="2" t="n"/>
      <c r="AW113" s="2" t="n">
        <v>0</v>
      </c>
      <c r="AX113" s="2" t="n"/>
      <c r="AY113" s="2" t="n"/>
      <c r="AZ113" s="2" t="n">
        <v>2</v>
      </c>
      <c r="BA113" s="2" t="inlineStr">
        <is>
          <t>52015PC0627</t>
        </is>
      </c>
      <c r="BB113" s="2" t="inlineStr">
        <is>
          <t>EUR-Lex HTML</t>
        </is>
      </c>
      <c r="BC113" s="2" t="n">
        <v>4070</v>
      </c>
      <c r="BD113" s="2" t="n">
        <v>5</v>
      </c>
      <c r="BE113" s="2" t="n">
        <v>3</v>
      </c>
      <c r="BF113" s="2">
        <f>IF(ISNUMBER(BC113),R113-BC113,"")</f>
        <v/>
      </c>
      <c r="BG113" s="4">
        <f>IF(AND(ISNUMBER(BC113),BC113&gt;0),(R113-BC113)/BC113,"")</f>
        <v/>
      </c>
      <c r="BH113" s="2">
        <f>IF(ISNUMBER(BD113),Y113-BD113,"")</f>
        <v/>
      </c>
      <c r="BI113" s="4">
        <f>IF(AND(ISNUMBER(BD113),BD113&gt;0),(Y113-BD113)/BD113,"")</f>
        <v/>
      </c>
      <c r="BJ113" s="2">
        <f>IF(ISNUMBER(BE113),AE113-BE113,"")</f>
        <v/>
      </c>
      <c r="BK113" s="2" t="inlineStr">
        <is>
          <t>thin</t>
        </is>
      </c>
      <c r="BL113" s="2" t="inlineStr">
        <is>
          <t>thin: one Commission review backed by surveys and self-reported provider evidence; no independent or causal studies</t>
        </is>
      </c>
      <c r="BM113" s="2" t="inlineStr">
        <is>
          <t>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is>
      </c>
      <c r="BN113" s="2" t="n">
        <v>4</v>
      </c>
      <c r="BO113" s="2" t="n">
        <v>4</v>
      </c>
      <c r="BP113" s="2" t="n">
        <v>4</v>
      </c>
      <c r="BQ113" s="2" t="n">
        <v>0</v>
      </c>
      <c r="BR113" s="2" t="inlineStr"/>
    </row>
    <row r="114">
      <c r="A114" s="2" t="n">
        <v>113</v>
      </c>
      <c r="B114" s="2" t="inlineStr">
        <is>
          <t>.eu Top-Level Domain Regulation</t>
        </is>
      </c>
      <c r="C114" s="2" t="inlineStr">
        <is>
          <t>Implements the .eu country code top-level domain to support the digital single market, build an online Union identity and encourage cross-border online activity. It sets the conditions for its implementation, including the designation and duties of the Registry that manages the domain, eligibility for registering .eu names, and the legal and policy framework within which the Registry operates.</t>
        </is>
      </c>
      <c r="D114" s="2" t="inlineStr">
        <is>
          <t>Regulation (EU) 2019/517</t>
        </is>
      </c>
      <c r="E114" s="2" t="inlineStr">
        <is>
          <t>Connectivity</t>
        </is>
      </c>
      <c r="F114" s="2" t="inlineStr">
        <is>
          <t>enacted</t>
        </is>
      </c>
      <c r="G114" s="2" t="inlineStr">
        <is>
          <t>2018-04-27</t>
        </is>
      </c>
      <c r="H114" s="2" t="inlineStr">
        <is>
          <t>high</t>
        </is>
      </c>
      <c r="I114" s="2" t="inlineStr">
        <is>
          <t>2019-03-19</t>
        </is>
      </c>
      <c r="J114" s="2" t="inlineStr">
        <is>
          <t>2019-03-29</t>
        </is>
      </c>
      <c r="K114" s="2" t="inlineStr">
        <is>
          <t>2019-04-18</t>
        </is>
      </c>
      <c r="L114" s="2" t="inlineStr">
        <is>
          <t>adopted</t>
        </is>
      </c>
      <c r="M114" s="2" t="inlineStr">
        <is>
          <t>adopted</t>
        </is>
      </c>
      <c r="N114" s="2" t="inlineStr">
        <is>
          <t>32019R0517</t>
        </is>
      </c>
      <c r="O114" s="2" t="inlineStr">
        <is>
          <t>Original act as published in the OJ</t>
        </is>
      </c>
      <c r="P114" s="2" t="inlineStr">
        <is>
          <t>https://eur-lex.europa.eu/legal-content/EN/TXT/?uri=CELEX:32019R0517</t>
        </is>
      </c>
      <c r="Q114" s="3" t="n">
        <v>11</v>
      </c>
      <c r="R114" s="3" t="n">
        <v>5749</v>
      </c>
      <c r="S114" s="3" t="n">
        <v>2205</v>
      </c>
      <c r="T114" s="3" t="n">
        <v>2067</v>
      </c>
      <c r="U114" s="3" t="n">
        <v>3544</v>
      </c>
      <c r="V114" s="3" t="n">
        <v>0</v>
      </c>
      <c r="W114" s="3" t="n">
        <v>0</v>
      </c>
      <c r="X114" s="3" t="n">
        <v>0</v>
      </c>
      <c r="Y114" s="3" t="n">
        <v>54</v>
      </c>
      <c r="Z114" s="3" t="n">
        <v>52</v>
      </c>
      <c r="AA114" s="3" t="n">
        <v>2</v>
      </c>
      <c r="AB114" s="3" t="n">
        <v>0</v>
      </c>
      <c r="AC114" s="3" t="n">
        <v>0</v>
      </c>
      <c r="AD114" s="3" t="n">
        <v>0</v>
      </c>
      <c r="AE114" s="3" t="n">
        <v>15</v>
      </c>
      <c r="AF114" s="3" t="n">
        <v>1</v>
      </c>
      <c r="AG114" s="3" t="n">
        <v>25</v>
      </c>
      <c r="AH114" s="3" t="n">
        <v>13</v>
      </c>
      <c r="AI114" s="2" t="inlineStr">
        <is>
          <t>02019R0517-20190329</t>
        </is>
      </c>
      <c r="AJ114" s="3" t="n">
        <v>54</v>
      </c>
      <c r="AK114" s="2" t="n">
        <v>15</v>
      </c>
      <c r="AL114" s="2">
        <f>COUNTIFS(secondary_acts!$A$2:$A$771,$A114,secondary_acts!$E$2:$E$771,"implementing")</f>
        <v/>
      </c>
      <c r="AM114" s="2">
        <f>COUNTIFS(secondary_acts!$A$2:$A$771,$A114,secondary_acts!$E$2:$E$771,"delegated")</f>
        <v/>
      </c>
      <c r="AN114" s="2">
        <f>COUNTIFS(secondary_acts!$A$2:$A$771,$A114,secondary_acts!$E$2:$E$771,"other Commission/Council act")</f>
        <v/>
      </c>
      <c r="AO114" s="2">
        <f>COUNTIFS(secondary_acts!$A$2:$A$771,$A114,secondary_acts!$E$2:$E$771,"guidance")</f>
        <v/>
      </c>
      <c r="AP114" s="2">
        <f>COUNTIF(guidance_web!$A$2:$A$7,$A114)</f>
        <v/>
      </c>
      <c r="AQ114" s="2">
        <f>COUNTIFS(guidance_agencies!$A$2:$A$81,$A114,guidance_agencies!$D$2:$D$81,"EDPB")</f>
        <v/>
      </c>
      <c r="AR114" s="2">
        <f>COUNTIFS(guidance_agencies!$A$2:$A$81,$A114,guidance_agencies!$D$2:$D$81,"EBA")</f>
        <v/>
      </c>
      <c r="AS114" s="2">
        <f>COUNTIFS(guidance_agencies!$A$2:$A$81,$A114,guidance_agencies!$D$2:$D$81,"ESMA")</f>
        <v/>
      </c>
      <c r="AT114" s="3">
        <f>SUMIFS(secondary_acts!$S$2:$S$771,secondary_acts!$A$2:$A$771,$A114,secondary_acts!$E$2:$E$771,"implementing")+SUMIFS(secondary_acts!$S$2:$S$771,secondary_acts!$A$2:$A$771,$A114,secondary_acts!$E$2:$E$771,"delegated")</f>
        <v/>
      </c>
      <c r="AU114" s="3" t="n"/>
      <c r="AV114" s="2" t="n"/>
      <c r="AW114" s="2" t="n">
        <v>0</v>
      </c>
      <c r="AX114" s="2" t="n"/>
      <c r="AY114" s="2" t="n"/>
      <c r="AZ114" s="2" t="n">
        <v>1</v>
      </c>
      <c r="BA114" s="2" t="inlineStr">
        <is>
          <t>52018PC0231</t>
        </is>
      </c>
      <c r="BB114" s="2" t="inlineStr">
        <is>
          <t>EUR-Lex HTML</t>
        </is>
      </c>
      <c r="BC114" s="2" t="n">
        <v>4147</v>
      </c>
      <c r="BD114" s="2" t="n">
        <v>39</v>
      </c>
      <c r="BE114" s="2" t="n">
        <v>12</v>
      </c>
      <c r="BF114" s="2">
        <f>IF(ISNUMBER(BC114),R114-BC114,"")</f>
        <v/>
      </c>
      <c r="BG114" s="4">
        <f>IF(AND(ISNUMBER(BC114),BC114&gt;0),(R114-BC114)/BC114,"")</f>
        <v/>
      </c>
      <c r="BH114" s="2">
        <f>IF(ISNUMBER(BD114),Y114-BD114,"")</f>
        <v/>
      </c>
      <c r="BI114" s="4">
        <f>IF(AND(ISNUMBER(BD114),BD114&gt;0),(Y114-BD114)/BD114,"")</f>
        <v/>
      </c>
      <c r="BJ114" s="2">
        <f>IF(ISNUMBER(BE114),AE114-BE114,"")</f>
        <v/>
      </c>
      <c r="BK114" s="2" t="inlineStr">
        <is>
          <t>thin</t>
        </is>
      </c>
      <c r="BL114" s="2" t="inlineStr">
        <is>
          <t>thin: registry statistics only; no evaluation of the new Regulation yet (due 2027); no independent studies</t>
        </is>
      </c>
      <c r="BM114" s="2" t="inlineStr">
        <is>
          <t>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is>
      </c>
      <c r="BN114" s="2" t="n">
        <v>3</v>
      </c>
      <c r="BO114" s="2" t="n">
        <v>3</v>
      </c>
      <c r="BP114" s="2" t="n">
        <v>3</v>
      </c>
      <c r="BQ114" s="2" t="n">
        <v>0</v>
      </c>
      <c r="BR114" s="2" t="inlineStr">
        <is>
          <t>no consolidated text with amendments in EUR-Lex; consolidated count = original</t>
        </is>
      </c>
    </row>
    <row r="115">
      <c r="A115" s="2" t="n">
        <v>114</v>
      </c>
      <c r="B115" s="2" t="inlineStr">
        <is>
          <t>Interoperability of EU information systems (borders and visa) Regulation</t>
        </is>
      </c>
      <c r="C115" s="2" t="inlineStr">
        <is>
          <t>Establishes a framework to make EU information systems for borders, visas and migration, such as the Entry/Exit System, VIS, ETIAS and SIS, work together. It creates a European search portal, a shared biometric matching service, a common identity repository and a multiple-identity detector, and sets data quality rules and conditions for access by authorities and Europol.</t>
        </is>
      </c>
      <c r="D115" s="2" t="inlineStr">
        <is>
          <t>Regulation (EU) 2019/817</t>
        </is>
      </c>
      <c r="E115" s="2" t="inlineStr">
        <is>
          <t>Law Enforcement</t>
        </is>
      </c>
      <c r="F115" s="2" t="inlineStr">
        <is>
          <t>enacted</t>
        </is>
      </c>
      <c r="G115" s="2" t="inlineStr">
        <is>
          <t>2017-12-12</t>
        </is>
      </c>
      <c r="H115" s="2" t="inlineStr">
        <is>
          <t>high</t>
        </is>
      </c>
      <c r="I115" s="2" t="inlineStr">
        <is>
          <t>2019-05-20</t>
        </is>
      </c>
      <c r="J115" s="2" t="inlineStr">
        <is>
          <t>2019-05-22</t>
        </is>
      </c>
      <c r="K115" s="2" t="inlineStr">
        <is>
          <t>2019-06-11</t>
        </is>
      </c>
      <c r="L115" s="2" t="inlineStr">
        <is>
          <t>adopted</t>
        </is>
      </c>
      <c r="M115" s="2" t="inlineStr">
        <is>
          <t>adopted</t>
        </is>
      </c>
      <c r="N115" s="2" t="inlineStr">
        <is>
          <t>32019R0817</t>
        </is>
      </c>
      <c r="O115" s="2" t="inlineStr">
        <is>
          <t>Original act as published in the OJ</t>
        </is>
      </c>
      <c r="P115" s="2" t="inlineStr">
        <is>
          <t>https://eur-lex.europa.eu/legal-content/EN/TXT/?uri=CELEX:32019R0817</t>
        </is>
      </c>
      <c r="Q115" s="3" t="n">
        <v>58</v>
      </c>
      <c r="R115" s="3" t="n">
        <v>34635</v>
      </c>
      <c r="S115" s="3" t="n">
        <v>7541</v>
      </c>
      <c r="T115" s="3" t="n">
        <v>7365</v>
      </c>
      <c r="U115" s="3" t="n">
        <v>27094</v>
      </c>
      <c r="V115" s="3" t="n">
        <v>0</v>
      </c>
      <c r="W115" s="3" t="n">
        <v>0</v>
      </c>
      <c r="X115" s="3" t="n">
        <v>0</v>
      </c>
      <c r="Y115" s="3" t="n">
        <v>456</v>
      </c>
      <c r="Z115" s="3" t="n">
        <v>415</v>
      </c>
      <c r="AA115" s="3" t="n">
        <v>15</v>
      </c>
      <c r="AB115" s="3" t="n">
        <v>9</v>
      </c>
      <c r="AC115" s="3" t="n">
        <v>1</v>
      </c>
      <c r="AD115" s="3" t="n">
        <v>16</v>
      </c>
      <c r="AE115" s="3" t="n">
        <v>25</v>
      </c>
      <c r="AF115" s="3" t="n">
        <v>99</v>
      </c>
      <c r="AG115" s="3" t="n">
        <v>196</v>
      </c>
      <c r="AH115" s="3" t="n">
        <v>136</v>
      </c>
      <c r="AI115" s="2" t="inlineStr">
        <is>
          <t>02019R0817-20260612</t>
        </is>
      </c>
      <c r="AJ115" s="3" t="n">
        <v>463</v>
      </c>
      <c r="AK115" s="2" t="n">
        <v>25</v>
      </c>
      <c r="AL115" s="2">
        <f>COUNTIFS(secondary_acts!$A$2:$A$771,$A115,secondary_acts!$E$2:$E$771,"implementing")</f>
        <v/>
      </c>
      <c r="AM115" s="2">
        <f>COUNTIFS(secondary_acts!$A$2:$A$771,$A115,secondary_acts!$E$2:$E$771,"delegated")</f>
        <v/>
      </c>
      <c r="AN115" s="2">
        <f>COUNTIFS(secondary_acts!$A$2:$A$771,$A115,secondary_acts!$E$2:$E$771,"other Commission/Council act")</f>
        <v/>
      </c>
      <c r="AO115" s="2">
        <f>COUNTIFS(secondary_acts!$A$2:$A$771,$A115,secondary_acts!$E$2:$E$771,"guidance")</f>
        <v/>
      </c>
      <c r="AP115" s="2">
        <f>COUNTIF(guidance_web!$A$2:$A$7,$A115)</f>
        <v/>
      </c>
      <c r="AQ115" s="2">
        <f>COUNTIFS(guidance_agencies!$A$2:$A$81,$A115,guidance_agencies!$D$2:$D$81,"EDPB")</f>
        <v/>
      </c>
      <c r="AR115" s="2">
        <f>COUNTIFS(guidance_agencies!$A$2:$A$81,$A115,guidance_agencies!$D$2:$D$81,"EBA")</f>
        <v/>
      </c>
      <c r="AS115" s="2">
        <f>COUNTIFS(guidance_agencies!$A$2:$A$81,$A115,guidance_agencies!$D$2:$D$81,"ESMA")</f>
        <v/>
      </c>
      <c r="AT115" s="3">
        <f>SUMIFS(secondary_acts!$S$2:$S$771,secondary_acts!$A$2:$A$771,$A115,secondary_acts!$E$2:$E$771,"implementing")+SUMIFS(secondary_acts!$S$2:$S$771,secondary_acts!$A$2:$A$771,$A115,secondary_acts!$E$2:$E$771,"delegated")</f>
        <v/>
      </c>
      <c r="AU115" s="3" t="n"/>
      <c r="AV115" s="2" t="n"/>
      <c r="AW115" s="2" t="n">
        <v>5</v>
      </c>
      <c r="AX115" s="2" t="inlineStr">
        <is>
          <t>2021-07-07</t>
        </is>
      </c>
      <c r="AY115" s="2" t="inlineStr">
        <is>
          <t>2024-12-19</t>
        </is>
      </c>
      <c r="AZ115" s="2" t="n">
        <v>5</v>
      </c>
      <c r="BA115" s="2" t="inlineStr">
        <is>
          <t>52017PC0793</t>
        </is>
      </c>
      <c r="BB115" s="2" t="inlineStr">
        <is>
          <t>EUR-Lex HTML</t>
        </is>
      </c>
      <c r="BC115" s="2" t="n">
        <v>23487</v>
      </c>
      <c r="BD115" s="2" t="n">
        <v>291</v>
      </c>
      <c r="BE115" s="2" t="n">
        <v>32</v>
      </c>
      <c r="BF115" s="2">
        <f>IF(ISNUMBER(BC115),R115-BC115,"")</f>
        <v/>
      </c>
      <c r="BG115" s="4">
        <f>IF(AND(ISNUMBER(BC115),BC115&gt;0),(R115-BC115)/BC115,"")</f>
        <v/>
      </c>
      <c r="BH115" s="2">
        <f>IF(ISNUMBER(BD115),Y115-BD115,"")</f>
        <v/>
      </c>
      <c r="BI115" s="4">
        <f>IF(AND(ISNUMBER(BD115),BD115&gt;0),(Y115-BD115)/BD115,"")</f>
        <v/>
      </c>
      <c r="BJ115" s="2">
        <f>IF(ISNUMBER(BE115),AE115-BE115,"")</f>
        <v/>
      </c>
      <c r="BK115" s="2" t="inlineStr">
        <is>
          <t>thin</t>
        </is>
      </c>
      <c r="BL115" s="2" t="inlineStr">
        <is>
          <t>thin: implementation monitoring only; components not yet operating, so none of the outcome indicators can be measured; no independent studies</t>
        </is>
      </c>
      <c r="BM115" s="2" t="inlineStr">
        <is>
          <t>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is>
      </c>
      <c r="BN115" s="2" t="n">
        <v>6</v>
      </c>
      <c r="BO115" s="2" t="n">
        <v>2</v>
      </c>
      <c r="BP115" s="2" t="n">
        <v>2</v>
      </c>
      <c r="BQ115" s="2" t="n">
        <v>0</v>
      </c>
      <c r="BR115" s="2" t="inlineStr"/>
    </row>
    <row r="116">
      <c r="A116" s="2" t="n">
        <v>115</v>
      </c>
      <c r="B116" s="2" t="inlineStr">
        <is>
          <t>Short-Term Rental Data Regulation</t>
        </is>
      </c>
      <c r="C116" s="2" t="inlineStr">
        <is>
          <t>Sets rules on the collection and sharing of data on short-term accommodation rentals offered through online platforms, applying to platforms and hosts. It harmonises registration procedures where Member States require them, requires platforms to display registration numbers and share activity data with public authorities, and creates national single digital entry points for that data exchange.</t>
        </is>
      </c>
      <c r="D116" s="2" t="inlineStr">
        <is>
          <t>Regulation (EU) 2024/1028</t>
        </is>
      </c>
      <c r="E116" s="2" t="inlineStr">
        <is>
          <t>Data &amp; Privacy</t>
        </is>
      </c>
      <c r="F116" s="2" t="inlineStr">
        <is>
          <t>enacted</t>
        </is>
      </c>
      <c r="G116" s="2" t="inlineStr">
        <is>
          <t>2022-11-07</t>
        </is>
      </c>
      <c r="H116" s="2" t="inlineStr">
        <is>
          <t>high</t>
        </is>
      </c>
      <c r="I116" s="2" t="inlineStr">
        <is>
          <t>2024-04-11</t>
        </is>
      </c>
      <c r="J116" s="2" t="inlineStr">
        <is>
          <t>2024-04-29</t>
        </is>
      </c>
      <c r="K116" s="2" t="inlineStr">
        <is>
          <t>2024-05-19</t>
        </is>
      </c>
      <c r="L116" s="2" t="inlineStr">
        <is>
          <t>adopted</t>
        </is>
      </c>
      <c r="M116" s="2" t="inlineStr">
        <is>
          <t>adopted</t>
        </is>
      </c>
      <c r="N116" s="2" t="inlineStr">
        <is>
          <t>32024R1028</t>
        </is>
      </c>
      <c r="O116" s="2" t="inlineStr">
        <is>
          <t>Original act as published in the OJ</t>
        </is>
      </c>
      <c r="P116" s="2" t="inlineStr">
        <is>
          <t>https://eur-lex.europa.eu/legal-content/EN/TXT/?uri=CELEX:32024R1028</t>
        </is>
      </c>
      <c r="Q116" s="3" t="n">
        <v>19</v>
      </c>
      <c r="R116" s="3" t="n">
        <v>11748</v>
      </c>
      <c r="S116" s="3" t="n">
        <v>6262</v>
      </c>
      <c r="T116" s="3" t="n">
        <v>6129</v>
      </c>
      <c r="U116" s="3" t="n">
        <v>5486</v>
      </c>
      <c r="V116" s="3" t="n">
        <v>0</v>
      </c>
      <c r="W116" s="3" t="n">
        <v>0</v>
      </c>
      <c r="X116" s="3" t="n">
        <v>0</v>
      </c>
      <c r="Y116" s="3" t="n">
        <v>70</v>
      </c>
      <c r="Z116" s="3" t="n">
        <v>55</v>
      </c>
      <c r="AA116" s="3" t="n">
        <v>2</v>
      </c>
      <c r="AB116" s="3" t="n">
        <v>0</v>
      </c>
      <c r="AC116" s="3" t="n">
        <v>2</v>
      </c>
      <c r="AD116" s="3" t="n">
        <v>11</v>
      </c>
      <c r="AE116" s="3" t="n">
        <v>15</v>
      </c>
      <c r="AF116" s="3" t="n">
        <v>34</v>
      </c>
      <c r="AG116" s="3" t="n">
        <v>10</v>
      </c>
      <c r="AH116" s="3" t="n">
        <v>11</v>
      </c>
      <c r="AI116" s="2" t="n"/>
      <c r="AJ116" s="3" t="n"/>
      <c r="AK116" s="2" t="n"/>
      <c r="AL116" s="2">
        <f>COUNTIFS(secondary_acts!$A$2:$A$771,$A116,secondary_acts!$E$2:$E$771,"implementing")</f>
        <v/>
      </c>
      <c r="AM116" s="2">
        <f>COUNTIFS(secondary_acts!$A$2:$A$771,$A116,secondary_acts!$E$2:$E$771,"delegated")</f>
        <v/>
      </c>
      <c r="AN116" s="2">
        <f>COUNTIFS(secondary_acts!$A$2:$A$771,$A116,secondary_acts!$E$2:$E$771,"other Commission/Council act")</f>
        <v/>
      </c>
      <c r="AO116" s="2">
        <f>COUNTIFS(secondary_acts!$A$2:$A$771,$A116,secondary_acts!$E$2:$E$771,"guidance")</f>
        <v/>
      </c>
      <c r="AP116" s="2">
        <f>COUNTIF(guidance_web!$A$2:$A$7,$A116)</f>
        <v/>
      </c>
      <c r="AQ116" s="2">
        <f>COUNTIFS(guidance_agencies!$A$2:$A$81,$A116,guidance_agencies!$D$2:$D$81,"EDPB")</f>
        <v/>
      </c>
      <c r="AR116" s="2">
        <f>COUNTIFS(guidance_agencies!$A$2:$A$81,$A116,guidance_agencies!$D$2:$D$81,"EBA")</f>
        <v/>
      </c>
      <c r="AS116" s="2">
        <f>COUNTIFS(guidance_agencies!$A$2:$A$81,$A116,guidance_agencies!$D$2:$D$81,"ESMA")</f>
        <v/>
      </c>
      <c r="AT116" s="3">
        <f>SUMIFS(secondary_acts!$S$2:$S$771,secondary_acts!$A$2:$A$771,$A116,secondary_acts!$E$2:$E$771,"implementing")+SUMIFS(secondary_acts!$S$2:$S$771,secondary_acts!$A$2:$A$771,$A116,secondary_acts!$E$2:$E$771,"delegated")</f>
        <v/>
      </c>
      <c r="AU116" s="3" t="n"/>
      <c r="AV116" s="2" t="n"/>
      <c r="AW116" s="2" t="n">
        <v>0</v>
      </c>
      <c r="AX116" s="2" t="n"/>
      <c r="AY116" s="2" t="n"/>
      <c r="AZ116" s="2" t="n">
        <v>1</v>
      </c>
      <c r="BA116" s="2" t="inlineStr">
        <is>
          <t>52022PC0571</t>
        </is>
      </c>
      <c r="BB116" s="2" t="inlineStr">
        <is>
          <t>EUR-Lex HTML</t>
        </is>
      </c>
      <c r="BC116" s="2" t="n">
        <v>9330</v>
      </c>
      <c r="BD116" s="2" t="n">
        <v>66</v>
      </c>
      <c r="BE116" s="2" t="n">
        <v>11</v>
      </c>
      <c r="BF116" s="2">
        <f>IF(ISNUMBER(BC116),R116-BC116,"")</f>
        <v/>
      </c>
      <c r="BG116" s="4">
        <f>IF(AND(ISNUMBER(BC116),BC116&gt;0),(R116-BC116)/BC116,"")</f>
        <v/>
      </c>
      <c r="BH116" s="2">
        <f>IF(ISNUMBER(BD116),Y116-BD116,"")</f>
        <v/>
      </c>
      <c r="BI116" s="4">
        <f>IF(AND(ISNUMBER(BD116),BD116&gt;0),(Y116-BD116)/BD116,"")</f>
        <v/>
      </c>
      <c r="BJ116" s="2">
        <f>IF(ISNUMBER(BE116),AE116-BE116,"")</f>
        <v/>
      </c>
      <c r="BK116" s="2" t="inlineStr">
        <is>
          <t>ex-ante only</t>
        </is>
      </c>
      <c r="BL116" s="2" t="inlineStr">
        <is>
          <t>ex-ante only: rules applied from May 2026; no evaluation or independent study yet</t>
        </is>
      </c>
      <c r="BM116" s="2" t="inlineStr">
        <is>
          <t>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is>
      </c>
      <c r="BN116" s="2" t="n">
        <v>3</v>
      </c>
      <c r="BO116" s="2" t="n">
        <v>0</v>
      </c>
      <c r="BP116" s="2" t="n">
        <v>0</v>
      </c>
      <c r="BQ116" s="2" t="n">
        <v>0</v>
      </c>
      <c r="BR116" s="2" t="inlineStr"/>
    </row>
    <row r="117">
      <c r="A117" s="5" t="n"/>
      <c r="B117" s="5" t="inlineStr">
        <is>
          <t>TOTAL (all rows)</t>
        </is>
      </c>
      <c r="C117" s="5" t="n"/>
      <c r="D117" s="5" t="n"/>
      <c r="E117" s="5" t="n"/>
      <c r="F117" s="5" t="n"/>
      <c r="G117" s="5" t="n"/>
      <c r="H117" s="5" t="n"/>
      <c r="I117" s="5" t="n"/>
      <c r="J117" s="5" t="n"/>
      <c r="K117" s="5" t="n"/>
      <c r="L117" s="5" t="n"/>
      <c r="M117" s="5" t="n"/>
      <c r="N117" s="5" t="n"/>
      <c r="O117" s="5" t="n"/>
      <c r="P117" s="5" t="n"/>
      <c r="Q117" s="6">
        <f>SUM(Q2:Q116)</f>
        <v/>
      </c>
      <c r="R117" s="6">
        <f>SUM(R2:R116)</f>
        <v/>
      </c>
      <c r="S117" s="6">
        <f>SUM(S2:S116)</f>
        <v/>
      </c>
      <c r="T117" s="6">
        <f>SUM(T2:T116)</f>
        <v/>
      </c>
      <c r="U117" s="6">
        <f>SUM(U2:U116)</f>
        <v/>
      </c>
      <c r="V117" s="6">
        <f>SUM(V2:V116)</f>
        <v/>
      </c>
      <c r="W117" s="6">
        <f>SUM(W2:W116)</f>
        <v/>
      </c>
      <c r="X117" s="6">
        <f>SUM(X2:X116)</f>
        <v/>
      </c>
      <c r="Y117" s="6">
        <f>SUM(Y2:Y116)</f>
        <v/>
      </c>
      <c r="Z117" s="6">
        <f>SUM(Z2:Z116)</f>
        <v/>
      </c>
      <c r="AA117" s="6">
        <f>SUM(AA2:AA116)</f>
        <v/>
      </c>
      <c r="AB117" s="6">
        <f>SUM(AB2:AB116)</f>
        <v/>
      </c>
      <c r="AC117" s="6">
        <f>SUM(AC2:AC116)</f>
        <v/>
      </c>
      <c r="AD117" s="6">
        <f>SUM(AD2:AD116)</f>
        <v/>
      </c>
      <c r="AE117" s="6">
        <f>SUM(AE2:AE116)</f>
        <v/>
      </c>
      <c r="AF117" s="6">
        <f>SUM(AF2:AF116)</f>
        <v/>
      </c>
      <c r="AG117" s="6">
        <f>SUM(AG2:AG116)</f>
        <v/>
      </c>
      <c r="AH117" s="6">
        <f>SUM(AH2:AH116)</f>
        <v/>
      </c>
      <c r="AI117" s="5" t="n"/>
      <c r="AJ117" s="6">
        <f>SUM(AJ2:AJ116)</f>
        <v/>
      </c>
      <c r="AK117" s="5">
        <f>SUM(AK2:AK116)</f>
        <v/>
      </c>
      <c r="AL117" s="5">
        <f>SUM(AL2:AL116)</f>
        <v/>
      </c>
      <c r="AM117" s="5">
        <f>SUM(AM2:AM116)</f>
        <v/>
      </c>
      <c r="AN117" s="5">
        <f>SUM(AN2:AN116)</f>
        <v/>
      </c>
      <c r="AO117" s="5">
        <f>SUM(AO2:AO116)</f>
        <v/>
      </c>
      <c r="AP117" s="5">
        <f>SUM(AP2:AP116)</f>
        <v/>
      </c>
      <c r="AQ117" s="5">
        <f>SUM(AQ2:AQ116)</f>
        <v/>
      </c>
      <c r="AR117" s="5">
        <f>SUM(AR2:AR116)</f>
        <v/>
      </c>
      <c r="AS117" s="5">
        <f>SUM(AS2:AS116)</f>
        <v/>
      </c>
      <c r="AT117" s="6">
        <f>SUM(AT2:AT116)</f>
        <v/>
      </c>
      <c r="AU117" s="6">
        <f>SUM(AU2:AU116)</f>
        <v/>
      </c>
      <c r="AV117" s="5" t="n"/>
      <c r="AW117" s="5">
        <f>SUM(AW2:AW116)</f>
        <v/>
      </c>
      <c r="AX117" s="5" t="n"/>
      <c r="AY117" s="5" t="n"/>
      <c r="AZ117" s="5">
        <f>SUM(AZ2:AZ116)</f>
        <v/>
      </c>
      <c r="BA117" s="5" t="n"/>
      <c r="BB117" s="5" t="n"/>
      <c r="BC117" s="5" t="n"/>
      <c r="BD117" s="5" t="n"/>
      <c r="BE117" s="5" t="n"/>
      <c r="BF117" s="5" t="n"/>
      <c r="BG117" s="5" t="n"/>
      <c r="BH117" s="5" t="n"/>
      <c r="BI117" s="5" t="n"/>
      <c r="BJ117" s="5" t="n"/>
      <c r="BK117" s="5" t="n"/>
      <c r="BL117" s="5" t="n"/>
      <c r="BM117" s="5" t="n"/>
      <c r="BN117" s="5" t="n"/>
      <c r="BO117" s="5" t="n"/>
      <c r="BP117" s="5" t="n"/>
      <c r="BQ117" s="5" t="n"/>
      <c r="BR117" s="5" t="n"/>
    </row>
  </sheetData>
  <autoFilter ref="A1:BR1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7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16" customWidth="1" min="4" max="4"/>
    <col width="14" customWidth="1" min="5" max="5"/>
    <col width="12" customWidth="1" min="6" max="6"/>
    <col width="11" customWidth="1" min="7" max="7"/>
    <col width="60" customWidth="1" min="8" max="8"/>
    <col width="12" customWidth="1" min="9" max="9"/>
    <col width="3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40" customWidth="1" min="29" max="29"/>
  </cols>
  <sheetData>
    <row r="1" ht="45" customHeight="1">
      <c r="A1" s="1" t="inlineStr">
        <is>
          <t>parent_row_id</t>
        </is>
      </c>
      <c r="B1" s="1" t="inlineStr">
        <is>
          <t>parent_name</t>
        </is>
      </c>
      <c r="C1" s="1" t="inlineStr">
        <is>
          <t>parent_celex</t>
        </is>
      </c>
      <c r="D1" s="1" t="inlineStr">
        <is>
          <t>celex</t>
        </is>
      </c>
      <c r="E1" s="1" t="inlineStr">
        <is>
          <t>kind</t>
        </is>
      </c>
      <c r="F1" s="1" t="inlineStr">
        <is>
          <t>eurlex_type</t>
        </is>
      </c>
      <c r="G1" s="1" t="inlineStr">
        <is>
          <t>date</t>
        </is>
      </c>
      <c r="H1" s="1" t="inlineStr">
        <is>
          <t>title</t>
        </is>
      </c>
      <c r="I1" s="1" t="inlineStr">
        <is>
          <t>addressed_to_specific_member_state</t>
        </is>
      </c>
      <c r="J1" s="1" t="inlineStr">
        <is>
          <t>source_url</t>
        </is>
      </c>
      <c r="K1" s="1" t="inlineStr">
        <is>
          <t>pages</t>
        </is>
      </c>
      <c r="L1" s="1" t="inlineStr">
        <is>
          <t>words_legal_text</t>
        </is>
      </c>
      <c r="M1" s="1" t="inlineStr">
        <is>
          <t>words_preamble</t>
        </is>
      </c>
      <c r="N1" s="1" t="inlineStr">
        <is>
          <t>words_recitals</t>
        </is>
      </c>
      <c r="O1" s="1" t="inlineStr">
        <is>
          <t>words_articles</t>
        </is>
      </c>
      <c r="P1" s="1" t="inlineStr">
        <is>
          <t>words_annexes</t>
        </is>
      </c>
      <c r="Q1" s="1" t="inlineStr">
        <is>
          <t>words_memorandum</t>
        </is>
      </c>
      <c r="R1" s="1" t="inlineStr">
        <is>
          <t>words_financial_statement</t>
        </is>
      </c>
      <c r="S1" s="1" t="inlineStr">
        <is>
          <t>restrictions_total</t>
        </is>
      </c>
      <c r="T1" s="1" t="inlineStr">
        <is>
          <t>r_obligation</t>
        </is>
      </c>
      <c r="U1" s="1" t="inlineStr">
        <is>
          <t>r_prohibition</t>
        </is>
      </c>
      <c r="V1" s="1" t="inlineStr">
        <is>
          <t>r_restricted_permission</t>
        </is>
      </c>
      <c r="W1" s="1" t="inlineStr">
        <is>
          <t>r_explicit_requirement</t>
        </is>
      </c>
      <c r="X1" s="1" t="inlineStr">
        <is>
          <t>r_duty_of_result</t>
        </is>
      </c>
      <c r="Y1" s="1" t="inlineStr">
        <is>
          <t>addr_private_parties</t>
        </is>
      </c>
      <c r="Z1" s="1" t="inlineStr">
        <is>
          <t>addr_member_states</t>
        </is>
      </c>
      <c r="AA1" s="1" t="inlineStr">
        <is>
          <t>addr_eu_institutions</t>
        </is>
      </c>
      <c r="AB1" s="1" t="inlineStr">
        <is>
          <t>addr_unclear</t>
        </is>
      </c>
      <c r="AC1" s="1" t="inlineStr">
        <is>
          <t>note</t>
        </is>
      </c>
    </row>
    <row r="2">
      <c r="A2" s="2" t="n">
        <v>2</v>
      </c>
      <c r="B2" s="2" t="inlineStr">
        <is>
          <t>Unfair Contract Terms Directive</t>
        </is>
      </c>
      <c r="C2" s="2" t="inlineStr">
        <is>
          <t>31993L0013</t>
        </is>
      </c>
      <c r="D2" s="2" t="inlineStr">
        <is>
          <t>52019XC0927(01)</t>
        </is>
      </c>
      <c r="E2" s="2" t="inlineStr">
        <is>
          <t>guidance</t>
        </is>
      </c>
      <c r="F2" s="2" t="inlineStr">
        <is>
          <t>GUIDELINE_GEN</t>
        </is>
      </c>
      <c r="G2" s="2" t="inlineStr">
        <is>
          <t>2019-09-27</t>
        </is>
      </c>
      <c r="H2" s="2" t="inlineStr">
        <is>
          <t>Commission notice — Guidance on the interpretation and application of Council Directive 93/13/EEC on unfair terms in consumer contracts (Text with EEA relevance.)</t>
        </is>
      </c>
      <c r="I2" s="2" t="inlineStr">
        <is>
          <t>no</t>
        </is>
      </c>
      <c r="J2" s="2" t="inlineStr">
        <is>
          <t>https://eur-lex.europa.eu/legal-content/EN/TXT/?uri=CELEX:52019XC0927(01)</t>
        </is>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inlineStr">
        <is>
          <t>Guidance is non-binding: restriction counts mostly reflect obligations it restates</t>
        </is>
      </c>
    </row>
    <row r="3">
      <c r="A3" s="2" t="n">
        <v>5</v>
      </c>
      <c r="B3" s="2" t="inlineStr">
        <is>
          <t>Community Design Regulation</t>
        </is>
      </c>
      <c r="C3" s="2" t="inlineStr">
        <is>
          <t>32002R0006</t>
        </is>
      </c>
      <c r="D3" s="2" t="inlineStr">
        <is>
          <t>32002R2245</t>
        </is>
      </c>
      <c r="E3" s="2" t="inlineStr">
        <is>
          <t>other Commission/Council act</t>
        </is>
      </c>
      <c r="F3" s="2" t="inlineStr">
        <is>
          <t>REG</t>
        </is>
      </c>
      <c r="G3" s="2" t="inlineStr">
        <is>
          <t>2002-10-21</t>
        </is>
      </c>
      <c r="H3" s="2" t="inlineStr">
        <is>
          <t>Commission Regulation (EC) No 2245/2002 of 21 October 2002 implementing Council Regulation (EC) No 6/2002 on Community designs</t>
        </is>
      </c>
      <c r="I3" s="2" t="inlineStr">
        <is>
          <t>no</t>
        </is>
      </c>
      <c r="J3" s="2" t="inlineStr">
        <is>
          <t>https://eur-lex.europa.eu/legal-content/EN/TXT/?uri=CELEX:32002R2245</t>
        </is>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t="inlineStr"/>
    </row>
    <row r="4">
      <c r="A4" s="2" t="n">
        <v>5</v>
      </c>
      <c r="B4" s="2" t="inlineStr">
        <is>
          <t>Community Design Regulation</t>
        </is>
      </c>
      <c r="C4" s="2" t="inlineStr">
        <is>
          <t>32002R0006</t>
        </is>
      </c>
      <c r="D4" s="2" t="inlineStr">
        <is>
          <t>32002R2246</t>
        </is>
      </c>
      <c r="E4" s="2" t="inlineStr">
        <is>
          <t>other Commission/Council act</t>
        </is>
      </c>
      <c r="F4" s="2" t="inlineStr">
        <is>
          <t>REG</t>
        </is>
      </c>
      <c r="G4" s="2" t="inlineStr">
        <is>
          <t>2002-12-16</t>
        </is>
      </c>
      <c r="H4" s="2" t="inlineStr">
        <is>
          <t>Commission Regulation (EC) No 2246/2002 of 16 December 2002 on the fees payable to the Office for Harmonization in the Internal Market (Trade Marks and Designs) in respect of the registration of Community designs</t>
        </is>
      </c>
      <c r="I4" s="2" t="inlineStr">
        <is>
          <t>no</t>
        </is>
      </c>
      <c r="J4" s="2" t="inlineStr">
        <is>
          <t>https://eur-lex.europa.eu/legal-content/EN/TXT/?uri=CELEX:32002R2246</t>
        </is>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t="inlineStr"/>
    </row>
    <row r="5">
      <c r="A5" s="2" t="n">
        <v>5</v>
      </c>
      <c r="B5" s="2" t="inlineStr">
        <is>
          <t>Community Design Regulation</t>
        </is>
      </c>
      <c r="C5" s="2" t="inlineStr">
        <is>
          <t>32002R0006</t>
        </is>
      </c>
      <c r="D5" s="2" t="inlineStr">
        <is>
          <t>32007R0876</t>
        </is>
      </c>
      <c r="E5" s="2" t="inlineStr">
        <is>
          <t>other Commission/Council act</t>
        </is>
      </c>
      <c r="F5" s="2" t="inlineStr">
        <is>
          <t>REG</t>
        </is>
      </c>
      <c r="G5" s="2" t="inlineStr">
        <is>
          <t>2007-07-24</t>
        </is>
      </c>
      <c r="H5" s="2" t="inlineStr">
        <is>
          <t>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is>
      </c>
      <c r="I5" s="2" t="inlineStr">
        <is>
          <t>no</t>
        </is>
      </c>
      <c r="J5" s="2" t="inlineStr">
        <is>
          <t>https://eur-lex.europa.eu/legal-content/EN/TXT/?uri=CELEX:32007R0876</t>
        </is>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t="inlineStr"/>
    </row>
    <row r="6">
      <c r="A6" s="2" t="n">
        <v>5</v>
      </c>
      <c r="B6" s="2" t="inlineStr">
        <is>
          <t>Community Design Regulation</t>
        </is>
      </c>
      <c r="C6" s="2" t="inlineStr">
        <is>
          <t>32002R0006</t>
        </is>
      </c>
      <c r="D6" s="2" t="inlineStr">
        <is>
          <t>32007R0877</t>
        </is>
      </c>
      <c r="E6" s="2" t="inlineStr">
        <is>
          <t>other Commission/Council act</t>
        </is>
      </c>
      <c r="F6" s="2" t="inlineStr">
        <is>
          <t>REG</t>
        </is>
      </c>
      <c r="G6" s="2" t="inlineStr">
        <is>
          <t>2007-07-24</t>
        </is>
      </c>
      <c r="H6" s="2" t="inlineStr">
        <is>
          <t>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is>
      </c>
      <c r="I6" s="2" t="inlineStr">
        <is>
          <t>no</t>
        </is>
      </c>
      <c r="J6" s="2" t="inlineStr">
        <is>
          <t>https://eur-lex.europa.eu/legal-content/EN/TXT/?uri=CELEX:32007R0877</t>
        </is>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t="inlineStr"/>
    </row>
    <row r="7">
      <c r="A7" s="2" t="n">
        <v>5</v>
      </c>
      <c r="B7" s="2" t="inlineStr">
        <is>
          <t>Community Design Regulation</t>
        </is>
      </c>
      <c r="C7" s="2" t="inlineStr">
        <is>
          <t>32002R0006</t>
        </is>
      </c>
      <c r="D7" s="2" t="inlineStr">
        <is>
          <t>32025R0073</t>
        </is>
      </c>
      <c r="E7" s="2" t="inlineStr">
        <is>
          <t>implementing</t>
        </is>
      </c>
      <c r="F7" s="2" t="inlineStr">
        <is>
          <t>REG_IMPL</t>
        </is>
      </c>
      <c r="G7" s="2" t="inlineStr">
        <is>
          <t>2025-01-17</t>
        </is>
      </c>
      <c r="H7" s="2" t="inlineStr">
        <is>
          <t>Commission Implementing Regulation (EU) 2025/73 of 17 January 2025 amending Regulation (EC) No 2245/2002 implementing Council Regulation (EC) No 6/2002 on Community designs</t>
        </is>
      </c>
      <c r="I7" s="2" t="inlineStr">
        <is>
          <t>no</t>
        </is>
      </c>
      <c r="J7" s="2" t="inlineStr">
        <is>
          <t>https://eur-lex.europa.eu/legal-content/EN/TXT/?uri=CELEX:32025R0073</t>
        </is>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t="inlineStr"/>
    </row>
    <row r="8">
      <c r="A8" s="2" t="n">
        <v>5</v>
      </c>
      <c r="B8" s="2" t="inlineStr">
        <is>
          <t>Community Design Regulation</t>
        </is>
      </c>
      <c r="C8" s="2" t="inlineStr">
        <is>
          <t>32002R0006</t>
        </is>
      </c>
      <c r="D8" s="2" t="inlineStr">
        <is>
          <t>32026R0137</t>
        </is>
      </c>
      <c r="E8" s="2" t="inlineStr">
        <is>
          <t>delegated</t>
        </is>
      </c>
      <c r="F8" s="2" t="inlineStr">
        <is>
          <t>REG_DEL</t>
        </is>
      </c>
      <c r="G8" s="2" t="inlineStr">
        <is>
          <t>2026-01-15</t>
        </is>
      </c>
      <c r="H8" s="2" t="inlineStr">
        <is>
          <t>Commission Delegated Regulation (EU) 2026/137 of 15 January 2026 supplementing Council Regulation (EC) No 6/2002 on European Union designs with rules specifying the details of certain proceedings concerning registered designs, and repealing Commission Regulation (EC) No 2245/2002</t>
        </is>
      </c>
      <c r="I8" s="2" t="inlineStr">
        <is>
          <t>no</t>
        </is>
      </c>
      <c r="J8" s="2" t="inlineStr">
        <is>
          <t>https://eur-lex.europa.eu/legal-content/EN/TXT/?uri=CELEX:32026R0137</t>
        </is>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t="inlineStr"/>
    </row>
    <row r="9">
      <c r="A9" s="2" t="n">
        <v>5</v>
      </c>
      <c r="B9" s="2" t="inlineStr">
        <is>
          <t>Community Design Regulation</t>
        </is>
      </c>
      <c r="C9" s="2" t="inlineStr">
        <is>
          <t>32002R0006</t>
        </is>
      </c>
      <c r="D9" s="2" t="inlineStr">
        <is>
          <t>32026R0138</t>
        </is>
      </c>
      <c r="E9" s="2" t="inlineStr">
        <is>
          <t>implementing</t>
        </is>
      </c>
      <c r="F9" s="2" t="inlineStr">
        <is>
          <t>REG_IMPL</t>
        </is>
      </c>
      <c r="G9" s="2" t="inlineStr">
        <is>
          <t>2026-01-15</t>
        </is>
      </c>
      <c r="H9" s="2" t="inlineStr">
        <is>
          <t>Commission Implementing Regulation (EU) 2026/138 of 15 January 2026 laying down detailed rules for implementing certain provisions of Council Regulation (EC) No 6/2002 on European Union designs</t>
        </is>
      </c>
      <c r="I9" s="2" t="inlineStr">
        <is>
          <t>no</t>
        </is>
      </c>
      <c r="J9" s="2" t="inlineStr">
        <is>
          <t>https://eur-lex.europa.eu/legal-content/EN/TXT/?uri=CELEX:32026R0138</t>
        </is>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t="inlineStr"/>
    </row>
    <row r="10">
      <c r="A10" s="2" t="n">
        <v>6</v>
      </c>
      <c r="B10" s="2" t="inlineStr">
        <is>
          <t>Price Indication Directive</t>
        </is>
      </c>
      <c r="C10" s="2" t="inlineStr">
        <is>
          <t>31998L0006</t>
        </is>
      </c>
      <c r="D10" s="2" t="inlineStr">
        <is>
          <t>52021XC1229(06)</t>
        </is>
      </c>
      <c r="E10" s="2" t="inlineStr">
        <is>
          <t>guidance</t>
        </is>
      </c>
      <c r="F10" s="2" t="inlineStr">
        <is>
          <t>NOTICE</t>
        </is>
      </c>
      <c r="G10" s="2" t="inlineStr">
        <is>
          <t>2021-12-29</t>
        </is>
      </c>
      <c r="H10" s="2" t="inlineStr">
        <is>
          <t>Commission Notice – Guidance on the interpretation and application of Article 6a of Directive 98/6/EC of the European Parliament and of the Council on consumer protection in the indication of the prices of products offered to consumers (Text with EEA relevance)</t>
        </is>
      </c>
      <c r="I10" s="2" t="inlineStr">
        <is>
          <t>no</t>
        </is>
      </c>
      <c r="J10" s="2" t="inlineStr">
        <is>
          <t>https://eur-lex.europa.eu/legal-content/EN/TXT/?uri=CELEX:52021XC1229(06)</t>
        </is>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inlineStr">
        <is>
          <t>Guidance is non-binding: restriction counts mostly reflect obligations it restates</t>
        </is>
      </c>
    </row>
    <row r="11">
      <c r="A11" s="2" t="n">
        <v>9</v>
      </c>
      <c r="B11" s="2" t="inlineStr">
        <is>
          <t>ePrivacy Directive</t>
        </is>
      </c>
      <c r="C11" s="2" t="inlineStr">
        <is>
          <t>32002L0058</t>
        </is>
      </c>
      <c r="D11" s="2" t="inlineStr">
        <is>
          <t>32013R0611</t>
        </is>
      </c>
      <c r="E11" s="2" t="inlineStr">
        <is>
          <t>other Commission/Council act</t>
        </is>
      </c>
      <c r="F11" s="2" t="inlineStr">
        <is>
          <t>REG</t>
        </is>
      </c>
      <c r="G11" s="2" t="inlineStr">
        <is>
          <t>2013-06-24</t>
        </is>
      </c>
      <c r="H11" s="2" t="inlineStr">
        <is>
          <t>Commission Regulation (EU) No 611/2013 of 24 June 2013 on the measures applicable to the notification of personal data breaches under Directive 2002/58/EC of the European Parliament and of the Council on privacy and electronic communications</t>
        </is>
      </c>
      <c r="I11" s="2" t="inlineStr">
        <is>
          <t>no</t>
        </is>
      </c>
      <c r="J11" s="2" t="inlineStr">
        <is>
          <t>https://eur-lex.europa.eu/legal-content/EN/TXT/?uri=CELEX:32013R0611</t>
        </is>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t="inlineStr"/>
    </row>
    <row r="12">
      <c r="A12" s="2" t="n">
        <v>10</v>
      </c>
      <c r="B12" s="2" t="inlineStr">
        <is>
          <t>Radio Spectrum Decision</t>
        </is>
      </c>
      <c r="C12" s="2" t="inlineStr">
        <is>
          <t>32002D0676</t>
        </is>
      </c>
      <c r="D12" s="2" t="inlineStr">
        <is>
          <t>32011D0251</t>
        </is>
      </c>
      <c r="E12" s="2" t="inlineStr">
        <is>
          <t>implementing</t>
        </is>
      </c>
      <c r="F12" s="2" t="inlineStr">
        <is>
          <t>DEC_IMPL</t>
        </is>
      </c>
      <c r="G12" s="2" t="inlineStr">
        <is>
          <t>2011-04-18</t>
        </is>
      </c>
      <c r="H12" s="2" t="inlineStr">
        <is>
          <t>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is>
      </c>
      <c r="I12" s="2" t="inlineStr">
        <is>
          <t>no</t>
        </is>
      </c>
      <c r="J12" s="2" t="inlineStr">
        <is>
          <t>https://eur-lex.europa.eu/legal-content/EN/TXT/?uri=CELEX:32011D0251</t>
        </is>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t="inlineStr"/>
    </row>
    <row r="13">
      <c r="A13" s="2" t="n">
        <v>10</v>
      </c>
      <c r="B13" s="2" t="inlineStr">
        <is>
          <t>Radio Spectrum Decision</t>
        </is>
      </c>
      <c r="C13" s="2" t="inlineStr">
        <is>
          <t>32002D0676</t>
        </is>
      </c>
      <c r="D13" s="2" t="inlineStr">
        <is>
          <t>32011D0485</t>
        </is>
      </c>
      <c r="E13" s="2" t="inlineStr">
        <is>
          <t>implementing</t>
        </is>
      </c>
      <c r="F13" s="2" t="inlineStr">
        <is>
          <t>DEC_IMPL</t>
        </is>
      </c>
      <c r="G13" s="2" t="inlineStr">
        <is>
          <t>2011-07-29</t>
        </is>
      </c>
      <c r="H13" s="2" t="inlineStr">
        <is>
          <t>Commission Implementing Decision of 29 July 2011 amending Decision 2005/50/EC on the harmonisation of the 24 GHz range radio spectrum band for the time-limited use by automotive short-range radar equipment in the Community (notified under document C(2011) 5444) Text with EEA relevance</t>
        </is>
      </c>
      <c r="I13" s="2" t="inlineStr">
        <is>
          <t>no</t>
        </is>
      </c>
      <c r="J13" s="2" t="inlineStr">
        <is>
          <t>https://eur-lex.europa.eu/legal-content/EN/TXT/?uri=CELEX:32011D0485</t>
        </is>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t="inlineStr"/>
    </row>
    <row r="14">
      <c r="A14" s="2" t="n">
        <v>10</v>
      </c>
      <c r="B14" s="2" t="inlineStr">
        <is>
          <t>Radio Spectrum Decision</t>
        </is>
      </c>
      <c r="C14" s="2" t="inlineStr">
        <is>
          <t>32002D0676</t>
        </is>
      </c>
      <c r="D14" s="2" t="inlineStr">
        <is>
          <t>32011D0829</t>
        </is>
      </c>
      <c r="E14" s="2" t="inlineStr">
        <is>
          <t>implementing</t>
        </is>
      </c>
      <c r="F14" s="2" t="inlineStr">
        <is>
          <t>DEC_IMPL</t>
        </is>
      </c>
      <c r="G14" s="2" t="inlineStr">
        <is>
          <t>2011-12-08</t>
        </is>
      </c>
      <c r="H14" s="2" t="inlineStr">
        <is>
          <t>2011/829/EU: Commission Implementing Decision of 8 December 2011 amending Decision 2006/771/EC on harmonisation of the radio spectrum for use by short-range devices (notified under document C(2011) 9030)  Text with EEA relevance</t>
        </is>
      </c>
      <c r="I14" s="2" t="inlineStr">
        <is>
          <t>no</t>
        </is>
      </c>
      <c r="J14" s="2" t="inlineStr">
        <is>
          <t>https://eur-lex.europa.eu/legal-content/EN/TXT/?uri=CELEX:32011D0829</t>
        </is>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t="inlineStr"/>
    </row>
    <row r="15">
      <c r="A15" s="2" t="n">
        <v>10</v>
      </c>
      <c r="B15" s="2" t="inlineStr">
        <is>
          <t>Radio Spectrum Decision</t>
        </is>
      </c>
      <c r="C15" s="2" t="inlineStr">
        <is>
          <t>32002D0676</t>
        </is>
      </c>
      <c r="D15" s="2" t="inlineStr">
        <is>
          <t>32012D0688</t>
        </is>
      </c>
      <c r="E15" s="2" t="inlineStr">
        <is>
          <t>implementing</t>
        </is>
      </c>
      <c r="F15" s="2" t="inlineStr">
        <is>
          <t>DEC_IMPL</t>
        </is>
      </c>
      <c r="G15" s="2" t="inlineStr">
        <is>
          <t>2012-11-05</t>
        </is>
      </c>
      <c r="H15" s="2" t="inlineStr">
        <is>
          <t>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is>
      </c>
      <c r="I15" s="2" t="inlineStr">
        <is>
          <t>no</t>
        </is>
      </c>
      <c r="J15" s="2" t="inlineStr">
        <is>
          <t>https://eur-lex.europa.eu/legal-content/EN/TXT/?uri=CELEX:32012D0688</t>
        </is>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t="inlineStr"/>
    </row>
    <row r="16">
      <c r="A16" s="2" t="n">
        <v>10</v>
      </c>
      <c r="B16" s="2" t="inlineStr">
        <is>
          <t>Radio Spectrum Decision</t>
        </is>
      </c>
      <c r="C16" s="2" t="inlineStr">
        <is>
          <t>32002D0676</t>
        </is>
      </c>
      <c r="D16" s="2" t="inlineStr">
        <is>
          <t>32013D0654</t>
        </is>
      </c>
      <c r="E16" s="2" t="inlineStr">
        <is>
          <t>implementing</t>
        </is>
      </c>
      <c r="F16" s="2" t="inlineStr">
        <is>
          <t>DEC_IMPL</t>
        </is>
      </c>
      <c r="G16" s="2" t="inlineStr">
        <is>
          <t>2013-11-12</t>
        </is>
      </c>
      <c r="H16" s="2" t="inlineStr">
        <is>
          <t>2013/654/EU: Commission Implementing Decision of 12 November 2013 amending Decision 2008/294/EC to include additional access technologies and frequency bands for mobile communications services on aircraft (MCA services) (notified under document C(2013) 7491)  Text with EEA relevance</t>
        </is>
      </c>
      <c r="I16" s="2" t="inlineStr">
        <is>
          <t>no</t>
        </is>
      </c>
      <c r="J16" s="2" t="inlineStr">
        <is>
          <t>https://eur-lex.europa.eu/legal-content/EN/TXT/?uri=CELEX:32013D0654</t>
        </is>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t="inlineStr"/>
    </row>
    <row r="17">
      <c r="A17" s="2" t="n">
        <v>10</v>
      </c>
      <c r="B17" s="2" t="inlineStr">
        <is>
          <t>Radio Spectrum Decision</t>
        </is>
      </c>
      <c r="C17" s="2" t="inlineStr">
        <is>
          <t>32002D0676</t>
        </is>
      </c>
      <c r="D17" s="2" t="inlineStr">
        <is>
          <t>32013D0752</t>
        </is>
      </c>
      <c r="E17" s="2" t="inlineStr">
        <is>
          <t>implementing</t>
        </is>
      </c>
      <c r="F17" s="2" t="inlineStr">
        <is>
          <t>DEC_IMPL</t>
        </is>
      </c>
      <c r="G17" s="2" t="inlineStr">
        <is>
          <t>2013-12-11</t>
        </is>
      </c>
      <c r="H17" s="2" t="inlineStr">
        <is>
          <t>2013/752/EU: Commission Implementing Decision of 11 December 2013 amending Decision 2006/771/EC on harmonisation of the radio spectrum for use by short-range devices and repealing Decision 2005/928/EC (notified under document C(2013) 8776)  Text with EEA relevance</t>
        </is>
      </c>
      <c r="I17" s="2" t="inlineStr">
        <is>
          <t>no</t>
        </is>
      </c>
      <c r="J17" s="2" t="inlineStr">
        <is>
          <t>https://eur-lex.europa.eu/legal-content/EN/TXT/?uri=CELEX:32013D0752</t>
        </is>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t="inlineStr"/>
    </row>
    <row r="18">
      <c r="A18" s="2" t="n">
        <v>10</v>
      </c>
      <c r="B18" s="2" t="inlineStr">
        <is>
          <t>Radio Spectrum Decision</t>
        </is>
      </c>
      <c r="C18" s="2" t="inlineStr">
        <is>
          <t>32002D0676</t>
        </is>
      </c>
      <c r="D18" s="2" t="inlineStr">
        <is>
          <t>32014D0276</t>
        </is>
      </c>
      <c r="E18" s="2" t="inlineStr">
        <is>
          <t>implementing</t>
        </is>
      </c>
      <c r="F18" s="2" t="inlineStr">
        <is>
          <t>DEC_IMPL</t>
        </is>
      </c>
      <c r="G18" s="2" t="inlineStr">
        <is>
          <t>2014-05-02</t>
        </is>
      </c>
      <c r="H18" s="2" t="inlineStr">
        <is>
          <t>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is>
      </c>
      <c r="I18" s="2" t="inlineStr">
        <is>
          <t>no</t>
        </is>
      </c>
      <c r="J18" s="2" t="inlineStr">
        <is>
          <t>https://eur-lex.europa.eu/legal-content/EN/TXT/?uri=CELEX:32014D0276</t>
        </is>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t="inlineStr"/>
    </row>
    <row r="19">
      <c r="A19" s="2" t="n">
        <v>10</v>
      </c>
      <c r="B19" s="2" t="inlineStr">
        <is>
          <t>Radio Spectrum Decision</t>
        </is>
      </c>
      <c r="C19" s="2" t="inlineStr">
        <is>
          <t>32002D0676</t>
        </is>
      </c>
      <c r="D19" s="2" t="inlineStr">
        <is>
          <t>32014D0641</t>
        </is>
      </c>
      <c r="E19" s="2" t="inlineStr">
        <is>
          <t>implementing</t>
        </is>
      </c>
      <c r="F19" s="2" t="inlineStr">
        <is>
          <t>DEC_IMPL</t>
        </is>
      </c>
      <c r="G19" s="2" t="inlineStr">
        <is>
          <t>2014-09-01</t>
        </is>
      </c>
      <c r="H19" s="2" t="inlineStr">
        <is>
          <t>2014/641/EU: Commission Implementing Decision of 1 September 2014 on harmonised technical conditions of radio spectrum use by wireless audio programme making and special events equipment in the Union (notified under document C(2014) 6011)  Text with EEA relevance</t>
        </is>
      </c>
      <c r="I19" s="2" t="inlineStr">
        <is>
          <t>no</t>
        </is>
      </c>
      <c r="J19" s="2" t="inlineStr">
        <is>
          <t>https://eur-lex.europa.eu/legal-content/EN/TXT/?uri=CELEX:32014D0641</t>
        </is>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t="inlineStr"/>
    </row>
    <row r="20">
      <c r="A20" s="2" t="n">
        <v>10</v>
      </c>
      <c r="B20" s="2" t="inlineStr">
        <is>
          <t>Radio Spectrum Decision</t>
        </is>
      </c>
      <c r="C20" s="2" t="inlineStr">
        <is>
          <t>32002D0676</t>
        </is>
      </c>
      <c r="D20" s="2" t="inlineStr">
        <is>
          <t>32014D0702</t>
        </is>
      </c>
      <c r="E20" s="2" t="inlineStr">
        <is>
          <t>implementing</t>
        </is>
      </c>
      <c r="F20" s="2" t="inlineStr">
        <is>
          <t>DEC_IMPL</t>
        </is>
      </c>
      <c r="G20" s="2" t="inlineStr">
        <is>
          <t>2014-10-07</t>
        </is>
      </c>
      <c r="H20" s="2" t="inlineStr">
        <is>
          <t>2014/702/EU: Commission Implementing Decision of 7 October 2014 amending Decision 2007/131/EC on allowing the use of the radio spectrum for equipment using ultra-wideband technology in a harmonised manner in the Community (notified under document C(2014) 7083)</t>
        </is>
      </c>
      <c r="I20" s="2" t="inlineStr">
        <is>
          <t>no</t>
        </is>
      </c>
      <c r="J20" s="2" t="inlineStr">
        <is>
          <t>https://eur-lex.europa.eu/legal-content/EN/TXT/?uri=CELEX:32014D0702</t>
        </is>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t="inlineStr"/>
    </row>
    <row r="21">
      <c r="A21" s="2" t="n">
        <v>10</v>
      </c>
      <c r="B21" s="2" t="inlineStr">
        <is>
          <t>Radio Spectrum Decision</t>
        </is>
      </c>
      <c r="C21" s="2" t="inlineStr">
        <is>
          <t>32002D0676</t>
        </is>
      </c>
      <c r="D21" s="2" t="inlineStr">
        <is>
          <t>32015D0750</t>
        </is>
      </c>
      <c r="E21" s="2" t="inlineStr">
        <is>
          <t>implementing</t>
        </is>
      </c>
      <c r="F21" s="2" t="inlineStr">
        <is>
          <t>DEC_IMPL</t>
        </is>
      </c>
      <c r="G21" s="2" t="inlineStr">
        <is>
          <t>2015-05-08</t>
        </is>
      </c>
      <c r="H21" s="2" t="inlineStr">
        <is>
          <t>Commission Implementing Decision (EU) 2015/750 of 8 May 2015 on the harmonisation of the 1452-1492 MHz frequency band for terrestrial systems capable of providing electronic communications services in the Union (notified under document C(2015) 3061) (Text with EEA relevance)</t>
        </is>
      </c>
      <c r="I21" s="2" t="inlineStr">
        <is>
          <t>no</t>
        </is>
      </c>
      <c r="J21" s="2" t="inlineStr">
        <is>
          <t>https://eur-lex.europa.eu/legal-content/EN/TXT/?uri=CELEX:32015D0750</t>
        </is>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t="inlineStr"/>
    </row>
    <row r="22">
      <c r="A22" s="2" t="n">
        <v>10</v>
      </c>
      <c r="B22" s="2" t="inlineStr">
        <is>
          <t>Radio Spectrum Decision</t>
        </is>
      </c>
      <c r="C22" s="2" t="inlineStr">
        <is>
          <t>32002D0676</t>
        </is>
      </c>
      <c r="D22" s="2" t="inlineStr">
        <is>
          <t>32016D0339</t>
        </is>
      </c>
      <c r="E22" s="2" t="inlineStr">
        <is>
          <t>implementing</t>
        </is>
      </c>
      <c r="F22" s="2" t="inlineStr">
        <is>
          <t>DEC_IMPL</t>
        </is>
      </c>
      <c r="G22" s="2" t="inlineStr">
        <is>
          <t>2016-03-08</t>
        </is>
      </c>
      <c r="H22" s="2" t="inlineStr">
        <is>
          <t>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is>
      </c>
      <c r="I22" s="2" t="inlineStr">
        <is>
          <t>no</t>
        </is>
      </c>
      <c r="J22" s="2" t="inlineStr">
        <is>
          <t>https://eur-lex.europa.eu/legal-content/EN/TXT/?uri=CELEX:32016D0339</t>
        </is>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t="inlineStr"/>
    </row>
    <row r="23">
      <c r="A23" s="2" t="n">
        <v>10</v>
      </c>
      <c r="B23" s="2" t="inlineStr">
        <is>
          <t>Radio Spectrum Decision</t>
        </is>
      </c>
      <c r="C23" s="2" t="inlineStr">
        <is>
          <t>32002D0676</t>
        </is>
      </c>
      <c r="D23" s="2" t="inlineStr">
        <is>
          <t>32016D0687</t>
        </is>
      </c>
      <c r="E23" s="2" t="inlineStr">
        <is>
          <t>implementing</t>
        </is>
      </c>
      <c r="F23" s="2" t="inlineStr">
        <is>
          <t>DEC_IMPL</t>
        </is>
      </c>
      <c r="G23" s="2" t="inlineStr">
        <is>
          <t>2016-04-28</t>
        </is>
      </c>
      <c r="H23" s="2" t="inlineStr">
        <is>
          <t>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is>
      </c>
      <c r="I23" s="2" t="inlineStr">
        <is>
          <t>no</t>
        </is>
      </c>
      <c r="J23" s="2" t="inlineStr">
        <is>
          <t>https://eur-lex.europa.eu/legal-content/EN/TXT/?uri=CELEX:32016D0687</t>
        </is>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t="inlineStr"/>
    </row>
    <row r="24">
      <c r="A24" s="2" t="n">
        <v>10</v>
      </c>
      <c r="B24" s="2" t="inlineStr">
        <is>
          <t>Radio Spectrum Decision</t>
        </is>
      </c>
      <c r="C24" s="2" t="inlineStr">
        <is>
          <t>32002D0676</t>
        </is>
      </c>
      <c r="D24" s="2" t="inlineStr">
        <is>
          <t>32016D2317</t>
        </is>
      </c>
      <c r="E24" s="2" t="inlineStr">
        <is>
          <t>implementing</t>
        </is>
      </c>
      <c r="F24" s="2" t="inlineStr">
        <is>
          <t>DEC_IMPL</t>
        </is>
      </c>
      <c r="G24" s="2" t="inlineStr">
        <is>
          <t>2016-12-16</t>
        </is>
      </c>
      <c r="H24" s="2" t="inlineStr">
        <is>
          <t>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is>
      </c>
      <c r="I24" s="2" t="inlineStr">
        <is>
          <t>no</t>
        </is>
      </c>
      <c r="J24" s="2" t="inlineStr">
        <is>
          <t>https://eur-lex.europa.eu/legal-content/EN/TXT/?uri=CELEX:32016D2317</t>
        </is>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t="inlineStr"/>
    </row>
    <row r="25">
      <c r="A25" s="2" t="n">
        <v>10</v>
      </c>
      <c r="B25" s="2" t="inlineStr">
        <is>
          <t>Radio Spectrum Decision</t>
        </is>
      </c>
      <c r="C25" s="2" t="inlineStr">
        <is>
          <t>32002D0676</t>
        </is>
      </c>
      <c r="D25" s="2" t="inlineStr">
        <is>
          <t>32017D0191</t>
        </is>
      </c>
      <c r="E25" s="2" t="inlineStr">
        <is>
          <t>implementing</t>
        </is>
      </c>
      <c r="F25" s="2" t="inlineStr">
        <is>
          <t>DEC_IMPL</t>
        </is>
      </c>
      <c r="G25" s="2" t="inlineStr">
        <is>
          <t>2017-02-01</t>
        </is>
      </c>
      <c r="H25" s="2" t="inlineStr">
        <is>
          <t>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is>
      </c>
      <c r="I25" s="2" t="inlineStr">
        <is>
          <t>no</t>
        </is>
      </c>
      <c r="J25" s="2" t="inlineStr">
        <is>
          <t>https://eur-lex.europa.eu/legal-content/EN/TXT/?uri=CELEX:32017D0191</t>
        </is>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t="inlineStr"/>
    </row>
    <row r="26">
      <c r="A26" s="2" t="n">
        <v>10</v>
      </c>
      <c r="B26" s="2" t="inlineStr">
        <is>
          <t>Radio Spectrum Decision</t>
        </is>
      </c>
      <c r="C26" s="2" t="inlineStr">
        <is>
          <t>32002D0676</t>
        </is>
      </c>
      <c r="D26" s="2" t="inlineStr">
        <is>
          <t>32017D1438</t>
        </is>
      </c>
      <c r="E26" s="2" t="inlineStr">
        <is>
          <t>implementing</t>
        </is>
      </c>
      <c r="F26" s="2" t="inlineStr">
        <is>
          <t>DEC_IMPL</t>
        </is>
      </c>
      <c r="G26" s="2" t="inlineStr">
        <is>
          <t>2017-08-04</t>
        </is>
      </c>
      <c r="H26" s="2" t="inlineStr">
        <is>
          <t>Commission Implementing Decision (EU) 2017/1438 of 4 August 2017 amending Decision 2007/131/EC on allowing the use of the radio spectrum for equipment using ultra-wideband technology in a harmonised manner in the Community (notified under document C(2017) 5456) (Text with EEA relevance. )</t>
        </is>
      </c>
      <c r="I26" s="2" t="inlineStr">
        <is>
          <t>no</t>
        </is>
      </c>
      <c r="J26" s="2" t="inlineStr">
        <is>
          <t>https://eur-lex.europa.eu/legal-content/EN/TXT/?uri=CELEX:32017D1438</t>
        </is>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t="inlineStr"/>
    </row>
    <row r="27">
      <c r="A27" s="2" t="n">
        <v>10</v>
      </c>
      <c r="B27" s="2" t="inlineStr">
        <is>
          <t>Radio Spectrum Decision</t>
        </is>
      </c>
      <c r="C27" s="2" t="inlineStr">
        <is>
          <t>32002D0676</t>
        </is>
      </c>
      <c r="D27" s="2" t="inlineStr">
        <is>
          <t>32017D1483</t>
        </is>
      </c>
      <c r="E27" s="2" t="inlineStr">
        <is>
          <t>implementing</t>
        </is>
      </c>
      <c r="F27" s="2" t="inlineStr">
        <is>
          <t>DEC_IMPL</t>
        </is>
      </c>
      <c r="G27" s="2" t="inlineStr">
        <is>
          <t>2017-08-08</t>
        </is>
      </c>
      <c r="H27" s="2" t="inlineStr">
        <is>
          <t>Commission Implementing Decision (EU) 2017/1483 of 8 August 2017 amending Decision 2006/771/EC on harmonisation of the radio spectrum for use by short-range devices and repealing Decision 2006/804/EC (notified under document C(2017) 5464) (Text with EEA relevance. )</t>
        </is>
      </c>
      <c r="I27" s="2" t="inlineStr">
        <is>
          <t>no</t>
        </is>
      </c>
      <c r="J27" s="2" t="inlineStr">
        <is>
          <t>https://eur-lex.europa.eu/legal-content/EN/TXT/?uri=CELEX:32017D1483</t>
        </is>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t="inlineStr"/>
    </row>
    <row r="28">
      <c r="A28" s="2" t="n">
        <v>10</v>
      </c>
      <c r="B28" s="2" t="inlineStr">
        <is>
          <t>Radio Spectrum Decision</t>
        </is>
      </c>
      <c r="C28" s="2" t="inlineStr">
        <is>
          <t>32002D0676</t>
        </is>
      </c>
      <c r="D28" s="2" t="inlineStr">
        <is>
          <t>32017D2077</t>
        </is>
      </c>
      <c r="E28" s="2" t="inlineStr">
        <is>
          <t>implementing</t>
        </is>
      </c>
      <c r="F28" s="2" t="inlineStr">
        <is>
          <t>DEC_IMPL</t>
        </is>
      </c>
      <c r="G28" s="2" t="inlineStr">
        <is>
          <t>2017-11-10</t>
        </is>
      </c>
      <c r="H28" s="2" t="inlineStr">
        <is>
          <t>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is>
      </c>
      <c r="I28" s="2" t="inlineStr">
        <is>
          <t>no</t>
        </is>
      </c>
      <c r="J28" s="2" t="inlineStr">
        <is>
          <t>https://eur-lex.europa.eu/legal-content/EN/TXT/?uri=CELEX:32017D2077</t>
        </is>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t="inlineStr"/>
    </row>
    <row r="29">
      <c r="A29" s="2" t="n">
        <v>10</v>
      </c>
      <c r="B29" s="2" t="inlineStr">
        <is>
          <t>Radio Spectrum Decision</t>
        </is>
      </c>
      <c r="C29" s="2" t="inlineStr">
        <is>
          <t>32002D0676</t>
        </is>
      </c>
      <c r="D29" s="2" t="inlineStr">
        <is>
          <t>32018D0637</t>
        </is>
      </c>
      <c r="E29" s="2" t="inlineStr">
        <is>
          <t>implementing</t>
        </is>
      </c>
      <c r="F29" s="2" t="inlineStr">
        <is>
          <t>DEC_IMPL</t>
        </is>
      </c>
      <c r="G29" s="2" t="inlineStr">
        <is>
          <t>2018-04-20</t>
        </is>
      </c>
      <c r="H29" s="2" t="inlineStr">
        <is>
          <t>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is>
      </c>
      <c r="I29" s="2" t="inlineStr">
        <is>
          <t>no</t>
        </is>
      </c>
      <c r="J29" s="2" t="inlineStr">
        <is>
          <t>https://eur-lex.europa.eu/legal-content/EN/TXT/?uri=CELEX:32018D0637</t>
        </is>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t="inlineStr"/>
    </row>
    <row r="30">
      <c r="A30" s="2" t="n">
        <v>10</v>
      </c>
      <c r="B30" s="2" t="inlineStr">
        <is>
          <t>Radio Spectrum Decision</t>
        </is>
      </c>
      <c r="C30" s="2" t="inlineStr">
        <is>
          <t>32002D0676</t>
        </is>
      </c>
      <c r="D30" s="2" t="inlineStr">
        <is>
          <t>32018D0661</t>
        </is>
      </c>
      <c r="E30" s="2" t="inlineStr">
        <is>
          <t>implementing</t>
        </is>
      </c>
      <c r="F30" s="2" t="inlineStr">
        <is>
          <t>DEC_IMPL</t>
        </is>
      </c>
      <c r="G30" s="2" t="inlineStr">
        <is>
          <t>2018-04-26</t>
        </is>
      </c>
      <c r="H30" s="2" t="inlineStr">
        <is>
          <t>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is>
      </c>
      <c r="I30" s="2" t="inlineStr">
        <is>
          <t>no</t>
        </is>
      </c>
      <c r="J30" s="2" t="inlineStr">
        <is>
          <t>https://eur-lex.europa.eu/legal-content/EN/TXT/?uri=CELEX:32018D0661</t>
        </is>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t="inlineStr"/>
    </row>
    <row r="31">
      <c r="A31" s="2" t="n">
        <v>10</v>
      </c>
      <c r="B31" s="2" t="inlineStr">
        <is>
          <t>Radio Spectrum Decision</t>
        </is>
      </c>
      <c r="C31" s="2" t="inlineStr">
        <is>
          <t>32002D0676</t>
        </is>
      </c>
      <c r="D31" s="2" t="inlineStr">
        <is>
          <t>32018D1538</t>
        </is>
      </c>
      <c r="E31" s="2" t="inlineStr">
        <is>
          <t>implementing</t>
        </is>
      </c>
      <c r="F31" s="2" t="inlineStr">
        <is>
          <t>DEC_IMPL</t>
        </is>
      </c>
      <c r="G31" s="2" t="inlineStr">
        <is>
          <t>2018-10-11</t>
        </is>
      </c>
      <c r="H31" s="2" t="inlineStr">
        <is>
          <t>Commission Implementing Decision (EU) 2018/1538 of 11 October 2018 on the harmonisation of radio spectrum for use by short-range devices within the 874-876 and 915-921 MHz frequency bands (notified under document C(2018) 6535) (Text with EEA relevance.)</t>
        </is>
      </c>
      <c r="I31" s="2" t="inlineStr">
        <is>
          <t>no</t>
        </is>
      </c>
      <c r="J31" s="2" t="inlineStr">
        <is>
          <t>https://eur-lex.europa.eu/legal-content/EN/TXT/?uri=CELEX:32018D1538</t>
        </is>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t="inlineStr"/>
    </row>
    <row r="32">
      <c r="A32" s="2" t="n">
        <v>10</v>
      </c>
      <c r="B32" s="2" t="inlineStr">
        <is>
          <t>Radio Spectrum Decision</t>
        </is>
      </c>
      <c r="C32" s="2" t="inlineStr">
        <is>
          <t>32002D0676</t>
        </is>
      </c>
      <c r="D32" s="2" t="inlineStr">
        <is>
          <t>32019D0235</t>
        </is>
      </c>
      <c r="E32" s="2" t="inlineStr">
        <is>
          <t>implementing</t>
        </is>
      </c>
      <c r="F32" s="2" t="inlineStr">
        <is>
          <t>DEC_IMPL</t>
        </is>
      </c>
      <c r="G32" s="2" t="inlineStr">
        <is>
          <t>2019-01-24</t>
        </is>
      </c>
      <c r="H32" s="2" t="inlineStr">
        <is>
          <t>Commission Implementing Decision (EU) 2019/235 of 24 January 2019 on amending Decision 2008/411/EC as regards an update of relevant technical conditions applicable to the 3400-3800 MHz frequency band (notified under document C(2019) 262) (Text with EEA relevance.)</t>
        </is>
      </c>
      <c r="I32" s="2" t="inlineStr">
        <is>
          <t>no</t>
        </is>
      </c>
      <c r="J32" s="2" t="inlineStr">
        <is>
          <t>https://eur-lex.europa.eu/legal-content/EN/TXT/?uri=CELEX:32019D0235</t>
        </is>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t="inlineStr"/>
    </row>
    <row r="33">
      <c r="A33" s="2" t="n">
        <v>10</v>
      </c>
      <c r="B33" s="2" t="inlineStr">
        <is>
          <t>Radio Spectrum Decision</t>
        </is>
      </c>
      <c r="C33" s="2" t="inlineStr">
        <is>
          <t>32002D0676</t>
        </is>
      </c>
      <c r="D33" s="2" t="inlineStr">
        <is>
          <t>32019D0784</t>
        </is>
      </c>
      <c r="E33" s="2" t="inlineStr">
        <is>
          <t>implementing</t>
        </is>
      </c>
      <c r="F33" s="2" t="inlineStr">
        <is>
          <t>DEC_IMPL</t>
        </is>
      </c>
      <c r="G33" s="2" t="inlineStr">
        <is>
          <t>2019-05-14</t>
        </is>
      </c>
      <c r="H33" s="2" t="inlineStr">
        <is>
          <t>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is>
      </c>
      <c r="I33" s="2" t="inlineStr">
        <is>
          <t>no</t>
        </is>
      </c>
      <c r="J33" s="2" t="inlineStr">
        <is>
          <t>https://eur-lex.europa.eu/legal-content/EN/TXT/?uri=CELEX:32019D0784</t>
        </is>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t="inlineStr"/>
    </row>
    <row r="34">
      <c r="A34" s="2" t="n">
        <v>10</v>
      </c>
      <c r="B34" s="2" t="inlineStr">
        <is>
          <t>Radio Spectrum Decision</t>
        </is>
      </c>
      <c r="C34" s="2" t="inlineStr">
        <is>
          <t>32002D0676</t>
        </is>
      </c>
      <c r="D34" s="2" t="inlineStr">
        <is>
          <t>32019D0785</t>
        </is>
      </c>
      <c r="E34" s="2" t="inlineStr">
        <is>
          <t>implementing</t>
        </is>
      </c>
      <c r="F34" s="2" t="inlineStr">
        <is>
          <t>DEC_IMPL</t>
        </is>
      </c>
      <c r="G34" s="2" t="inlineStr">
        <is>
          <t>2019-05-14</t>
        </is>
      </c>
      <c r="H34" s="2" t="inlineStr">
        <is>
          <t>Commission Implementing Decision (EU) 2019/785 of 14 May 2019 on the harmonisation of radio spectrum for equipment using ultra-wideband technology in the Union and repealing Decision 2007/131/EC (notified under document C(2019) 3461) (Text with EEA relevance.)</t>
        </is>
      </c>
      <c r="I34" s="2" t="inlineStr">
        <is>
          <t>no</t>
        </is>
      </c>
      <c r="J34" s="2" t="inlineStr">
        <is>
          <t>https://eur-lex.europa.eu/legal-content/EN/TXT/?uri=CELEX:32019D0785</t>
        </is>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t="inlineStr"/>
    </row>
    <row r="35">
      <c r="A35" s="2" t="n">
        <v>10</v>
      </c>
      <c r="B35" s="2" t="inlineStr">
        <is>
          <t>Radio Spectrum Decision</t>
        </is>
      </c>
      <c r="C35" s="2" t="inlineStr">
        <is>
          <t>32002D0676</t>
        </is>
      </c>
      <c r="D35" s="2" t="inlineStr">
        <is>
          <t>32019D1345</t>
        </is>
      </c>
      <c r="E35" s="2" t="inlineStr">
        <is>
          <t>implementing</t>
        </is>
      </c>
      <c r="F35" s="2" t="inlineStr">
        <is>
          <t>DEC_IMPL</t>
        </is>
      </c>
      <c r="G35" s="2" t="inlineStr">
        <is>
          <t>2019-08-02</t>
        </is>
      </c>
      <c r="H35" s="2" t="inlineStr">
        <is>
          <t>Commission Implementing Decision (EU) 2019/1345 of 2 August 2019 amending Decision 2006/771/EC updating harmonised technical conditions in the area of radio spectrum use for short-range devices (notified under document C(2019) 5660) (Text with EEA relevance.)</t>
        </is>
      </c>
      <c r="I35" s="2" t="inlineStr">
        <is>
          <t>no</t>
        </is>
      </c>
      <c r="J35" s="2" t="inlineStr">
        <is>
          <t>https://eur-lex.europa.eu/legal-content/EN/TXT/?uri=CELEX:32019D1345</t>
        </is>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t="inlineStr"/>
    </row>
    <row r="36">
      <c r="A36" s="2" t="n">
        <v>10</v>
      </c>
      <c r="B36" s="2" t="inlineStr">
        <is>
          <t>Radio Spectrum Decision</t>
        </is>
      </c>
      <c r="C36" s="2" t="inlineStr">
        <is>
          <t>32002D0676</t>
        </is>
      </c>
      <c r="D36" s="2" t="inlineStr">
        <is>
          <t>32020D0590</t>
        </is>
      </c>
      <c r="E36" s="2" t="inlineStr">
        <is>
          <t>implementing</t>
        </is>
      </c>
      <c r="F36" s="2" t="inlineStr">
        <is>
          <t>DEC_IMPL</t>
        </is>
      </c>
      <c r="G36" s="2" t="inlineStr">
        <is>
          <t>2020-04-24</t>
        </is>
      </c>
      <c r="H36" s="2" t="inlineStr">
        <is>
          <t>Commission Implementing Decision (EU) 2020/590 of 24 April 2020 amending Decision (EU) 2019/784 as regards an update of relevant technical conditions applicable to the 24,25-27,5 GHz frequency band (notified under document C(2020) 2542) (Text with EEA relevance)</t>
        </is>
      </c>
      <c r="I36" s="2" t="inlineStr">
        <is>
          <t>no</t>
        </is>
      </c>
      <c r="J36" s="2" t="inlineStr">
        <is>
          <t>https://eur-lex.europa.eu/legal-content/EN/TXT/?uri=CELEX:32020D0590</t>
        </is>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t="inlineStr"/>
    </row>
    <row r="37">
      <c r="A37" s="2" t="n">
        <v>10</v>
      </c>
      <c r="B37" s="2" t="inlineStr">
        <is>
          <t>Radio Spectrum Decision</t>
        </is>
      </c>
      <c r="C37" s="2" t="inlineStr">
        <is>
          <t>32002D0676</t>
        </is>
      </c>
      <c r="D37" s="2" t="inlineStr">
        <is>
          <t>32020D0667</t>
        </is>
      </c>
      <c r="E37" s="2" t="inlineStr">
        <is>
          <t>implementing</t>
        </is>
      </c>
      <c r="F37" s="2" t="inlineStr">
        <is>
          <t>DEC_IMPL</t>
        </is>
      </c>
      <c r="G37" s="2" t="inlineStr">
        <is>
          <t>2020-05-06</t>
        </is>
      </c>
      <c r="H37" s="2" t="inlineStr">
        <is>
          <t>Commission Implementing Decision (EU) 2020/667 of 6 May 2020 amending Decision 2012/688/EU as regards an update of relevant technical conditions applicable to the frequency bands 1 920-1 980 MHz and 2 110-2 170 MHz (notified under document C(2020) 2816) (Text with EEA relevance)</t>
        </is>
      </c>
      <c r="I37" s="2" t="inlineStr">
        <is>
          <t>no</t>
        </is>
      </c>
      <c r="J37" s="2" t="inlineStr">
        <is>
          <t>https://eur-lex.europa.eu/legal-content/EN/TXT/?uri=CELEX:32020D0667</t>
        </is>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t="inlineStr"/>
    </row>
    <row r="38">
      <c r="A38" s="2" t="n">
        <v>10</v>
      </c>
      <c r="B38" s="2" t="inlineStr">
        <is>
          <t>Radio Spectrum Decision</t>
        </is>
      </c>
      <c r="C38" s="2" t="inlineStr">
        <is>
          <t>32002D0676</t>
        </is>
      </c>
      <c r="D38" s="2" t="inlineStr">
        <is>
          <t>32020D0636</t>
        </is>
      </c>
      <c r="E38" s="2" t="inlineStr">
        <is>
          <t>implementing</t>
        </is>
      </c>
      <c r="F38" s="2" t="inlineStr">
        <is>
          <t>DEC_IMPL</t>
        </is>
      </c>
      <c r="G38" s="2" t="inlineStr">
        <is>
          <t>2020-05-08</t>
        </is>
      </c>
      <c r="H38" s="2" t="inlineStr">
        <is>
          <t>Commission Implementing Decision (EU) 2020/636 of 8 May 2020 amending Decision 2008/477/EC as regards an update of relevant technical conditions applicable to the 2 500–2 690 MHz frequency band (notified under document C(2020) 2831) (Text with EEA relevance)</t>
        </is>
      </c>
      <c r="I38" s="2" t="inlineStr">
        <is>
          <t>no</t>
        </is>
      </c>
      <c r="J38" s="2" t="inlineStr">
        <is>
          <t>https://eur-lex.europa.eu/legal-content/EN/TXT/?uri=CELEX:32020D0636</t>
        </is>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t="inlineStr"/>
    </row>
    <row r="39">
      <c r="A39" s="2" t="n">
        <v>10</v>
      </c>
      <c r="B39" s="2" t="inlineStr">
        <is>
          <t>Radio Spectrum Decision</t>
        </is>
      </c>
      <c r="C39" s="2" t="inlineStr">
        <is>
          <t>32002D0676</t>
        </is>
      </c>
      <c r="D39" s="2" t="inlineStr">
        <is>
          <t>32020D1426</t>
        </is>
      </c>
      <c r="E39" s="2" t="inlineStr">
        <is>
          <t>implementing</t>
        </is>
      </c>
      <c r="F39" s="2" t="inlineStr">
        <is>
          <t>DEC_IMPL</t>
        </is>
      </c>
      <c r="G39" s="2" t="inlineStr">
        <is>
          <t>2020-10-07</t>
        </is>
      </c>
      <c r="H39" s="2" t="inlineStr">
        <is>
          <t>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is>
      </c>
      <c r="I39" s="2" t="inlineStr">
        <is>
          <t>no</t>
        </is>
      </c>
      <c r="J39" s="2" t="inlineStr">
        <is>
          <t>https://eur-lex.europa.eu/legal-content/EN/TXT/?uri=CELEX:32020D1426</t>
        </is>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t="inlineStr"/>
    </row>
    <row r="40">
      <c r="A40" s="2" t="n">
        <v>10</v>
      </c>
      <c r="B40" s="2" t="inlineStr">
        <is>
          <t>Radio Spectrum Decision</t>
        </is>
      </c>
      <c r="C40" s="2" t="inlineStr">
        <is>
          <t>32002D0676</t>
        </is>
      </c>
      <c r="D40" s="2" t="inlineStr">
        <is>
          <t>32021D1067</t>
        </is>
      </c>
      <c r="E40" s="2" t="inlineStr">
        <is>
          <t>implementing</t>
        </is>
      </c>
      <c r="F40" s="2" t="inlineStr">
        <is>
          <t>DEC_IMPL</t>
        </is>
      </c>
      <c r="G40" s="2" t="inlineStr">
        <is>
          <t>2021-06-17</t>
        </is>
      </c>
      <c r="H40" s="2" t="inlineStr">
        <is>
          <t>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is>
      </c>
      <c r="I40" s="2" t="inlineStr">
        <is>
          <t>no</t>
        </is>
      </c>
      <c r="J40" s="2" t="inlineStr">
        <is>
          <t>https://eur-lex.europa.eu/legal-content/EN/TXT/?uri=CELEX:32021D1067</t>
        </is>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t="inlineStr"/>
    </row>
    <row r="41">
      <c r="A41" s="2" t="n">
        <v>10</v>
      </c>
      <c r="B41" s="2" t="inlineStr">
        <is>
          <t>Radio Spectrum Decision</t>
        </is>
      </c>
      <c r="C41" s="2" t="inlineStr">
        <is>
          <t>32002D0676</t>
        </is>
      </c>
      <c r="D41" s="2" t="inlineStr">
        <is>
          <t>32021D1730</t>
        </is>
      </c>
      <c r="E41" s="2" t="inlineStr">
        <is>
          <t>implementing</t>
        </is>
      </c>
      <c r="F41" s="2" t="inlineStr">
        <is>
          <t>DEC_IMPL</t>
        </is>
      </c>
      <c r="G41" s="2" t="inlineStr">
        <is>
          <t>2021-09-28</t>
        </is>
      </c>
      <c r="H41" s="2" t="inlineStr">
        <is>
          <t>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is>
      </c>
      <c r="I41" s="2" t="inlineStr">
        <is>
          <t>no</t>
        </is>
      </c>
      <c r="J41" s="2" t="inlineStr">
        <is>
          <t>https://eur-lex.europa.eu/legal-content/EN/TXT/?uri=CELEX:32021D1730</t>
        </is>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t="inlineStr"/>
    </row>
    <row r="42">
      <c r="A42" s="2" t="n">
        <v>10</v>
      </c>
      <c r="B42" s="2" t="inlineStr">
        <is>
          <t>Radio Spectrum Decision</t>
        </is>
      </c>
      <c r="C42" s="2" t="inlineStr">
        <is>
          <t>32002D0676</t>
        </is>
      </c>
      <c r="D42" s="2" t="inlineStr">
        <is>
          <t>32022D0172</t>
        </is>
      </c>
      <c r="E42" s="2" t="inlineStr">
        <is>
          <t>implementing</t>
        </is>
      </c>
      <c r="F42" s="2" t="inlineStr">
        <is>
          <t>DEC_IMPL</t>
        </is>
      </c>
      <c r="G42" s="2" t="inlineStr">
        <is>
          <t>2022-02-07</t>
        </is>
      </c>
      <c r="H42" s="2" t="inlineStr">
        <is>
          <t>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is>
      </c>
      <c r="I42" s="2" t="inlineStr">
        <is>
          <t>no</t>
        </is>
      </c>
      <c r="J42" s="2" t="inlineStr">
        <is>
          <t>https://eur-lex.europa.eu/legal-content/EN/TXT/?uri=CELEX:32022D0172</t>
        </is>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t="inlineStr"/>
    </row>
    <row r="43">
      <c r="A43" s="2" t="n">
        <v>10</v>
      </c>
      <c r="B43" s="2" t="inlineStr">
        <is>
          <t>Radio Spectrum Decision</t>
        </is>
      </c>
      <c r="C43" s="2" t="inlineStr">
        <is>
          <t>32002D0676</t>
        </is>
      </c>
      <c r="D43" s="2" t="inlineStr">
        <is>
          <t>32022D0173</t>
        </is>
      </c>
      <c r="E43" s="2" t="inlineStr">
        <is>
          <t>implementing</t>
        </is>
      </c>
      <c r="F43" s="2" t="inlineStr">
        <is>
          <t>DEC_IMPL</t>
        </is>
      </c>
      <c r="G43" s="2" t="inlineStr">
        <is>
          <t>2022-02-07</t>
        </is>
      </c>
      <c r="H43" s="2" t="inlineStr">
        <is>
          <t>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is>
      </c>
      <c r="I43" s="2" t="inlineStr">
        <is>
          <t>no</t>
        </is>
      </c>
      <c r="J43" s="2" t="inlineStr">
        <is>
          <t>https://eur-lex.europa.eu/legal-content/EN/TXT/?uri=CELEX:32022D0173</t>
        </is>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t="inlineStr"/>
    </row>
    <row r="44">
      <c r="A44" s="2" t="n">
        <v>10</v>
      </c>
      <c r="B44" s="2" t="inlineStr">
        <is>
          <t>Radio Spectrum Decision</t>
        </is>
      </c>
      <c r="C44" s="2" t="inlineStr">
        <is>
          <t>32002D0676</t>
        </is>
      </c>
      <c r="D44" s="2" t="inlineStr">
        <is>
          <t>32022D0179</t>
        </is>
      </c>
      <c r="E44" s="2" t="inlineStr">
        <is>
          <t>implementing</t>
        </is>
      </c>
      <c r="F44" s="2" t="inlineStr">
        <is>
          <t>DEC_IMPL</t>
        </is>
      </c>
      <c r="G44" s="2" t="inlineStr">
        <is>
          <t>2022-02-08</t>
        </is>
      </c>
      <c r="H44" s="2" t="inlineStr">
        <is>
          <t>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is>
      </c>
      <c r="I44" s="2" t="inlineStr">
        <is>
          <t>no</t>
        </is>
      </c>
      <c r="J44" s="2" t="inlineStr">
        <is>
          <t>https://eur-lex.europa.eu/legal-content/EN/TXT/?uri=CELEX:32022D0179</t>
        </is>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t="inlineStr"/>
    </row>
    <row r="45">
      <c r="A45" s="2" t="n">
        <v>10</v>
      </c>
      <c r="B45" s="2" t="inlineStr">
        <is>
          <t>Radio Spectrum Decision</t>
        </is>
      </c>
      <c r="C45" s="2" t="inlineStr">
        <is>
          <t>32002D0676</t>
        </is>
      </c>
      <c r="D45" s="2" t="inlineStr">
        <is>
          <t>32022D0180</t>
        </is>
      </c>
      <c r="E45" s="2" t="inlineStr">
        <is>
          <t>implementing</t>
        </is>
      </c>
      <c r="F45" s="2" t="inlineStr">
        <is>
          <t>DEC_IMPL</t>
        </is>
      </c>
      <c r="G45" s="2" t="inlineStr">
        <is>
          <t>2022-02-08</t>
        </is>
      </c>
      <c r="H45" s="2" t="inlineStr">
        <is>
          <t>Commission Implementing Decision (EU) 2022/180 of 8 February 2022 amending Decision 2006/771/EC as regards the update of harmonised technical conditions in the area of radio spectrum use for short-range devices (notified under document C(2022) 644) (Text with EEA relevance)</t>
        </is>
      </c>
      <c r="I45" s="2" t="inlineStr">
        <is>
          <t>no</t>
        </is>
      </c>
      <c r="J45" s="2" t="inlineStr">
        <is>
          <t>https://eur-lex.europa.eu/legal-content/EN/TXT/?uri=CELEX:32022D0180</t>
        </is>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t="inlineStr"/>
    </row>
    <row r="46">
      <c r="A46" s="2" t="n">
        <v>10</v>
      </c>
      <c r="B46" s="2" t="inlineStr">
        <is>
          <t>Radio Spectrum Decision</t>
        </is>
      </c>
      <c r="C46" s="2" t="inlineStr">
        <is>
          <t>32002D0676</t>
        </is>
      </c>
      <c r="D46" s="2" t="inlineStr">
        <is>
          <t>32022D2307</t>
        </is>
      </c>
      <c r="E46" s="2" t="inlineStr">
        <is>
          <t>implementing</t>
        </is>
      </c>
      <c r="F46" s="2" t="inlineStr">
        <is>
          <t>DEC_IMPL</t>
        </is>
      </c>
      <c r="G46" s="2" t="inlineStr">
        <is>
          <t>2022-11-23</t>
        </is>
      </c>
      <c r="H46" s="2" t="inlineStr">
        <is>
          <t>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is>
      </c>
      <c r="I46" s="2" t="inlineStr">
        <is>
          <t>no</t>
        </is>
      </c>
      <c r="J46" s="2" t="inlineStr">
        <is>
          <t>https://eur-lex.europa.eu/legal-content/EN/TXT/?uri=CELEX:32022D2307</t>
        </is>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t="inlineStr"/>
    </row>
    <row r="47">
      <c r="A47" s="2" t="n">
        <v>10</v>
      </c>
      <c r="B47" s="2" t="inlineStr">
        <is>
          <t>Radio Spectrum Decision</t>
        </is>
      </c>
      <c r="C47" s="2" t="inlineStr">
        <is>
          <t>32002D0676</t>
        </is>
      </c>
      <c r="D47" s="2" t="inlineStr">
        <is>
          <t>32022D2324</t>
        </is>
      </c>
      <c r="E47" s="2" t="inlineStr">
        <is>
          <t>implementing</t>
        </is>
      </c>
      <c r="F47" s="2" t="inlineStr">
        <is>
          <t>DEC_IMPL</t>
        </is>
      </c>
      <c r="G47" s="2" t="inlineStr">
        <is>
          <t>2022-11-23</t>
        </is>
      </c>
      <c r="H47" s="2" t="inlineStr">
        <is>
          <t>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is>
      </c>
      <c r="I47" s="2" t="inlineStr">
        <is>
          <t>no</t>
        </is>
      </c>
      <c r="J47" s="2" t="inlineStr">
        <is>
          <t>https://eur-lex.europa.eu/legal-content/EN/TXT/?uri=CELEX:32022D2324</t>
        </is>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t="inlineStr"/>
    </row>
    <row r="48">
      <c r="A48" s="2" t="n">
        <v>10</v>
      </c>
      <c r="B48" s="2" t="inlineStr">
        <is>
          <t>Radio Spectrum Decision</t>
        </is>
      </c>
      <c r="C48" s="2" t="inlineStr">
        <is>
          <t>32002D0676</t>
        </is>
      </c>
      <c r="D48" s="2" t="inlineStr">
        <is>
          <t>32024D0340</t>
        </is>
      </c>
      <c r="E48" s="2" t="inlineStr">
        <is>
          <t>implementing</t>
        </is>
      </c>
      <c r="F48" s="2" t="inlineStr">
        <is>
          <t>DEC_IMPL</t>
        </is>
      </c>
      <c r="G48" s="2" t="inlineStr">
        <is>
          <t>2024-01-22</t>
        </is>
      </c>
      <c r="H48" s="2" t="inlineStr">
        <is>
          <t>Commission Implementing Decision (EU) 2024/340 of 22 January 2024 on harmonised conditions for the use of radio spectrum for mobile communication services on board vessels in the Union, repealing Decision 2010/166/EU (notified under document C(2024) 236)</t>
        </is>
      </c>
      <c r="I48" s="2" t="inlineStr">
        <is>
          <t>no</t>
        </is>
      </c>
      <c r="J48" s="2" t="inlineStr">
        <is>
          <t>https://eur-lex.europa.eu/legal-content/EN/TXT/?uri=CELEX:32024D0340</t>
        </is>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t="inlineStr"/>
    </row>
    <row r="49">
      <c r="A49" s="2" t="n">
        <v>10</v>
      </c>
      <c r="B49" s="2" t="inlineStr">
        <is>
          <t>Radio Spectrum Decision</t>
        </is>
      </c>
      <c r="C49" s="2" t="inlineStr">
        <is>
          <t>32002D0676</t>
        </is>
      </c>
      <c r="D49" s="2" t="inlineStr">
        <is>
          <t>32024D1467</t>
        </is>
      </c>
      <c r="E49" s="2" t="inlineStr">
        <is>
          <t>implementing</t>
        </is>
      </c>
      <c r="F49" s="2" t="inlineStr">
        <is>
          <t>DEC_IMPL</t>
        </is>
      </c>
      <c r="G49" s="2" t="inlineStr">
        <is>
          <t>2024-05-27</t>
        </is>
      </c>
      <c r="H49" s="2" t="inlineStr">
        <is>
          <t>Commission Implementing Decision (EU) 2024/1467 of 27 May 2024 amending Implementing Decision (EU) 2019/785 on the harmonisation of radio spectrum for equipment using ultra-wideband technology in the Union (notified under document C(2024) 3377)</t>
        </is>
      </c>
      <c r="I49" s="2" t="inlineStr">
        <is>
          <t>no</t>
        </is>
      </c>
      <c r="J49" s="2" t="inlineStr">
        <is>
          <t>https://eur-lex.europa.eu/legal-content/EN/TXT/?uri=CELEX:32024D1467</t>
        </is>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t="inlineStr"/>
    </row>
    <row r="50">
      <c r="A50" s="2" t="n">
        <v>10</v>
      </c>
      <c r="B50" s="2" t="inlineStr">
        <is>
          <t>Radio Spectrum Decision</t>
        </is>
      </c>
      <c r="C50" s="2" t="inlineStr">
        <is>
          <t>32002D0676</t>
        </is>
      </c>
      <c r="D50" s="2" t="inlineStr">
        <is>
          <t>32024D1983</t>
        </is>
      </c>
      <c r="E50" s="2" t="inlineStr">
        <is>
          <t>implementing</t>
        </is>
      </c>
      <c r="F50" s="2" t="inlineStr">
        <is>
          <t>DEC_IMPL</t>
        </is>
      </c>
      <c r="G50" s="2" t="inlineStr">
        <is>
          <t>2024-07-18</t>
        </is>
      </c>
      <c r="H50" s="2" t="inlineStr">
        <is>
          <t>Commission Implementing Decision (EU) 2024/1983 of 18 July 2024 on the harmonisation of the 40,5-43,5 GHz frequency band for terrestrial systems capable of providing wireless broadband electronic communications services in the Union (notified under document C(2024) 1520)</t>
        </is>
      </c>
      <c r="I50" s="2" t="inlineStr">
        <is>
          <t>no</t>
        </is>
      </c>
      <c r="J50" s="2" t="inlineStr">
        <is>
          <t>https://eur-lex.europa.eu/legal-content/EN/TXT/?uri=CELEX:32024D1983</t>
        </is>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t="inlineStr"/>
    </row>
    <row r="51">
      <c r="A51" s="2" t="n">
        <v>10</v>
      </c>
      <c r="B51" s="2" t="inlineStr">
        <is>
          <t>Radio Spectrum Decision</t>
        </is>
      </c>
      <c r="C51" s="2" t="inlineStr">
        <is>
          <t>32002D0676</t>
        </is>
      </c>
      <c r="D51" s="2" t="inlineStr">
        <is>
          <t>32024D3157</t>
        </is>
      </c>
      <c r="E51" s="2" t="inlineStr">
        <is>
          <t>implementing</t>
        </is>
      </c>
      <c r="F51" s="2" t="inlineStr">
        <is>
          <t>DEC_IMPL</t>
        </is>
      </c>
      <c r="G51" s="2" t="inlineStr">
        <is>
          <t>2024-12-17</t>
        </is>
      </c>
      <c r="H51" s="2" t="inlineStr">
        <is>
          <t>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is>
      </c>
      <c r="I51" s="2" t="inlineStr">
        <is>
          <t>no</t>
        </is>
      </c>
      <c r="J51" s="2" t="inlineStr">
        <is>
          <t>https://eur-lex.europa.eu/legal-content/EN/TXT/?uri=CELEX:32024D3157</t>
        </is>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t="inlineStr"/>
    </row>
    <row r="52">
      <c r="A52" s="2" t="n">
        <v>10</v>
      </c>
      <c r="B52" s="2" t="inlineStr">
        <is>
          <t>Radio Spectrum Decision</t>
        </is>
      </c>
      <c r="C52" s="2" t="inlineStr">
        <is>
          <t>32002D0676</t>
        </is>
      </c>
      <c r="D52" s="2" t="inlineStr">
        <is>
          <t>32025D0105</t>
        </is>
      </c>
      <c r="E52" s="2" t="inlineStr">
        <is>
          <t>implementing</t>
        </is>
      </c>
      <c r="F52" s="2" t="inlineStr">
        <is>
          <t>DEC_IMPL</t>
        </is>
      </c>
      <c r="G52" s="2" t="inlineStr">
        <is>
          <t>2025-01-22</t>
        </is>
      </c>
      <c r="H52" s="2" t="inlineStr">
        <is>
          <t>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is>
      </c>
      <c r="I52" s="2" t="inlineStr">
        <is>
          <t>no</t>
        </is>
      </c>
      <c r="J52" s="2" t="inlineStr">
        <is>
          <t>https://eur-lex.europa.eu/legal-content/EN/TXT/?uri=CELEX:32025D0105</t>
        </is>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t="inlineStr"/>
    </row>
    <row r="53">
      <c r="A53" s="2" t="n">
        <v>10</v>
      </c>
      <c r="B53" s="2" t="inlineStr">
        <is>
          <t>Radio Spectrum Decision</t>
        </is>
      </c>
      <c r="C53" s="2" t="inlineStr">
        <is>
          <t>32002D0676</t>
        </is>
      </c>
      <c r="D53" s="2" t="inlineStr">
        <is>
          <t>32025D0650</t>
        </is>
      </c>
      <c r="E53" s="2" t="inlineStr">
        <is>
          <t>implementing</t>
        </is>
      </c>
      <c r="F53" s="2" t="inlineStr">
        <is>
          <t>DEC_IMPL</t>
        </is>
      </c>
      <c r="G53" s="2" t="inlineStr">
        <is>
          <t>2025-03-26</t>
        </is>
      </c>
      <c r="H53" s="2" t="inlineStr">
        <is>
          <t>Commission Implementing Decision (EU) 2025/650 of 26 March 2025 amending Implementing Decision (EU) 2018/1538 as regards the update of harmonised technical conditions for short-range devices within the 874-876 and 915-921 MHz frequency bands (notified under document C(2025) 1739)</t>
        </is>
      </c>
      <c r="I53" s="2" t="inlineStr">
        <is>
          <t>no</t>
        </is>
      </c>
      <c r="J53" s="2" t="inlineStr">
        <is>
          <t>https://eur-lex.europa.eu/legal-content/EN/TXT/?uri=CELEX:32025D0650</t>
        </is>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t="inlineStr"/>
    </row>
    <row r="54">
      <c r="A54" s="2" t="n">
        <v>10</v>
      </c>
      <c r="B54" s="2" t="inlineStr">
        <is>
          <t>Radio Spectrum Decision</t>
        </is>
      </c>
      <c r="C54" s="2" t="inlineStr">
        <is>
          <t>32002D0676</t>
        </is>
      </c>
      <c r="D54" s="2" t="inlineStr">
        <is>
          <t>32025D0913</t>
        </is>
      </c>
      <c r="E54" s="2" t="inlineStr">
        <is>
          <t>implementing</t>
        </is>
      </c>
      <c r="F54" s="2" t="inlineStr">
        <is>
          <t>DEC_IMPL</t>
        </is>
      </c>
      <c r="G54" s="2" t="inlineStr">
        <is>
          <t>2025-05-20</t>
        </is>
      </c>
      <c r="H54" s="2" t="inlineStr">
        <is>
          <t>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is>
      </c>
      <c r="I54" s="2" t="inlineStr">
        <is>
          <t>no</t>
        </is>
      </c>
      <c r="J54" s="2" t="inlineStr">
        <is>
          <t>https://eur-lex.europa.eu/legal-content/EN/TXT/?uri=CELEX:32025D0913</t>
        </is>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t="inlineStr"/>
    </row>
    <row r="55">
      <c r="A55" s="2" t="n">
        <v>10</v>
      </c>
      <c r="B55" s="2" t="inlineStr">
        <is>
          <t>Radio Spectrum Decision</t>
        </is>
      </c>
      <c r="C55" s="2" t="inlineStr">
        <is>
          <t>32002D0676</t>
        </is>
      </c>
      <c r="D55" s="2" t="inlineStr">
        <is>
          <t>32025D2425</t>
        </is>
      </c>
      <c r="E55" s="2" t="inlineStr">
        <is>
          <t>implementing</t>
        </is>
      </c>
      <c r="F55" s="2" t="inlineStr">
        <is>
          <t>DEC_IMPL</t>
        </is>
      </c>
      <c r="G55" s="2" t="inlineStr">
        <is>
          <t>2025-12-02</t>
        </is>
      </c>
      <c r="H55" s="2" t="inlineStr">
        <is>
          <t>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is>
      </c>
      <c r="I55" s="2" t="inlineStr">
        <is>
          <t>no</t>
        </is>
      </c>
      <c r="J55" s="2" t="inlineStr">
        <is>
          <t>https://eur-lex.europa.eu/legal-content/EN/TXT/?uri=CELEX:32025D2425</t>
        </is>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t="inlineStr"/>
    </row>
    <row r="56">
      <c r="A56" s="2" t="n">
        <v>10</v>
      </c>
      <c r="B56" s="2" t="inlineStr">
        <is>
          <t>Radio Spectrum Decision</t>
        </is>
      </c>
      <c r="C56" s="2" t="inlineStr">
        <is>
          <t>32002D0676</t>
        </is>
      </c>
      <c r="D56" s="2" t="inlineStr">
        <is>
          <t>32026D0291</t>
        </is>
      </c>
      <c r="E56" s="2" t="inlineStr">
        <is>
          <t>implementing</t>
        </is>
      </c>
      <c r="F56" s="2" t="inlineStr">
        <is>
          <t>DEC_IMPL</t>
        </is>
      </c>
      <c r="G56" s="2" t="inlineStr">
        <is>
          <t>2026-02-09</t>
        </is>
      </c>
      <c r="H56" s="2" t="inlineStr">
        <is>
          <t>Commission Implementing Decision (EU) 2026/291 of 9 February 2026 amending Implementing Decision (EU) 2021/1730, as regards additional use cases in the paired 874,4-880 MHz and 919,4-925 MHz frequency bands for Railway Mobile Radio (notified under document C(2026)674)</t>
        </is>
      </c>
      <c r="I56" s="2" t="inlineStr">
        <is>
          <t>no</t>
        </is>
      </c>
      <c r="J56" s="2" t="inlineStr">
        <is>
          <t>https://eur-lex.europa.eu/legal-content/EN/TXT/?uri=CELEX:32026D0291</t>
        </is>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t="inlineStr"/>
    </row>
    <row r="57">
      <c r="A57" s="2" t="n">
        <v>10</v>
      </c>
      <c r="B57" s="2" t="inlineStr">
        <is>
          <t>Radio Spectrum Decision</t>
        </is>
      </c>
      <c r="C57" s="2" t="inlineStr">
        <is>
          <t>32002D0676</t>
        </is>
      </c>
      <c r="D57" s="2" t="inlineStr">
        <is>
          <t>32026D0883</t>
        </is>
      </c>
      <c r="E57" s="2" t="inlineStr">
        <is>
          <t>implementing</t>
        </is>
      </c>
      <c r="F57" s="2" t="inlineStr">
        <is>
          <t>DEC_IMPL</t>
        </is>
      </c>
      <c r="G57" s="2" t="inlineStr">
        <is>
          <t>2026-04-21</t>
        </is>
      </c>
      <c r="H57" s="2" t="inlineStr">
        <is>
          <t>Commission Implementing Decision (EU) 2026/883 of 21 April 2026 on the harmonisation of radio spectrum for use by radiodetermination applications in the 116-260 GHz frequency band (notified under document C(2026) 2519)</t>
        </is>
      </c>
      <c r="I57" s="2" t="inlineStr">
        <is>
          <t>no</t>
        </is>
      </c>
      <c r="J57" s="2" t="inlineStr">
        <is>
          <t>https://eur-lex.europa.eu/legal-content/EN/TXT/?uri=CELEX:32026D0883</t>
        </is>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t="inlineStr"/>
    </row>
    <row r="58">
      <c r="A58" s="2" t="n">
        <v>10</v>
      </c>
      <c r="B58" s="2" t="inlineStr">
        <is>
          <t>Radio Spectrum Decision</t>
        </is>
      </c>
      <c r="C58" s="2" t="inlineStr">
        <is>
          <t>32002D0676</t>
        </is>
      </c>
      <c r="D58" s="2" t="inlineStr">
        <is>
          <t>32026D1800</t>
        </is>
      </c>
      <c r="E58" s="2" t="inlineStr">
        <is>
          <t>implementing</t>
        </is>
      </c>
      <c r="F58" s="2" t="inlineStr">
        <is>
          <t>DEC_IMPL</t>
        </is>
      </c>
      <c r="G58" s="2" t="inlineStr">
        <is>
          <t>2026-07-24</t>
        </is>
      </c>
      <c r="H58" s="2" t="inlineStr">
        <is>
          <t>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is>
      </c>
      <c r="I58" s="2" t="inlineStr">
        <is>
          <t>no</t>
        </is>
      </c>
      <c r="J58" s="2" t="inlineStr">
        <is>
          <t>https://eur-lex.europa.eu/legal-content/EN/TXT/?uri=CELEX:32026D1800</t>
        </is>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t="inlineStr"/>
    </row>
    <row r="59">
      <c r="A59" s="2" t="n">
        <v>11</v>
      </c>
      <c r="B59" s="2" t="inlineStr">
        <is>
          <t>EC Merger Regulation</t>
        </is>
      </c>
      <c r="C59" s="2" t="inlineStr">
        <is>
          <t>32004R0139</t>
        </is>
      </c>
      <c r="D59" s="2" t="inlineStr">
        <is>
          <t>52004XC0205(02)</t>
        </is>
      </c>
      <c r="E59" s="2" t="inlineStr">
        <is>
          <t>guidance</t>
        </is>
      </c>
      <c r="F59" s="2" t="inlineStr">
        <is>
          <t>COMMUNIC</t>
        </is>
      </c>
      <c r="G59" s="2" t="inlineStr">
        <is>
          <t>2004-02-05</t>
        </is>
      </c>
      <c r="H59" s="2" t="inlineStr">
        <is>
          <t>Guidelines on the assessment of horizontal mergers under the Council Regulation on the control of concentrations between undertakings</t>
        </is>
      </c>
      <c r="I59" s="2" t="inlineStr">
        <is>
          <t>no</t>
        </is>
      </c>
      <c r="J59" s="2" t="inlineStr">
        <is>
          <t>https://eur-lex.europa.eu/legal-content/EN/TXT/?uri=CELEX:52004XC0205(02)</t>
        </is>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inlineStr">
        <is>
          <t>Guidance is non-binding: restriction counts mostly reflect obligations it restates</t>
        </is>
      </c>
    </row>
    <row r="60">
      <c r="A60" s="2" t="n">
        <v>11</v>
      </c>
      <c r="B60" s="2" t="inlineStr">
        <is>
          <t>EC Merger Regulation</t>
        </is>
      </c>
      <c r="C60" s="2" t="inlineStr">
        <is>
          <t>32004R0139</t>
        </is>
      </c>
      <c r="D60" s="2" t="inlineStr">
        <is>
          <t>32004R0802</t>
        </is>
      </c>
      <c r="E60" s="2" t="inlineStr">
        <is>
          <t>other Commission/Council act</t>
        </is>
      </c>
      <c r="F60" s="2" t="inlineStr">
        <is>
          <t>REG</t>
        </is>
      </c>
      <c r="G60" s="2" t="inlineStr">
        <is>
          <t>2004-04-07</t>
        </is>
      </c>
      <c r="H60" s="2" t="inlineStr">
        <is>
          <t>Commission Regulation (EC) No 802/2004 of 7 April 2004 implementing Council Regulation (EC) No 139/2004 on the control of concentrations between undertakings (Text with EEA relevance)</t>
        </is>
      </c>
      <c r="I60" s="2" t="inlineStr">
        <is>
          <t>no</t>
        </is>
      </c>
      <c r="J60" s="2" t="inlineStr">
        <is>
          <t>https://eur-lex.europa.eu/legal-content/EN/TXT/?uri=CELEX:32004R0802</t>
        </is>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t="inlineStr"/>
    </row>
    <row r="61">
      <c r="A61" s="2" t="n">
        <v>11</v>
      </c>
      <c r="B61" s="2" t="inlineStr">
        <is>
          <t>EC Merger Regulation</t>
        </is>
      </c>
      <c r="C61" s="2" t="inlineStr">
        <is>
          <t>32004R0139</t>
        </is>
      </c>
      <c r="D61" s="2" t="inlineStr">
        <is>
          <t>52008XC1018(03)</t>
        </is>
      </c>
      <c r="E61" s="2" t="inlineStr">
        <is>
          <t>guidance</t>
        </is>
      </c>
      <c r="F61" s="2" t="inlineStr">
        <is>
          <t>COMMUNIC</t>
        </is>
      </c>
      <c r="G61" s="2" t="inlineStr">
        <is>
          <t>2008-10-18</t>
        </is>
      </c>
      <c r="H61" s="2" t="inlineStr">
        <is>
          <t>Guidelines on the assessment of non-horizontal mergers under the Council Regulation on the control of concentrations between undertakings</t>
        </is>
      </c>
      <c r="I61" s="2" t="inlineStr">
        <is>
          <t>no</t>
        </is>
      </c>
      <c r="J61" s="2" t="inlineStr">
        <is>
          <t>https://eur-lex.europa.eu/legal-content/EN/TXT/?uri=CELEX:52008XC1018(03)</t>
        </is>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inlineStr">
        <is>
          <t>Guidance is non-binding: restriction counts mostly reflect obligations it restates</t>
        </is>
      </c>
    </row>
    <row r="62">
      <c r="A62" s="2" t="n">
        <v>11</v>
      </c>
      <c r="B62" s="2" t="inlineStr">
        <is>
          <t>EC Merger Regulation</t>
        </is>
      </c>
      <c r="C62" s="2" t="inlineStr">
        <is>
          <t>32004R0139</t>
        </is>
      </c>
      <c r="D62" s="2" t="inlineStr">
        <is>
          <t>32008R1033</t>
        </is>
      </c>
      <c r="E62" s="2" t="inlineStr">
        <is>
          <t>other Commission/Council act</t>
        </is>
      </c>
      <c r="F62" s="2" t="inlineStr">
        <is>
          <t>REG</t>
        </is>
      </c>
      <c r="G62" s="2" t="inlineStr">
        <is>
          <t>2008-10-20</t>
        </is>
      </c>
      <c r="H62" s="2" t="inlineStr">
        <is>
          <t>Commission Regulation (EC) No 1033/2008 of 20 October 2008 amending Regulation (EC) No 802/2004 implementing Council Regulation (EC) No 139/2004 on the control of concentrations between undertakings (Text with EEA relevance)</t>
        </is>
      </c>
      <c r="I62" s="2" t="inlineStr">
        <is>
          <t>no</t>
        </is>
      </c>
      <c r="J62" s="2" t="inlineStr">
        <is>
          <t>https://eur-lex.europa.eu/legal-content/EN/TXT/?uri=CELEX:32008R1033</t>
        </is>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t="inlineStr"/>
    </row>
    <row r="63">
      <c r="A63" s="2" t="n">
        <v>11</v>
      </c>
      <c r="B63" s="2" t="inlineStr">
        <is>
          <t>EC Merger Regulation</t>
        </is>
      </c>
      <c r="C63" s="2" t="inlineStr">
        <is>
          <t>32004R0139</t>
        </is>
      </c>
      <c r="D63" s="2" t="inlineStr">
        <is>
          <t>32013R1269</t>
        </is>
      </c>
      <c r="E63" s="2" t="inlineStr">
        <is>
          <t>implementing</t>
        </is>
      </c>
      <c r="F63" s="2" t="inlineStr">
        <is>
          <t>REG_IMPL</t>
        </is>
      </c>
      <c r="G63" s="2" t="inlineStr">
        <is>
          <t>2013-12-05</t>
        </is>
      </c>
      <c r="H63" s="2" t="inlineStr">
        <is>
          <t>Commission Implementing Regulation (EU) No 1269/2013 of 5 December 2013 amending Regulation (EC) No 802/2004 implementing Council Regulation (EC) No 139/2004 on the control of concentrations between undertakings  Text with EEA relevance</t>
        </is>
      </c>
      <c r="I63" s="2" t="inlineStr">
        <is>
          <t>no</t>
        </is>
      </c>
      <c r="J63" s="2" t="inlineStr">
        <is>
          <t>https://eur-lex.europa.eu/legal-content/EN/TXT/?uri=CELEX:32013R1269</t>
        </is>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t="inlineStr"/>
    </row>
    <row r="64">
      <c r="A64" s="2" t="n">
        <v>11</v>
      </c>
      <c r="B64" s="2" t="inlineStr">
        <is>
          <t>EC Merger Regulation</t>
        </is>
      </c>
      <c r="C64" s="2" t="inlineStr">
        <is>
          <t>32004R0139</t>
        </is>
      </c>
      <c r="D64" s="2" t="inlineStr">
        <is>
          <t>52021XC0331(01)</t>
        </is>
      </c>
      <c r="E64" s="2" t="inlineStr">
        <is>
          <t>guidance</t>
        </is>
      </c>
      <c r="F64" s="2" t="inlineStr">
        <is>
          <t>NOTICE</t>
        </is>
      </c>
      <c r="G64" s="2" t="inlineStr">
        <is>
          <t>2021-03-31</t>
        </is>
      </c>
      <c r="H64" s="2" t="inlineStr">
        <is>
          <t>Communication from the Commission Guidance on the application of the referral mechanism set out in Article 22 of the Merger Regulation to certain categories of cases 2021/C 113/01</t>
        </is>
      </c>
      <c r="I64" s="2" t="inlineStr">
        <is>
          <t>no</t>
        </is>
      </c>
      <c r="J64" s="2" t="inlineStr">
        <is>
          <t>https://eur-lex.europa.eu/legal-content/EN/TXT/?uri=CELEX:52021XC0331(01)</t>
        </is>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inlineStr">
        <is>
          <t>Guidance is non-binding: restriction counts mostly reflect obligations it restates</t>
        </is>
      </c>
    </row>
    <row r="65">
      <c r="A65" s="2" t="n">
        <v>11</v>
      </c>
      <c r="B65" s="2" t="inlineStr">
        <is>
          <t>EC Merger Regulation</t>
        </is>
      </c>
      <c r="C65" s="2" t="inlineStr">
        <is>
          <t>32004R0139</t>
        </is>
      </c>
      <c r="D65" s="2" t="inlineStr">
        <is>
          <t>32023R0914</t>
        </is>
      </c>
      <c r="E65" s="2" t="inlineStr">
        <is>
          <t>implementing</t>
        </is>
      </c>
      <c r="F65" s="2" t="inlineStr">
        <is>
          <t>REG_IMPL</t>
        </is>
      </c>
      <c r="G65" s="2" t="inlineStr">
        <is>
          <t>2023-04-20</t>
        </is>
      </c>
      <c r="H65" s="2" t="inlineStr">
        <is>
          <t>Commission Implementing Regulation (EU) 2023/914 of 20 April 2023 implementing Council Regulation (EC) No 139/2004 on the control of concentrations between undertakings and repealing Commission Regulation (EC) No 802/2004 (Text with EEA relevance)</t>
        </is>
      </c>
      <c r="I65" s="2" t="inlineStr">
        <is>
          <t>no</t>
        </is>
      </c>
      <c r="J65" s="2" t="inlineStr">
        <is>
          <t>https://eur-lex.europa.eu/legal-content/EN/TXT/?uri=CELEX:32023R0914</t>
        </is>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t="inlineStr"/>
    </row>
    <row r="66">
      <c r="A66" s="2" t="n">
        <v>11</v>
      </c>
      <c r="B66" s="2" t="inlineStr">
        <is>
          <t>EC Merger Regulation</t>
        </is>
      </c>
      <c r="C66" s="2" t="inlineStr">
        <is>
          <t>32004R0139</t>
        </is>
      </c>
      <c r="D66" s="2" t="inlineStr">
        <is>
          <t>32024R2776</t>
        </is>
      </c>
      <c r="E66" s="2" t="inlineStr">
        <is>
          <t>implementing</t>
        </is>
      </c>
      <c r="F66" s="2" t="inlineStr">
        <is>
          <t>REG_IMPL</t>
        </is>
      </c>
      <c r="G66" s="2" t="inlineStr">
        <is>
          <t>2024-10-31</t>
        </is>
      </c>
      <c r="H66" s="2" t="inlineStr">
        <is>
          <t>Commission Implementing Regulation (EU) 2024/2776 of 31 October 2024 correcting Implementing Regulation (EU) 2023/914 implementing Council Regulation (EC) No 139/2004 on the control of concentrations between undertakings and repealing Commission Regulation (EC) No 802/2004</t>
        </is>
      </c>
      <c r="I66" s="2" t="inlineStr">
        <is>
          <t>no</t>
        </is>
      </c>
      <c r="J66" s="2" t="inlineStr">
        <is>
          <t>https://eur-lex.europa.eu/legal-content/EN/TXT/?uri=CELEX:32024R2776</t>
        </is>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t="inlineStr"/>
    </row>
    <row r="67">
      <c r="A67" s="2" t="n">
        <v>12</v>
      </c>
      <c r="B67" s="2" t="inlineStr">
        <is>
          <t>IPR Enforcement Directive</t>
        </is>
      </c>
      <c r="C67" s="2" t="inlineStr">
        <is>
          <t>32004L0048</t>
        </is>
      </c>
      <c r="D67" s="2" t="inlineStr">
        <is>
          <t>52017DC0708</t>
        </is>
      </c>
      <c r="E67" s="2" t="inlineStr">
        <is>
          <t>guidance</t>
        </is>
      </c>
      <c r="F67" s="2" t="inlineStr">
        <is>
          <t>COMMUNIC</t>
        </is>
      </c>
      <c r="G67" s="2" t="inlineStr">
        <is>
          <t>2017-11-29</t>
        </is>
      </c>
      <c r="H67" s="2" t="inlineStr">
        <is>
          <t>COMMUNICATION FROM THE COMMISSION TO THE EUROPEAN PARLIAMENT, THE COUNCIL AND THE EUROPEAN ECONOMIC AND SOCIAL COMMITTEE Guidance on certain aspects of Directive 2004/48/EC of the European Parliament and of the Council on the enforcement of intellectual property rights</t>
        </is>
      </c>
      <c r="I67" s="2" t="inlineStr">
        <is>
          <t>no</t>
        </is>
      </c>
      <c r="J67" s="2" t="inlineStr">
        <is>
          <t>https://eur-lex.europa.eu/legal-content/EN/TXT/?uri=CELEX:52017DC0708</t>
        </is>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inlineStr">
        <is>
          <t>Guidance is non-binding: restriction counts mostly reflect obligations it restates</t>
        </is>
      </c>
    </row>
    <row r="68">
      <c r="A68" s="2" t="n">
        <v>13</v>
      </c>
      <c r="B68" s="2" t="inlineStr">
        <is>
          <t>Unfair Commercial Practices Directive</t>
        </is>
      </c>
      <c r="C68" s="2" t="inlineStr">
        <is>
          <t>32005L0029</t>
        </is>
      </c>
      <c r="D68" s="2" t="inlineStr">
        <is>
          <t>52013DC0138</t>
        </is>
      </c>
      <c r="E68" s="2" t="inlineStr">
        <is>
          <t>guidance</t>
        </is>
      </c>
      <c r="F68" s="2" t="inlineStr">
        <is>
          <t>COMMUNIC</t>
        </is>
      </c>
      <c r="G68" s="2" t="inlineStr">
        <is>
          <t>2013-03-14</t>
        </is>
      </c>
      <c r="H68" s="2" t="inlineStr">
        <is>
          <t>COMMUNICATION FROM THE COMMISSION TO THE EUROPEAN PARLIAMENT, THE COUNCIL AND THE EUROPEAN ECONOMIC AND SOCIAL COMMITTEE On the application of the Unfair Commercial Practices Directive Achieving a high level of consumer protection Building trust in the Internal Market</t>
        </is>
      </c>
      <c r="I68" s="2" t="inlineStr">
        <is>
          <t>no</t>
        </is>
      </c>
      <c r="J68" s="2" t="inlineStr">
        <is>
          <t>https://eur-lex.europa.eu/legal-content/EN/TXT/?uri=CELEX:52013DC0138</t>
        </is>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inlineStr">
        <is>
          <t>Guidance is non-binding: restriction counts mostly reflect obligations it restates</t>
        </is>
      </c>
    </row>
    <row r="69">
      <c r="A69" s="2" t="n">
        <v>13</v>
      </c>
      <c r="B69" s="2" t="inlineStr">
        <is>
          <t>Unfair Commercial Practices Directive</t>
        </is>
      </c>
      <c r="C69" s="2" t="inlineStr">
        <is>
          <t>32005L0029</t>
        </is>
      </c>
      <c r="D69" s="2" t="inlineStr">
        <is>
          <t>52021XC1229(05)</t>
        </is>
      </c>
      <c r="E69" s="2" t="inlineStr">
        <is>
          <t>guidance</t>
        </is>
      </c>
      <c r="F69" s="2" t="inlineStr">
        <is>
          <t>NOTICE</t>
        </is>
      </c>
      <c r="G69" s="2" t="inlineStr">
        <is>
          <t>2021-12-29</t>
        </is>
      </c>
      <c r="H69" s="2" t="inlineStr">
        <is>
          <t>Commission Notice – Guidance on the interpretation and application of Directive 2005/29/EC of the European Parliament and of the Council concerning unfair business-to-consumer commercial practices in the internal market (Text with EEA relevance)</t>
        </is>
      </c>
      <c r="I69" s="2" t="inlineStr">
        <is>
          <t>no</t>
        </is>
      </c>
      <c r="J69" s="2" t="inlineStr">
        <is>
          <t>https://eur-lex.europa.eu/legal-content/EN/TXT/?uri=CELEX:52021XC1229(05)</t>
        </is>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inlineStr">
        <is>
          <t>Guidance is non-binding: restriction counts mostly reflect obligations it restates</t>
        </is>
      </c>
    </row>
    <row r="70">
      <c r="A70" s="2" t="n">
        <v>14</v>
      </c>
      <c r="B70" s="2" t="inlineStr">
        <is>
          <t>Common VAT system Directive</t>
        </is>
      </c>
      <c r="C70" s="2" t="inlineStr">
        <is>
          <t>32006L0112</t>
        </is>
      </c>
      <c r="D70" s="2" t="inlineStr">
        <is>
          <t>32009D0938</t>
        </is>
      </c>
      <c r="E70" s="2" t="inlineStr">
        <is>
          <t>implementing</t>
        </is>
      </c>
      <c r="F70" s="2" t="inlineStr">
        <is>
          <t>DEC_IMPL</t>
        </is>
      </c>
      <c r="G70" s="2" t="inlineStr">
        <is>
          <t>2009-12-07</t>
        </is>
      </c>
      <c r="H70" s="2" t="inlineStr">
        <is>
          <t>Council Implementing Decision of 7 December 2009 authorising the Kingdom of Sweden and the United Kingdom of Great Britain and Northern Ireland to apply a measure derogating from Article 167 of Directive 2006/112/EC on the common system of value added tax</t>
        </is>
      </c>
      <c r="I70" s="2" t="inlineStr">
        <is>
          <t>yes</t>
        </is>
      </c>
      <c r="J70" s="2" t="inlineStr">
        <is>
          <t>https://eur-lex.europa.eu/legal-content/EN/TXT/?uri=CELEX:32009D0938</t>
        </is>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t="inlineStr"/>
    </row>
    <row r="71">
      <c r="A71" s="2" t="n">
        <v>14</v>
      </c>
      <c r="B71" s="2" t="inlineStr">
        <is>
          <t>Common VAT system Directive</t>
        </is>
      </c>
      <c r="C71" s="2" t="inlineStr">
        <is>
          <t>32006L0112</t>
        </is>
      </c>
      <c r="D71" s="2" t="inlineStr">
        <is>
          <t>32009D0939</t>
        </is>
      </c>
      <c r="E71" s="2" t="inlineStr">
        <is>
          <t>implementing</t>
        </is>
      </c>
      <c r="F71" s="2" t="inlineStr">
        <is>
          <t>DEC_IMPL</t>
        </is>
      </c>
      <c r="G71" s="2" t="inlineStr">
        <is>
          <t>2009-12-07</t>
        </is>
      </c>
      <c r="H71" s="2" t="inlineStr">
        <is>
          <t>Council Implementing Decision of 7 December 2009 authorising the Republic of Slovenia to apply a measure derogating from Article 167 of Directive 2006/112/EC on the common system of value added tax</t>
        </is>
      </c>
      <c r="I71" s="2" t="inlineStr">
        <is>
          <t>yes</t>
        </is>
      </c>
      <c r="J71" s="2" t="inlineStr">
        <is>
          <t>https://eur-lex.europa.eu/legal-content/EN/TXT/?uri=CELEX:32009D0939</t>
        </is>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t="inlineStr"/>
    </row>
    <row r="72">
      <c r="A72" s="2" t="n">
        <v>14</v>
      </c>
      <c r="B72" s="2" t="inlineStr">
        <is>
          <t>Common VAT system Directive</t>
        </is>
      </c>
      <c r="C72" s="2" t="inlineStr">
        <is>
          <t>32006L0112</t>
        </is>
      </c>
      <c r="D72" s="2" t="inlineStr">
        <is>
          <t>32009D1008</t>
        </is>
      </c>
      <c r="E72" s="2" t="inlineStr">
        <is>
          <t>implementing</t>
        </is>
      </c>
      <c r="F72" s="2" t="inlineStr">
        <is>
          <t>DEC_IMPL</t>
        </is>
      </c>
      <c r="G72" s="2" t="inlineStr">
        <is>
          <t>2009-12-07</t>
        </is>
      </c>
      <c r="H72" s="2" t="inlineStr">
        <is>
          <t>Council Implementing Decision of 7 December 2009 authorising the Republic of Latvia to extend the application of a measure derogating from Article 193 of Directive 2006/112/EC on the common system of value added tax</t>
        </is>
      </c>
      <c r="I72" s="2" t="inlineStr">
        <is>
          <t>yes</t>
        </is>
      </c>
      <c r="J72" s="2" t="inlineStr">
        <is>
          <t>https://eur-lex.europa.eu/legal-content/EN/TXT/?uri=CELEX:32009D1008</t>
        </is>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t="inlineStr"/>
    </row>
    <row r="73">
      <c r="A73" s="2" t="n">
        <v>14</v>
      </c>
      <c r="B73" s="2" t="inlineStr">
        <is>
          <t>Common VAT system Directive</t>
        </is>
      </c>
      <c r="C73" s="2" t="inlineStr">
        <is>
          <t>32006L0112</t>
        </is>
      </c>
      <c r="D73" s="2" t="inlineStr">
        <is>
          <t>32009D1022</t>
        </is>
      </c>
      <c r="E73" s="2" t="inlineStr">
        <is>
          <t>implementing</t>
        </is>
      </c>
      <c r="F73" s="2" t="inlineStr">
        <is>
          <t>DEC_IMPL</t>
        </is>
      </c>
      <c r="G73" s="2" t="inlineStr">
        <is>
          <t>2009-12-15</t>
        </is>
      </c>
      <c r="H73" s="2" t="inlineStr">
        <is>
          <t>Council Implementing Decision of 15 December 2009 authorising the Republic of Estonia to apply a measure derogating from Article 167 of Directive 2006/112/EC on the common system of value added tax</t>
        </is>
      </c>
      <c r="I73" s="2" t="inlineStr">
        <is>
          <t>yes</t>
        </is>
      </c>
      <c r="J73" s="2" t="inlineStr">
        <is>
          <t>https://eur-lex.europa.eu/legal-content/EN/TXT/?uri=CELEX:32009D1022</t>
        </is>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t="inlineStr"/>
    </row>
    <row r="74">
      <c r="A74" s="2" t="n">
        <v>14</v>
      </c>
      <c r="B74" s="2" t="inlineStr">
        <is>
          <t>Common VAT system Directive</t>
        </is>
      </c>
      <c r="C74" s="2" t="inlineStr">
        <is>
          <t>32006L0112</t>
        </is>
      </c>
      <c r="D74" s="2" t="inlineStr">
        <is>
          <t>32009D1013</t>
        </is>
      </c>
      <c r="E74" s="2" t="inlineStr">
        <is>
          <t>implementing</t>
        </is>
      </c>
      <c r="F74" s="2" t="inlineStr">
        <is>
          <t>DEC_IMPL</t>
        </is>
      </c>
      <c r="G74" s="2" t="inlineStr">
        <is>
          <t>2009-12-22</t>
        </is>
      </c>
      <c r="H74" s="2" t="inlineStr">
        <is>
          <t>Council Implementing Decision of 22 December 2009 authorising the Republic of Austria to continue to apply a measure derogating from Article 168 of Directive 2006/112/EC on the common system of value added tax</t>
        </is>
      </c>
      <c r="I74" s="2" t="inlineStr">
        <is>
          <t>yes</t>
        </is>
      </c>
      <c r="J74" s="2" t="inlineStr">
        <is>
          <t>https://eur-lex.europa.eu/legal-content/EN/TXT/?uri=CELEX:32009D1013</t>
        </is>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t="inlineStr"/>
    </row>
    <row r="75">
      <c r="A75" s="2" t="n">
        <v>14</v>
      </c>
      <c r="B75" s="2" t="inlineStr">
        <is>
          <t>Common VAT system Directive</t>
        </is>
      </c>
      <c r="C75" s="2" t="inlineStr">
        <is>
          <t>32006L0112</t>
        </is>
      </c>
      <c r="D75" s="2" t="inlineStr">
        <is>
          <t>32010D0039</t>
        </is>
      </c>
      <c r="E75" s="2" t="inlineStr">
        <is>
          <t>implementing</t>
        </is>
      </c>
      <c r="F75" s="2" t="inlineStr">
        <is>
          <t>DEC_IMPL</t>
        </is>
      </c>
      <c r="G75" s="2" t="inlineStr">
        <is>
          <t>2010-01-19</t>
        </is>
      </c>
      <c r="H75" s="2" t="inlineStr">
        <is>
          <t>2010/39/EU: Council Implementing Decision of 19 January 2010 authorising the Portuguese Republic to apply a measure derogating from Articles 168, 193 and 250 of Directive 2006/112/EC on the common system of value added tax</t>
        </is>
      </c>
      <c r="I75" s="2" t="inlineStr">
        <is>
          <t>yes</t>
        </is>
      </c>
      <c r="J75" s="2" t="inlineStr">
        <is>
          <t>https://eur-lex.europa.eu/legal-content/EN/TXT/?uri=CELEX:32010D0039</t>
        </is>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t="inlineStr"/>
    </row>
    <row r="76">
      <c r="A76" s="2" t="n">
        <v>14</v>
      </c>
      <c r="B76" s="2" t="inlineStr">
        <is>
          <t>Common VAT system Directive</t>
        </is>
      </c>
      <c r="C76" s="2" t="inlineStr">
        <is>
          <t>32006L0112</t>
        </is>
      </c>
      <c r="D76" s="2" t="inlineStr">
        <is>
          <t>32010D0099</t>
        </is>
      </c>
      <c r="E76" s="2" t="inlineStr">
        <is>
          <t>implementing</t>
        </is>
      </c>
      <c r="F76" s="2" t="inlineStr">
        <is>
          <t>DEC_IMPL</t>
        </is>
      </c>
      <c r="G76" s="2" t="inlineStr">
        <is>
          <t>2010-02-16</t>
        </is>
      </c>
      <c r="H76" s="2" t="inlineStr">
        <is>
          <t>Council Implementing Decision of 16 February 2010 authorising the Republic of Lithuania to extend the application of a measure derogating from Article 193 of Directive 2006/112/EC on the common system of value added tax</t>
        </is>
      </c>
      <c r="I76" s="2" t="inlineStr">
        <is>
          <t>yes</t>
        </is>
      </c>
      <c r="J76" s="2" t="inlineStr">
        <is>
          <t>https://eur-lex.europa.eu/legal-content/EN/TXT/?uri=CELEX:32010D0099</t>
        </is>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t="inlineStr"/>
    </row>
    <row r="77">
      <c r="A77" s="2" t="n">
        <v>14</v>
      </c>
      <c r="B77" s="2" t="inlineStr">
        <is>
          <t>Common VAT system Directive</t>
        </is>
      </c>
      <c r="C77" s="2" t="inlineStr">
        <is>
          <t>32006L0112</t>
        </is>
      </c>
      <c r="D77" s="2" t="inlineStr">
        <is>
          <t>32010D0579</t>
        </is>
      </c>
      <c r="E77" s="2" t="inlineStr">
        <is>
          <t>implementing</t>
        </is>
      </c>
      <c r="F77" s="2" t="inlineStr">
        <is>
          <t>DEC_IMPL</t>
        </is>
      </c>
      <c r="G77" s="2" t="inlineStr">
        <is>
          <t>2010-09-27</t>
        </is>
      </c>
      <c r="H77" s="2" t="inlineStr">
        <is>
          <t>2010/579/EU: Council Implementing Decision of 27 September 2010 authorising the Federal Republic of Germany and the Grand Duchy of Luxembourg to apply a measure derogating from Article 5 of Directive 2006/112/EC on the common system of value added tax</t>
        </is>
      </c>
      <c r="I77" s="2" t="inlineStr">
        <is>
          <t>yes</t>
        </is>
      </c>
      <c r="J77" s="2" t="inlineStr">
        <is>
          <t>https://eur-lex.europa.eu/legal-content/EN/TXT/?uri=CELEX:32010D0579</t>
        </is>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t="inlineStr"/>
    </row>
    <row r="78">
      <c r="A78" s="2" t="n">
        <v>14</v>
      </c>
      <c r="B78" s="2" t="inlineStr">
        <is>
          <t>Common VAT system Directive</t>
        </is>
      </c>
      <c r="C78" s="2" t="inlineStr">
        <is>
          <t>32006L0112</t>
        </is>
      </c>
      <c r="D78" s="2" t="inlineStr">
        <is>
          <t>32010D0580</t>
        </is>
      </c>
      <c r="E78" s="2" t="inlineStr">
        <is>
          <t>implementing</t>
        </is>
      </c>
      <c r="F78" s="2" t="inlineStr">
        <is>
          <t>DEC_IMPL</t>
        </is>
      </c>
      <c r="G78" s="2" t="inlineStr">
        <is>
          <t>2010-09-27</t>
        </is>
      </c>
      <c r="H78" s="2" t="inlineStr">
        <is>
          <t>2010/580/EU: Council Implementing Decision of 27 September 2010 authorising the Kingdom of the Netherlands to apply a measure derogating from Article 193 of Directive 2006/112/EC on the common system of value added tax</t>
        </is>
      </c>
      <c r="I78" s="2" t="inlineStr">
        <is>
          <t>yes</t>
        </is>
      </c>
      <c r="J78" s="2" t="inlineStr">
        <is>
          <t>https://eur-lex.europa.eu/legal-content/EN/TXT/?uri=CELEX:32010D0580</t>
        </is>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t="inlineStr"/>
    </row>
    <row r="79">
      <c r="A79" s="2" t="n">
        <v>14</v>
      </c>
      <c r="B79" s="2" t="inlineStr">
        <is>
          <t>Common VAT system Directive</t>
        </is>
      </c>
      <c r="C79" s="2" t="inlineStr">
        <is>
          <t>32006L0112</t>
        </is>
      </c>
      <c r="D79" s="2" t="inlineStr">
        <is>
          <t>32010D0581</t>
        </is>
      </c>
      <c r="E79" s="2" t="inlineStr">
        <is>
          <t>implementing</t>
        </is>
      </c>
      <c r="F79" s="2" t="inlineStr">
        <is>
          <t>DEC_IMPL</t>
        </is>
      </c>
      <c r="G79" s="2" t="inlineStr">
        <is>
          <t>2010-09-27</t>
        </is>
      </c>
      <c r="H79" s="2" t="inlineStr">
        <is>
          <t>2010/581/EU: Council Implementing Decision of 27 September 2010 authorising the Republic of Poland to introduce a special measure derogating from Article 26(1)(a) and Article 168 of Directive 2006/112/EC on the common system of value added tax</t>
        </is>
      </c>
      <c r="I79" s="2" t="inlineStr">
        <is>
          <t>yes</t>
        </is>
      </c>
      <c r="J79" s="2" t="inlineStr">
        <is>
          <t>https://eur-lex.europa.eu/legal-content/EN/TXT/?uri=CELEX:32010D0581</t>
        </is>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t="inlineStr"/>
    </row>
    <row r="80">
      <c r="A80" s="2" t="n">
        <v>14</v>
      </c>
      <c r="B80" s="2" t="inlineStr">
        <is>
          <t>Common VAT system Directive</t>
        </is>
      </c>
      <c r="C80" s="2" t="inlineStr">
        <is>
          <t>32006L0112</t>
        </is>
      </c>
      <c r="D80" s="2" t="inlineStr">
        <is>
          <t>32010D0582</t>
        </is>
      </c>
      <c r="E80" s="2" t="inlineStr">
        <is>
          <t>implementing</t>
        </is>
      </c>
      <c r="F80" s="2" t="inlineStr">
        <is>
          <t>DEC_IMPL</t>
        </is>
      </c>
      <c r="G80" s="2" t="inlineStr">
        <is>
          <t>2010-09-27</t>
        </is>
      </c>
      <c r="H80" s="2" t="inlineStr">
        <is>
          <t>2010/582/EU: Council Implementing Decision of 27 September 2010 authorising the French Republic and the Italian Republic to introduce a special measure derogating from Article 5 of Directive 2006/112/EC on the common system of value added tax</t>
        </is>
      </c>
      <c r="I80" s="2" t="inlineStr">
        <is>
          <t>yes</t>
        </is>
      </c>
      <c r="J80" s="2" t="inlineStr">
        <is>
          <t>https://eur-lex.europa.eu/legal-content/EN/TXT/?uri=CELEX:32010D0582</t>
        </is>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t="inlineStr"/>
    </row>
    <row r="81">
      <c r="A81" s="2" t="n">
        <v>14</v>
      </c>
      <c r="B81" s="2" t="inlineStr">
        <is>
          <t>Common VAT system Directive</t>
        </is>
      </c>
      <c r="C81" s="2" t="inlineStr">
        <is>
          <t>32006L0112</t>
        </is>
      </c>
      <c r="D81" s="2" t="inlineStr">
        <is>
          <t>32010D0583</t>
        </is>
      </c>
      <c r="E81" s="2" t="inlineStr">
        <is>
          <t>implementing</t>
        </is>
      </c>
      <c r="F81" s="2" t="inlineStr">
        <is>
          <t>DEC_IMPL</t>
        </is>
      </c>
      <c r="G81" s="2" t="inlineStr">
        <is>
          <t>2010-09-27</t>
        </is>
      </c>
      <c r="H81" s="2" t="inlineStr">
        <is>
          <t>2010/583/EU: Council Implementing Decision of 27 September 2010 authorising Romania to introduce a special measure derogating from Article 193 of Directive 2006/112/EC on the common system of value added tax</t>
        </is>
      </c>
      <c r="I81" s="2" t="inlineStr">
        <is>
          <t>yes</t>
        </is>
      </c>
      <c r="J81" s="2" t="inlineStr">
        <is>
          <t>https://eur-lex.europa.eu/legal-content/EN/TXT/?uri=CELEX:32010D0583</t>
        </is>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t="inlineStr"/>
    </row>
    <row r="82">
      <c r="A82" s="2" t="n">
        <v>14</v>
      </c>
      <c r="B82" s="2" t="inlineStr">
        <is>
          <t>Common VAT system Directive</t>
        </is>
      </c>
      <c r="C82" s="2" t="inlineStr">
        <is>
          <t>32006L0112</t>
        </is>
      </c>
      <c r="D82" s="2" t="inlineStr">
        <is>
          <t>32010D0584</t>
        </is>
      </c>
      <c r="E82" s="2" t="inlineStr">
        <is>
          <t>implementing</t>
        </is>
      </c>
      <c r="F82" s="2" t="inlineStr">
        <is>
          <t>DEC_IMPL</t>
        </is>
      </c>
      <c r="G82" s="2" t="inlineStr">
        <is>
          <t>2010-09-27</t>
        </is>
      </c>
      <c r="H82" s="2" t="inlineStr">
        <is>
          <t>2010/584/EU: Council Implementing Decision of 27 September 2010 authorising the Republic of Latvia to apply a measure derogating from Article 287 of Directive 2006/112/EC on the common system of value added tax</t>
        </is>
      </c>
      <c r="I82" s="2" t="inlineStr">
        <is>
          <t>yes</t>
        </is>
      </c>
      <c r="J82" s="2" t="inlineStr">
        <is>
          <t>https://eur-lex.europa.eu/legal-content/EN/TXT/?uri=CELEX:32010D0584</t>
        </is>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t="inlineStr"/>
    </row>
    <row r="83">
      <c r="A83" s="2" t="n">
        <v>14</v>
      </c>
      <c r="B83" s="2" t="inlineStr">
        <is>
          <t>Common VAT system Directive</t>
        </is>
      </c>
      <c r="C83" s="2" t="inlineStr">
        <is>
          <t>32006L0112</t>
        </is>
      </c>
      <c r="D83" s="2" t="inlineStr">
        <is>
          <t>32010D0688</t>
        </is>
      </c>
      <c r="E83" s="2" t="inlineStr">
        <is>
          <t>implementing</t>
        </is>
      </c>
      <c r="F83" s="2" t="inlineStr">
        <is>
          <t>DEC_IMPL</t>
        </is>
      </c>
      <c r="G83" s="2" t="inlineStr">
        <is>
          <t>2010-10-15</t>
        </is>
      </c>
      <c r="H83" s="2" t="inlineStr">
        <is>
          <t>Council Implementing Decision of 15 October 2010 authorising the Italian Republic to continue to apply a special measure derogating from Article 285 of Directive 2006/112/EC on the common system of value added tax</t>
        </is>
      </c>
      <c r="I83" s="2" t="inlineStr">
        <is>
          <t>yes</t>
        </is>
      </c>
      <c r="J83" s="2" t="inlineStr">
        <is>
          <t>https://eur-lex.europa.eu/legal-content/EN/TXT/?uri=CELEX:32010D0688</t>
        </is>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t="inlineStr"/>
    </row>
    <row r="84">
      <c r="A84" s="2" t="n">
        <v>14</v>
      </c>
      <c r="B84" s="2" t="inlineStr">
        <is>
          <t>Common VAT system Directive</t>
        </is>
      </c>
      <c r="C84" s="2" t="inlineStr">
        <is>
          <t>32006L0112</t>
        </is>
      </c>
      <c r="D84" s="2" t="inlineStr">
        <is>
          <t>32010D0710</t>
        </is>
      </c>
      <c r="E84" s="2" t="inlineStr">
        <is>
          <t>implementing</t>
        </is>
      </c>
      <c r="F84" s="2" t="inlineStr">
        <is>
          <t>DEC_IMPL</t>
        </is>
      </c>
      <c r="G84" s="2" t="inlineStr">
        <is>
          <t>2010-11-22</t>
        </is>
      </c>
      <c r="H84" s="2" t="inlineStr">
        <is>
          <t>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is>
      </c>
      <c r="I84" s="2" t="inlineStr">
        <is>
          <t>yes</t>
        </is>
      </c>
      <c r="J84" s="2" t="inlineStr">
        <is>
          <t>https://eur-lex.europa.eu/legal-content/EN/TXT/?uri=CELEX:32010D0710</t>
        </is>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t="inlineStr"/>
    </row>
    <row r="85">
      <c r="A85" s="2" t="n">
        <v>14</v>
      </c>
      <c r="B85" s="2" t="inlineStr">
        <is>
          <t>Common VAT system Directive</t>
        </is>
      </c>
      <c r="C85" s="2" t="inlineStr">
        <is>
          <t>32006L0112</t>
        </is>
      </c>
      <c r="D85" s="2" t="inlineStr">
        <is>
          <t>32010D0748</t>
        </is>
      </c>
      <c r="E85" s="2" t="inlineStr">
        <is>
          <t>implementing</t>
        </is>
      </c>
      <c r="F85" s="2" t="inlineStr">
        <is>
          <t>DEC_IMPL</t>
        </is>
      </c>
      <c r="G85" s="2" t="inlineStr">
        <is>
          <t>2010-11-25</t>
        </is>
      </c>
      <c r="H85" s="2" t="inlineStr">
        <is>
          <t>2010/748/EU: Council Implementing Decision of 29 November 2010 amending Decision 2007/441/EC authorising the Italian Republic to apply measures derogating from Articles 26(1)(a) and 168 of Directive 2006/112/EC on the common system of value added tax</t>
        </is>
      </c>
      <c r="I85" s="2" t="inlineStr">
        <is>
          <t>yes</t>
        </is>
      </c>
      <c r="J85" s="2" t="inlineStr">
        <is>
          <t>https://eur-lex.europa.eu/legal-content/EN/TXT/?uri=CELEX:32010D0748</t>
        </is>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t="inlineStr"/>
    </row>
    <row r="86">
      <c r="A86" s="2" t="n">
        <v>14</v>
      </c>
      <c r="B86" s="2" t="inlineStr">
        <is>
          <t>Common VAT system Directive</t>
        </is>
      </c>
      <c r="C86" s="2" t="inlineStr">
        <is>
          <t>32006L0112</t>
        </is>
      </c>
      <c r="D86" s="2" t="inlineStr">
        <is>
          <t>32011D0037</t>
        </is>
      </c>
      <c r="E86" s="2" t="inlineStr">
        <is>
          <t>implementing</t>
        </is>
      </c>
      <c r="F86" s="2" t="inlineStr">
        <is>
          <t>DEC_IMPL</t>
        </is>
      </c>
      <c r="G86" s="2" t="inlineStr">
        <is>
          <t>2011-01-18</t>
        </is>
      </c>
      <c r="H86" s="2" t="inlineStr">
        <is>
          <t>2011/37/EU: Council Implementing Decision of 18 January 2011 amending Decision 2007/884/EC authorising the United Kingdom to continue to apply a measure derogating from Articles 26(1)(a), 168 and 169 of Directive 2006/112/EC on the common system of value added tax</t>
        </is>
      </c>
      <c r="I86" s="2" t="inlineStr">
        <is>
          <t>yes</t>
        </is>
      </c>
      <c r="J86" s="2" t="inlineStr">
        <is>
          <t>https://eur-lex.europa.eu/legal-content/EN/TXT/?uri=CELEX:32011D0037</t>
        </is>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t="inlineStr"/>
    </row>
    <row r="87">
      <c r="A87" s="2" t="n">
        <v>14</v>
      </c>
      <c r="B87" s="2" t="inlineStr">
        <is>
          <t>Common VAT system Directive</t>
        </is>
      </c>
      <c r="C87" s="2" t="inlineStr">
        <is>
          <t>32006L0112</t>
        </is>
      </c>
      <c r="D87" s="2" t="inlineStr">
        <is>
          <t>32011R0282</t>
        </is>
      </c>
      <c r="E87" s="2" t="inlineStr">
        <is>
          <t>implementing</t>
        </is>
      </c>
      <c r="F87" s="2" t="inlineStr">
        <is>
          <t>REG_IMPL</t>
        </is>
      </c>
      <c r="G87" s="2" t="inlineStr">
        <is>
          <t>2011-03-15</t>
        </is>
      </c>
      <c r="H87" s="2" t="inlineStr">
        <is>
          <t>Council Implementing Regulation (EU) No 282/2011 of 15 March 2011 laying down implementing measures for Directive 2006/112/EC on the common system of value added tax (recast)</t>
        </is>
      </c>
      <c r="I87" s="2" t="inlineStr">
        <is>
          <t>no</t>
        </is>
      </c>
      <c r="J87" s="2" t="inlineStr">
        <is>
          <t>https://eur-lex.europa.eu/legal-content/EN/TXT/?uri=CELEX:32011R0282</t>
        </is>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t="inlineStr"/>
    </row>
    <row r="88">
      <c r="A88" s="2" t="n">
        <v>14</v>
      </c>
      <c r="B88" s="2" t="inlineStr">
        <is>
          <t>Common VAT system Directive</t>
        </is>
      </c>
      <c r="C88" s="2" t="inlineStr">
        <is>
          <t>32006L0112</t>
        </is>
      </c>
      <c r="D88" s="2" t="inlineStr">
        <is>
          <t>32011D0335</t>
        </is>
      </c>
      <c r="E88" s="2" t="inlineStr">
        <is>
          <t>implementing</t>
        </is>
      </c>
      <c r="F88" s="2" t="inlineStr">
        <is>
          <t>DEC_IMPL</t>
        </is>
      </c>
      <c r="G88" s="2" t="inlineStr">
        <is>
          <t>2011-05-30</t>
        </is>
      </c>
      <c r="H88" s="2" t="inlineStr">
        <is>
          <t>2011/335/EU: Council Implementing Decision of 30 May 2011 authorising the Republic of Lithuania to apply a measure derogating from Article 287 of Directive 2006/112/EC on the common system of value added tax</t>
        </is>
      </c>
      <c r="I88" s="2" t="inlineStr">
        <is>
          <t>yes</t>
        </is>
      </c>
      <c r="J88" s="2" t="inlineStr">
        <is>
          <t>https://eur-lex.europa.eu/legal-content/EN/TXT/?uri=CELEX:32011D0335</t>
        </is>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t="inlineStr"/>
    </row>
    <row r="89">
      <c r="A89" s="2" t="n">
        <v>14</v>
      </c>
      <c r="B89" s="2" t="inlineStr">
        <is>
          <t>Common VAT system Directive</t>
        </is>
      </c>
      <c r="C89" s="2" t="inlineStr">
        <is>
          <t>32006L0112</t>
        </is>
      </c>
      <c r="D89" s="2" t="inlineStr">
        <is>
          <t>32011D0363</t>
        </is>
      </c>
      <c r="E89" s="2" t="inlineStr">
        <is>
          <t>implementing</t>
        </is>
      </c>
      <c r="F89" s="2" t="inlineStr">
        <is>
          <t>DEC_IMPL</t>
        </is>
      </c>
      <c r="G89" s="2" t="inlineStr">
        <is>
          <t>2011-06-20</t>
        </is>
      </c>
      <c r="H89" s="2" t="inlineStr">
        <is>
          <t>2011/363/EU: Council Implementing Decision of 20 June 2011 authorising Romania to introduce a special measure derogating from Article 193 of Directive 2006/112/EC on the common system of value added tax</t>
        </is>
      </c>
      <c r="I89" s="2" t="inlineStr">
        <is>
          <t>yes</t>
        </is>
      </c>
      <c r="J89" s="2" t="inlineStr">
        <is>
          <t>https://eur-lex.europa.eu/legal-content/EN/TXT/?uri=CELEX:32011D0363</t>
        </is>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t="inlineStr"/>
    </row>
    <row r="90">
      <c r="A90" s="2" t="n">
        <v>14</v>
      </c>
      <c r="B90" s="2" t="inlineStr">
        <is>
          <t>Common VAT system Directive</t>
        </is>
      </c>
      <c r="C90" s="2" t="inlineStr">
        <is>
          <t>32006L0112</t>
        </is>
      </c>
      <c r="D90" s="2" t="inlineStr">
        <is>
          <t>32012D0085</t>
        </is>
      </c>
      <c r="E90" s="2" t="inlineStr">
        <is>
          <t>implementing</t>
        </is>
      </c>
      <c r="F90" s="2" t="inlineStr">
        <is>
          <t>DEC_IMPL</t>
        </is>
      </c>
      <c r="G90" s="2" t="inlineStr">
        <is>
          <t>2012-02-10</t>
        </is>
      </c>
      <c r="H90" s="2" t="inlineStr">
        <is>
          <t>2012/85/EU: Council Implementing Decision of 10 February 2012 authorising Spain and France to introduce a special measure derogating from Article 5 of Directive 2006/112/EC on the common system of value added tax</t>
        </is>
      </c>
      <c r="I90" s="2" t="inlineStr">
        <is>
          <t>yes</t>
        </is>
      </c>
      <c r="J90" s="2" t="inlineStr">
        <is>
          <t>https://eur-lex.europa.eu/legal-content/EN/TXT/?uri=CELEX:32012D0085</t>
        </is>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t="inlineStr"/>
    </row>
    <row r="91">
      <c r="A91" s="2" t="n">
        <v>14</v>
      </c>
      <c r="B91" s="2" t="inlineStr">
        <is>
          <t>Common VAT system Directive</t>
        </is>
      </c>
      <c r="C91" s="2" t="inlineStr">
        <is>
          <t>32006L0112</t>
        </is>
      </c>
      <c r="D91" s="2" t="inlineStr">
        <is>
          <t>32012D0181</t>
        </is>
      </c>
      <c r="E91" s="2" t="inlineStr">
        <is>
          <t>implementing</t>
        </is>
      </c>
      <c r="F91" s="2" t="inlineStr">
        <is>
          <t>DEC_IMPL</t>
        </is>
      </c>
      <c r="G91" s="2" t="inlineStr">
        <is>
          <t>2012-03-26</t>
        </is>
      </c>
      <c r="H91" s="2" t="inlineStr">
        <is>
          <t>2012/181/EU: Council Implementing Decision of 26 March 2012 authorising Romania to introduce a special measure derogating from Article 287 of Directive 2006/112/EC on the common system of value added tax</t>
        </is>
      </c>
      <c r="I91" s="2" t="inlineStr">
        <is>
          <t>yes</t>
        </is>
      </c>
      <c r="J91" s="2" t="inlineStr">
        <is>
          <t>https://eur-lex.europa.eu/legal-content/EN/TXT/?uri=CELEX:32012D0181</t>
        </is>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t="inlineStr"/>
    </row>
    <row r="92">
      <c r="A92" s="2" t="n">
        <v>14</v>
      </c>
      <c r="B92" s="2" t="inlineStr">
        <is>
          <t>Common VAT system Directive</t>
        </is>
      </c>
      <c r="C92" s="2" t="inlineStr">
        <is>
          <t>32006L0112</t>
        </is>
      </c>
      <c r="D92" s="2" t="inlineStr">
        <is>
          <t>32012D0232</t>
        </is>
      </c>
      <c r="E92" s="2" t="inlineStr">
        <is>
          <t>implementing</t>
        </is>
      </c>
      <c r="F92" s="2" t="inlineStr">
        <is>
          <t>DEC_IMPL</t>
        </is>
      </c>
      <c r="G92" s="2" t="inlineStr">
        <is>
          <t>2012-04-26</t>
        </is>
      </c>
      <c r="H92" s="2" t="inlineStr">
        <is>
          <t>2012/232/EU: Council Implementing Decision of 26 April 2012 authorising Romania to apply measures derogating from Article 26(1)(a) and Article 168 of Directive 2006/112/EC on the common system of value added tax</t>
        </is>
      </c>
      <c r="I92" s="2" t="inlineStr">
        <is>
          <t>yes</t>
        </is>
      </c>
      <c r="J92" s="2" t="inlineStr">
        <is>
          <t>https://eur-lex.europa.eu/legal-content/EN/TXT/?uri=CELEX:32012D0232</t>
        </is>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t="inlineStr"/>
    </row>
    <row r="93">
      <c r="A93" s="2" t="n">
        <v>14</v>
      </c>
      <c r="B93" s="2" t="inlineStr">
        <is>
          <t>Common VAT system Directive</t>
        </is>
      </c>
      <c r="C93" s="2" t="inlineStr">
        <is>
          <t>32006L0112</t>
        </is>
      </c>
      <c r="D93" s="2" t="inlineStr">
        <is>
          <t>32012D0447</t>
        </is>
      </c>
      <c r="E93" s="2" t="inlineStr">
        <is>
          <t>implementing</t>
        </is>
      </c>
      <c r="F93" s="2" t="inlineStr">
        <is>
          <t>DEC_IMPL</t>
        </is>
      </c>
      <c r="G93" s="2" t="inlineStr">
        <is>
          <t>2012-07-24</t>
        </is>
      </c>
      <c r="H93" s="2" t="inlineStr">
        <is>
          <t>2012/447/EU: Council Implementing Decision of 24 July 2012 authorising Denmark to introduce a special measure derogating from Article 75 of Directive 2006/112/EC on the common system of value added tax</t>
        </is>
      </c>
      <c r="I93" s="2" t="inlineStr">
        <is>
          <t>yes</t>
        </is>
      </c>
      <c r="J93" s="2" t="inlineStr">
        <is>
          <t>https://eur-lex.europa.eu/legal-content/EN/TXT/?uri=CELEX:32012D0447</t>
        </is>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t="inlineStr"/>
    </row>
    <row r="94">
      <c r="A94" s="2" t="n">
        <v>14</v>
      </c>
      <c r="B94" s="2" t="inlineStr">
        <is>
          <t>Common VAT system Directive</t>
        </is>
      </c>
      <c r="C94" s="2" t="inlineStr">
        <is>
          <t>32006L0112</t>
        </is>
      </c>
      <c r="D94" s="2" t="inlineStr">
        <is>
          <t>32012D0624</t>
        </is>
      </c>
      <c r="E94" s="2" t="inlineStr">
        <is>
          <t>implementing</t>
        </is>
      </c>
      <c r="F94" s="2" t="inlineStr">
        <is>
          <t>DEC_IMPL</t>
        </is>
      </c>
      <c r="G94" s="2" t="inlineStr">
        <is>
          <t>2012-10-04</t>
        </is>
      </c>
      <c r="H94" s="2" t="inlineStr">
        <is>
          <t>2012/624/EU: Council Implementing Decision of 4 October 2012 authorising Hungary to introduce a special measure derogating from Article 193 of Directive 2006/112/EC on the common system of value added tax</t>
        </is>
      </c>
      <c r="I94" s="2" t="inlineStr">
        <is>
          <t>yes</t>
        </is>
      </c>
      <c r="J94" s="2" t="inlineStr">
        <is>
          <t>https://eur-lex.europa.eu/legal-content/EN/TXT/?uri=CELEX:32012D0624</t>
        </is>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t="inlineStr"/>
    </row>
    <row r="95">
      <c r="A95" s="2" t="n">
        <v>14</v>
      </c>
      <c r="B95" s="2" t="inlineStr">
        <is>
          <t>Common VAT system Directive</t>
        </is>
      </c>
      <c r="C95" s="2" t="inlineStr">
        <is>
          <t>32006L0112</t>
        </is>
      </c>
      <c r="D95" s="2" t="inlineStr">
        <is>
          <t>32012R0967</t>
        </is>
      </c>
      <c r="E95" s="2" t="inlineStr">
        <is>
          <t>other Commission/Council act</t>
        </is>
      </c>
      <c r="F95" s="2" t="inlineStr">
        <is>
          <t>REG</t>
        </is>
      </c>
      <c r="G95" s="2" t="inlineStr">
        <is>
          <t>2012-10-09</t>
        </is>
      </c>
      <c r="H95" s="2" t="inlineStr">
        <is>
          <t>Council Regulation (EU) No 967/2012 of 9 October 2012 amending Implementing Regulation (EU) No 282/2011 as regards the special schemes for non-established taxable persons supplying telecommunications services, broadcasting services or electronic services to non-taxable persons</t>
        </is>
      </c>
      <c r="I95" s="2" t="inlineStr">
        <is>
          <t>no</t>
        </is>
      </c>
      <c r="J95" s="2" t="inlineStr">
        <is>
          <t>https://eur-lex.europa.eu/legal-content/EN/TXT/?uri=CELEX:32012R0967</t>
        </is>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t="inlineStr"/>
    </row>
    <row r="96">
      <c r="A96" s="2" t="n">
        <v>14</v>
      </c>
      <c r="B96" s="2" t="inlineStr">
        <is>
          <t>Common VAT system Directive</t>
        </is>
      </c>
      <c r="C96" s="2" t="inlineStr">
        <is>
          <t>32006L0112</t>
        </is>
      </c>
      <c r="D96" s="2" t="inlineStr">
        <is>
          <t>32012D0704</t>
        </is>
      </c>
      <c r="E96" s="2" t="inlineStr">
        <is>
          <t>implementing</t>
        </is>
      </c>
      <c r="F96" s="2" t="inlineStr">
        <is>
          <t>DEC_IMPL</t>
        </is>
      </c>
      <c r="G96" s="2" t="inlineStr">
        <is>
          <t>2012-11-13</t>
        </is>
      </c>
      <c r="H96" s="2" t="inlineStr">
        <is>
          <t>2012/704/EU: Council Implementing Decision of 13 November 2012 amending Implementing Decision 2010/99/EU authorising the Republic of Lithuania to extend the application of a measure derogating from Article 193 of Directive 2006/112/EC on the common system of value added tax</t>
        </is>
      </c>
      <c r="I96" s="2" t="inlineStr">
        <is>
          <t>yes</t>
        </is>
      </c>
      <c r="J96" s="2" t="inlineStr">
        <is>
          <t>https://eur-lex.europa.eu/legal-content/EN/TXT/?uri=CELEX:32012D0704</t>
        </is>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t="inlineStr"/>
    </row>
    <row r="97">
      <c r="A97" s="2" t="n">
        <v>14</v>
      </c>
      <c r="B97" s="2" t="inlineStr">
        <is>
          <t>Common VAT system Directive</t>
        </is>
      </c>
      <c r="C97" s="2" t="inlineStr">
        <is>
          <t>32006L0112</t>
        </is>
      </c>
      <c r="D97" s="2" t="inlineStr">
        <is>
          <t>32012D0705</t>
        </is>
      </c>
      <c r="E97" s="2" t="inlineStr">
        <is>
          <t>implementing</t>
        </is>
      </c>
      <c r="F97" s="2" t="inlineStr">
        <is>
          <t>DEC_IMPL</t>
        </is>
      </c>
      <c r="G97" s="2" t="inlineStr">
        <is>
          <t>2012-11-13</t>
        </is>
      </c>
      <c r="H97" s="2" t="inlineStr">
        <is>
          <t>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is>
      </c>
      <c r="I97" s="2" t="inlineStr">
        <is>
          <t>yes</t>
        </is>
      </c>
      <c r="J97" s="2" t="inlineStr">
        <is>
          <t>https://eur-lex.europa.eu/legal-content/EN/TXT/?uri=CELEX:32012D0705</t>
        </is>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t="inlineStr"/>
    </row>
    <row r="98">
      <c r="A98" s="2" t="n">
        <v>14</v>
      </c>
      <c r="B98" s="2" t="inlineStr">
        <is>
          <t>Common VAT system Directive</t>
        </is>
      </c>
      <c r="C98" s="2" t="inlineStr">
        <is>
          <t>32006L0112</t>
        </is>
      </c>
      <c r="D98" s="2" t="inlineStr">
        <is>
          <t>32012D0769</t>
        </is>
      </c>
      <c r="E98" s="2" t="inlineStr">
        <is>
          <t>implementing</t>
        </is>
      </c>
      <c r="F98" s="2" t="inlineStr">
        <is>
          <t>DEC_IMPL</t>
        </is>
      </c>
      <c r="G98" s="2" t="inlineStr">
        <is>
          <t>2012-12-04</t>
        </is>
      </c>
      <c r="H98" s="2" t="inlineStr">
        <is>
          <t>2012/769/EU: Council Implementing Decision of 4 December 2012 amending Decision 2009/790/EC authorising the Republic of Poland to apply a measure derogating from Article 287 of Directive 2006/112/EC on the common system of value added tax</t>
        </is>
      </c>
      <c r="I98" s="2" t="inlineStr">
        <is>
          <t>yes</t>
        </is>
      </c>
      <c r="J98" s="2" t="inlineStr">
        <is>
          <t>https://eur-lex.europa.eu/legal-content/EN/TXT/?uri=CELEX:32012D0769</t>
        </is>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t="inlineStr"/>
    </row>
    <row r="99">
      <c r="A99" s="2" t="n">
        <v>14</v>
      </c>
      <c r="B99" s="2" t="inlineStr">
        <is>
          <t>Common VAT system Directive</t>
        </is>
      </c>
      <c r="C99" s="2" t="inlineStr">
        <is>
          <t>32006L0112</t>
        </is>
      </c>
      <c r="D99" s="2" t="inlineStr">
        <is>
          <t>32012D0794</t>
        </is>
      </c>
      <c r="E99" s="2" t="inlineStr">
        <is>
          <t>implementing</t>
        </is>
      </c>
      <c r="F99" s="2" t="inlineStr">
        <is>
          <t>DEC_IMPL</t>
        </is>
      </c>
      <c r="G99" s="2" t="inlineStr">
        <is>
          <t>2012-12-17</t>
        </is>
      </c>
      <c r="H99" s="2" t="inlineStr">
        <is>
          <t>2012/794/EU: Council Implementing Decision of 17 December 2012 authorising Bulgaria and Romania to apply measures derogating from Article 5 of Directive 2006/112/EC on the common system of value added tax</t>
        </is>
      </c>
      <c r="I99" s="2" t="inlineStr">
        <is>
          <t>yes</t>
        </is>
      </c>
      <c r="J99" s="2" t="inlineStr">
        <is>
          <t>https://eur-lex.europa.eu/legal-content/EN/TXT/?uri=CELEX:32012D0794</t>
        </is>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t="inlineStr"/>
    </row>
    <row r="100">
      <c r="A100" s="2" t="n">
        <v>14</v>
      </c>
      <c r="B100" s="2" t="inlineStr">
        <is>
          <t>Common VAT system Directive</t>
        </is>
      </c>
      <c r="C100" s="2" t="inlineStr">
        <is>
          <t>32006L0112</t>
        </is>
      </c>
      <c r="D100" s="2" t="inlineStr">
        <is>
          <t>32013D0053</t>
        </is>
      </c>
      <c r="E100" s="2" t="inlineStr">
        <is>
          <t>implementing</t>
        </is>
      </c>
      <c r="F100" s="2" t="inlineStr">
        <is>
          <t>DEC_IMPL</t>
        </is>
      </c>
      <c r="G100" s="2" t="inlineStr">
        <is>
          <t>2013-01-22</t>
        </is>
      </c>
      <c r="H100" s="2" t="inlineStr">
        <is>
          <t>2013/53/EU: Council Implementing Decision of 22 January 2013 authorising the Kingdom of Belgium to introduce a special measure derogating from Article 285 of Directive 2006/112/EC on the common system of value added tax</t>
        </is>
      </c>
      <c r="I100" s="2" t="inlineStr">
        <is>
          <t>yes</t>
        </is>
      </c>
      <c r="J100" s="2" t="inlineStr">
        <is>
          <t>https://eur-lex.europa.eu/legal-content/EN/TXT/?uri=CELEX:32013D0053</t>
        </is>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t="inlineStr"/>
    </row>
    <row r="101">
      <c r="A101" s="2" t="n">
        <v>14</v>
      </c>
      <c r="B101" s="2" t="inlineStr">
        <is>
          <t>Common VAT system Directive</t>
        </is>
      </c>
      <c r="C101" s="2" t="inlineStr">
        <is>
          <t>32006L0112</t>
        </is>
      </c>
      <c r="D101" s="2" t="inlineStr">
        <is>
          <t>32013D0054</t>
        </is>
      </c>
      <c r="E101" s="2" t="inlineStr">
        <is>
          <t>implementing</t>
        </is>
      </c>
      <c r="F101" s="2" t="inlineStr">
        <is>
          <t>DEC_IMPL</t>
        </is>
      </c>
      <c r="G101" s="2" t="inlineStr">
        <is>
          <t>2013-01-22</t>
        </is>
      </c>
      <c r="H101" s="2" t="inlineStr">
        <is>
          <t>2013/54/EU: Council Implementing Decision of 22 January 2013 authorising the Republic of Slovenia to introduce a special measure derogating from Article 287 of Directive 2006/112/EC on the common system of value added tax</t>
        </is>
      </c>
      <c r="I101" s="2" t="inlineStr">
        <is>
          <t>yes</t>
        </is>
      </c>
      <c r="J101" s="2" t="inlineStr">
        <is>
          <t>https://eur-lex.europa.eu/legal-content/EN/TXT/?uri=CELEX:32013D0054</t>
        </is>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t="inlineStr"/>
    </row>
    <row r="102">
      <c r="A102" s="2" t="n">
        <v>14</v>
      </c>
      <c r="B102" s="2" t="inlineStr">
        <is>
          <t>Common VAT system Directive</t>
        </is>
      </c>
      <c r="C102" s="2" t="inlineStr">
        <is>
          <t>32006L0112</t>
        </is>
      </c>
      <c r="D102" s="2" t="inlineStr">
        <is>
          <t>32013D0055</t>
        </is>
      </c>
      <c r="E102" s="2" t="inlineStr">
        <is>
          <t>implementing</t>
        </is>
      </c>
      <c r="F102" s="2" t="inlineStr">
        <is>
          <t>DEC_IMPL</t>
        </is>
      </c>
      <c r="G102" s="2" t="inlineStr">
        <is>
          <t>2013-01-22</t>
        </is>
      </c>
      <c r="H102" s="2" t="inlineStr">
        <is>
          <t>2013/55/EU: Council Implementing Decision of 22 January 2013 amending Implementing Decision 2009/1008/EU authorising the Republic of Latvia to extend the application of a measure derogating from Article 193 of Directive 2006/112/EC on the common system of value added tax</t>
        </is>
      </c>
      <c r="I102" s="2" t="inlineStr">
        <is>
          <t>yes</t>
        </is>
      </c>
      <c r="J102" s="2" t="inlineStr">
        <is>
          <t>https://eur-lex.europa.eu/legal-content/EN/TXT/?uri=CELEX:32013D0055</t>
        </is>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t="inlineStr"/>
    </row>
    <row r="103">
      <c r="A103" s="2" t="n">
        <v>14</v>
      </c>
      <c r="B103" s="2" t="inlineStr">
        <is>
          <t>Common VAT system Directive</t>
        </is>
      </c>
      <c r="C103" s="2" t="inlineStr">
        <is>
          <t>32006L0112</t>
        </is>
      </c>
      <c r="D103" s="2" t="inlineStr">
        <is>
          <t>32013D0056</t>
        </is>
      </c>
      <c r="E103" s="2" t="inlineStr">
        <is>
          <t>implementing</t>
        </is>
      </c>
      <c r="F103" s="2" t="inlineStr">
        <is>
          <t>DEC_IMPL</t>
        </is>
      </c>
      <c r="G103" s="2" t="inlineStr">
        <is>
          <t>2013-01-22</t>
        </is>
      </c>
      <c r="H103" s="2" t="inlineStr">
        <is>
          <t>2013/56/EU: Council Implementing Decision of 22 January 2013 amending Implementing Decision 2010/39/EU authorising the Portuguese Republic to apply a measure derogating from Articles 168, 193 and 250 of Directive 2006/112/EC on the common system of value added tax</t>
        </is>
      </c>
      <c r="I103" s="2" t="inlineStr">
        <is>
          <t>yes</t>
        </is>
      </c>
      <c r="J103" s="2" t="inlineStr">
        <is>
          <t>https://eur-lex.europa.eu/legal-content/EN/TXT/?uri=CELEX:32013D0056</t>
        </is>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t="inlineStr"/>
    </row>
    <row r="104">
      <c r="A104" s="2" t="n">
        <v>14</v>
      </c>
      <c r="B104" s="2" t="inlineStr">
        <is>
          <t>Common VAT system Directive</t>
        </is>
      </c>
      <c r="C104" s="2" t="inlineStr">
        <is>
          <t>32006L0112</t>
        </is>
      </c>
      <c r="D104" s="2" t="inlineStr">
        <is>
          <t>32013D0116</t>
        </is>
      </c>
      <c r="E104" s="2" t="inlineStr">
        <is>
          <t>implementing</t>
        </is>
      </c>
      <c r="F104" s="2" t="inlineStr">
        <is>
          <t>DEC_IMPL</t>
        </is>
      </c>
      <c r="G104" s="2" t="inlineStr">
        <is>
          <t>2013-03-05</t>
        </is>
      </c>
      <c r="H104" s="2" t="inlineStr">
        <is>
          <t>2013/116/EU: Council Implementing Decision of 5 March 2013 authorising the Kingdom of the Netherlands to apply a measure derogating from Article 193 of Directive 2006/112/EC on the common system of value added tax</t>
        </is>
      </c>
      <c r="I104" s="2" t="inlineStr">
        <is>
          <t>yes</t>
        </is>
      </c>
      <c r="J104" s="2" t="inlineStr">
        <is>
          <t>https://eur-lex.europa.eu/legal-content/EN/TXT/?uri=CELEX:32013D0116</t>
        </is>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t="inlineStr"/>
    </row>
    <row r="105">
      <c r="A105" s="2" t="n">
        <v>14</v>
      </c>
      <c r="B105" s="2" t="inlineStr">
        <is>
          <t>Common VAT system Directive</t>
        </is>
      </c>
      <c r="C105" s="2" t="inlineStr">
        <is>
          <t>32006L0112</t>
        </is>
      </c>
      <c r="D105" s="2" t="inlineStr">
        <is>
          <t>32013D0191</t>
        </is>
      </c>
      <c r="E105" s="2" t="inlineStr">
        <is>
          <t>implementing</t>
        </is>
      </c>
      <c r="F105" s="2" t="inlineStr">
        <is>
          <t>DEC_IMPL</t>
        </is>
      </c>
      <c r="G105" s="2" t="inlineStr">
        <is>
          <t>2013-04-22</t>
        </is>
      </c>
      <c r="H105" s="2" t="inlineStr">
        <is>
          <t>2013/191/EU: Council Implementing Decision of 22 April 2013 authorising Latvia to introduce a special measure derogating from point (a) of Article 26(1) and Articles 168 and 168a of Directive 2006/112/EC on the common system of value added tax</t>
        </is>
      </c>
      <c r="I105" s="2" t="inlineStr">
        <is>
          <t>yes</t>
        </is>
      </c>
      <c r="J105" s="2" t="inlineStr">
        <is>
          <t>https://eur-lex.europa.eu/legal-content/EN/TXT/?uri=CELEX:32013D0191</t>
        </is>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t="inlineStr"/>
    </row>
    <row r="106">
      <c r="A106" s="2" t="n">
        <v>14</v>
      </c>
      <c r="B106" s="2" t="inlineStr">
        <is>
          <t>Common VAT system Directive</t>
        </is>
      </c>
      <c r="C106" s="2" t="inlineStr">
        <is>
          <t>32006L0112</t>
        </is>
      </c>
      <c r="D106" s="2" t="inlineStr">
        <is>
          <t>32013D0237</t>
        </is>
      </c>
      <c r="E106" s="2" t="inlineStr">
        <is>
          <t>implementing</t>
        </is>
      </c>
      <c r="F106" s="2" t="inlineStr">
        <is>
          <t>DEC_IMPL</t>
        </is>
      </c>
      <c r="G106" s="2" t="inlineStr">
        <is>
          <t>2013-05-14</t>
        </is>
      </c>
      <c r="H106" s="2" t="inlineStr">
        <is>
          <t>2013/237/EU: Council Implementing Decision of 14 May 2013 authorising the Czech Republic and the Republic of Poland to apply special measures derogating from Article 5 of Directive 2006/112/EC on the common system of value added tax</t>
        </is>
      </c>
      <c r="I106" s="2" t="inlineStr">
        <is>
          <t>yes</t>
        </is>
      </c>
      <c r="J106" s="2" t="inlineStr">
        <is>
          <t>https://eur-lex.europa.eu/legal-content/EN/TXT/?uri=CELEX:32013D0237</t>
        </is>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t="inlineStr"/>
    </row>
    <row r="107">
      <c r="A107" s="2" t="n">
        <v>14</v>
      </c>
      <c r="B107" s="2" t="inlineStr">
        <is>
          <t>Common VAT system Directive</t>
        </is>
      </c>
      <c r="C107" s="2" t="inlineStr">
        <is>
          <t>32006L0112</t>
        </is>
      </c>
      <c r="D107" s="2" t="inlineStr">
        <is>
          <t>32013R1042</t>
        </is>
      </c>
      <c r="E107" s="2" t="inlineStr">
        <is>
          <t>implementing</t>
        </is>
      </c>
      <c r="F107" s="2" t="inlineStr">
        <is>
          <t>REG_IMPL</t>
        </is>
      </c>
      <c r="G107" s="2" t="inlineStr">
        <is>
          <t>2013-10-07</t>
        </is>
      </c>
      <c r="H107" s="2" t="inlineStr">
        <is>
          <t>Council Implementing Regulation (EU) No 1042/2013 of 7 October 2013 amending Implementing Regulation (EU) No 282/2011 as regards the place of supply of services</t>
        </is>
      </c>
      <c r="I107" s="2" t="inlineStr">
        <is>
          <t>no</t>
        </is>
      </c>
      <c r="J107" s="2" t="inlineStr">
        <is>
          <t>https://eur-lex.europa.eu/legal-content/EN/TXT/?uri=CELEX:32013R1042</t>
        </is>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t="inlineStr"/>
    </row>
    <row r="108">
      <c r="A108" s="2" t="n">
        <v>14</v>
      </c>
      <c r="B108" s="2" t="inlineStr">
        <is>
          <t>Common VAT system Directive</t>
        </is>
      </c>
      <c r="C108" s="2" t="inlineStr">
        <is>
          <t>32006L0112</t>
        </is>
      </c>
      <c r="D108" s="2" t="inlineStr">
        <is>
          <t>32013D0676</t>
        </is>
      </c>
      <c r="E108" s="2" t="inlineStr">
        <is>
          <t>implementing</t>
        </is>
      </c>
      <c r="F108" s="2" t="inlineStr">
        <is>
          <t>DEC_IMPL</t>
        </is>
      </c>
      <c r="G108" s="2" t="inlineStr">
        <is>
          <t>2013-11-15</t>
        </is>
      </c>
      <c r="H108" s="2" t="inlineStr">
        <is>
          <t>2013/676/EU: Council Implementing Decision of 15 November 2013 authorising Romania to continue to apply a special measure derogating from Article 193 of Directive 2006/112/EC on the common system of value added tax</t>
        </is>
      </c>
      <c r="I108" s="2" t="inlineStr">
        <is>
          <t>yes</t>
        </is>
      </c>
      <c r="J108" s="2" t="inlineStr">
        <is>
          <t>https://eur-lex.europa.eu/legal-content/EN/TXT/?uri=CELEX:32013D0676</t>
        </is>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t="inlineStr"/>
    </row>
    <row r="109">
      <c r="A109" s="2" t="n">
        <v>14</v>
      </c>
      <c r="B109" s="2" t="inlineStr">
        <is>
          <t>Common VAT system Directive</t>
        </is>
      </c>
      <c r="C109" s="2" t="inlineStr">
        <is>
          <t>32006L0112</t>
        </is>
      </c>
      <c r="D109" s="2" t="inlineStr">
        <is>
          <t>32013D0677</t>
        </is>
      </c>
      <c r="E109" s="2" t="inlineStr">
        <is>
          <t>implementing</t>
        </is>
      </c>
      <c r="F109" s="2" t="inlineStr">
        <is>
          <t>DEC_IMPL</t>
        </is>
      </c>
      <c r="G109" s="2" t="inlineStr">
        <is>
          <t>2013-11-15</t>
        </is>
      </c>
      <c r="H109" s="2" t="inlineStr">
        <is>
          <t>2013/677/EU: Council Implementing Decision of 15 November 2013 authorising Luxembourg to introduce a special measure derogating from Article 285 of Directive 2006/112/EC on the common system of value added tax</t>
        </is>
      </c>
      <c r="I109" s="2" t="inlineStr">
        <is>
          <t>yes</t>
        </is>
      </c>
      <c r="J109" s="2" t="inlineStr">
        <is>
          <t>https://eur-lex.europa.eu/legal-content/EN/TXT/?uri=CELEX:32013D0677</t>
        </is>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t="inlineStr"/>
    </row>
    <row r="110">
      <c r="A110" s="2" t="n">
        <v>14</v>
      </c>
      <c r="B110" s="2" t="inlineStr">
        <is>
          <t>Common VAT system Directive</t>
        </is>
      </c>
      <c r="C110" s="2" t="inlineStr">
        <is>
          <t>32006L0112</t>
        </is>
      </c>
      <c r="D110" s="2" t="inlineStr">
        <is>
          <t>32013D0678</t>
        </is>
      </c>
      <c r="E110" s="2" t="inlineStr">
        <is>
          <t>implementing</t>
        </is>
      </c>
      <c r="F110" s="2" t="inlineStr">
        <is>
          <t>DEC_IMPL</t>
        </is>
      </c>
      <c r="G110" s="2" t="inlineStr">
        <is>
          <t>2013-11-15</t>
        </is>
      </c>
      <c r="H110" s="2" t="inlineStr">
        <is>
          <t>2013/678/EU: Council Implementing Decision of 15 November 2013 authorising the Italian Republic to continue to apply a special measure derogating from Article 285 of Directive 2006/112/EC on the common system of value added tax</t>
        </is>
      </c>
      <c r="I110" s="2" t="inlineStr">
        <is>
          <t>yes</t>
        </is>
      </c>
      <c r="J110" s="2" t="inlineStr">
        <is>
          <t>https://eur-lex.europa.eu/legal-content/EN/TXT/?uri=CELEX:32013D0678</t>
        </is>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t="inlineStr"/>
    </row>
    <row r="111">
      <c r="A111" s="2" t="n">
        <v>14</v>
      </c>
      <c r="B111" s="2" t="inlineStr">
        <is>
          <t>Common VAT system Directive</t>
        </is>
      </c>
      <c r="C111" s="2" t="inlineStr">
        <is>
          <t>32006L0112</t>
        </is>
      </c>
      <c r="D111" s="2" t="inlineStr">
        <is>
          <t>32013D0679</t>
        </is>
      </c>
      <c r="E111" s="2" t="inlineStr">
        <is>
          <t>implementing</t>
        </is>
      </c>
      <c r="F111" s="2" t="inlineStr">
        <is>
          <t>DEC_IMPL</t>
        </is>
      </c>
      <c r="G111" s="2" t="inlineStr">
        <is>
          <t>2013-11-15</t>
        </is>
      </c>
      <c r="H111" s="2" t="inlineStr">
        <is>
          <t>2013/679/EU: Council Implementing Decision of 15 November 2013 amending Decision 2007/441/EC authorising the Italian Republic to apply measures derogating from Articles 26(1)(a) and 168 of Directive 2006/112/EC on the common system of value added tax</t>
        </is>
      </c>
      <c r="I111" s="2" t="inlineStr">
        <is>
          <t>yes</t>
        </is>
      </c>
      <c r="J111" s="2" t="inlineStr">
        <is>
          <t>https://eur-lex.europa.eu/legal-content/EN/TXT/?uri=CELEX:32013D0679</t>
        </is>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t="inlineStr"/>
    </row>
    <row r="112">
      <c r="A112" s="2" t="n">
        <v>14</v>
      </c>
      <c r="B112" s="2" t="inlineStr">
        <is>
          <t>Common VAT system Directive</t>
        </is>
      </c>
      <c r="C112" s="2" t="inlineStr">
        <is>
          <t>32006L0112</t>
        </is>
      </c>
      <c r="D112" s="2" t="inlineStr">
        <is>
          <t>32013D0680</t>
        </is>
      </c>
      <c r="E112" s="2" t="inlineStr">
        <is>
          <t>implementing</t>
        </is>
      </c>
      <c r="F112" s="2" t="inlineStr">
        <is>
          <t>DEC_IMPL</t>
        </is>
      </c>
      <c r="G112" s="2" t="inlineStr">
        <is>
          <t>2013-11-15</t>
        </is>
      </c>
      <c r="H112" s="2" t="inlineStr">
        <is>
          <t>2013/680/EU: Council Implementing Decision of 15 November 2013 authorising the Kingdom of Denmark and the Kingdom of Sweden to extend the application of a special measure derogating from Articles 168, 169, 170 and 171 of Directive 2006/112/EC on the common system of value added tax</t>
        </is>
      </c>
      <c r="I112" s="2" t="inlineStr">
        <is>
          <t>yes</t>
        </is>
      </c>
      <c r="J112" s="2" t="inlineStr">
        <is>
          <t>https://eur-lex.europa.eu/legal-content/EN/TXT/?uri=CELEX:32013D0680</t>
        </is>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t="inlineStr"/>
    </row>
    <row r="113">
      <c r="A113" s="2" t="n">
        <v>14</v>
      </c>
      <c r="B113" s="2" t="inlineStr">
        <is>
          <t>Common VAT system Directive</t>
        </is>
      </c>
      <c r="C113" s="2" t="inlineStr">
        <is>
          <t>32006L0112</t>
        </is>
      </c>
      <c r="D113" s="2" t="inlineStr">
        <is>
          <t>32013D0681</t>
        </is>
      </c>
      <c r="E113" s="2" t="inlineStr">
        <is>
          <t>implementing</t>
        </is>
      </c>
      <c r="F113" s="2" t="inlineStr">
        <is>
          <t>DEC_IMPL</t>
        </is>
      </c>
      <c r="G113" s="2" t="inlineStr">
        <is>
          <t>2013-11-15</t>
        </is>
      </c>
      <c r="H113" s="2" t="inlineStr">
        <is>
          <t>2013/681/EU: Council Implementing Decision of 15 November 2013 amending Decision 2007/884/EC authorising the United Kingdom to continue to apply a measure derogating from Articles 26(1)(a), 168 and 169 of Directive 2006/112/EC on the common system of value added tax</t>
        </is>
      </c>
      <c r="I113" s="2" t="inlineStr">
        <is>
          <t>yes</t>
        </is>
      </c>
      <c r="J113" s="2" t="inlineStr">
        <is>
          <t>https://eur-lex.europa.eu/legal-content/EN/TXT/?uri=CELEX:32013D0681</t>
        </is>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t="inlineStr"/>
    </row>
    <row r="114">
      <c r="A114" s="2" t="n">
        <v>14</v>
      </c>
      <c r="B114" s="2" t="inlineStr">
        <is>
          <t>Common VAT system Directive</t>
        </is>
      </c>
      <c r="C114" s="2" t="inlineStr">
        <is>
          <t>32006L0112</t>
        </is>
      </c>
      <c r="D114" s="2" t="inlineStr">
        <is>
          <t>32013D0769</t>
        </is>
      </c>
      <c r="E114" s="2" t="inlineStr">
        <is>
          <t>implementing</t>
        </is>
      </c>
      <c r="F114" s="2" t="inlineStr">
        <is>
          <t>DEC_IMPL</t>
        </is>
      </c>
      <c r="G114" s="2" t="inlineStr">
        <is>
          <t>2013-12-11</t>
        </is>
      </c>
      <c r="H114" s="2" t="inlineStr">
        <is>
          <t>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is>
      </c>
      <c r="I114" s="2" t="inlineStr">
        <is>
          <t>yes</t>
        </is>
      </c>
      <c r="J114" s="2" t="inlineStr">
        <is>
          <t>https://eur-lex.europa.eu/legal-content/EN/TXT/?uri=CELEX:32013D0769</t>
        </is>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t="inlineStr"/>
    </row>
    <row r="115">
      <c r="A115" s="2" t="n">
        <v>14</v>
      </c>
      <c r="B115" s="2" t="inlineStr">
        <is>
          <t>Common VAT system Directive</t>
        </is>
      </c>
      <c r="C115" s="2" t="inlineStr">
        <is>
          <t>32006L0112</t>
        </is>
      </c>
      <c r="D115" s="2" t="inlineStr">
        <is>
          <t>32013D0805</t>
        </is>
      </c>
      <c r="E115" s="2" t="inlineStr">
        <is>
          <t>implementing</t>
        </is>
      </c>
      <c r="F115" s="2" t="inlineStr">
        <is>
          <t>DEC_IMPL</t>
        </is>
      </c>
      <c r="G115" s="2" t="inlineStr">
        <is>
          <t>2013-12-17</t>
        </is>
      </c>
      <c r="H115" s="2" t="inlineStr">
        <is>
          <t>2013/805/EU: Council Implementing Decision of 17 December 2013 authorising the Republic of Poland to introduce measures derogating from point (a) of Article 26(1) and Article 168 of Directive 2006/112/EC on the common system of value added tax</t>
        </is>
      </c>
      <c r="I115" s="2" t="inlineStr">
        <is>
          <t>yes</t>
        </is>
      </c>
      <c r="J115" s="2" t="inlineStr">
        <is>
          <t>https://eur-lex.europa.eu/legal-content/EN/TXT/?uri=CELEX:32013D0805</t>
        </is>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t="inlineStr"/>
    </row>
    <row r="116">
      <c r="A116" s="2" t="n">
        <v>14</v>
      </c>
      <c r="B116" s="2" t="inlineStr">
        <is>
          <t>Common VAT system Directive</t>
        </is>
      </c>
      <c r="C116" s="2" t="inlineStr">
        <is>
          <t>32006L0112</t>
        </is>
      </c>
      <c r="D116" s="2" t="inlineStr">
        <is>
          <t>32014R0017</t>
        </is>
      </c>
      <c r="E116" s="2" t="inlineStr">
        <is>
          <t>implementing</t>
        </is>
      </c>
      <c r="F116" s="2" t="inlineStr">
        <is>
          <t>REG_IMPL</t>
        </is>
      </c>
      <c r="G116" s="2" t="inlineStr">
        <is>
          <t>2014-01-10</t>
        </is>
      </c>
      <c r="H116" s="2" t="inlineStr">
        <is>
          <t>Commission Implementing Regulation (EU) No 17/2014 of 10 January 2014 laying down the standardised form for the notification for a special measure under the Quick Reaction Mechanism against VAT fraud</t>
        </is>
      </c>
      <c r="I116" s="2" t="inlineStr">
        <is>
          <t>no</t>
        </is>
      </c>
      <c r="J116" s="2" t="inlineStr">
        <is>
          <t>https://eur-lex.europa.eu/legal-content/EN/TXT/?uri=CELEX:32014R0017</t>
        </is>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t="inlineStr"/>
    </row>
    <row r="117">
      <c r="A117" s="2" t="n">
        <v>14</v>
      </c>
      <c r="B117" s="2" t="inlineStr">
        <is>
          <t>Common VAT system Directive</t>
        </is>
      </c>
      <c r="C117" s="2" t="inlineStr">
        <is>
          <t>32006L0112</t>
        </is>
      </c>
      <c r="D117" s="2" t="inlineStr">
        <is>
          <t>32014D0795</t>
        </is>
      </c>
      <c r="E117" s="2" t="inlineStr">
        <is>
          <t>implementing</t>
        </is>
      </c>
      <c r="F117" s="2" t="inlineStr">
        <is>
          <t>DEC_IMPL</t>
        </is>
      </c>
      <c r="G117" s="2" t="inlineStr">
        <is>
          <t>2014-11-07</t>
        </is>
      </c>
      <c r="H117" s="2" t="inlineStr">
        <is>
          <t>2014/795/EU: Council Implementing Decision of 7 November 2014 extending the application of Implementing Decision 2011/335/EU authorising the Republic of Lithuania to apply a measure derogating from Article 287 of Directive 2006/112/EC on the common system of value added tax</t>
        </is>
      </c>
      <c r="I117" s="2" t="inlineStr">
        <is>
          <t>yes</t>
        </is>
      </c>
      <c r="J117" s="2" t="inlineStr">
        <is>
          <t>https://eur-lex.europa.eu/legal-content/EN/TXT/?uri=CELEX:32014D0795</t>
        </is>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t="inlineStr"/>
    </row>
    <row r="118">
      <c r="A118" s="2" t="n">
        <v>14</v>
      </c>
      <c r="B118" s="2" t="inlineStr">
        <is>
          <t>Common VAT system Directive</t>
        </is>
      </c>
      <c r="C118" s="2" t="inlineStr">
        <is>
          <t>32006L0112</t>
        </is>
      </c>
      <c r="D118" s="2" t="inlineStr">
        <is>
          <t>32014D0796</t>
        </is>
      </c>
      <c r="E118" s="2" t="inlineStr">
        <is>
          <t>implementing</t>
        </is>
      </c>
      <c r="F118" s="2" t="inlineStr">
        <is>
          <t>DEC_IMPL</t>
        </is>
      </c>
      <c r="G118" s="2" t="inlineStr">
        <is>
          <t>2014-11-07</t>
        </is>
      </c>
      <c r="H118" s="2" t="inlineStr">
        <is>
          <t>2014/796/EU: Council Implementing Decision of 7 November 2014 authorising the Republic of Latvia to apply a measure derogating from Article 287 of Directive 2006/112/EC on the common system of value added tax</t>
        </is>
      </c>
      <c r="I118" s="2" t="inlineStr">
        <is>
          <t>yes</t>
        </is>
      </c>
      <c r="J118" s="2" t="inlineStr">
        <is>
          <t>https://eur-lex.europa.eu/legal-content/EN/TXT/?uri=CELEX:32014D0796</t>
        </is>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t="inlineStr"/>
    </row>
    <row r="119">
      <c r="A119" s="2" t="n">
        <v>14</v>
      </c>
      <c r="B119" s="2" t="inlineStr">
        <is>
          <t>Common VAT system Directive</t>
        </is>
      </c>
      <c r="C119" s="2" t="inlineStr">
        <is>
          <t>32006L0112</t>
        </is>
      </c>
      <c r="D119" s="2" t="inlineStr">
        <is>
          <t>32014D0797</t>
        </is>
      </c>
      <c r="E119" s="2" t="inlineStr">
        <is>
          <t>implementing</t>
        </is>
      </c>
      <c r="F119" s="2" t="inlineStr">
        <is>
          <t>DEC_IMPL</t>
        </is>
      </c>
      <c r="G119" s="2" t="inlineStr">
        <is>
          <t>2014-11-07</t>
        </is>
      </c>
      <c r="H119" s="2" t="inlineStr">
        <is>
          <t>2014/797/EU: Council Implementing Decision of 7 November 2014 authorising the Republic of Estonia to apply a measure derogating from point (a) of Article 26(1) and Articles 168 and 168a of Directive 2006/112/EC on the common system of value added tax</t>
        </is>
      </c>
      <c r="I119" s="2" t="inlineStr">
        <is>
          <t>yes</t>
        </is>
      </c>
      <c r="J119" s="2" t="inlineStr">
        <is>
          <t>https://eur-lex.europa.eu/legal-content/EN/TXT/?uri=CELEX:32014D0797</t>
        </is>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t="inlineStr"/>
    </row>
    <row r="120">
      <c r="A120" s="2" t="n">
        <v>14</v>
      </c>
      <c r="B120" s="2" t="inlineStr">
        <is>
          <t>Common VAT system Directive</t>
        </is>
      </c>
      <c r="C120" s="2" t="inlineStr">
        <is>
          <t>32006L0112</t>
        </is>
      </c>
      <c r="D120" s="2" t="inlineStr">
        <is>
          <t>32014D0931</t>
        </is>
      </c>
      <c r="E120" s="2" t="inlineStr">
        <is>
          <t>implementing</t>
        </is>
      </c>
      <c r="F120" s="2" t="inlineStr">
        <is>
          <t>DEC_IMPL</t>
        </is>
      </c>
      <c r="G120" s="2" t="inlineStr">
        <is>
          <t>2014-12-16</t>
        </is>
      </c>
      <c r="H120" s="2" t="inlineStr">
        <is>
          <t>2014/931/EU: Council Implementing Decision of 16 December 2014 extending the application of Implementing Decision 2012/181/EU authorising Romania to introduce a special measure derogating from Article 287 of Directive 2006/112/EC on the common system of value added tax</t>
        </is>
      </c>
      <c r="I120" s="2" t="inlineStr">
        <is>
          <t>yes</t>
        </is>
      </c>
      <c r="J120" s="2" t="inlineStr">
        <is>
          <t>https://eur-lex.europa.eu/legal-content/EN/TXT/?uri=CELEX:32014D0931</t>
        </is>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t="inlineStr"/>
    </row>
    <row r="121">
      <c r="A121" s="2" t="n">
        <v>14</v>
      </c>
      <c r="B121" s="2" t="inlineStr">
        <is>
          <t>Common VAT system Directive</t>
        </is>
      </c>
      <c r="C121" s="2" t="inlineStr">
        <is>
          <t>32006L0112</t>
        </is>
      </c>
      <c r="D121" s="2" t="inlineStr">
        <is>
          <t>32015D0156</t>
        </is>
      </c>
      <c r="E121" s="2" t="inlineStr">
        <is>
          <t>implementing</t>
        </is>
      </c>
      <c r="F121" s="2" t="inlineStr">
        <is>
          <t>DEC_IMPL</t>
        </is>
      </c>
      <c r="G121" s="2" t="inlineStr">
        <is>
          <t>2015-01-27</t>
        </is>
      </c>
      <c r="H121" s="2" t="inlineStr">
        <is>
          <t>Council Implementing Decision (EU) 2015/156 of 27 January 2015 extending the period of validity of Implementing Decision 2012/232/EU authorising Romania to apply measures derogating from Article 26(1)(a) and Article 168 of Directive 2006/112/EC on the common system of value added tax</t>
        </is>
      </c>
      <c r="I121" s="2" t="inlineStr">
        <is>
          <t>yes</t>
        </is>
      </c>
      <c r="J121" s="2" t="inlineStr">
        <is>
          <t>https://eur-lex.europa.eu/legal-content/EN/TXT/?uri=CELEX:32015D0156</t>
        </is>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t="inlineStr"/>
    </row>
    <row r="122">
      <c r="A122" s="2" t="n">
        <v>14</v>
      </c>
      <c r="B122" s="2" t="inlineStr">
        <is>
          <t>Common VAT system Directive</t>
        </is>
      </c>
      <c r="C122" s="2" t="inlineStr">
        <is>
          <t>32006L0112</t>
        </is>
      </c>
      <c r="D122" s="2" t="inlineStr">
        <is>
          <t>32015D0992</t>
        </is>
      </c>
      <c r="E122" s="2" t="inlineStr">
        <is>
          <t>implementing</t>
        </is>
      </c>
      <c r="F122" s="2" t="inlineStr">
        <is>
          <t>DEC_IMPL</t>
        </is>
      </c>
      <c r="G122" s="2" t="inlineStr">
        <is>
          <t>2015-06-19</t>
        </is>
      </c>
      <c r="H122" s="2" t="inlineStr">
        <is>
          <t>Council Implementing Decision (EU) 2015/992 of 19 June 2015 authorising Denmark to introduce a special measure derogating from Article 75 of Directive 2006/112/EC on the common system of value added tax</t>
        </is>
      </c>
      <c r="I122" s="2" t="inlineStr">
        <is>
          <t>yes</t>
        </is>
      </c>
      <c r="J122" s="2" t="inlineStr">
        <is>
          <t>https://eur-lex.europa.eu/legal-content/EN/TXT/?uri=CELEX:32015D0992</t>
        </is>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t="inlineStr"/>
    </row>
    <row r="123">
      <c r="A123" s="2" t="n">
        <v>14</v>
      </c>
      <c r="B123" s="2" t="inlineStr">
        <is>
          <t>Common VAT system Directive</t>
        </is>
      </c>
      <c r="C123" s="2" t="inlineStr">
        <is>
          <t>32006L0112</t>
        </is>
      </c>
      <c r="D123" s="2" t="inlineStr">
        <is>
          <t>32015D1173</t>
        </is>
      </c>
      <c r="E123" s="2" t="inlineStr">
        <is>
          <t>implementing</t>
        </is>
      </c>
      <c r="F123" s="2" t="inlineStr">
        <is>
          <t>DEC_IMPL</t>
        </is>
      </c>
      <c r="G123" s="2" t="inlineStr">
        <is>
          <t>2015-07-14</t>
        </is>
      </c>
      <c r="H123" s="2" t="inlineStr">
        <is>
          <t>Council Implementing Decision (EU) 2015/1173 of 14 July 2015 amending Decision 2009/790/EC authorising the Republic of Poland to apply a measure derogating from Article 287 of Directive 2006/112/EC on the common system of value added tax</t>
        </is>
      </c>
      <c r="I123" s="2" t="inlineStr">
        <is>
          <t>yes</t>
        </is>
      </c>
      <c r="J123" s="2" t="inlineStr">
        <is>
          <t>https://eur-lex.europa.eu/legal-content/EN/TXT/?uri=CELEX:32015D1173</t>
        </is>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t="inlineStr"/>
    </row>
    <row r="124">
      <c r="A124" s="2" t="n">
        <v>14</v>
      </c>
      <c r="B124" s="2" t="inlineStr">
        <is>
          <t>Common VAT system Directive</t>
        </is>
      </c>
      <c r="C124" s="2" t="inlineStr">
        <is>
          <t>32006L0112</t>
        </is>
      </c>
      <c r="D124" s="2" t="inlineStr">
        <is>
          <t>32015D1401</t>
        </is>
      </c>
      <c r="E124" s="2" t="inlineStr">
        <is>
          <t>implementing</t>
        </is>
      </c>
      <c r="F124" s="2" t="inlineStr">
        <is>
          <t>DEC_IMPL</t>
        </is>
      </c>
      <c r="G124" s="2" t="inlineStr">
        <is>
          <t>2015-07-14</t>
        </is>
      </c>
      <c r="H124" s="2" t="inlineStr">
        <is>
          <t>Council Implementing Decision (EU) 2015/1401 of 14 July 2015 authorising Italy to introduce a special measure derogating from Articles 206 and 226 of Directive 2006/112/EC on the common system of value added tax</t>
        </is>
      </c>
      <c r="I124" s="2" t="inlineStr">
        <is>
          <t>yes</t>
        </is>
      </c>
      <c r="J124" s="2" t="inlineStr">
        <is>
          <t>https://eur-lex.europa.eu/legal-content/EN/TXT/?uri=CELEX:32015D1401</t>
        </is>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t="inlineStr"/>
    </row>
    <row r="125">
      <c r="A125" s="2" t="n">
        <v>14</v>
      </c>
      <c r="B125" s="2" t="inlineStr">
        <is>
          <t>Common VAT system Directive</t>
        </is>
      </c>
      <c r="C125" s="2" t="inlineStr">
        <is>
          <t>32006L0112</t>
        </is>
      </c>
      <c r="D125" s="2" t="inlineStr">
        <is>
          <t>32015D2089</t>
        </is>
      </c>
      <c r="E125" s="2" t="inlineStr">
        <is>
          <t>implementing</t>
        </is>
      </c>
      <c r="F125" s="2" t="inlineStr">
        <is>
          <t>DEC_IMPL</t>
        </is>
      </c>
      <c r="G125" s="2" t="inlineStr">
        <is>
          <t>2015-11-10</t>
        </is>
      </c>
      <c r="H125" s="2" t="inlineStr">
        <is>
          <t>Council Implementing Decision (EU) 2015/2089 of 10 November 2015 amending Implementing Decision 2013/54/EU authorising the Republic of Slovenia to introduce a special measure derogating from Article 287 of Directive 2006/112/EC on the common system of value added tax</t>
        </is>
      </c>
      <c r="I125" s="2" t="inlineStr">
        <is>
          <t>yes</t>
        </is>
      </c>
      <c r="J125" s="2" t="inlineStr">
        <is>
          <t>https://eur-lex.europa.eu/legal-content/EN/TXT/?uri=CELEX:32015D2089</t>
        </is>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t="inlineStr"/>
    </row>
    <row r="126">
      <c r="A126" s="2" t="n">
        <v>14</v>
      </c>
      <c r="B126" s="2" t="inlineStr">
        <is>
          <t>Common VAT system Directive</t>
        </is>
      </c>
      <c r="C126" s="2" t="inlineStr">
        <is>
          <t>32006L0112</t>
        </is>
      </c>
      <c r="D126" s="2" t="inlineStr">
        <is>
          <t>32015D2109</t>
        </is>
      </c>
      <c r="E126" s="2" t="inlineStr">
        <is>
          <t>implementing</t>
        </is>
      </c>
      <c r="F126" s="2" t="inlineStr">
        <is>
          <t>DEC_IMPL</t>
        </is>
      </c>
      <c r="G126" s="2" t="inlineStr">
        <is>
          <t>2015-11-17</t>
        </is>
      </c>
      <c r="H126" s="2" t="inlineStr">
        <is>
          <t>Council Implementing Decision (EU) 2015/2109 of 17 November 2015 authorising the United Kingdom to apply a special measure derogating from Articles 26(1)(a), 168 and 168a of Directive 2006/112/EC on the common system of value added tax</t>
        </is>
      </c>
      <c r="I126" s="2" t="inlineStr">
        <is>
          <t>yes</t>
        </is>
      </c>
      <c r="J126" s="2" t="inlineStr">
        <is>
          <t>https://eur-lex.europa.eu/legal-content/EN/TXT/?uri=CELEX:32015D2109</t>
        </is>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t="inlineStr"/>
    </row>
    <row r="127">
      <c r="A127" s="2" t="n">
        <v>14</v>
      </c>
      <c r="B127" s="2" t="inlineStr">
        <is>
          <t>Common VAT system Directive</t>
        </is>
      </c>
      <c r="C127" s="2" t="inlineStr">
        <is>
          <t>32006L0112</t>
        </is>
      </c>
      <c r="D127" s="2" t="inlineStr">
        <is>
          <t>32015D2348</t>
        </is>
      </c>
      <c r="E127" s="2" t="inlineStr">
        <is>
          <t>implementing</t>
        </is>
      </c>
      <c r="F127" s="2" t="inlineStr">
        <is>
          <t>DEC_IMPL</t>
        </is>
      </c>
      <c r="G127" s="2" t="inlineStr">
        <is>
          <t>2015-12-10</t>
        </is>
      </c>
      <c r="H127" s="2" t="inlineStr">
        <is>
          <t>Council Implementing Decision (EU) 2015/2348 of 10 December 2015 amending Implementing Decision 2013/53/EU authorising the Kingdom of Belgium to introduce a special measure derogating from Article 285 of Directive 2006/112/EC on the common system of value added tax</t>
        </is>
      </c>
      <c r="I127" s="2" t="inlineStr">
        <is>
          <t>yes</t>
        </is>
      </c>
      <c r="J127" s="2" t="inlineStr">
        <is>
          <t>https://eur-lex.europa.eu/legal-content/EN/TXT/?uri=CELEX:32015D2348</t>
        </is>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t="inlineStr"/>
    </row>
    <row r="128">
      <c r="A128" s="2" t="n">
        <v>14</v>
      </c>
      <c r="B128" s="2" t="inlineStr">
        <is>
          <t>Common VAT system Directive</t>
        </is>
      </c>
      <c r="C128" s="2" t="inlineStr">
        <is>
          <t>32006L0112</t>
        </is>
      </c>
      <c r="D128" s="2" t="inlineStr">
        <is>
          <t>32015D2349</t>
        </is>
      </c>
      <c r="E128" s="2" t="inlineStr">
        <is>
          <t>implementing</t>
        </is>
      </c>
      <c r="F128" s="2" t="inlineStr">
        <is>
          <t>DEC_IMPL</t>
        </is>
      </c>
      <c r="G128" s="2" t="inlineStr">
        <is>
          <t>2015-12-10</t>
        </is>
      </c>
      <c r="H128" s="2" t="inlineStr">
        <is>
          <t>Council Implementing Decision (EU) 2015/2349 of 10 December 2015 authorising Hungary to apply a measure derogating from Article 193 of Directive 2006/112/EC on the common system of value added tax</t>
        </is>
      </c>
      <c r="I128" s="2" t="inlineStr">
        <is>
          <t>yes</t>
        </is>
      </c>
      <c r="J128" s="2" t="inlineStr">
        <is>
          <t>https://eur-lex.europa.eu/legal-content/EN/TXT/?uri=CELEX:32015D2349</t>
        </is>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t="inlineStr"/>
    </row>
    <row r="129">
      <c r="A129" s="2" t="n">
        <v>14</v>
      </c>
      <c r="B129" s="2" t="inlineStr">
        <is>
          <t>Common VAT system Directive</t>
        </is>
      </c>
      <c r="C129" s="2" t="inlineStr">
        <is>
          <t>32006L0112</t>
        </is>
      </c>
      <c r="D129" s="2" t="inlineStr">
        <is>
          <t>32015D2395</t>
        </is>
      </c>
      <c r="E129" s="2" t="inlineStr">
        <is>
          <t>implementing</t>
        </is>
      </c>
      <c r="F129" s="2" t="inlineStr">
        <is>
          <t>DEC_IMPL</t>
        </is>
      </c>
      <c r="G129" s="2" t="inlineStr">
        <is>
          <t>2015-12-10</t>
        </is>
      </c>
      <c r="H129" s="2" t="inlineStr">
        <is>
          <t>Council Implementing Decision (EU) 2015/2395 of 10 December 2015 amending Implementing Decision 2010/99/EU authorising the Republic of Lithuania to extend the application of a measure derogating from Article 193 of Directive 2006/112/EC on the common system of value added tax</t>
        </is>
      </c>
      <c r="I129" s="2" t="inlineStr">
        <is>
          <t>yes</t>
        </is>
      </c>
      <c r="J129" s="2" t="inlineStr">
        <is>
          <t>https://eur-lex.europa.eu/legal-content/EN/TXT/?uri=CELEX:32015D2395</t>
        </is>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t="inlineStr"/>
    </row>
    <row r="130">
      <c r="A130" s="2" t="n">
        <v>14</v>
      </c>
      <c r="B130" s="2" t="inlineStr">
        <is>
          <t>Common VAT system Directive</t>
        </is>
      </c>
      <c r="C130" s="2" t="inlineStr">
        <is>
          <t>32006L0112</t>
        </is>
      </c>
      <c r="D130" s="2" t="inlineStr">
        <is>
          <t>32015D2396</t>
        </is>
      </c>
      <c r="E130" s="2" t="inlineStr">
        <is>
          <t>implementing</t>
        </is>
      </c>
      <c r="F130" s="2" t="inlineStr">
        <is>
          <t>DEC_IMPL</t>
        </is>
      </c>
      <c r="G130" s="2" t="inlineStr">
        <is>
          <t>2015-12-10</t>
        </is>
      </c>
      <c r="H130" s="2" t="inlineStr">
        <is>
          <t>Council Implementing Decision (EU) 2015/2396 of 10 December 2015 amending Implementing Decision 2009/1008/EU authorising the Republic of Latvia to extend the application of a measure derogating from Article 193 of Directive 2006/112/EC on the common system of value added tax</t>
        </is>
      </c>
      <c r="I130" s="2" t="inlineStr">
        <is>
          <t>yes</t>
        </is>
      </c>
      <c r="J130" s="2" t="inlineStr">
        <is>
          <t>https://eur-lex.europa.eu/legal-content/EN/TXT/?uri=CELEX:32015D2396</t>
        </is>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t="inlineStr"/>
    </row>
    <row r="131">
      <c r="A131" s="2" t="n">
        <v>14</v>
      </c>
      <c r="B131" s="2" t="inlineStr">
        <is>
          <t>Common VAT system Directive</t>
        </is>
      </c>
      <c r="C131" s="2" t="inlineStr">
        <is>
          <t>32006L0112</t>
        </is>
      </c>
      <c r="D131" s="2" t="inlineStr">
        <is>
          <t>32015D2428</t>
        </is>
      </c>
      <c r="E131" s="2" t="inlineStr">
        <is>
          <t>implementing</t>
        </is>
      </c>
      <c r="F131" s="2" t="inlineStr">
        <is>
          <t>DEC_IMPL</t>
        </is>
      </c>
      <c r="G131" s="2" t="inlineStr">
        <is>
          <t>2015-12-10</t>
        </is>
      </c>
      <c r="H131" s="2" t="inlineStr">
        <is>
          <t>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is>
      </c>
      <c r="I131" s="2" t="inlineStr">
        <is>
          <t>yes</t>
        </is>
      </c>
      <c r="J131" s="2" t="inlineStr">
        <is>
          <t>https://eur-lex.europa.eu/legal-content/EN/TXT/?uri=CELEX:32015D2428</t>
        </is>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t="inlineStr"/>
    </row>
    <row r="132">
      <c r="A132" s="2" t="n">
        <v>14</v>
      </c>
      <c r="B132" s="2" t="inlineStr">
        <is>
          <t>Common VAT system Directive</t>
        </is>
      </c>
      <c r="C132" s="2" t="inlineStr">
        <is>
          <t>32006L0112</t>
        </is>
      </c>
      <c r="D132" s="2" t="inlineStr">
        <is>
          <t>32015D2429</t>
        </is>
      </c>
      <c r="E132" s="2" t="inlineStr">
        <is>
          <t>implementing</t>
        </is>
      </c>
      <c r="F132" s="2" t="inlineStr">
        <is>
          <t>DEC_IMPL</t>
        </is>
      </c>
      <c r="G132" s="2" t="inlineStr">
        <is>
          <t>2015-12-10</t>
        </is>
      </c>
      <c r="H132" s="2" t="inlineStr">
        <is>
          <t>Council Implementing Decision (EU) 2015/2429 of 10 December 2015 authorising Latvia to introduce a special measure derogating from point (a) of Article 26(1) and Articles 168 and 168a of Directive 2006/112/EC on the common system of value added tax</t>
        </is>
      </c>
      <c r="I132" s="2" t="inlineStr">
        <is>
          <t>yes</t>
        </is>
      </c>
      <c r="J132" s="2" t="inlineStr">
        <is>
          <t>https://eur-lex.europa.eu/legal-content/EN/TXT/?uri=CELEX:32015D2429</t>
        </is>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t="inlineStr"/>
    </row>
    <row r="133">
      <c r="A133" s="2" t="n">
        <v>14</v>
      </c>
      <c r="B133" s="2" t="inlineStr">
        <is>
          <t>Common VAT system Directive</t>
        </is>
      </c>
      <c r="C133" s="2" t="inlineStr">
        <is>
          <t>32006L0112</t>
        </is>
      </c>
      <c r="D133" s="2" t="inlineStr">
        <is>
          <t>32016D1206</t>
        </is>
      </c>
      <c r="E133" s="2" t="inlineStr">
        <is>
          <t>implementing</t>
        </is>
      </c>
      <c r="F133" s="2" t="inlineStr">
        <is>
          <t>DEC_IMPL</t>
        </is>
      </c>
      <c r="G133" s="2" t="inlineStr">
        <is>
          <t>2016-07-18</t>
        </is>
      </c>
      <c r="H133" s="2" t="inlineStr">
        <is>
          <t>Council Implementing Decision (EU) 2016/1206 of 18 July 2016 amending Implementing Decision 2013/676/EU authorising Romania to continue to apply a special measure derogating from Article 193 of Directive 2006/112/EC on the common system of value added tax</t>
        </is>
      </c>
      <c r="I133" s="2" t="inlineStr">
        <is>
          <t>yes</t>
        </is>
      </c>
      <c r="J133" s="2" t="inlineStr">
        <is>
          <t>https://eur-lex.europa.eu/legal-content/EN/TXT/?uri=CELEX:32016D1206</t>
        </is>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t="inlineStr"/>
    </row>
    <row r="134">
      <c r="A134" s="2" t="n">
        <v>14</v>
      </c>
      <c r="B134" s="2" t="inlineStr">
        <is>
          <t>Common VAT system Directive</t>
        </is>
      </c>
      <c r="C134" s="2" t="inlineStr">
        <is>
          <t>32006L0112</t>
        </is>
      </c>
      <c r="D134" s="2" t="inlineStr">
        <is>
          <t>32016D1837</t>
        </is>
      </c>
      <c r="E134" s="2" t="inlineStr">
        <is>
          <t>implementing</t>
        </is>
      </c>
      <c r="F134" s="2" t="inlineStr">
        <is>
          <t>DEC_IMPL</t>
        </is>
      </c>
      <c r="G134" s="2" t="inlineStr">
        <is>
          <t>2016-10-11</t>
        </is>
      </c>
      <c r="H134" s="2" t="inlineStr">
        <is>
          <t>Council Implementing Decision (EU) 2016/1837 of 11 October 2016 authorising the Republic of Poland to continue to apply measures derogating from point (a) of Article 26(1) and Article 168 of Directive 2006/112/EC on the common system of value added tax</t>
        </is>
      </c>
      <c r="I134" s="2" t="inlineStr">
        <is>
          <t>yes</t>
        </is>
      </c>
      <c r="J134" s="2" t="inlineStr">
        <is>
          <t>https://eur-lex.europa.eu/legal-content/EN/TXT/?uri=CELEX:32016D1837</t>
        </is>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t="inlineStr"/>
    </row>
    <row r="135">
      <c r="A135" s="2" t="n">
        <v>14</v>
      </c>
      <c r="B135" s="2" t="inlineStr">
        <is>
          <t>Common VAT system Directive</t>
        </is>
      </c>
      <c r="C135" s="2" t="inlineStr">
        <is>
          <t>32006L0112</t>
        </is>
      </c>
      <c r="D135" s="2" t="inlineStr">
        <is>
          <t>32016D1982</t>
        </is>
      </c>
      <c r="E135" s="2" t="inlineStr">
        <is>
          <t>implementing</t>
        </is>
      </c>
      <c r="F135" s="2" t="inlineStr">
        <is>
          <t>DEC_IMPL</t>
        </is>
      </c>
      <c r="G135" s="2" t="inlineStr">
        <is>
          <t>2016-11-08</t>
        </is>
      </c>
      <c r="H135" s="2" t="inlineStr">
        <is>
          <t>Council Implementing Decision (EU) 2016/1982 of 8 November 2016 amending Decision 2007/441/EC authorising the Italian Republic to apply measures derogating from Articles 26(1)(a) and 168 of Directive 2006/112/EC on the common system of value added tax</t>
        </is>
      </c>
      <c r="I135" s="2" t="inlineStr">
        <is>
          <t>yes</t>
        </is>
      </c>
      <c r="J135" s="2" t="inlineStr">
        <is>
          <t>https://eur-lex.europa.eu/legal-content/EN/TXT/?uri=CELEX:32016D1982</t>
        </is>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t="inlineStr"/>
    </row>
    <row r="136">
      <c r="A136" s="2" t="n">
        <v>14</v>
      </c>
      <c r="B136" s="2" t="inlineStr">
        <is>
          <t>Common VAT system Directive</t>
        </is>
      </c>
      <c r="C136" s="2" t="inlineStr">
        <is>
          <t>32006L0112</t>
        </is>
      </c>
      <c r="D136" s="2" t="inlineStr">
        <is>
          <t>32016D1988</t>
        </is>
      </c>
      <c r="E136" s="2" t="inlineStr">
        <is>
          <t>implementing</t>
        </is>
      </c>
      <c r="F136" s="2" t="inlineStr">
        <is>
          <t>DEC_IMPL</t>
        </is>
      </c>
      <c r="G136" s="2" t="inlineStr">
        <is>
          <t>2016-11-08</t>
        </is>
      </c>
      <c r="H136" s="2" t="inlineStr">
        <is>
          <t>Council Implementing Decision (EU) 2016/1988 of 8 November 2016 amending Implementing Decision 2013/678/EU authorising the Italian Republic to continue to apply a special measure derogating from Article 285 of Directive 2006/112/EC on the common system of value added tax</t>
        </is>
      </c>
      <c r="I136" s="2" t="inlineStr">
        <is>
          <t>yes</t>
        </is>
      </c>
      <c r="J136" s="2" t="inlineStr">
        <is>
          <t>https://eur-lex.europa.eu/legal-content/EN/TXT/?uri=CELEX:32016D1988</t>
        </is>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t="inlineStr"/>
    </row>
    <row r="137">
      <c r="A137" s="2" t="n">
        <v>14</v>
      </c>
      <c r="B137" s="2" t="inlineStr">
        <is>
          <t>Common VAT system Directive</t>
        </is>
      </c>
      <c r="C137" s="2" t="inlineStr">
        <is>
          <t>32006L0112</t>
        </is>
      </c>
      <c r="D137" s="2" t="inlineStr">
        <is>
          <t>32016D2090</t>
        </is>
      </c>
      <c r="E137" s="2" t="inlineStr">
        <is>
          <t>implementing</t>
        </is>
      </c>
      <c r="F137" s="2" t="inlineStr">
        <is>
          <t>DEC_IMPL</t>
        </is>
      </c>
      <c r="G137" s="2" t="inlineStr">
        <is>
          <t>2016-11-21</t>
        </is>
      </c>
      <c r="H137" s="2" t="inlineStr">
        <is>
          <t>Council Implementing Decision (EU) 2016/2090 of 21 November 2016 amending Decision 2009/790/EC authorising the Republic of Poland to apply a measure derogating from Article 287 of Directive 2006/112/EC on the common system of value added tax</t>
        </is>
      </c>
      <c r="I137" s="2" t="inlineStr">
        <is>
          <t>yes</t>
        </is>
      </c>
      <c r="J137" s="2" t="inlineStr">
        <is>
          <t>https://eur-lex.europa.eu/legal-content/EN/TXT/?uri=CELEX:32016D2090</t>
        </is>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t="inlineStr"/>
    </row>
    <row r="138">
      <c r="A138" s="2" t="n">
        <v>14</v>
      </c>
      <c r="B138" s="2" t="inlineStr">
        <is>
          <t>Common VAT system Directive</t>
        </is>
      </c>
      <c r="C138" s="2" t="inlineStr">
        <is>
          <t>32006L0112</t>
        </is>
      </c>
      <c r="D138" s="2" t="inlineStr">
        <is>
          <t>32016D2265</t>
        </is>
      </c>
      <c r="E138" s="2" t="inlineStr">
        <is>
          <t>implementing</t>
        </is>
      </c>
      <c r="F138" s="2" t="inlineStr">
        <is>
          <t>DEC_IMPL</t>
        </is>
      </c>
      <c r="G138" s="2" t="inlineStr">
        <is>
          <t>2016-12-06</t>
        </is>
      </c>
      <c r="H138" s="2" t="inlineStr">
        <is>
          <t>Council Implementing Decision (EU) 2016/2265 of 6 December 2016 amending Decision 2007/884/EC authorising the United Kingdom to continue to apply a measure derogating from Articles 26(1)(a), 168 and 169 of Directive 2006/112/EC on the common system of value added tax</t>
        </is>
      </c>
      <c r="I138" s="2" t="inlineStr">
        <is>
          <t>yes</t>
        </is>
      </c>
      <c r="J138" s="2" t="inlineStr">
        <is>
          <t>https://eur-lex.europa.eu/legal-content/EN/TXT/?uri=CELEX:32016D2265</t>
        </is>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t="inlineStr"/>
    </row>
    <row r="139">
      <c r="A139" s="2" t="n">
        <v>14</v>
      </c>
      <c r="B139" s="2" t="inlineStr">
        <is>
          <t>Common VAT system Directive</t>
        </is>
      </c>
      <c r="C139" s="2" t="inlineStr">
        <is>
          <t>32006L0112</t>
        </is>
      </c>
      <c r="D139" s="2" t="inlineStr">
        <is>
          <t>32017D0319</t>
        </is>
      </c>
      <c r="E139" s="2" t="inlineStr">
        <is>
          <t>implementing</t>
        </is>
      </c>
      <c r="F139" s="2" t="inlineStr">
        <is>
          <t>DEC_IMPL</t>
        </is>
      </c>
      <c r="G139" s="2" t="inlineStr">
        <is>
          <t>2017-02-21</t>
        </is>
      </c>
      <c r="H139" s="2" t="inlineStr">
        <is>
          <t>Council Implementing Decision (EU) 2017/319 of 21 February 2017 amending Implementing Decision 2013/677/EU authorising Luxembourg to introduce a special measure derogating from Article 285 of Directive 2006/112/EC on the common system of value added tax</t>
        </is>
      </c>
      <c r="I139" s="2" t="inlineStr">
        <is>
          <t>yes</t>
        </is>
      </c>
      <c r="J139" s="2" t="inlineStr">
        <is>
          <t>https://eur-lex.europa.eu/legal-content/EN/TXT/?uri=CELEX:32017D0319</t>
        </is>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t="inlineStr"/>
    </row>
    <row r="140">
      <c r="A140" s="2" t="n">
        <v>14</v>
      </c>
      <c r="B140" s="2" t="inlineStr">
        <is>
          <t>Common VAT system Directive</t>
        </is>
      </c>
      <c r="C140" s="2" t="inlineStr">
        <is>
          <t>32006L0112</t>
        </is>
      </c>
      <c r="D140" s="2" t="inlineStr">
        <is>
          <t>32017D0320</t>
        </is>
      </c>
      <c r="E140" s="2" t="inlineStr">
        <is>
          <t>implementing</t>
        </is>
      </c>
      <c r="F140" s="2" t="inlineStr">
        <is>
          <t>DEC_IMPL</t>
        </is>
      </c>
      <c r="G140" s="2" t="inlineStr">
        <is>
          <t>2017-02-21</t>
        </is>
      </c>
      <c r="H140" s="2" t="inlineStr">
        <is>
          <t>Council Implementing Decision (EU) 2017/320 of 21 February 2017 authorising France to conclude an agreement with the Swiss Confederation concerning Basel-Mulhouse Airport that includes provisions derogating from Article 5 of Directive 2006/112/EC</t>
        </is>
      </c>
      <c r="I140" s="2" t="inlineStr">
        <is>
          <t>yes</t>
        </is>
      </c>
      <c r="J140" s="2" t="inlineStr">
        <is>
          <t>https://eur-lex.europa.eu/legal-content/EN/TXT/?uri=CELEX:32017D0320</t>
        </is>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t="inlineStr"/>
    </row>
    <row r="141">
      <c r="A141" s="2" t="n">
        <v>14</v>
      </c>
      <c r="B141" s="2" t="inlineStr">
        <is>
          <t>Common VAT system Directive</t>
        </is>
      </c>
      <c r="C141" s="2" t="inlineStr">
        <is>
          <t>32006L0112</t>
        </is>
      </c>
      <c r="D141" s="2" t="inlineStr">
        <is>
          <t>32017D0563</t>
        </is>
      </c>
      <c r="E141" s="2" t="inlineStr">
        <is>
          <t>implementing</t>
        </is>
      </c>
      <c r="F141" s="2" t="inlineStr">
        <is>
          <t>DEC_IMPL</t>
        </is>
      </c>
      <c r="G141" s="2" t="inlineStr">
        <is>
          <t>2017-03-21</t>
        </is>
      </c>
      <c r="H141" s="2" t="inlineStr">
        <is>
          <t>Council Implementing Decision (EU) 2017/563 of 21 March 2017 authorising the Republic of Estonia to apply a special measure derogating from Article 287 of Directive 2006/112/EC on the common system of value added tax</t>
        </is>
      </c>
      <c r="I141" s="2" t="inlineStr">
        <is>
          <t>yes</t>
        </is>
      </c>
      <c r="J141" s="2" t="inlineStr">
        <is>
          <t>https://eur-lex.europa.eu/legal-content/EN/TXT/?uri=CELEX:32017D0563</t>
        </is>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t="inlineStr"/>
    </row>
    <row r="142">
      <c r="A142" s="2" t="n">
        <v>14</v>
      </c>
      <c r="B142" s="2" t="inlineStr">
        <is>
          <t>Common VAT system Directive</t>
        </is>
      </c>
      <c r="C142" s="2" t="inlineStr">
        <is>
          <t>32006L0112</t>
        </is>
      </c>
      <c r="D142" s="2" t="inlineStr">
        <is>
          <t>32017D0784</t>
        </is>
      </c>
      <c r="E142" s="2" t="inlineStr">
        <is>
          <t>implementing</t>
        </is>
      </c>
      <c r="F142" s="2" t="inlineStr">
        <is>
          <t>DEC_IMPL</t>
        </is>
      </c>
      <c r="G142" s="2" t="inlineStr">
        <is>
          <t>2017-04-25</t>
        </is>
      </c>
      <c r="H142" s="2" t="inlineStr">
        <is>
          <t>Council Implementing Decision (EU) 2017/784 of 25 April 2017 authorising the Italian Republic to apply a special measure derogating from Articles 206 and 226 of Directive 2006/112/EC on the common system of value added tax and repealing Implementing Decision (EU) 2015/1401</t>
        </is>
      </c>
      <c r="I142" s="2" t="inlineStr">
        <is>
          <t>yes</t>
        </is>
      </c>
      <c r="J142" s="2" t="inlineStr">
        <is>
          <t>https://eur-lex.europa.eu/legal-content/EN/TXT/?uri=CELEX:32017D0784</t>
        </is>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t="inlineStr"/>
    </row>
    <row r="143">
      <c r="A143" s="2" t="n">
        <v>14</v>
      </c>
      <c r="B143" s="2" t="inlineStr">
        <is>
          <t>Common VAT system Directive</t>
        </is>
      </c>
      <c r="C143" s="2" t="inlineStr">
        <is>
          <t>32006L0112</t>
        </is>
      </c>
      <c r="D143" s="2" t="inlineStr">
        <is>
          <t>32017D1768</t>
        </is>
      </c>
      <c r="E143" s="2" t="inlineStr">
        <is>
          <t>implementing</t>
        </is>
      </c>
      <c r="F143" s="2" t="inlineStr">
        <is>
          <t>DEC_IMPL</t>
        </is>
      </c>
      <c r="G143" s="2" t="inlineStr">
        <is>
          <t>2017-09-25</t>
        </is>
      </c>
      <c r="H143" s="2" t="inlineStr">
        <is>
          <t>Council Implementing Decision (EU) 2017/1768 of 25 September 2017 authorising the Republic of Croatia to introduce a special measure derogating from Article 287 of Directive 2006/112/EC on the common system of value added tax</t>
        </is>
      </c>
      <c r="I143" s="2" t="inlineStr">
        <is>
          <t>yes</t>
        </is>
      </c>
      <c r="J143" s="2" t="inlineStr">
        <is>
          <t>https://eur-lex.europa.eu/legal-content/EN/TXT/?uri=CELEX:32017D1768</t>
        </is>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t="inlineStr"/>
    </row>
    <row r="144">
      <c r="A144" s="2" t="n">
        <v>14</v>
      </c>
      <c r="B144" s="2" t="inlineStr">
        <is>
          <t>Common VAT system Directive</t>
        </is>
      </c>
      <c r="C144" s="2" t="inlineStr">
        <is>
          <t>32006L0112</t>
        </is>
      </c>
      <c r="D144" s="2" t="inlineStr">
        <is>
          <t>32017D1769</t>
        </is>
      </c>
      <c r="E144" s="2" t="inlineStr">
        <is>
          <t>implementing</t>
        </is>
      </c>
      <c r="F144" s="2" t="inlineStr">
        <is>
          <t>DEC_IMPL</t>
        </is>
      </c>
      <c r="G144" s="2" t="inlineStr">
        <is>
          <t>2017-09-25</t>
        </is>
      </c>
      <c r="H144" s="2" t="inlineStr">
        <is>
          <t>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is>
      </c>
      <c r="I144" s="2" t="inlineStr">
        <is>
          <t>yes</t>
        </is>
      </c>
      <c r="J144" s="2" t="inlineStr">
        <is>
          <t>https://eur-lex.europa.eu/legal-content/EN/TXT/?uri=CELEX:32017D1769</t>
        </is>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t="inlineStr"/>
    </row>
    <row r="145">
      <c r="A145" s="2" t="n">
        <v>14</v>
      </c>
      <c r="B145" s="2" t="inlineStr">
        <is>
          <t>Common VAT system Directive</t>
        </is>
      </c>
      <c r="C145" s="2" t="inlineStr">
        <is>
          <t>32006L0112</t>
        </is>
      </c>
      <c r="D145" s="2" t="inlineStr">
        <is>
          <t>32017D1853</t>
        </is>
      </c>
      <c r="E145" s="2" t="inlineStr">
        <is>
          <t>implementing</t>
        </is>
      </c>
      <c r="F145" s="2" t="inlineStr">
        <is>
          <t>DEC_IMPL</t>
        </is>
      </c>
      <c r="G145" s="2" t="inlineStr">
        <is>
          <t>2017-10-10</t>
        </is>
      </c>
      <c r="H145" s="2" t="inlineStr">
        <is>
          <t>Council Implementing Decision (EU) 2017/1853 of 10 October 2017 amending Implementing Decision 2011/335/EU authorising the Republic of Lithuania to apply a measure derogating from Article 287 of Directive 2006/112/EC on the common system of value added tax</t>
        </is>
      </c>
      <c r="I145" s="2" t="inlineStr">
        <is>
          <t>yes</t>
        </is>
      </c>
      <c r="J145" s="2" t="inlineStr">
        <is>
          <t>https://eur-lex.europa.eu/legal-content/EN/TXT/?uri=CELEX:32017D1853</t>
        </is>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t="inlineStr"/>
    </row>
    <row r="146">
      <c r="A146" s="2" t="n">
        <v>14</v>
      </c>
      <c r="B146" s="2" t="inlineStr">
        <is>
          <t>Common VAT system Directive</t>
        </is>
      </c>
      <c r="C146" s="2" t="inlineStr">
        <is>
          <t>32006L0112</t>
        </is>
      </c>
      <c r="D146" s="2" t="inlineStr">
        <is>
          <t>32017D1854</t>
        </is>
      </c>
      <c r="E146" s="2" t="inlineStr">
        <is>
          <t>implementing</t>
        </is>
      </c>
      <c r="F146" s="2" t="inlineStr">
        <is>
          <t>DEC_IMPL</t>
        </is>
      </c>
      <c r="G146" s="2" t="inlineStr">
        <is>
          <t>2017-10-10</t>
        </is>
      </c>
      <c r="H146" s="2" t="inlineStr">
        <is>
          <t>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is>
      </c>
      <c r="I146" s="2" t="inlineStr">
        <is>
          <t>yes</t>
        </is>
      </c>
      <c r="J146" s="2" t="inlineStr">
        <is>
          <t>https://eur-lex.europa.eu/legal-content/EN/TXT/?uri=CELEX:32017D1854</t>
        </is>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t="inlineStr"/>
    </row>
    <row r="147">
      <c r="A147" s="2" t="n">
        <v>14</v>
      </c>
      <c r="B147" s="2" t="inlineStr">
        <is>
          <t>Common VAT system Directive</t>
        </is>
      </c>
      <c r="C147" s="2" t="inlineStr">
        <is>
          <t>32006L0112</t>
        </is>
      </c>
      <c r="D147" s="2" t="inlineStr">
        <is>
          <t>32017D1855</t>
        </is>
      </c>
      <c r="E147" s="2" t="inlineStr">
        <is>
          <t>implementing</t>
        </is>
      </c>
      <c r="F147" s="2" t="inlineStr">
        <is>
          <t>DEC_IMPL</t>
        </is>
      </c>
      <c r="G147" s="2" t="inlineStr">
        <is>
          <t>2017-10-10</t>
        </is>
      </c>
      <c r="H147" s="2" t="inlineStr">
        <is>
          <t>Council Implementing Decision (EU) 2017/1855 of 10 October 2017 authorising Romania to apply a special measure derogating from Article 287 of Directive 2006/112/EC on the common system of value added tax</t>
        </is>
      </c>
      <c r="I147" s="2" t="inlineStr">
        <is>
          <t>yes</t>
        </is>
      </c>
      <c r="J147" s="2" t="inlineStr">
        <is>
          <t>https://eur-lex.europa.eu/legal-content/EN/TXT/?uri=CELEX:32017D1855</t>
        </is>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t="inlineStr"/>
    </row>
    <row r="148">
      <c r="A148" s="2" t="n">
        <v>14</v>
      </c>
      <c r="B148" s="2" t="inlineStr">
        <is>
          <t>Common VAT system Directive</t>
        </is>
      </c>
      <c r="C148" s="2" t="inlineStr">
        <is>
          <t>32006L0112</t>
        </is>
      </c>
      <c r="D148" s="2" t="inlineStr">
        <is>
          <t>32017D1856</t>
        </is>
      </c>
      <c r="E148" s="2" t="inlineStr">
        <is>
          <t>implementing</t>
        </is>
      </c>
      <c r="F148" s="2" t="inlineStr">
        <is>
          <t>DEC_IMPL</t>
        </is>
      </c>
      <c r="G148" s="2" t="inlineStr">
        <is>
          <t>2017-10-10</t>
        </is>
      </c>
      <c r="H148" s="2" t="inlineStr">
        <is>
          <t>Council Implementing Decision (EU) 2017/1856 of 10 October 2017 authorising the Republic of Poland to introduce a special measure derogating from Article 193 of Directive 2006/112/EC on the common system of value added tax</t>
        </is>
      </c>
      <c r="I148" s="2" t="inlineStr">
        <is>
          <t>yes</t>
        </is>
      </c>
      <c r="J148" s="2" t="inlineStr">
        <is>
          <t>https://eur-lex.europa.eu/legal-content/EN/TXT/?uri=CELEX:32017D1856</t>
        </is>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t="inlineStr"/>
    </row>
    <row r="149">
      <c r="A149" s="2" t="n">
        <v>14</v>
      </c>
      <c r="B149" s="2" t="inlineStr">
        <is>
          <t>Common VAT system Directive</t>
        </is>
      </c>
      <c r="C149" s="2" t="inlineStr">
        <is>
          <t>32006L0112</t>
        </is>
      </c>
      <c r="D149" s="2" t="inlineStr">
        <is>
          <t>32017D2012</t>
        </is>
      </c>
      <c r="E149" s="2" t="inlineStr">
        <is>
          <t>implementing</t>
        </is>
      </c>
      <c r="F149" s="2" t="inlineStr">
        <is>
          <t>DEC_IMPL</t>
        </is>
      </c>
      <c r="G149" s="2" t="inlineStr">
        <is>
          <t>2017-11-07</t>
        </is>
      </c>
      <c r="H149" s="2" t="inlineStr">
        <is>
          <t>Council Implementing Decision (EU) 2017/2012 of 7 November 2017 amending Implementing Decision 2012/232/EU authorising Romania to apply measures derogating from Article 26(1)(a) and Article 168 of Directive 2006/112/EC on the common system of value added tax</t>
        </is>
      </c>
      <c r="I149" s="2" t="inlineStr">
        <is>
          <t>yes</t>
        </is>
      </c>
      <c r="J149" s="2" t="inlineStr">
        <is>
          <t>https://eur-lex.europa.eu/legal-content/EN/TXT/?uri=CELEX:32017D2012</t>
        </is>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t="inlineStr"/>
    </row>
    <row r="150">
      <c r="A150" s="2" t="n">
        <v>14</v>
      </c>
      <c r="B150" s="2" t="inlineStr">
        <is>
          <t>Common VAT system Directive</t>
        </is>
      </c>
      <c r="C150" s="2" t="inlineStr">
        <is>
          <t>32006L0112</t>
        </is>
      </c>
      <c r="D150" s="2" t="inlineStr">
        <is>
          <t>32017D2013</t>
        </is>
      </c>
      <c r="E150" s="2" t="inlineStr">
        <is>
          <t>implementing</t>
        </is>
      </c>
      <c r="F150" s="2" t="inlineStr">
        <is>
          <t>DEC_IMPL</t>
        </is>
      </c>
      <c r="G150" s="2" t="inlineStr">
        <is>
          <t>2017-11-07</t>
        </is>
      </c>
      <c r="H150" s="2" t="inlineStr">
        <is>
          <t>Council Implementing Decision (EU) 2017/2013 of 7 November 2017 authorising the Kingdom of the Netherlands to introduce a special measure derogating from Article 193 of Directive 2006/112/EC on the common system of value added tax</t>
        </is>
      </c>
      <c r="I150" s="2" t="inlineStr">
        <is>
          <t>yes</t>
        </is>
      </c>
      <c r="J150" s="2" t="inlineStr">
        <is>
          <t>https://eur-lex.europa.eu/legal-content/EN/TXT/?uri=CELEX:32017D2013</t>
        </is>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t="inlineStr"/>
    </row>
    <row r="151">
      <c r="A151" s="2" t="n">
        <v>14</v>
      </c>
      <c r="B151" s="2" t="inlineStr">
        <is>
          <t>Common VAT system Directive</t>
        </is>
      </c>
      <c r="C151" s="2" t="inlineStr">
        <is>
          <t>32006L0112</t>
        </is>
      </c>
      <c r="D151" s="2" t="inlineStr">
        <is>
          <t>32017R2459</t>
        </is>
      </c>
      <c r="E151" s="2" t="inlineStr">
        <is>
          <t>implementing</t>
        </is>
      </c>
      <c r="F151" s="2" t="inlineStr">
        <is>
          <t>REG_IMPL</t>
        </is>
      </c>
      <c r="G151" s="2" t="inlineStr">
        <is>
          <t>2017-12-05</t>
        </is>
      </c>
      <c r="H151" s="2" t="inlineStr">
        <is>
          <t>Council Implementing Regulation (EU) 2017/2459 of 5 December 2017 amending Implementing Regulation (EU) No 282/2011 laying down implementing measures for Directive 2006/112/EC on the common system of value added tax</t>
        </is>
      </c>
      <c r="I151" s="2" t="inlineStr">
        <is>
          <t>no</t>
        </is>
      </c>
      <c r="J151" s="2" t="inlineStr">
        <is>
          <t>https://eur-lex.europa.eu/legal-content/EN/TXT/?uri=CELEX:32017R2459</t>
        </is>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t="inlineStr"/>
    </row>
    <row r="152">
      <c r="A152" s="2" t="n">
        <v>14</v>
      </c>
      <c r="B152" s="2" t="inlineStr">
        <is>
          <t>Common VAT system Directive</t>
        </is>
      </c>
      <c r="C152" s="2" t="inlineStr">
        <is>
          <t>32006L0112</t>
        </is>
      </c>
      <c r="D152" s="2" t="inlineStr">
        <is>
          <t>32017D2408</t>
        </is>
      </c>
      <c r="E152" s="2" t="inlineStr">
        <is>
          <t>implementing</t>
        </is>
      </c>
      <c r="F152" s="2" t="inlineStr">
        <is>
          <t>DEC_IMPL</t>
        </is>
      </c>
      <c r="G152" s="2" t="inlineStr">
        <is>
          <t>2017-12-18</t>
        </is>
      </c>
      <c r="H152" s="2" t="inlineStr">
        <is>
          <t>Council Implementing Decision (EU) 2017/2408 of 18 December 2017 authorising the Republic of Latvia to apply a special measure derogating from Article 287 of Directive 2006/112/EC on the common system of value added tax</t>
        </is>
      </c>
      <c r="I152" s="2" t="inlineStr">
        <is>
          <t>yes</t>
        </is>
      </c>
      <c r="J152" s="2" t="inlineStr">
        <is>
          <t>https://eur-lex.europa.eu/legal-content/EN/TXT/?uri=CELEX:32017D2408</t>
        </is>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t="inlineStr"/>
    </row>
    <row r="153">
      <c r="A153" s="2" t="n">
        <v>14</v>
      </c>
      <c r="B153" s="2" t="inlineStr">
        <is>
          <t>Common VAT system Directive</t>
        </is>
      </c>
      <c r="C153" s="2" t="inlineStr">
        <is>
          <t>32006L0112</t>
        </is>
      </c>
      <c r="D153" s="2" t="inlineStr">
        <is>
          <t>32018D0279</t>
        </is>
      </c>
      <c r="E153" s="2" t="inlineStr">
        <is>
          <t>implementing</t>
        </is>
      </c>
      <c r="F153" s="2" t="inlineStr">
        <is>
          <t>DEC_IMPL</t>
        </is>
      </c>
      <c r="G153" s="2" t="inlineStr">
        <is>
          <t>2018-02-20</t>
        </is>
      </c>
      <c r="H153" s="2" t="inlineStr">
        <is>
          <t>Council Implementing Decision (EU) 2018/279 of 20 February 2018 authorising Malta to apply a special measure derogating from Article 287 of Directive 2006/112/EC on the common system of value added tax</t>
        </is>
      </c>
      <c r="I153" s="2" t="inlineStr">
        <is>
          <t>yes</t>
        </is>
      </c>
      <c r="J153" s="2" t="inlineStr">
        <is>
          <t>https://eur-lex.europa.eu/legal-content/EN/TXT/?uri=CELEX:32018D0279</t>
        </is>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t="inlineStr"/>
    </row>
    <row r="154">
      <c r="A154" s="2" t="n">
        <v>14</v>
      </c>
      <c r="B154" s="2" t="inlineStr">
        <is>
          <t>Common VAT system Directive</t>
        </is>
      </c>
      <c r="C154" s="2" t="inlineStr">
        <is>
          <t>32006L0112</t>
        </is>
      </c>
      <c r="D154" s="2" t="inlineStr">
        <is>
          <t>32018D0457</t>
        </is>
      </c>
      <c r="E154" s="2" t="inlineStr">
        <is>
          <t>implementing</t>
        </is>
      </c>
      <c r="F154" s="2" t="inlineStr">
        <is>
          <t>DEC_IMPL</t>
        </is>
      </c>
      <c r="G154" s="2" t="inlineStr">
        <is>
          <t>2018-03-13</t>
        </is>
      </c>
      <c r="H154" s="2" t="inlineStr">
        <is>
          <t>Council Implementing Decision (EU) 2018/457 of 13 March 2018 authorising the Republic of Latvia to introduce a special measure derogating from Article 193 of Directive 2006/112/EC on the common system of value added tax</t>
        </is>
      </c>
      <c r="I154" s="2" t="inlineStr">
        <is>
          <t>yes</t>
        </is>
      </c>
      <c r="J154" s="2" t="inlineStr">
        <is>
          <t>https://eur-lex.europa.eu/legal-content/EN/TXT/?uri=CELEX:32018D0457</t>
        </is>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t="inlineStr"/>
    </row>
    <row r="155">
      <c r="A155" s="2" t="n">
        <v>14</v>
      </c>
      <c r="B155" s="2" t="inlineStr">
        <is>
          <t>Common VAT system Directive</t>
        </is>
      </c>
      <c r="C155" s="2" t="inlineStr">
        <is>
          <t>32006L0112</t>
        </is>
      </c>
      <c r="D155" s="2" t="inlineStr">
        <is>
          <t>32018D0485</t>
        </is>
      </c>
      <c r="E155" s="2" t="inlineStr">
        <is>
          <t>implementing</t>
        </is>
      </c>
      <c r="F155" s="2" t="inlineStr">
        <is>
          <t>DEC_IMPL</t>
        </is>
      </c>
      <c r="G155" s="2" t="inlineStr">
        <is>
          <t>2018-03-19</t>
        </is>
      </c>
      <c r="H155" s="2" t="inlineStr">
        <is>
          <t>Council Implementing Decision (EU) 2018/485 of 19 March 2018 authorising Denmark to apply a special measure derogating from Article 75 of Directive 2006/112/EC on the common system of value added tax</t>
        </is>
      </c>
      <c r="I155" s="2" t="inlineStr">
        <is>
          <t>yes</t>
        </is>
      </c>
      <c r="J155" s="2" t="inlineStr">
        <is>
          <t>https://eur-lex.europa.eu/legal-content/EN/TXT/?uri=CELEX:32018D0485</t>
        </is>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t="inlineStr"/>
    </row>
    <row r="156">
      <c r="A156" s="2" t="n">
        <v>14</v>
      </c>
      <c r="B156" s="2" t="inlineStr">
        <is>
          <t>Common VAT system Directive</t>
        </is>
      </c>
      <c r="C156" s="2" t="inlineStr">
        <is>
          <t>32006L0112</t>
        </is>
      </c>
      <c r="D156" s="2" t="inlineStr">
        <is>
          <t>32018D0486</t>
        </is>
      </c>
      <c r="E156" s="2" t="inlineStr">
        <is>
          <t>implementing</t>
        </is>
      </c>
      <c r="F156" s="2" t="inlineStr">
        <is>
          <t>DEC_IMPL</t>
        </is>
      </c>
      <c r="G156" s="2" t="inlineStr">
        <is>
          <t>2018-03-19</t>
        </is>
      </c>
      <c r="H156" s="2" t="inlineStr">
        <is>
          <t>Council Implementing Decision (EU) 2018/486 of 19 March 2018 authorising Hungary to apply a special measure derogating from Article 193 of Directive 2006/112/EC on the common system of value added tax</t>
        </is>
      </c>
      <c r="I156" s="2" t="inlineStr">
        <is>
          <t>yes</t>
        </is>
      </c>
      <c r="J156" s="2" t="inlineStr">
        <is>
          <t>https://eur-lex.europa.eu/legal-content/EN/TXT/?uri=CELEX:32018D0486</t>
        </is>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t="inlineStr"/>
    </row>
    <row r="157">
      <c r="A157" s="2" t="n">
        <v>14</v>
      </c>
      <c r="B157" s="2" t="inlineStr">
        <is>
          <t>Common VAT system Directive</t>
        </is>
      </c>
      <c r="C157" s="2" t="inlineStr">
        <is>
          <t>32006L0112</t>
        </is>
      </c>
      <c r="D157" s="2" t="inlineStr">
        <is>
          <t>32018D0593</t>
        </is>
      </c>
      <c r="E157" s="2" t="inlineStr">
        <is>
          <t>implementing</t>
        </is>
      </c>
      <c r="F157" s="2" t="inlineStr">
        <is>
          <t>DEC_IMPL</t>
        </is>
      </c>
      <c r="G157" s="2" t="inlineStr">
        <is>
          <t>2018-04-16</t>
        </is>
      </c>
      <c r="H157" s="2" t="inlineStr">
        <is>
          <t>Council Implementing Decision (EU) 2018/593 of 16 April 2018 authorising the Italian Republic to introduce a special measure derogating from Articles 218 and 232 of Directive 2006/112/EC on the common system of value added tax</t>
        </is>
      </c>
      <c r="I157" s="2" t="inlineStr">
        <is>
          <t>yes</t>
        </is>
      </c>
      <c r="J157" s="2" t="inlineStr">
        <is>
          <t>https://eur-lex.europa.eu/legal-content/EN/TXT/?uri=CELEX:32018D0593</t>
        </is>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t="inlineStr"/>
    </row>
    <row r="158">
      <c r="A158" s="2" t="n">
        <v>14</v>
      </c>
      <c r="B158" s="2" t="inlineStr">
        <is>
          <t>Common VAT system Directive</t>
        </is>
      </c>
      <c r="C158" s="2" t="inlineStr">
        <is>
          <t>32006L0112</t>
        </is>
      </c>
      <c r="D158" s="2" t="inlineStr">
        <is>
          <t>32018D0789</t>
        </is>
      </c>
      <c r="E158" s="2" t="inlineStr">
        <is>
          <t>implementing</t>
        </is>
      </c>
      <c r="F158" s="2" t="inlineStr">
        <is>
          <t>DEC_IMPL</t>
        </is>
      </c>
      <c r="G158" s="2" t="inlineStr">
        <is>
          <t>2018-05-25</t>
        </is>
      </c>
      <c r="H158" s="2" t="inlineStr">
        <is>
          <t>Council Implementing Decision (EU) 2018/789 of 25 May 2018 authorising Hungary to introduce a special measure derogating from Article 193 of Directive 2006/112/EC on the common system of value added tax</t>
        </is>
      </c>
      <c r="I158" s="2" t="inlineStr">
        <is>
          <t>yes</t>
        </is>
      </c>
      <c r="J158" s="2" t="inlineStr">
        <is>
          <t>https://eur-lex.europa.eu/legal-content/EN/TXT/?uri=CELEX:32018D0789</t>
        </is>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t="inlineStr"/>
    </row>
    <row r="159">
      <c r="A159" s="2" t="n">
        <v>14</v>
      </c>
      <c r="B159" s="2" t="inlineStr">
        <is>
          <t>Common VAT system Directive</t>
        </is>
      </c>
      <c r="C159" s="2" t="inlineStr">
        <is>
          <t>32006L0112</t>
        </is>
      </c>
      <c r="D159" s="2" t="inlineStr">
        <is>
          <t>32018D0918</t>
        </is>
      </c>
      <c r="E159" s="2" t="inlineStr">
        <is>
          <t>implementing</t>
        </is>
      </c>
      <c r="F159" s="2" t="inlineStr">
        <is>
          <t>DEC_IMPL</t>
        </is>
      </c>
      <c r="G159" s="2" t="inlineStr">
        <is>
          <t>2018-06-22</t>
        </is>
      </c>
      <c r="H159" s="2" t="inlineStr">
        <is>
          <t>Council Implementing Decision (EU) 2018/918 of 22 June 2018 authorising Germany and Poland to introduce a special measure derogating from Article 5 of Directive 2006/112/EC on the common system of value added tax</t>
        </is>
      </c>
      <c r="I159" s="2" t="inlineStr">
        <is>
          <t>yes</t>
        </is>
      </c>
      <c r="J159" s="2" t="inlineStr">
        <is>
          <t>https://eur-lex.europa.eu/legal-content/EN/TXT/?uri=CELEX:32018D0918</t>
        </is>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t="inlineStr"/>
    </row>
    <row r="160">
      <c r="A160" s="2" t="n">
        <v>14</v>
      </c>
      <c r="B160" s="2" t="inlineStr">
        <is>
          <t>Common VAT system Directive</t>
        </is>
      </c>
      <c r="C160" s="2" t="inlineStr">
        <is>
          <t>32006L0112</t>
        </is>
      </c>
      <c r="D160" s="2" t="inlineStr">
        <is>
          <t>32018D1487</t>
        </is>
      </c>
      <c r="E160" s="2" t="inlineStr">
        <is>
          <t>implementing</t>
        </is>
      </c>
      <c r="F160" s="2" t="inlineStr">
        <is>
          <t>DEC_IMPL</t>
        </is>
      </c>
      <c r="G160" s="2" t="inlineStr">
        <is>
          <t>2018-10-02</t>
        </is>
      </c>
      <c r="H160" s="2" t="inlineStr">
        <is>
          <t>Council Implementing Decision (EU) 2018/1487 of 2 October 2018 amending Implementing Decision 2009/1013/EU authorising the Republic of Austria to continue to apply a measure derogating from Articles 168 and 168a of Directive 2006/112/EC on the common system of value added tax</t>
        </is>
      </c>
      <c r="I160" s="2" t="inlineStr">
        <is>
          <t>yes</t>
        </is>
      </c>
      <c r="J160" s="2" t="inlineStr">
        <is>
          <t>https://eur-lex.europa.eu/legal-content/EN/TXT/?uri=CELEX:32018D1487</t>
        </is>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t="inlineStr"/>
    </row>
    <row r="161">
      <c r="A161" s="2" t="n">
        <v>14</v>
      </c>
      <c r="B161" s="2" t="inlineStr">
        <is>
          <t>Common VAT system Directive</t>
        </is>
      </c>
      <c r="C161" s="2" t="inlineStr">
        <is>
          <t>32006L0112</t>
        </is>
      </c>
      <c r="D161" s="2" t="inlineStr">
        <is>
          <t>32018D1490</t>
        </is>
      </c>
      <c r="E161" s="2" t="inlineStr">
        <is>
          <t>implementing</t>
        </is>
      </c>
      <c r="F161" s="2" t="inlineStr">
        <is>
          <t>DEC_IMPL</t>
        </is>
      </c>
      <c r="G161" s="2" t="inlineStr">
        <is>
          <t>2018-10-02</t>
        </is>
      </c>
      <c r="H161" s="2" t="inlineStr">
        <is>
          <t>Council Implementing Decision (EU) 2018/1490 of 2 October 2018 authorising Hungary to introduce a special measure derogating from Article 287 of Directive 2006/112/EC on the common system of value added tax</t>
        </is>
      </c>
      <c r="I161" s="2" t="inlineStr">
        <is>
          <t>yes</t>
        </is>
      </c>
      <c r="J161" s="2" t="inlineStr">
        <is>
          <t>https://eur-lex.europa.eu/legal-content/EN/TXT/?uri=CELEX:32018D1490</t>
        </is>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t="inlineStr"/>
    </row>
    <row r="162">
      <c r="A162" s="2" t="n">
        <v>14</v>
      </c>
      <c r="B162" s="2" t="inlineStr">
        <is>
          <t>Common VAT system Directive</t>
        </is>
      </c>
      <c r="C162" s="2" t="inlineStr">
        <is>
          <t>32006L0112</t>
        </is>
      </c>
      <c r="D162" s="2" t="inlineStr">
        <is>
          <t>32018D1492</t>
        </is>
      </c>
      <c r="E162" s="2" t="inlineStr">
        <is>
          <t>implementing</t>
        </is>
      </c>
      <c r="F162" s="2" t="inlineStr">
        <is>
          <t>DEC_IMPL</t>
        </is>
      </c>
      <c r="G162" s="2" t="inlineStr">
        <is>
          <t>2018-10-02</t>
        </is>
      </c>
      <c r="H162" s="2" t="inlineStr">
        <is>
          <t>Council Implementing Decision (EU) 2018/1492 of 2 October 2018 authorising the Republic of Latvia to introduce a special measure derogating from Article 193 of Directive 2006/112/EC on the common system of value added tax</t>
        </is>
      </c>
      <c r="I162" s="2" t="inlineStr">
        <is>
          <t>yes</t>
        </is>
      </c>
      <c r="J162" s="2" t="inlineStr">
        <is>
          <t>https://eur-lex.europa.eu/legal-content/EN/TXT/?uri=CELEX:32018D1492</t>
        </is>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t="inlineStr"/>
    </row>
    <row r="163">
      <c r="A163" s="2" t="n">
        <v>14</v>
      </c>
      <c r="B163" s="2" t="inlineStr">
        <is>
          <t>Common VAT system Directive</t>
        </is>
      </c>
      <c r="C163" s="2" t="inlineStr">
        <is>
          <t>32006L0112</t>
        </is>
      </c>
      <c r="D163" s="2" t="inlineStr">
        <is>
          <t>32018D1493</t>
        </is>
      </c>
      <c r="E163" s="2" t="inlineStr">
        <is>
          <t>implementing</t>
        </is>
      </c>
      <c r="F163" s="2" t="inlineStr">
        <is>
          <t>DEC_IMPL</t>
        </is>
      </c>
      <c r="G163" s="2" t="inlineStr">
        <is>
          <t>2018-10-02</t>
        </is>
      </c>
      <c r="H163" s="2" t="inlineStr">
        <is>
          <t>Council Implementing Decision (EU) 2018/1493 of 2 October 2018 authorising Hungary to introduce a special measure derogating from point (a) of Article 26(1) and Articles 168 and 168a of Directive 2006/112/EC on the common system of value added tax</t>
        </is>
      </c>
      <c r="I163" s="2" t="inlineStr">
        <is>
          <t>yes</t>
        </is>
      </c>
      <c r="J163" s="2" t="inlineStr">
        <is>
          <t>https://eur-lex.europa.eu/legal-content/EN/TXT/?uri=CELEX:32018D1493</t>
        </is>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t="inlineStr"/>
    </row>
    <row r="164">
      <c r="A164" s="2" t="n">
        <v>14</v>
      </c>
      <c r="B164" s="2" t="inlineStr">
        <is>
          <t>Common VAT system Directive</t>
        </is>
      </c>
      <c r="C164" s="2" t="inlineStr">
        <is>
          <t>32006L0112</t>
        </is>
      </c>
      <c r="D164" s="2" t="inlineStr">
        <is>
          <t>32018D1700</t>
        </is>
      </c>
      <c r="E164" s="2" t="inlineStr">
        <is>
          <t>implementing</t>
        </is>
      </c>
      <c r="F164" s="2" t="inlineStr">
        <is>
          <t>DEC_IMPL</t>
        </is>
      </c>
      <c r="G164" s="2" t="inlineStr">
        <is>
          <t>2018-11-06</t>
        </is>
      </c>
      <c r="H164" s="2" t="inlineStr">
        <is>
          <t>Council Implementing Decision (EU) 2018/1700 of 6 November 2018 amending Implementing Decision 2013/54/EU authorising the Republic of Slovenia to introduce a special measure derogating from Article 287 of Directive 2006/112/EC on the common system of value added tax</t>
        </is>
      </c>
      <c r="I164" s="2" t="inlineStr">
        <is>
          <t>yes</t>
        </is>
      </c>
      <c r="J164" s="2" t="inlineStr">
        <is>
          <t>https://eur-lex.europa.eu/legal-content/EN/TXT/?uri=CELEX:32018D1700</t>
        </is>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t="inlineStr"/>
    </row>
    <row r="165">
      <c r="A165" s="2" t="n">
        <v>14</v>
      </c>
      <c r="B165" s="2" t="inlineStr">
        <is>
          <t>Common VAT system Directive</t>
        </is>
      </c>
      <c r="C165" s="2" t="inlineStr">
        <is>
          <t>32006L0112</t>
        </is>
      </c>
      <c r="D165" s="2" t="inlineStr">
        <is>
          <t>32018D1904</t>
        </is>
      </c>
      <c r="E165" s="2" t="inlineStr">
        <is>
          <t>implementing</t>
        </is>
      </c>
      <c r="F165" s="2" t="inlineStr">
        <is>
          <t>DEC_IMPL</t>
        </is>
      </c>
      <c r="G165" s="2" t="inlineStr">
        <is>
          <t>2018-12-04</t>
        </is>
      </c>
      <c r="H165" s="2" t="inlineStr">
        <is>
          <t>Council Implementing Decision (EU) 2018/1904 of 4 December 2018 authorising the Netherlands to introduce a special measure derogating from Article 285 of Directive 2006/112/EC on the common system of value added tax</t>
        </is>
      </c>
      <c r="I165" s="2" t="inlineStr">
        <is>
          <t>yes</t>
        </is>
      </c>
      <c r="J165" s="2" t="inlineStr">
        <is>
          <t>https://eur-lex.europa.eu/legal-content/EN/TXT/?uri=CELEX:32018D1904</t>
        </is>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t="inlineStr"/>
    </row>
    <row r="166">
      <c r="A166" s="2" t="n">
        <v>14</v>
      </c>
      <c r="B166" s="2" t="inlineStr">
        <is>
          <t>Common VAT system Directive</t>
        </is>
      </c>
      <c r="C166" s="2" t="inlineStr">
        <is>
          <t>32006L0112</t>
        </is>
      </c>
      <c r="D166" s="2" t="inlineStr">
        <is>
          <t>32018D1918</t>
        </is>
      </c>
      <c r="E166" s="2" t="inlineStr">
        <is>
          <t>implementing</t>
        </is>
      </c>
      <c r="F166" s="2" t="inlineStr">
        <is>
          <t>DEC_IMPL</t>
        </is>
      </c>
      <c r="G166" s="2" t="inlineStr">
        <is>
          <t>2018-12-04</t>
        </is>
      </c>
      <c r="H166" s="2" t="inlineStr">
        <is>
          <t>Council Implementing Decision (EU) 2018/1918 of 4 December 2018 authorising the United Kingdom to apply a special measure derogating from Articles 16 and 168 of Directive 2006/112/EC on the common system of value added tax</t>
        </is>
      </c>
      <c r="I166" s="2" t="inlineStr">
        <is>
          <t>yes</t>
        </is>
      </c>
      <c r="J166" s="2" t="inlineStr">
        <is>
          <t>https://eur-lex.europa.eu/legal-content/EN/TXT/?uri=CELEX:32018D1918</t>
        </is>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t="inlineStr"/>
    </row>
    <row r="167">
      <c r="A167" s="2" t="n">
        <v>14</v>
      </c>
      <c r="B167" s="2" t="inlineStr">
        <is>
          <t>Common VAT system Directive</t>
        </is>
      </c>
      <c r="C167" s="2" t="inlineStr">
        <is>
          <t>32006L0112</t>
        </is>
      </c>
      <c r="D167" s="2" t="inlineStr">
        <is>
          <t>32018D1919</t>
        </is>
      </c>
      <c r="E167" s="2" t="inlineStr">
        <is>
          <t>implementing</t>
        </is>
      </c>
      <c r="F167" s="2" t="inlineStr">
        <is>
          <t>DEC_IMPL</t>
        </is>
      </c>
      <c r="G167" s="2" t="inlineStr">
        <is>
          <t>2018-12-04</t>
        </is>
      </c>
      <c r="H167" s="2" t="inlineStr">
        <is>
          <t>Council Implementing Decision (EU) 2018/1919 of 4 December 2018 amending Decision 2009/790/EC authorising the Republic of Poland to apply a measure derogating from Article 287 of Directive 2006/112/EC on the common system of value added tax</t>
        </is>
      </c>
      <c r="I167" s="2" t="inlineStr">
        <is>
          <t>yes</t>
        </is>
      </c>
      <c r="J167" s="2" t="inlineStr">
        <is>
          <t>https://eur-lex.europa.eu/legal-content/EN/TXT/?uri=CELEX:32018D1919</t>
        </is>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t="inlineStr"/>
    </row>
    <row r="168">
      <c r="A168" s="2" t="n">
        <v>14</v>
      </c>
      <c r="B168" s="2" t="inlineStr">
        <is>
          <t>Common VAT system Directive</t>
        </is>
      </c>
      <c r="C168" s="2" t="inlineStr">
        <is>
          <t>32006L0112</t>
        </is>
      </c>
      <c r="D168" s="2" t="inlineStr">
        <is>
          <t>32018D1920</t>
        </is>
      </c>
      <c r="E168" s="2" t="inlineStr">
        <is>
          <t>implementing</t>
        </is>
      </c>
      <c r="F168" s="2" t="inlineStr">
        <is>
          <t>DEC_IMPL</t>
        </is>
      </c>
      <c r="G168" s="2" t="inlineStr">
        <is>
          <t>2018-12-04</t>
        </is>
      </c>
      <c r="H168" s="2" t="inlineStr">
        <is>
          <t>Council Implementing Decision (EU) 2018/1920 of 4 December 2018 amending Implementing Decision 2010/99/EU authorising the Republic of Lithuania to extend the application of a measure derogating from Article 193 of Directive 2006/112/EC on the common system of value added tax</t>
        </is>
      </c>
      <c r="I168" s="2" t="inlineStr">
        <is>
          <t>yes</t>
        </is>
      </c>
      <c r="J168" s="2" t="inlineStr">
        <is>
          <t>https://eur-lex.europa.eu/legal-content/EN/TXT/?uri=CELEX:32018D1920</t>
        </is>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t="inlineStr"/>
    </row>
    <row r="169">
      <c r="A169" s="2" t="n">
        <v>14</v>
      </c>
      <c r="B169" s="2" t="inlineStr">
        <is>
          <t>Common VAT system Directive</t>
        </is>
      </c>
      <c r="C169" s="2" t="inlineStr">
        <is>
          <t>32006L0112</t>
        </is>
      </c>
      <c r="D169" s="2" t="inlineStr">
        <is>
          <t>32018D1921</t>
        </is>
      </c>
      <c r="E169" s="2" t="inlineStr">
        <is>
          <t>implementing</t>
        </is>
      </c>
      <c r="F169" s="2" t="inlineStr">
        <is>
          <t>DEC_IMPL</t>
        </is>
      </c>
      <c r="G169" s="2" t="inlineStr">
        <is>
          <t>2018-12-04</t>
        </is>
      </c>
      <c r="H169" s="2" t="inlineStr">
        <is>
          <t>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is>
      </c>
      <c r="I169" s="2" t="inlineStr">
        <is>
          <t>yes</t>
        </is>
      </c>
      <c r="J169" s="2" t="inlineStr">
        <is>
          <t>https://eur-lex.europa.eu/legal-content/EN/TXT/?uri=CELEX:32018D1921</t>
        </is>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t="inlineStr"/>
    </row>
    <row r="170">
      <c r="A170" s="2" t="n">
        <v>14</v>
      </c>
      <c r="B170" s="2" t="inlineStr">
        <is>
          <t>Common VAT system Directive</t>
        </is>
      </c>
      <c r="C170" s="2" t="inlineStr">
        <is>
          <t>32006L0112</t>
        </is>
      </c>
      <c r="D170" s="2" t="inlineStr">
        <is>
          <t>32018R1912</t>
        </is>
      </c>
      <c r="E170" s="2" t="inlineStr">
        <is>
          <t>implementing</t>
        </is>
      </c>
      <c r="F170" s="2" t="inlineStr">
        <is>
          <t>REG_IMPL</t>
        </is>
      </c>
      <c r="G170" s="2" t="inlineStr">
        <is>
          <t>2018-12-04</t>
        </is>
      </c>
      <c r="H170" s="2" t="inlineStr">
        <is>
          <t>Council Implementing Regulation (EU) 2018/1912 of 4 December 2018 amending Implementing Regulation (EU) No 282/2011 as regards certain exemptions for intra-Community transactions</t>
        </is>
      </c>
      <c r="I170" s="2" t="inlineStr">
        <is>
          <t>no</t>
        </is>
      </c>
      <c r="J170" s="2" t="inlineStr">
        <is>
          <t>https://eur-lex.europa.eu/legal-content/EN/TXT/?uri=CELEX:32018R1912</t>
        </is>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t="inlineStr"/>
    </row>
    <row r="171">
      <c r="A171" s="2" t="n">
        <v>14</v>
      </c>
      <c r="B171" s="2" t="inlineStr">
        <is>
          <t>Common VAT system Directive</t>
        </is>
      </c>
      <c r="C171" s="2" t="inlineStr">
        <is>
          <t>32006L0112</t>
        </is>
      </c>
      <c r="D171" s="2" t="inlineStr">
        <is>
          <t>32018D1994</t>
        </is>
      </c>
      <c r="E171" s="2" t="inlineStr">
        <is>
          <t>implementing</t>
        </is>
      </c>
      <c r="F171" s="2" t="inlineStr">
        <is>
          <t>DEC_IMPL</t>
        </is>
      </c>
      <c r="G171" s="2" t="inlineStr">
        <is>
          <t>2018-12-11</t>
        </is>
      </c>
      <c r="H171" s="2" t="inlineStr">
        <is>
          <t>Council Implementing Decision (EU) 2018/1994 of 11 December 2018 authorising Croatia to introduce a special measure derogating from point (a) of Article 26(1) and Article 168 of Directive 2006/112/EC on the common system of value added tax</t>
        </is>
      </c>
      <c r="I171" s="2" t="inlineStr">
        <is>
          <t>yes</t>
        </is>
      </c>
      <c r="J171" s="2" t="inlineStr">
        <is>
          <t>https://eur-lex.europa.eu/legal-content/EN/TXT/?uri=CELEX:32018D1994</t>
        </is>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t="inlineStr"/>
    </row>
    <row r="172">
      <c r="A172" s="2" t="n">
        <v>14</v>
      </c>
      <c r="B172" s="2" t="inlineStr">
        <is>
          <t>Common VAT system Directive</t>
        </is>
      </c>
      <c r="C172" s="2" t="inlineStr">
        <is>
          <t>32006L0112</t>
        </is>
      </c>
      <c r="D172" s="2" t="inlineStr">
        <is>
          <t>32018D2006</t>
        </is>
      </c>
      <c r="E172" s="2" t="inlineStr">
        <is>
          <t>implementing</t>
        </is>
      </c>
      <c r="F172" s="2" t="inlineStr">
        <is>
          <t>DEC_IMPL</t>
        </is>
      </c>
      <c r="G172" s="2" t="inlineStr">
        <is>
          <t>2018-12-11</t>
        </is>
      </c>
      <c r="H172" s="2" t="inlineStr">
        <is>
          <t>Council Implementing Decision (EU) 2018/2006 of 11 December 2018 amending Implementing Decision 2009/1008/EU authorising the Republic of Latvia to extend the application of a measure derogating from Article 193 of Directive 2006/112/EC on the common system of value added tax</t>
        </is>
      </c>
      <c r="I172" s="2" t="inlineStr">
        <is>
          <t>yes</t>
        </is>
      </c>
      <c r="J172" s="2" t="inlineStr">
        <is>
          <t>https://eur-lex.europa.eu/legal-content/EN/TXT/?uri=CELEX:32018D2006</t>
        </is>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t="inlineStr"/>
    </row>
    <row r="173">
      <c r="A173" s="2" t="n">
        <v>14</v>
      </c>
      <c r="B173" s="2" t="inlineStr">
        <is>
          <t>Common VAT system Directive</t>
        </is>
      </c>
      <c r="C173" s="2" t="inlineStr">
        <is>
          <t>32006L0112</t>
        </is>
      </c>
      <c r="D173" s="2" t="inlineStr">
        <is>
          <t>32018D2060</t>
        </is>
      </c>
      <c r="E173" s="2" t="inlineStr">
        <is>
          <t>implementing</t>
        </is>
      </c>
      <c r="F173" s="2" t="inlineStr">
        <is>
          <t>DEC_IMPL</t>
        </is>
      </c>
      <c r="G173" s="2" t="inlineStr">
        <is>
          <t>2018-12-20</t>
        </is>
      </c>
      <c r="H173" s="2" t="inlineStr">
        <is>
          <t>Council Implementing Decision (EU) 2018/2060 of 20 December 2018 amending Decision 2009/791/EC authorising Germany to continue to apply a measure derogating from Articles 168 and 168a of Directive 2006/112/EC on the common system of value added tax</t>
        </is>
      </c>
      <c r="I173" s="2" t="inlineStr">
        <is>
          <t>yes</t>
        </is>
      </c>
      <c r="J173" s="2" t="inlineStr">
        <is>
          <t>https://eur-lex.europa.eu/legal-content/EN/TXT/?uri=CELEX:32018D2060</t>
        </is>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t="inlineStr"/>
    </row>
    <row r="174">
      <c r="A174" s="2" t="n">
        <v>14</v>
      </c>
      <c r="B174" s="2" t="inlineStr">
        <is>
          <t>Common VAT system Directive</t>
        </is>
      </c>
      <c r="C174" s="2" t="inlineStr">
        <is>
          <t>32006L0112</t>
        </is>
      </c>
      <c r="D174" s="2" t="inlineStr">
        <is>
          <t>32018D2077</t>
        </is>
      </c>
      <c r="E174" s="2" t="inlineStr">
        <is>
          <t>implementing</t>
        </is>
      </c>
      <c r="F174" s="2" t="inlineStr">
        <is>
          <t>DEC_IMPL</t>
        </is>
      </c>
      <c r="G174" s="2" t="inlineStr">
        <is>
          <t>2018-12-20</t>
        </is>
      </c>
      <c r="H174" s="2" t="inlineStr">
        <is>
          <t>Council Implementing Decision (EU) 2018/2077 of 20 December 2018 amending Implementing Decision 2013/53/EU authorising the Kingdom of Belgium to introduce a special measure derogating from Article 285 of Directive 2006/112/EC on the common system of value added tax</t>
        </is>
      </c>
      <c r="I174" s="2" t="inlineStr">
        <is>
          <t>yes</t>
        </is>
      </c>
      <c r="J174" s="2" t="inlineStr">
        <is>
          <t>https://eur-lex.europa.eu/legal-content/EN/TXT/?uri=CELEX:32018D2077</t>
        </is>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t="inlineStr"/>
    </row>
    <row r="175">
      <c r="A175" s="2" t="n">
        <v>14</v>
      </c>
      <c r="B175" s="2" t="inlineStr">
        <is>
          <t>Common VAT system Directive</t>
        </is>
      </c>
      <c r="C175" s="2" t="inlineStr">
        <is>
          <t>32006L0112</t>
        </is>
      </c>
      <c r="D175" s="2" t="inlineStr">
        <is>
          <t>32019D0309</t>
        </is>
      </c>
      <c r="E175" s="2" t="inlineStr">
        <is>
          <t>implementing</t>
        </is>
      </c>
      <c r="F175" s="2" t="inlineStr">
        <is>
          <t>DEC_IMPL</t>
        </is>
      </c>
      <c r="G175" s="2" t="inlineStr">
        <is>
          <t>2019-02-18</t>
        </is>
      </c>
      <c r="H175" s="2" t="inlineStr">
        <is>
          <t>Council Implementing Decision (EU) 2019/309 of 18 February 2019 authorising Lithuania to introduce a special measure derogating from Article 193 of Directive 2006/112/EC on the common system of value added tax</t>
        </is>
      </c>
      <c r="I175" s="2" t="inlineStr">
        <is>
          <t>yes</t>
        </is>
      </c>
      <c r="J175" s="2" t="inlineStr">
        <is>
          <t>https://eur-lex.europa.eu/legal-content/EN/TXT/?uri=CELEX:32019D0309</t>
        </is>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t="inlineStr"/>
    </row>
    <row r="176">
      <c r="A176" s="2" t="n">
        <v>14</v>
      </c>
      <c r="B176" s="2" t="inlineStr">
        <is>
          <t>Common VAT system Directive</t>
        </is>
      </c>
      <c r="C176" s="2" t="inlineStr">
        <is>
          <t>32006L0112</t>
        </is>
      </c>
      <c r="D176" s="2" t="inlineStr">
        <is>
          <t>32019D0310</t>
        </is>
      </c>
      <c r="E176" s="2" t="inlineStr">
        <is>
          <t>implementing</t>
        </is>
      </c>
      <c r="F176" s="2" t="inlineStr">
        <is>
          <t>DEC_IMPL</t>
        </is>
      </c>
      <c r="G176" s="2" t="inlineStr">
        <is>
          <t>2019-02-18</t>
        </is>
      </c>
      <c r="H176" s="2" t="inlineStr">
        <is>
          <t>Council Implementing Decision (EU) 2019/310 of 18 February 2019 authorising Poland to introduce a special measure derogating from Article 226 of Directive 2006/112/EC on the common system of value added tax</t>
        </is>
      </c>
      <c r="I176" s="2" t="inlineStr">
        <is>
          <t>yes</t>
        </is>
      </c>
      <c r="J176" s="2" t="inlineStr">
        <is>
          <t>https://eur-lex.europa.eu/legal-content/EN/TXT/?uri=CELEX:32019D0310</t>
        </is>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t="inlineStr"/>
    </row>
    <row r="177">
      <c r="A177" s="2" t="n">
        <v>14</v>
      </c>
      <c r="B177" s="2" t="inlineStr">
        <is>
          <t>Common VAT system Directive</t>
        </is>
      </c>
      <c r="C177" s="2" t="inlineStr">
        <is>
          <t>32006L0112</t>
        </is>
      </c>
      <c r="D177" s="2" t="inlineStr">
        <is>
          <t>32019D1592</t>
        </is>
      </c>
      <c r="E177" s="2" t="inlineStr">
        <is>
          <t>implementing</t>
        </is>
      </c>
      <c r="F177" s="2" t="inlineStr">
        <is>
          <t>DEC_IMPL</t>
        </is>
      </c>
      <c r="G177" s="2" t="inlineStr">
        <is>
          <t>2019-09-24</t>
        </is>
      </c>
      <c r="H177" s="2" t="inlineStr">
        <is>
          <t>Council Implementing Decision (EU) 2019/1592 of 24 September 2019 authorising Portugal to introduce a special measure derogating from Article 193 of Directive 2006/112/EC on the common system of value added tax</t>
        </is>
      </c>
      <c r="I177" s="2" t="inlineStr">
        <is>
          <t>yes</t>
        </is>
      </c>
      <c r="J177" s="2" t="inlineStr">
        <is>
          <t>https://eur-lex.europa.eu/legal-content/EN/TXT/?uri=CELEX:32019D1592</t>
        </is>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t="inlineStr"/>
    </row>
    <row r="178">
      <c r="A178" s="2" t="n">
        <v>14</v>
      </c>
      <c r="B178" s="2" t="inlineStr">
        <is>
          <t>Common VAT system Directive</t>
        </is>
      </c>
      <c r="C178" s="2" t="inlineStr">
        <is>
          <t>32006L0112</t>
        </is>
      </c>
      <c r="D178" s="2" t="inlineStr">
        <is>
          <t>32019D1593</t>
        </is>
      </c>
      <c r="E178" s="2" t="inlineStr">
        <is>
          <t>implementing</t>
        </is>
      </c>
      <c r="F178" s="2" t="inlineStr">
        <is>
          <t>DEC_IMPL</t>
        </is>
      </c>
      <c r="G178" s="2" t="inlineStr">
        <is>
          <t>2019-09-24</t>
        </is>
      </c>
      <c r="H178" s="2" t="inlineStr">
        <is>
          <t>Council Implementing Decision (EU) 2019/1593 of 24 September 2019 amending Implementing Decision 2013/676/EU authorising Romania to continue to apply a special measure derogating from Article 193 of Directive 2006/112/EC on the common system of value added tax</t>
        </is>
      </c>
      <c r="I178" s="2" t="inlineStr">
        <is>
          <t>yes</t>
        </is>
      </c>
      <c r="J178" s="2" t="inlineStr">
        <is>
          <t>https://eur-lex.europa.eu/legal-content/EN/TXT/?uri=CELEX:32019D1593</t>
        </is>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t="inlineStr"/>
    </row>
    <row r="179">
      <c r="A179" s="2" t="n">
        <v>14</v>
      </c>
      <c r="B179" s="2" t="inlineStr">
        <is>
          <t>Common VAT system Directive</t>
        </is>
      </c>
      <c r="C179" s="2" t="inlineStr">
        <is>
          <t>32006L0112</t>
        </is>
      </c>
      <c r="D179" s="2" t="inlineStr">
        <is>
          <t>32019D1594</t>
        </is>
      </c>
      <c r="E179" s="2" t="inlineStr">
        <is>
          <t>implementing</t>
        </is>
      </c>
      <c r="F179" s="2" t="inlineStr">
        <is>
          <t>DEC_IMPL</t>
        </is>
      </c>
      <c r="G179" s="2" t="inlineStr">
        <is>
          <t>2019-09-24</t>
        </is>
      </c>
      <c r="H179" s="2" t="inlineStr">
        <is>
          <t>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is>
      </c>
      <c r="I179" s="2" t="inlineStr">
        <is>
          <t>yes</t>
        </is>
      </c>
      <c r="J179" s="2" t="inlineStr">
        <is>
          <t>https://eur-lex.europa.eu/legal-content/EN/TXT/?uri=CELEX:32019D1594</t>
        </is>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t="inlineStr"/>
    </row>
    <row r="180">
      <c r="A180" s="2" t="n">
        <v>14</v>
      </c>
      <c r="B180" s="2" t="inlineStr">
        <is>
          <t>Common VAT system Directive</t>
        </is>
      </c>
      <c r="C180" s="2" t="inlineStr">
        <is>
          <t>32006L0112</t>
        </is>
      </c>
      <c r="D180" s="2" t="inlineStr">
        <is>
          <t>32019D1903</t>
        </is>
      </c>
      <c r="E180" s="2" t="inlineStr">
        <is>
          <t>implementing</t>
        </is>
      </c>
      <c r="F180" s="2" t="inlineStr">
        <is>
          <t>DEC_IMPL</t>
        </is>
      </c>
      <c r="G180" s="2" t="inlineStr">
        <is>
          <t>2019-11-08</t>
        </is>
      </c>
      <c r="H180" s="2" t="inlineStr">
        <is>
          <t>Council Implementing Decision (EU) 2019/1903 of 8 November 2019 authorising Czechia to apply the generalised reverse charge mechanism derogating from Article 193 of Directive 2006/112/EC</t>
        </is>
      </c>
      <c r="I180" s="2" t="inlineStr">
        <is>
          <t>yes</t>
        </is>
      </c>
      <c r="J180" s="2" t="inlineStr">
        <is>
          <t>https://eur-lex.europa.eu/legal-content/EN/TXT/?uri=CELEX:32019D1903</t>
        </is>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t="inlineStr"/>
    </row>
    <row r="181">
      <c r="A181" s="2" t="n">
        <v>14</v>
      </c>
      <c r="B181" s="2" t="inlineStr">
        <is>
          <t>Common VAT system Directive</t>
        </is>
      </c>
      <c r="C181" s="2" t="inlineStr">
        <is>
          <t>32006L0112</t>
        </is>
      </c>
      <c r="D181" s="2" t="inlineStr">
        <is>
          <t>32019R2026</t>
        </is>
      </c>
      <c r="E181" s="2" t="inlineStr">
        <is>
          <t>implementing</t>
        </is>
      </c>
      <c r="F181" s="2" t="inlineStr">
        <is>
          <t>REG_IMPL</t>
        </is>
      </c>
      <c r="G181" s="2" t="inlineStr">
        <is>
          <t>2019-11-21</t>
        </is>
      </c>
      <c r="H181" s="2" t="inlineStr">
        <is>
          <t>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is>
      </c>
      <c r="I181" s="2" t="inlineStr">
        <is>
          <t>no</t>
        </is>
      </c>
      <c r="J181" s="2" t="inlineStr">
        <is>
          <t>https://eur-lex.europa.eu/legal-content/EN/TXT/?uri=CELEX:32019R2026</t>
        </is>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t="inlineStr"/>
    </row>
    <row r="182">
      <c r="A182" s="2" t="n">
        <v>14</v>
      </c>
      <c r="B182" s="2" t="inlineStr">
        <is>
          <t>Common VAT system Directive</t>
        </is>
      </c>
      <c r="C182" s="2" t="inlineStr">
        <is>
          <t>32006L0112</t>
        </is>
      </c>
      <c r="D182" s="2" t="inlineStr">
        <is>
          <t>32019D2138</t>
        </is>
      </c>
      <c r="E182" s="2" t="inlineStr">
        <is>
          <t>implementing</t>
        </is>
      </c>
      <c r="F182" s="2" t="inlineStr">
        <is>
          <t>DEC_IMPL</t>
        </is>
      </c>
      <c r="G182" s="2" t="inlineStr">
        <is>
          <t>2019-12-05</t>
        </is>
      </c>
      <c r="H182" s="2" t="inlineStr">
        <is>
          <t>Council Implementing Decision (EU) 2019/2138 of 5 December 2019 amending Decision 2007/441/EC authorising the Italian Republic to apply measures derogating from Articles 26(1)(a) and 168 of Directive 2006/112/EC on the common system of value added tax</t>
        </is>
      </c>
      <c r="I182" s="2" t="inlineStr">
        <is>
          <t>yes</t>
        </is>
      </c>
      <c r="J182" s="2" t="inlineStr">
        <is>
          <t>https://eur-lex.europa.eu/legal-content/EN/TXT/?uri=CELEX:32019D2138</t>
        </is>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t="inlineStr"/>
    </row>
    <row r="183">
      <c r="A183" s="2" t="n">
        <v>14</v>
      </c>
      <c r="B183" s="2" t="inlineStr">
        <is>
          <t>Common VAT system Directive</t>
        </is>
      </c>
      <c r="C183" s="2" t="inlineStr">
        <is>
          <t>32006L0112</t>
        </is>
      </c>
      <c r="D183" s="2" t="inlineStr">
        <is>
          <t>32019D2244</t>
        </is>
      </c>
      <c r="E183" s="2" t="inlineStr">
        <is>
          <t>implementing</t>
        </is>
      </c>
      <c r="F183" s="2" t="inlineStr">
        <is>
          <t>DEC_IMPL</t>
        </is>
      </c>
      <c r="G183" s="2" t="inlineStr">
        <is>
          <t>2019-12-16</t>
        </is>
      </c>
      <c r="H183" s="2" t="inlineStr">
        <is>
          <t>Council Implementing Decision (EU) 2019/2244 of 16 December 2019 authorising Spain and France to apply a special measure derogating from Article 5 of Directive 2006/112/EC on the common system of value added tax</t>
        </is>
      </c>
      <c r="I183" s="2" t="inlineStr">
        <is>
          <t>yes</t>
        </is>
      </c>
      <c r="J183" s="2" t="inlineStr">
        <is>
          <t>https://eur-lex.europa.eu/legal-content/EN/TXT/?uri=CELEX:32019D2244</t>
        </is>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t="inlineStr"/>
    </row>
    <row r="184">
      <c r="A184" s="2" t="n">
        <v>14</v>
      </c>
      <c r="B184" s="2" t="inlineStr">
        <is>
          <t>Common VAT system Directive</t>
        </is>
      </c>
      <c r="C184" s="2" t="inlineStr">
        <is>
          <t>32006L0112</t>
        </is>
      </c>
      <c r="D184" s="2" t="inlineStr">
        <is>
          <t>32019D2210</t>
        </is>
      </c>
      <c r="E184" s="2" t="inlineStr">
        <is>
          <t>implementing</t>
        </is>
      </c>
      <c r="F184" s="2" t="inlineStr">
        <is>
          <t>DEC_IMPL</t>
        </is>
      </c>
      <c r="G184" s="2" t="inlineStr">
        <is>
          <t>2019-12-19</t>
        </is>
      </c>
      <c r="H184" s="2" t="inlineStr">
        <is>
          <t>Council Implementing Decision (EU) 2019/2210 of 19 December 2019 amending Implementing Decision 2013/677/EU authorising Luxembourg to introduce a special measure derogating from Article 285 of Directive 2006/112/EC on the common system of value added tax</t>
        </is>
      </c>
      <c r="I184" s="2" t="inlineStr">
        <is>
          <t>yes</t>
        </is>
      </c>
      <c r="J184" s="2" t="inlineStr">
        <is>
          <t>https://eur-lex.europa.eu/legal-content/EN/TXT/?uri=CELEX:32019D2210</t>
        </is>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t="inlineStr"/>
    </row>
    <row r="185">
      <c r="A185" s="2" t="n">
        <v>14</v>
      </c>
      <c r="B185" s="2" t="inlineStr">
        <is>
          <t>Common VAT system Directive</t>
        </is>
      </c>
      <c r="C185" s="2" t="inlineStr">
        <is>
          <t>32006L0112</t>
        </is>
      </c>
      <c r="D185" s="2" t="inlineStr">
        <is>
          <t>32019D2230</t>
        </is>
      </c>
      <c r="E185" s="2" t="inlineStr">
        <is>
          <t>implementing</t>
        </is>
      </c>
      <c r="F185" s="2" t="inlineStr">
        <is>
          <t>DEC_IMPL</t>
        </is>
      </c>
      <c r="G185" s="2" t="inlineStr">
        <is>
          <t>2019-12-19</t>
        </is>
      </c>
      <c r="H185" s="2" t="inlineStr">
        <is>
          <t>Council Implementing Decision (EU) 2019/2230 of 19 December 2019 amending Decision 2007/884/EC authorising the United Kingdom to continue to apply a measure derogating from Articles 26(1)(a), 168 and 169 of Directive 2006/112/EC on the common system of value added tax</t>
        </is>
      </c>
      <c r="I185" s="2" t="inlineStr">
        <is>
          <t>yes</t>
        </is>
      </c>
      <c r="J185" s="2" t="inlineStr">
        <is>
          <t>https://eur-lex.europa.eu/legal-content/EN/TXT/?uri=CELEX:32019D2230</t>
        </is>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t="inlineStr"/>
    </row>
    <row r="186">
      <c r="A186" s="2" t="n">
        <v>14</v>
      </c>
      <c r="B186" s="2" t="inlineStr">
        <is>
          <t>Common VAT system Directive</t>
        </is>
      </c>
      <c r="C186" s="2" t="inlineStr">
        <is>
          <t>32006L0112</t>
        </is>
      </c>
      <c r="D186" s="2" t="inlineStr">
        <is>
          <t>32020D0647</t>
        </is>
      </c>
      <c r="E186" s="2" t="inlineStr">
        <is>
          <t>implementing</t>
        </is>
      </c>
      <c r="F186" s="2" t="inlineStr">
        <is>
          <t>DEC_IMPL</t>
        </is>
      </c>
      <c r="G186" s="2" t="inlineStr">
        <is>
          <t>2020-05-11</t>
        </is>
      </c>
      <c r="H186" s="2" t="inlineStr">
        <is>
          <t>Council Implementing Decision (EU) 2020/647 of 11 May 2020 authorising the Italian Republic to apply a special measure derogating from Article 285 of Directive 2006/112/EC on the common system of value added tax</t>
        </is>
      </c>
      <c r="I186" s="2" t="inlineStr">
        <is>
          <t>yes</t>
        </is>
      </c>
      <c r="J186" s="2" t="inlineStr">
        <is>
          <t>https://eur-lex.europa.eu/legal-content/EN/TXT/?uri=CELEX:32020D0647</t>
        </is>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t="inlineStr"/>
    </row>
    <row r="187">
      <c r="A187" s="2" t="n">
        <v>14</v>
      </c>
      <c r="B187" s="2" t="inlineStr">
        <is>
          <t>Common VAT system Directive</t>
        </is>
      </c>
      <c r="C187" s="2" t="inlineStr">
        <is>
          <t>32006L0112</t>
        </is>
      </c>
      <c r="D187" s="2" t="inlineStr">
        <is>
          <t>32020D0774</t>
        </is>
      </c>
      <c r="E187" s="2" t="inlineStr">
        <is>
          <t>implementing</t>
        </is>
      </c>
      <c r="F187" s="2" t="inlineStr">
        <is>
          <t>DEC_IMPL</t>
        </is>
      </c>
      <c r="G187" s="2" t="inlineStr">
        <is>
          <t>2020-06-08</t>
        </is>
      </c>
      <c r="H187" s="2" t="inlineStr">
        <is>
          <t>Council Implementing Decision (EU) 2020/774 of 8 June 2020 authorising the Republic of Finland to apply a special measure derogating from Article 287 of Directive 2006/112/EC on the common system of value added tax</t>
        </is>
      </c>
      <c r="I187" s="2" t="inlineStr">
        <is>
          <t>yes</t>
        </is>
      </c>
      <c r="J187" s="2" t="inlineStr">
        <is>
          <t>https://eur-lex.europa.eu/legal-content/EN/TXT/?uri=CELEX:32020D0774</t>
        </is>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t="inlineStr"/>
    </row>
    <row r="188">
      <c r="A188" s="2" t="n">
        <v>14</v>
      </c>
      <c r="B188" s="2" t="inlineStr">
        <is>
          <t>Common VAT system Directive</t>
        </is>
      </c>
      <c r="C188" s="2" t="inlineStr">
        <is>
          <t>32006L0112</t>
        </is>
      </c>
      <c r="D188" s="2" t="inlineStr">
        <is>
          <t>32020R1112</t>
        </is>
      </c>
      <c r="E188" s="2" t="inlineStr">
        <is>
          <t>implementing</t>
        </is>
      </c>
      <c r="F188" s="2" t="inlineStr">
        <is>
          <t>REG_IMPL</t>
        </is>
      </c>
      <c r="G188" s="2" t="inlineStr">
        <is>
          <t>2020-07-20</t>
        </is>
      </c>
      <c r="H188" s="2" t="inlineStr">
        <is>
          <t>Council Implementing Regulation (EU) 2020/1112 of 20 July 2020 amending Implementing Regulation (EU) 2019/2026 as regards the dates of application in response to the COVID-19 pandemic</t>
        </is>
      </c>
      <c r="I188" s="2" t="inlineStr">
        <is>
          <t>no</t>
        </is>
      </c>
      <c r="J188" s="2" t="inlineStr">
        <is>
          <t>https://eur-lex.europa.eu/legal-content/EN/TXT/?uri=CELEX:32020R1112</t>
        </is>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t="inlineStr"/>
    </row>
    <row r="189">
      <c r="A189" s="2" t="n">
        <v>14</v>
      </c>
      <c r="B189" s="2" t="inlineStr">
        <is>
          <t>Common VAT system Directive</t>
        </is>
      </c>
      <c r="C189" s="2" t="inlineStr">
        <is>
          <t>32006L0112</t>
        </is>
      </c>
      <c r="D189" s="2" t="inlineStr">
        <is>
          <t>32020D1088</t>
        </is>
      </c>
      <c r="E189" s="2" t="inlineStr">
        <is>
          <t>implementing</t>
        </is>
      </c>
      <c r="F189" s="2" t="inlineStr">
        <is>
          <t>DEC_IMPL</t>
        </is>
      </c>
      <c r="G189" s="2" t="inlineStr">
        <is>
          <t>2020-07-22</t>
        </is>
      </c>
      <c r="H189" s="2" t="inlineStr">
        <is>
          <t>Council Implementing Decision (EU) 2020/1088 of 22 July 2020 amending Implementing Decision (EU) 2018/485 authorising Denmark to apply a special measure derogating from Article 75 of Directive 2006/112/EC on the common system of value added tax</t>
        </is>
      </c>
      <c r="I189" s="2" t="inlineStr">
        <is>
          <t>yes</t>
        </is>
      </c>
      <c r="J189" s="2" t="inlineStr">
        <is>
          <t>https://eur-lex.europa.eu/legal-content/EN/TXT/?uri=CELEX:32020D1088</t>
        </is>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t="inlineStr"/>
    </row>
    <row r="190">
      <c r="A190" s="2" t="n">
        <v>14</v>
      </c>
      <c r="B190" s="2" t="inlineStr">
        <is>
          <t>Common VAT system Directive</t>
        </is>
      </c>
      <c r="C190" s="2" t="inlineStr">
        <is>
          <t>32006L0112</t>
        </is>
      </c>
      <c r="D190" s="2" t="inlineStr">
        <is>
          <t>32020D1105</t>
        </is>
      </c>
      <c r="E190" s="2" t="inlineStr">
        <is>
          <t>implementing</t>
        </is>
      </c>
      <c r="F190" s="2" t="inlineStr">
        <is>
          <t>DEC_IMPL</t>
        </is>
      </c>
      <c r="G190" s="2" t="inlineStr">
        <is>
          <t>2020-07-24</t>
        </is>
      </c>
      <c r="H190" s="2" t="inlineStr">
        <is>
          <t>Council Implementing Decision (EU) 2020/1105 of 24 July 2020 amending Implementing Decision (EU) 2017/784 authorising the Italian Republic to apply a special measure derogating from Articles 206 and 226 of Directive 2006/112/EC on the common system of value added tax</t>
        </is>
      </c>
      <c r="I190" s="2" t="inlineStr">
        <is>
          <t>yes</t>
        </is>
      </c>
      <c r="J190" s="2" t="inlineStr">
        <is>
          <t>https://eur-lex.europa.eu/legal-content/EN/TXT/?uri=CELEX:32020D1105</t>
        </is>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t="inlineStr"/>
    </row>
    <row r="191">
      <c r="A191" s="2" t="n">
        <v>14</v>
      </c>
      <c r="B191" s="2" t="inlineStr">
        <is>
          <t>Common VAT system Directive</t>
        </is>
      </c>
      <c r="C191" s="2" t="inlineStr">
        <is>
          <t>32006L0112</t>
        </is>
      </c>
      <c r="D191" s="2" t="inlineStr">
        <is>
          <t>32020D1260</t>
        </is>
      </c>
      <c r="E191" s="2" t="inlineStr">
        <is>
          <t>implementing</t>
        </is>
      </c>
      <c r="F191" s="2" t="inlineStr">
        <is>
          <t>DEC_IMPL</t>
        </is>
      </c>
      <c r="G191" s="2" t="inlineStr">
        <is>
          <t>2020-09-04</t>
        </is>
      </c>
      <c r="H191" s="2" t="inlineStr">
        <is>
          <t>Council Implementing Decision (EU) 2020/1260 of 4 September 2020 amending Implementing Decision (EU) 2017/1855 authorising Romania to apply a special measure derogating from Article 287 of Directive 2006/112/EC on the common system of value added tax</t>
        </is>
      </c>
      <c r="I191" s="2" t="inlineStr">
        <is>
          <t>yes</t>
        </is>
      </c>
      <c r="J191" s="2" t="inlineStr">
        <is>
          <t>https://eur-lex.europa.eu/legal-content/EN/TXT/?uri=CELEX:32020D1260</t>
        </is>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t="inlineStr"/>
    </row>
    <row r="192">
      <c r="A192" s="2" t="n">
        <v>14</v>
      </c>
      <c r="B192" s="2" t="inlineStr">
        <is>
          <t>Common VAT system Directive</t>
        </is>
      </c>
      <c r="C192" s="2" t="inlineStr">
        <is>
          <t>32006L0112</t>
        </is>
      </c>
      <c r="D192" s="2" t="inlineStr">
        <is>
          <t>32020D1261</t>
        </is>
      </c>
      <c r="E192" s="2" t="inlineStr">
        <is>
          <t>implementing</t>
        </is>
      </c>
      <c r="F192" s="2" t="inlineStr">
        <is>
          <t>DEC_IMPL</t>
        </is>
      </c>
      <c r="G192" s="2" t="inlineStr">
        <is>
          <t>2020-09-04</t>
        </is>
      </c>
      <c r="H192" s="2" t="inlineStr">
        <is>
          <t>Council Implementing Decision (EU) 2020/1261 of 4 September 2020 amending Implementing Decision (EU) 2017/2408 authorising the Republic of Latvia to apply a special measure derogating from Article 287 of Directive 2006/112/EC on the common system of value added tax</t>
        </is>
      </c>
      <c r="I192" s="2" t="inlineStr">
        <is>
          <t>yes</t>
        </is>
      </c>
      <c r="J192" s="2" t="inlineStr">
        <is>
          <t>https://eur-lex.europa.eu/legal-content/EN/TXT/?uri=CELEX:32020D1261</t>
        </is>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t="inlineStr"/>
    </row>
    <row r="193">
      <c r="A193" s="2" t="n">
        <v>14</v>
      </c>
      <c r="B193" s="2" t="inlineStr">
        <is>
          <t>Common VAT system Directive</t>
        </is>
      </c>
      <c r="C193" s="2" t="inlineStr">
        <is>
          <t>32006L0112</t>
        </is>
      </c>
      <c r="D193" s="2" t="inlineStr">
        <is>
          <t>32020D1262</t>
        </is>
      </c>
      <c r="E193" s="2" t="inlineStr">
        <is>
          <t>implementing</t>
        </is>
      </c>
      <c r="F193" s="2" t="inlineStr">
        <is>
          <t>DEC_IMPL</t>
        </is>
      </c>
      <c r="G193" s="2" t="inlineStr">
        <is>
          <t>2020-09-04</t>
        </is>
      </c>
      <c r="H193" s="2" t="inlineStr">
        <is>
          <t>Council Implementing Decision (EU) 2020/1262 of 4 September 2020 amending Implementing Decision 2012/232/EU authorising Romania to apply measures derogating from Article 26(1)(a) and Article 168 of Directive 2006/112/EC on the common system of value added tax</t>
        </is>
      </c>
      <c r="I193" s="2" t="inlineStr">
        <is>
          <t>yes</t>
        </is>
      </c>
      <c r="J193" s="2" t="inlineStr">
        <is>
          <t>https://eur-lex.europa.eu/legal-content/EN/TXT/?uri=CELEX:32020D1262</t>
        </is>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t="inlineStr"/>
    </row>
    <row r="194">
      <c r="A194" s="2" t="n">
        <v>14</v>
      </c>
      <c r="B194" s="2" t="inlineStr">
        <is>
          <t>Common VAT system Directive</t>
        </is>
      </c>
      <c r="C194" s="2" t="inlineStr">
        <is>
          <t>32006L0112</t>
        </is>
      </c>
      <c r="D194" s="2" t="inlineStr">
        <is>
          <t>32020D1277</t>
        </is>
      </c>
      <c r="E194" s="2" t="inlineStr">
        <is>
          <t>implementing</t>
        </is>
      </c>
      <c r="F194" s="2" t="inlineStr">
        <is>
          <t>DEC_IMPL</t>
        </is>
      </c>
      <c r="G194" s="2" t="inlineStr">
        <is>
          <t>2020-09-09</t>
        </is>
      </c>
      <c r="H194" s="2" t="inlineStr">
        <is>
          <t>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is>
      </c>
      <c r="I194" s="2" t="inlineStr">
        <is>
          <t>yes</t>
        </is>
      </c>
      <c r="J194" s="2" t="inlineStr">
        <is>
          <t>https://eur-lex.europa.eu/legal-content/EN/TXT/?uri=CELEX:32020D1277</t>
        </is>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t="inlineStr"/>
    </row>
    <row r="195">
      <c r="A195" s="2" t="n">
        <v>14</v>
      </c>
      <c r="B195" s="2" t="inlineStr">
        <is>
          <t>Common VAT system Directive</t>
        </is>
      </c>
      <c r="C195" s="2" t="inlineStr">
        <is>
          <t>32006L0112</t>
        </is>
      </c>
      <c r="D195" s="2" t="inlineStr">
        <is>
          <t>32020D1661</t>
        </is>
      </c>
      <c r="E195" s="2" t="inlineStr">
        <is>
          <t>implementing</t>
        </is>
      </c>
      <c r="F195" s="2" t="inlineStr">
        <is>
          <t>DEC_IMPL</t>
        </is>
      </c>
      <c r="G195" s="2" t="inlineStr">
        <is>
          <t>2020-11-03</t>
        </is>
      </c>
      <c r="H195" s="2" t="inlineStr">
        <is>
          <t>Council Implementing Decision (EU) 2020/1661 of 3 November 2020 amending Implementing Decision (EU) 2017/1768 authorising the Republic of Croatia to introduce a special measure derogating from Article 287 of Directive 2006/112/EC on the common system of value added tax</t>
        </is>
      </c>
      <c r="I195" s="2" t="inlineStr">
        <is>
          <t>yes</t>
        </is>
      </c>
      <c r="J195" s="2" t="inlineStr">
        <is>
          <t>https://eur-lex.europa.eu/legal-content/EN/TXT/?uri=CELEX:32020D1661</t>
        </is>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t="inlineStr"/>
    </row>
    <row r="196">
      <c r="A196" s="2" t="n">
        <v>14</v>
      </c>
      <c r="B196" s="2" t="inlineStr">
        <is>
          <t>Common VAT system Directive</t>
        </is>
      </c>
      <c r="C196" s="2" t="inlineStr">
        <is>
          <t>32006L0112</t>
        </is>
      </c>
      <c r="D196" s="2" t="inlineStr">
        <is>
          <t>32020D1662</t>
        </is>
      </c>
      <c r="E196" s="2" t="inlineStr">
        <is>
          <t>implementing</t>
        </is>
      </c>
      <c r="F196" s="2" t="inlineStr">
        <is>
          <t>DEC_IMPL</t>
        </is>
      </c>
      <c r="G196" s="2" t="inlineStr">
        <is>
          <t>2020-11-03</t>
        </is>
      </c>
      <c r="H196" s="2" t="inlineStr">
        <is>
          <t>Council Implementing Decision (EU) 2020/1662 of 3 November 2020 amending Implementing Decision (EU) 2018/279 authorising Malta to apply a special measure derogating from Article 287 of Directive 2006/112/EC on the common system of value added tax</t>
        </is>
      </c>
      <c r="I196" s="2" t="inlineStr">
        <is>
          <t>yes</t>
        </is>
      </c>
      <c r="J196" s="2" t="inlineStr">
        <is>
          <t>https://eur-lex.europa.eu/legal-content/EN/TXT/?uri=CELEX:32020D1662</t>
        </is>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t="inlineStr"/>
    </row>
    <row r="197">
      <c r="A197" s="2" t="n">
        <v>14</v>
      </c>
      <c r="B197" s="2" t="inlineStr">
        <is>
          <t>Common VAT system Directive</t>
        </is>
      </c>
      <c r="C197" s="2" t="inlineStr">
        <is>
          <t>32006L0112</t>
        </is>
      </c>
      <c r="D197" s="2" t="inlineStr">
        <is>
          <t>32020D2189</t>
        </is>
      </c>
      <c r="E197" s="2" t="inlineStr">
        <is>
          <t>implementing</t>
        </is>
      </c>
      <c r="F197" s="2" t="inlineStr">
        <is>
          <t>DEC_IMPL</t>
        </is>
      </c>
      <c r="G197" s="2" t="inlineStr">
        <is>
          <t>2020-12-18</t>
        </is>
      </c>
      <c r="H197" s="2" t="inlineStr">
        <is>
          <t>Council Implementing Decision (EU) 2020/2189 of 18 December 2020 authorising the Netherlands to introduce a special measure derogating from Articles 168 and 168a of Directive 2006/112/EC on the common system of value added tax</t>
        </is>
      </c>
      <c r="I197" s="2" t="inlineStr">
        <is>
          <t>yes</t>
        </is>
      </c>
      <c r="J197" s="2" t="inlineStr">
        <is>
          <t>https://eur-lex.europa.eu/legal-content/EN/TXT/?uri=CELEX:32020D2189</t>
        </is>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t="inlineStr"/>
    </row>
    <row r="198">
      <c r="A198" s="2" t="n">
        <v>14</v>
      </c>
      <c r="B198" s="2" t="inlineStr">
        <is>
          <t>Common VAT system Directive</t>
        </is>
      </c>
      <c r="C198" s="2" t="inlineStr">
        <is>
          <t>32006L0112</t>
        </is>
      </c>
      <c r="D198" s="2" t="inlineStr">
        <is>
          <t>32021D0086</t>
        </is>
      </c>
      <c r="E198" s="2" t="inlineStr">
        <is>
          <t>implementing</t>
        </is>
      </c>
      <c r="F198" s="2" t="inlineStr">
        <is>
          <t>DEC_IMPL</t>
        </is>
      </c>
      <c r="G198" s="2" t="inlineStr">
        <is>
          <t>2021-01-22</t>
        </is>
      </c>
      <c r="H198" s="2" t="inlineStr">
        <is>
          <t>Council Implementing Decision (EU) 2021/86 of 22 January 2021 authorising the Republic of Lithuania to apply a special measure derogating from Article 287 of Directive 2006/112/EC on the common system of value added tax</t>
        </is>
      </c>
      <c r="I198" s="2" t="inlineStr">
        <is>
          <t>yes</t>
        </is>
      </c>
      <c r="J198" s="2" t="inlineStr">
        <is>
          <t>https://eur-lex.europa.eu/legal-content/EN/TXT/?uri=CELEX:32021D0086</t>
        </is>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t="inlineStr"/>
    </row>
    <row r="199">
      <c r="A199" s="2" t="n">
        <v>14</v>
      </c>
      <c r="B199" s="2" t="inlineStr">
        <is>
          <t>Common VAT system Directive</t>
        </is>
      </c>
      <c r="C199" s="2" t="inlineStr">
        <is>
          <t>32006L0112</t>
        </is>
      </c>
      <c r="D199" s="2" t="inlineStr">
        <is>
          <t>32021D0358</t>
        </is>
      </c>
      <c r="E199" s="2" t="inlineStr">
        <is>
          <t>implementing</t>
        </is>
      </c>
      <c r="F199" s="2" t="inlineStr">
        <is>
          <t>DEC_IMPL</t>
        </is>
      </c>
      <c r="G199" s="2" t="inlineStr">
        <is>
          <t>2021-02-22</t>
        </is>
      </c>
      <c r="H199" s="2" t="inlineStr">
        <is>
          <t>Council Implementing Decision (EU) 2021/358 of 22 February 2021 amending Implementing Decision (EU) 2017/563 authorising the Republic of Estonia to apply a special measure derogating from Article 287 of Directive 2006/112/EC on the common system of value added tax</t>
        </is>
      </c>
      <c r="I199" s="2" t="inlineStr">
        <is>
          <t>yes</t>
        </is>
      </c>
      <c r="J199" s="2" t="inlineStr">
        <is>
          <t>https://eur-lex.europa.eu/legal-content/EN/TXT/?uri=CELEX:32021D0358</t>
        </is>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t="inlineStr"/>
    </row>
    <row r="200">
      <c r="A200" s="2" t="n">
        <v>14</v>
      </c>
      <c r="B200" s="2" t="inlineStr">
        <is>
          <t>Common VAT system Directive</t>
        </is>
      </c>
      <c r="C200" s="2" t="inlineStr">
        <is>
          <t>32006L0112</t>
        </is>
      </c>
      <c r="D200" s="2" t="inlineStr">
        <is>
          <t>32021D0512</t>
        </is>
      </c>
      <c r="E200" s="2" t="inlineStr">
        <is>
          <t>implementing</t>
        </is>
      </c>
      <c r="F200" s="2" t="inlineStr">
        <is>
          <t>DEC_IMPL</t>
        </is>
      </c>
      <c r="G200" s="2" t="inlineStr">
        <is>
          <t>2021-03-22</t>
        </is>
      </c>
      <c r="H200" s="2" t="inlineStr">
        <is>
          <t>Council Implementing Decision (EU) 2021/512 of 22 March 2021 authorising the United Kingdom to apply, in respect of Northern Ireland, a special measure derogating from Articles 16 and 168 of Directive 2006/112/EC on the common system of value added tax</t>
        </is>
      </c>
      <c r="I200" s="2" t="inlineStr">
        <is>
          <t>yes</t>
        </is>
      </c>
      <c r="J200" s="2" t="inlineStr">
        <is>
          <t>https://eur-lex.europa.eu/legal-content/EN/TXT/?uri=CELEX:32021D0512</t>
        </is>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t="inlineStr"/>
    </row>
    <row r="201">
      <c r="A201" s="2" t="n">
        <v>14</v>
      </c>
      <c r="B201" s="2" t="inlineStr">
        <is>
          <t>Common VAT system Directive</t>
        </is>
      </c>
      <c r="C201" s="2" t="inlineStr">
        <is>
          <t>32006L0112</t>
        </is>
      </c>
      <c r="D201" s="2" t="inlineStr">
        <is>
          <t>32021D0753</t>
        </is>
      </c>
      <c r="E201" s="2" t="inlineStr">
        <is>
          <t>implementing</t>
        </is>
      </c>
      <c r="F201" s="2" t="inlineStr">
        <is>
          <t>DEC_IMPL</t>
        </is>
      </c>
      <c r="G201" s="2" t="inlineStr">
        <is>
          <t>2021-05-06</t>
        </is>
      </c>
      <c r="H201" s="2" t="inlineStr">
        <is>
          <t>Council Implementing Decision (EU) 2021/753 of 6 May 2021 authorising Malta to apply a special measure derogating from Article 287 of Directive 2006/112/EC on the common system of value added tax, and repealing Implementing Decision (EU) 2018/279</t>
        </is>
      </c>
      <c r="I201" s="2" t="inlineStr">
        <is>
          <t>yes</t>
        </is>
      </c>
      <c r="J201" s="2" t="inlineStr">
        <is>
          <t>https://eur-lex.europa.eu/legal-content/EN/TXT/?uri=CELEX:32021D0753</t>
        </is>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t="inlineStr"/>
    </row>
    <row r="202">
      <c r="A202" s="2" t="n">
        <v>14</v>
      </c>
      <c r="B202" s="2" t="inlineStr">
        <is>
          <t>Common VAT system Directive</t>
        </is>
      </c>
      <c r="C202" s="2" t="inlineStr">
        <is>
          <t>32006L0112</t>
        </is>
      </c>
      <c r="D202" s="2" t="inlineStr">
        <is>
          <t>32021D0942</t>
        </is>
      </c>
      <c r="E202" s="2" t="inlineStr">
        <is>
          <t>implementing</t>
        </is>
      </c>
      <c r="F202" s="2" t="inlineStr">
        <is>
          <t>DEC_IMPL</t>
        </is>
      </c>
      <c r="G202" s="2" t="inlineStr">
        <is>
          <t>2021-06-10</t>
        </is>
      </c>
      <c r="H202" s="2" t="inlineStr">
        <is>
          <t>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is>
      </c>
      <c r="I202" s="2" t="inlineStr">
        <is>
          <t>no</t>
        </is>
      </c>
      <c r="J202" s="2" t="inlineStr">
        <is>
          <t>https://eur-lex.europa.eu/legal-content/EN/TXT/?uri=CELEX:32021D0942</t>
        </is>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t="inlineStr"/>
    </row>
    <row r="203">
      <c r="A203" s="2" t="n">
        <v>14</v>
      </c>
      <c r="B203" s="2" t="inlineStr">
        <is>
          <t>Common VAT system Directive</t>
        </is>
      </c>
      <c r="C203" s="2" t="inlineStr">
        <is>
          <t>32006L0112</t>
        </is>
      </c>
      <c r="D203" s="2" t="inlineStr">
        <is>
          <t>32021D1774</t>
        </is>
      </c>
      <c r="E203" s="2" t="inlineStr">
        <is>
          <t>implementing</t>
        </is>
      </c>
      <c r="F203" s="2" t="inlineStr">
        <is>
          <t>DEC_IMPL</t>
        </is>
      </c>
      <c r="G203" s="2" t="inlineStr">
        <is>
          <t>2021-10-05</t>
        </is>
      </c>
      <c r="H203" s="2" t="inlineStr">
        <is>
          <t>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is>
      </c>
      <c r="I203" s="2" t="inlineStr">
        <is>
          <t>yes</t>
        </is>
      </c>
      <c r="J203" s="2" t="inlineStr">
        <is>
          <t>https://eur-lex.europa.eu/legal-content/EN/TXT/?uri=CELEX:32021D1774</t>
        </is>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t="inlineStr"/>
    </row>
    <row r="204">
      <c r="A204" s="2" t="n">
        <v>14</v>
      </c>
      <c r="B204" s="2" t="inlineStr">
        <is>
          <t>Common VAT system Directive</t>
        </is>
      </c>
      <c r="C204" s="2" t="inlineStr">
        <is>
          <t>32006L0112</t>
        </is>
      </c>
      <c r="D204" s="2" t="inlineStr">
        <is>
          <t>32021D1775</t>
        </is>
      </c>
      <c r="E204" s="2" t="inlineStr">
        <is>
          <t>implementing</t>
        </is>
      </c>
      <c r="F204" s="2" t="inlineStr">
        <is>
          <t>DEC_IMPL</t>
        </is>
      </c>
      <c r="G204" s="2" t="inlineStr">
        <is>
          <t>2021-10-05</t>
        </is>
      </c>
      <c r="H204" s="2" t="inlineStr">
        <is>
          <t>Council Implementing Decision (EU) 2021/1775 of 5 October 2021 amending Implementing Decision (EU) 2018/789 authorising Hungary to introduce a special measure derogating from Article 193 of Directive 2006/112/EC on the common system of value added tax</t>
        </is>
      </c>
      <c r="I204" s="2" t="inlineStr">
        <is>
          <t>yes</t>
        </is>
      </c>
      <c r="J204" s="2" t="inlineStr">
        <is>
          <t>https://eur-lex.europa.eu/legal-content/EN/TXT/?uri=CELEX:32021D1775</t>
        </is>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t="inlineStr"/>
    </row>
    <row r="205">
      <c r="A205" s="2" t="n">
        <v>14</v>
      </c>
      <c r="B205" s="2" t="inlineStr">
        <is>
          <t>Common VAT system Directive</t>
        </is>
      </c>
      <c r="C205" s="2" t="inlineStr">
        <is>
          <t>32006L0112</t>
        </is>
      </c>
      <c r="D205" s="2" t="inlineStr">
        <is>
          <t>32021D1776</t>
        </is>
      </c>
      <c r="E205" s="2" t="inlineStr">
        <is>
          <t>implementing</t>
        </is>
      </c>
      <c r="F205" s="2" t="inlineStr">
        <is>
          <t>DEC_IMPL</t>
        </is>
      </c>
      <c r="G205" s="2" t="inlineStr">
        <is>
          <t>2021-10-05</t>
        </is>
      </c>
      <c r="H205" s="2" t="inlineStr">
        <is>
          <t>Council Implementing Decision (EU) 2021/1776 of 5 October 2021 amending Decision 2009/791/EC authorising the Federal Republic of Germany to continue to apply a measure derogating from Article 168 of Directive 2006/112/EC on the common system of value added tax</t>
        </is>
      </c>
      <c r="I205" s="2" t="inlineStr">
        <is>
          <t>yes</t>
        </is>
      </c>
      <c r="J205" s="2" t="inlineStr">
        <is>
          <t>https://eur-lex.europa.eu/legal-content/EN/TXT/?uri=CELEX:32021D1776</t>
        </is>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t="inlineStr"/>
    </row>
    <row r="206">
      <c r="A206" s="2" t="n">
        <v>14</v>
      </c>
      <c r="B206" s="2" t="inlineStr">
        <is>
          <t>Common VAT system Directive</t>
        </is>
      </c>
      <c r="C206" s="2" t="inlineStr">
        <is>
          <t>32006L0112</t>
        </is>
      </c>
      <c r="D206" s="2" t="inlineStr">
        <is>
          <t>32021D1778</t>
        </is>
      </c>
      <c r="E206" s="2" t="inlineStr">
        <is>
          <t>implementing</t>
        </is>
      </c>
      <c r="F206" s="2" t="inlineStr">
        <is>
          <t>DEC_IMPL</t>
        </is>
      </c>
      <c r="G206" s="2" t="inlineStr">
        <is>
          <t>2021-10-05</t>
        </is>
      </c>
      <c r="H206" s="2" t="inlineStr">
        <is>
          <t>Council Implementing Decision (EU) 2021/1778 of 5 October 2021 authorising the Federal Republic of Germany to apply a special measure derogating from Article 193 of Directive 2006/112/EC on the common system of value added tax</t>
        </is>
      </c>
      <c r="I206" s="2" t="inlineStr">
        <is>
          <t>yes</t>
        </is>
      </c>
      <c r="J206" s="2" t="inlineStr">
        <is>
          <t>https://eur-lex.europa.eu/legal-content/EN/TXT/?uri=CELEX:32021D1778</t>
        </is>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t="inlineStr"/>
    </row>
    <row r="207">
      <c r="A207" s="2" t="n">
        <v>14</v>
      </c>
      <c r="B207" s="2" t="inlineStr">
        <is>
          <t>Common VAT system Directive</t>
        </is>
      </c>
      <c r="C207" s="2" t="inlineStr">
        <is>
          <t>32006L0112</t>
        </is>
      </c>
      <c r="D207" s="2" t="inlineStr">
        <is>
          <t>32021D1779</t>
        </is>
      </c>
      <c r="E207" s="2" t="inlineStr">
        <is>
          <t>implementing</t>
        </is>
      </c>
      <c r="F207" s="2" t="inlineStr">
        <is>
          <t>DEC_IMPL</t>
        </is>
      </c>
      <c r="G207" s="2" t="inlineStr">
        <is>
          <t>2021-10-05</t>
        </is>
      </c>
      <c r="H207" s="2" t="inlineStr">
        <is>
          <t>Council Implementing Decision (EU) 2021/1779 of 5 October 2021 amending Implementing Decision 2009/1013/EU authorising the Republic of Austria to continue to apply a measure derogating from Article 168 of Directive 2006/112/EC on the common system of value added tax</t>
        </is>
      </c>
      <c r="I207" s="2" t="inlineStr">
        <is>
          <t>yes</t>
        </is>
      </c>
      <c r="J207" s="2" t="inlineStr">
        <is>
          <t>https://eur-lex.europa.eu/legal-content/EN/TXT/?uri=CELEX:32021D1779</t>
        </is>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t="inlineStr"/>
    </row>
    <row r="208">
      <c r="A208" s="2" t="n">
        <v>14</v>
      </c>
      <c r="B208" s="2" t="inlineStr">
        <is>
          <t>Common VAT system Directive</t>
        </is>
      </c>
      <c r="C208" s="2" t="inlineStr">
        <is>
          <t>32006L0112</t>
        </is>
      </c>
      <c r="D208" s="2" t="inlineStr">
        <is>
          <t>32021D1780</t>
        </is>
      </c>
      <c r="E208" s="2" t="inlineStr">
        <is>
          <t>implementing</t>
        </is>
      </c>
      <c r="F208" s="2" t="inlineStr">
        <is>
          <t>DEC_IMPL</t>
        </is>
      </c>
      <c r="G208" s="2" t="inlineStr">
        <is>
          <t>2021-10-05</t>
        </is>
      </c>
      <c r="H208" s="2" t="inlineStr">
        <is>
          <t>Council Implementing Decision (EU) 2021/1780 of 5 October 2021 amending Decision 2009/790/EC authorising the Republic of Poland to apply a measure derogating from Article 287 of Directive 2006/112/EC on the common system of value added tax</t>
        </is>
      </c>
      <c r="I208" s="2" t="inlineStr">
        <is>
          <t>yes</t>
        </is>
      </c>
      <c r="J208" s="2" t="inlineStr">
        <is>
          <t>https://eur-lex.europa.eu/legal-content/EN/TXT/?uri=CELEX:32021D1780</t>
        </is>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t="inlineStr"/>
    </row>
    <row r="209">
      <c r="A209" s="2" t="n">
        <v>14</v>
      </c>
      <c r="B209" s="2" t="inlineStr">
        <is>
          <t>Common VAT system Directive</t>
        </is>
      </c>
      <c r="C209" s="2" t="inlineStr">
        <is>
          <t>32006L0112</t>
        </is>
      </c>
      <c r="D209" s="2" t="inlineStr">
        <is>
          <t>32021D1968</t>
        </is>
      </c>
      <c r="E209" s="2" t="inlineStr">
        <is>
          <t>implementing</t>
        </is>
      </c>
      <c r="F209" s="2" t="inlineStr">
        <is>
          <t>DEC_IMPL</t>
        </is>
      </c>
      <c r="G209" s="2" t="inlineStr">
        <is>
          <t>2021-11-09</t>
        </is>
      </c>
      <c r="H209" s="2" t="inlineStr">
        <is>
          <t>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is>
      </c>
      <c r="I209" s="2" t="inlineStr">
        <is>
          <t>yes</t>
        </is>
      </c>
      <c r="J209" s="2" t="inlineStr">
        <is>
          <t>https://eur-lex.europa.eu/legal-content/EN/TXT/?uri=CELEX:32021D1968</t>
        </is>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t="inlineStr"/>
    </row>
    <row r="210">
      <c r="A210" s="2" t="n">
        <v>14</v>
      </c>
      <c r="B210" s="2" t="inlineStr">
        <is>
          <t>Common VAT system Directive</t>
        </is>
      </c>
      <c r="C210" s="2" t="inlineStr">
        <is>
          <t>32006L0112</t>
        </is>
      </c>
      <c r="D210" s="2" t="inlineStr">
        <is>
          <t>32021D1997</t>
        </is>
      </c>
      <c r="E210" s="2" t="inlineStr">
        <is>
          <t>implementing</t>
        </is>
      </c>
      <c r="F210" s="2" t="inlineStr">
        <is>
          <t>DEC_IMPL</t>
        </is>
      </c>
      <c r="G210" s="2" t="inlineStr">
        <is>
          <t>2021-11-15</t>
        </is>
      </c>
      <c r="H210" s="2" t="inlineStr">
        <is>
          <t>Council Implementing Decision (EU) 2021/1997 of 15 November 2021 amending Implementing Decision (EU) 2018/1994 authorising Croatia to introduce a special measure derogating from point (a) of Article 26(1) and Article 168 of Directive 2006/112/EC on the common system of value added tax</t>
        </is>
      </c>
      <c r="I210" s="2" t="inlineStr">
        <is>
          <t>yes</t>
        </is>
      </c>
      <c r="J210" s="2" t="inlineStr">
        <is>
          <t>https://eur-lex.europa.eu/legal-content/EN/TXT/?uri=CELEX:32021D1997</t>
        </is>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t="inlineStr"/>
    </row>
    <row r="211">
      <c r="A211" s="2" t="n">
        <v>14</v>
      </c>
      <c r="B211" s="2" t="inlineStr">
        <is>
          <t>Common VAT system Directive</t>
        </is>
      </c>
      <c r="C211" s="2" t="inlineStr">
        <is>
          <t>32006L0112</t>
        </is>
      </c>
      <c r="D211" s="2" t="inlineStr">
        <is>
          <t>32021D1998</t>
        </is>
      </c>
      <c r="E211" s="2" t="inlineStr">
        <is>
          <t>implementing</t>
        </is>
      </c>
      <c r="F211" s="2" t="inlineStr">
        <is>
          <t>DEC_IMPL</t>
        </is>
      </c>
      <c r="G211" s="2" t="inlineStr">
        <is>
          <t>2021-11-15</t>
        </is>
      </c>
      <c r="H211" s="2" t="inlineStr">
        <is>
          <t>Council Implementing Decision (EU) 2021/1998 of 15 November 2021 authorising Estonia to apply a measure derogating from Article 26(1), point (a), and Articles 168 and 168a of Directive 2006/112/EC on the common system of value added tax</t>
        </is>
      </c>
      <c r="I211" s="2" t="inlineStr">
        <is>
          <t>yes</t>
        </is>
      </c>
      <c r="J211" s="2" t="inlineStr">
        <is>
          <t>https://eur-lex.europa.eu/legal-content/EN/TXT/?uri=CELEX:32021D1998</t>
        </is>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t="inlineStr"/>
    </row>
    <row r="212">
      <c r="A212" s="2" t="n">
        <v>14</v>
      </c>
      <c r="B212" s="2" t="inlineStr">
        <is>
          <t>Common VAT system Directive</t>
        </is>
      </c>
      <c r="C212" s="2" t="inlineStr">
        <is>
          <t>32006L0112</t>
        </is>
      </c>
      <c r="D212" s="2" t="inlineStr">
        <is>
          <t>32021D2251</t>
        </is>
      </c>
      <c r="E212" s="2" t="inlineStr">
        <is>
          <t>implementing</t>
        </is>
      </c>
      <c r="F212" s="2" t="inlineStr">
        <is>
          <t>DEC_IMPL</t>
        </is>
      </c>
      <c r="G212" s="2" t="inlineStr">
        <is>
          <t>2021-12-13</t>
        </is>
      </c>
      <c r="H212" s="2" t="inlineStr">
        <is>
          <t>Council Implementing Decision (EU) 2021/2251 of 13 December 2021 amending Implementing Decision (EU) 2018/593 authorising the Italian Republic to introduce a special measure derogating from Articles 218 and 232 of Directive 2006/112/EC on the common system of value added tax</t>
        </is>
      </c>
      <c r="I212" s="2" t="inlineStr">
        <is>
          <t>yes</t>
        </is>
      </c>
      <c r="J212" s="2" t="inlineStr">
        <is>
          <t>https://eur-lex.europa.eu/legal-content/EN/TXT/?uri=CELEX:32021D2251</t>
        </is>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t="inlineStr"/>
    </row>
    <row r="213">
      <c r="A213" s="2" t="n">
        <v>14</v>
      </c>
      <c r="B213" s="2" t="inlineStr">
        <is>
          <t>Common VAT system Directive</t>
        </is>
      </c>
      <c r="C213" s="2" t="inlineStr">
        <is>
          <t>32006L0112</t>
        </is>
      </c>
      <c r="D213" s="2" t="inlineStr">
        <is>
          <t>32022D0073</t>
        </is>
      </c>
      <c r="E213" s="2" t="inlineStr">
        <is>
          <t>implementing</t>
        </is>
      </c>
      <c r="F213" s="2" t="inlineStr">
        <is>
          <t>DEC_IMPL</t>
        </is>
      </c>
      <c r="G213" s="2" t="inlineStr">
        <is>
          <t>2022-01-18</t>
        </is>
      </c>
      <c r="H213" s="2" t="inlineStr">
        <is>
          <t>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is>
      </c>
      <c r="I213" s="2" t="inlineStr">
        <is>
          <t>yes</t>
        </is>
      </c>
      <c r="J213" s="2" t="inlineStr">
        <is>
          <t>https://eur-lex.europa.eu/legal-content/EN/TXT/?uri=CELEX:32022D0073</t>
        </is>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t="inlineStr"/>
    </row>
    <row r="214">
      <c r="A214" s="2" t="n">
        <v>14</v>
      </c>
      <c r="B214" s="2" t="inlineStr">
        <is>
          <t>Common VAT system Directive</t>
        </is>
      </c>
      <c r="C214" s="2" t="inlineStr">
        <is>
          <t>32006L0112</t>
        </is>
      </c>
      <c r="D214" s="2" t="inlineStr">
        <is>
          <t>32022D0081</t>
        </is>
      </c>
      <c r="E214" s="2" t="inlineStr">
        <is>
          <t>implementing</t>
        </is>
      </c>
      <c r="F214" s="2" t="inlineStr">
        <is>
          <t>DEC_IMPL</t>
        </is>
      </c>
      <c r="G214" s="2" t="inlineStr">
        <is>
          <t>2022-01-18</t>
        </is>
      </c>
      <c r="H214" s="2" t="inlineStr">
        <is>
          <t>Council Implementing Decision (EU) 2022/81 of 18 January 2022 amending Implementing Decision 2009/1008/EU authorising the Republic of Latvia to extend the application of a measure derogating from Article 193 of Directive 2006/112/EC on the common system of value added tax</t>
        </is>
      </c>
      <c r="I214" s="2" t="inlineStr">
        <is>
          <t>yes</t>
        </is>
      </c>
      <c r="J214" s="2" t="inlineStr">
        <is>
          <t>https://eur-lex.europa.eu/legal-content/EN/TXT/?uri=CELEX:32022D0081</t>
        </is>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t="inlineStr"/>
    </row>
    <row r="215">
      <c r="A215" s="2" t="n">
        <v>14</v>
      </c>
      <c r="B215" s="2" t="inlineStr">
        <is>
          <t>Common VAT system Directive</t>
        </is>
      </c>
      <c r="C215" s="2" t="inlineStr">
        <is>
          <t>32006L0112</t>
        </is>
      </c>
      <c r="D215" s="2" t="inlineStr">
        <is>
          <t>32022D0088</t>
        </is>
      </c>
      <c r="E215" s="2" t="inlineStr">
        <is>
          <t>implementing</t>
        </is>
      </c>
      <c r="F215" s="2" t="inlineStr">
        <is>
          <t>DEC_IMPL</t>
        </is>
      </c>
      <c r="G215" s="2" t="inlineStr">
        <is>
          <t>2022-01-18</t>
        </is>
      </c>
      <c r="H215" s="2" t="inlineStr">
        <is>
          <t>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is>
      </c>
      <c r="I215" s="2" t="inlineStr">
        <is>
          <t>yes</t>
        </is>
      </c>
      <c r="J215" s="2" t="inlineStr">
        <is>
          <t>https://eur-lex.europa.eu/legal-content/EN/TXT/?uri=CELEX:32022D0088</t>
        </is>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t="inlineStr"/>
    </row>
    <row r="216">
      <c r="A216" s="2" t="n">
        <v>14</v>
      </c>
      <c r="B216" s="2" t="inlineStr">
        <is>
          <t>Common VAT system Directive</t>
        </is>
      </c>
      <c r="C216" s="2" t="inlineStr">
        <is>
          <t>32006L0112</t>
        </is>
      </c>
      <c r="D216" s="2" t="inlineStr">
        <is>
          <t>32022D0133</t>
        </is>
      </c>
      <c r="E216" s="2" t="inlineStr">
        <is>
          <t>implementing</t>
        </is>
      </c>
      <c r="F216" s="2" t="inlineStr">
        <is>
          <t>DEC_IMPL</t>
        </is>
      </c>
      <c r="G216" s="2" t="inlineStr">
        <is>
          <t>2022-01-25</t>
        </is>
      </c>
      <c r="H216" s="2" t="inlineStr">
        <is>
          <t>Council Implementing Decision (EU) 2022/133 of 25 January 2022 authorising France to introduce a special measure derogating from Articles 218 and 232 of Directive 2006/112/EC on the common system of value added tax</t>
        </is>
      </c>
      <c r="I216" s="2" t="inlineStr">
        <is>
          <t>yes</t>
        </is>
      </c>
      <c r="J216" s="2" t="inlineStr">
        <is>
          <t>https://eur-lex.europa.eu/legal-content/EN/TXT/?uri=CELEX:32022D0133</t>
        </is>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t="inlineStr"/>
    </row>
    <row r="217">
      <c r="A217" s="2" t="n">
        <v>14</v>
      </c>
      <c r="B217" s="2" t="inlineStr">
        <is>
          <t>Common VAT system Directive</t>
        </is>
      </c>
      <c r="C217" s="2" t="inlineStr">
        <is>
          <t>32006L0112</t>
        </is>
      </c>
      <c r="D217" s="2" t="inlineStr">
        <is>
          <t>32022R0432</t>
        </is>
      </c>
      <c r="E217" s="2" t="inlineStr">
        <is>
          <t>implementing</t>
        </is>
      </c>
      <c r="F217" s="2" t="inlineStr">
        <is>
          <t>REG_IMPL</t>
        </is>
      </c>
      <c r="G217" s="2" t="inlineStr">
        <is>
          <t>2022-03-15</t>
        </is>
      </c>
      <c r="H217" s="2" t="inlineStr">
        <is>
          <t>Council Implementing Regulation (EU) 2022/432 of 15 March 2022 amending Implementing Regulation (EU) No 282/2011 as regards the VAT and/or excise duty exemption certificate</t>
        </is>
      </c>
      <c r="I217" s="2" t="inlineStr">
        <is>
          <t>no</t>
        </is>
      </c>
      <c r="J217" s="2" t="inlineStr">
        <is>
          <t>https://eur-lex.europa.eu/legal-content/EN/TXT/?uri=CELEX:32022R0432</t>
        </is>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t="inlineStr"/>
    </row>
    <row r="218">
      <c r="A218" s="2" t="n">
        <v>14</v>
      </c>
      <c r="B218" s="2" t="inlineStr">
        <is>
          <t>Common VAT system Directive</t>
        </is>
      </c>
      <c r="C218" s="2" t="inlineStr">
        <is>
          <t>32006L0112</t>
        </is>
      </c>
      <c r="D218" s="2" t="inlineStr">
        <is>
          <t>32022D0464</t>
        </is>
      </c>
      <c r="E218" s="2" t="inlineStr">
        <is>
          <t>implementing</t>
        </is>
      </c>
      <c r="F218" s="2" t="inlineStr">
        <is>
          <t>DEC_IMPL</t>
        </is>
      </c>
      <c r="G218" s="2" t="inlineStr">
        <is>
          <t>2022-03-21</t>
        </is>
      </c>
      <c r="H218" s="2" t="inlineStr">
        <is>
          <t>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is>
      </c>
      <c r="I218" s="2" t="inlineStr">
        <is>
          <t>yes</t>
        </is>
      </c>
      <c r="J218" s="2" t="inlineStr">
        <is>
          <t>https://eur-lex.europa.eu/legal-content/EN/TXT/?uri=CELEX:32022D0464</t>
        </is>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t="inlineStr"/>
    </row>
    <row r="219">
      <c r="A219" s="2" t="n">
        <v>14</v>
      </c>
      <c r="B219" s="2" t="inlineStr">
        <is>
          <t>Common VAT system Directive</t>
        </is>
      </c>
      <c r="C219" s="2" t="inlineStr">
        <is>
          <t>32006L0112</t>
        </is>
      </c>
      <c r="D219" s="2" t="inlineStr">
        <is>
          <t>32022D0559</t>
        </is>
      </c>
      <c r="E219" s="2" t="inlineStr">
        <is>
          <t>implementing</t>
        </is>
      </c>
      <c r="F219" s="2" t="inlineStr">
        <is>
          <t>DEC_IMPL</t>
        </is>
      </c>
      <c r="G219" s="2" t="inlineStr">
        <is>
          <t>2022-04-05</t>
        </is>
      </c>
      <c r="H219" s="2" t="inlineStr">
        <is>
          <t>Council Implementing Decision (EU) 2022/559 of 5 April 2022 amending Implementing Decision (EU) 2019/310 as regards the authorisation granted to Poland to continue to apply the special measure derogating from Article 226 of Directive 2006/112/EC on the common system of value added tax</t>
        </is>
      </c>
      <c r="I219" s="2" t="inlineStr">
        <is>
          <t>yes</t>
        </is>
      </c>
      <c r="J219" s="2" t="inlineStr">
        <is>
          <t>https://eur-lex.europa.eu/legal-content/EN/TXT/?uri=CELEX:32022D0559</t>
        </is>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t="inlineStr"/>
    </row>
    <row r="220">
      <c r="A220" s="2" t="n">
        <v>14</v>
      </c>
      <c r="B220" s="2" t="inlineStr">
        <is>
          <t>Common VAT system Directive</t>
        </is>
      </c>
      <c r="C220" s="2" t="inlineStr">
        <is>
          <t>32006L0112</t>
        </is>
      </c>
      <c r="D220" s="2" t="inlineStr">
        <is>
          <t>32022D0865</t>
        </is>
      </c>
      <c r="E220" s="2" t="inlineStr">
        <is>
          <t>implementing</t>
        </is>
      </c>
      <c r="F220" s="2" t="inlineStr">
        <is>
          <t>DEC_IMPL</t>
        </is>
      </c>
      <c r="G220" s="2" t="inlineStr">
        <is>
          <t>2022-05-24</t>
        </is>
      </c>
      <c r="H220" s="2" t="inlineStr">
        <is>
          <t>Council Implementing Decision (EU) 2022/865 of 24 May 2022 authorising the Czech Republic to introduce a special measure derogating from Article 287 of Directive 2006/112/EC on the common system of value added tax</t>
        </is>
      </c>
      <c r="I220" s="2" t="inlineStr">
        <is>
          <t>yes</t>
        </is>
      </c>
      <c r="J220" s="2" t="inlineStr">
        <is>
          <t>https://eur-lex.europa.eu/legal-content/EN/TXT/?uri=CELEX:32022D0865</t>
        </is>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t="inlineStr"/>
    </row>
    <row r="221">
      <c r="A221" s="2" t="n">
        <v>14</v>
      </c>
      <c r="B221" s="2" t="inlineStr">
        <is>
          <t>Common VAT system Directive</t>
        </is>
      </c>
      <c r="C221" s="2" t="inlineStr">
        <is>
          <t>32006L0112</t>
        </is>
      </c>
      <c r="D221" s="2" t="inlineStr">
        <is>
          <t>32022D1003</t>
        </is>
      </c>
      <c r="E221" s="2" t="inlineStr">
        <is>
          <t>implementing</t>
        </is>
      </c>
      <c r="F221" s="2" t="inlineStr">
        <is>
          <t>DEC_IMPL</t>
        </is>
      </c>
      <c r="G221" s="2" t="inlineStr">
        <is>
          <t>2022-06-17</t>
        </is>
      </c>
      <c r="H221" s="2" t="inlineStr">
        <is>
          <t>Council Implementing Decision (EU) 2022/1003 of 17 June 2022 authorising the Republic of Poland to apply a special measure derogating from Articles 218 and 232 of Directive 2006/112/EC on the common system of value added tax</t>
        </is>
      </c>
      <c r="I221" s="2" t="inlineStr">
        <is>
          <t>yes</t>
        </is>
      </c>
      <c r="J221" s="2" t="inlineStr">
        <is>
          <t>https://eur-lex.europa.eu/legal-content/EN/TXT/?uri=CELEX:32022D1003</t>
        </is>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t="inlineStr"/>
    </row>
    <row r="222">
      <c r="A222" s="2" t="n">
        <v>14</v>
      </c>
      <c r="B222" s="2" t="inlineStr">
        <is>
          <t>Common VAT system Directive</t>
        </is>
      </c>
      <c r="C222" s="2" t="inlineStr">
        <is>
          <t>32006L0112</t>
        </is>
      </c>
      <c r="D222" s="2" t="inlineStr">
        <is>
          <t>32022D1661</t>
        </is>
      </c>
      <c r="E222" s="2" t="inlineStr">
        <is>
          <t>implementing</t>
        </is>
      </c>
      <c r="F222" s="2" t="inlineStr">
        <is>
          <t>DEC_IMPL</t>
        </is>
      </c>
      <c r="G222" s="2" t="inlineStr">
        <is>
          <t>2022-09-26</t>
        </is>
      </c>
      <c r="H222" s="2" t="inlineStr">
        <is>
          <t>Council Implementing Decision (EU) 2022/1661 of 26 September 2022 amending Implementing Decision 2013/677/EU authorising Luxembourg to introduce a special measure derogating from Article 285 of Directive 2006/112/EC on the common system of value added tax</t>
        </is>
      </c>
      <c r="I222" s="2" t="inlineStr">
        <is>
          <t>yes</t>
        </is>
      </c>
      <c r="J222" s="2" t="inlineStr">
        <is>
          <t>https://eur-lex.europa.eu/legal-content/EN/TXT/?uri=CELEX:32022D1661</t>
        </is>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t="inlineStr"/>
    </row>
    <row r="223">
      <c r="A223" s="2" t="n">
        <v>14</v>
      </c>
      <c r="B223" s="2" t="inlineStr">
        <is>
          <t>Common VAT system Directive</t>
        </is>
      </c>
      <c r="C223" s="2" t="inlineStr">
        <is>
          <t>32006L0112</t>
        </is>
      </c>
      <c r="D223" s="2" t="inlineStr">
        <is>
          <t>32022D2254</t>
        </is>
      </c>
      <c r="E223" s="2" t="inlineStr">
        <is>
          <t>implementing</t>
        </is>
      </c>
      <c r="F223" s="2" t="inlineStr">
        <is>
          <t>DEC_IMPL</t>
        </is>
      </c>
      <c r="G223" s="2" t="inlineStr">
        <is>
          <t>2022-11-14</t>
        </is>
      </c>
      <c r="H223" s="2" t="inlineStr">
        <is>
          <t>Council Implementing Decision (EU) 2022/2254 of 14 November 2022 authorising Bulgaria to introduce a special measure derogating from Article 287 of Directive 2006/112/EC on the common system of value added tax</t>
        </is>
      </c>
      <c r="I223" s="2" t="inlineStr">
        <is>
          <t>yes</t>
        </is>
      </c>
      <c r="J223" s="2" t="inlineStr">
        <is>
          <t>https://eur-lex.europa.eu/legal-content/EN/TXT/?uri=CELEX:32022D2254</t>
        </is>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t="inlineStr"/>
    </row>
    <row r="224">
      <c r="A224" s="2" t="n">
        <v>14</v>
      </c>
      <c r="B224" s="2" t="inlineStr">
        <is>
          <t>Common VAT system Directive</t>
        </is>
      </c>
      <c r="C224" s="2" t="inlineStr">
        <is>
          <t>32006L0112</t>
        </is>
      </c>
      <c r="D224" s="2" t="inlineStr">
        <is>
          <t>32022D2385</t>
        </is>
      </c>
      <c r="E224" s="2" t="inlineStr">
        <is>
          <t>implementing</t>
        </is>
      </c>
      <c r="F224" s="2" t="inlineStr">
        <is>
          <t>DEC_IMPL</t>
        </is>
      </c>
      <c r="G224" s="2" t="inlineStr">
        <is>
          <t>2022-12-06</t>
        </is>
      </c>
      <c r="H224" s="2" t="inlineStr">
        <is>
          <t>Council Implementing Decision (EU) 2022/2385 of 6 December 2022 amending Implementing Decision 2013/805/EU authorising the Republic of Poland to introduce measures derogating from point (a) of Article 26(1) and Article 168 of Directive 2006/112/EC on the common system of value added tax</t>
        </is>
      </c>
      <c r="I224" s="2" t="inlineStr">
        <is>
          <t>yes</t>
        </is>
      </c>
      <c r="J224" s="2" t="inlineStr">
        <is>
          <t>https://eur-lex.europa.eu/legal-content/EN/TXT/?uri=CELEX:32022D2385</t>
        </is>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t="inlineStr"/>
    </row>
    <row r="225">
      <c r="A225" s="2" t="n">
        <v>14</v>
      </c>
      <c r="B225" s="2" t="inlineStr">
        <is>
          <t>Common VAT system Directive</t>
        </is>
      </c>
      <c r="C225" s="2" t="inlineStr">
        <is>
          <t>32006L0112</t>
        </is>
      </c>
      <c r="D225" s="2" t="inlineStr">
        <is>
          <t>32022D2411</t>
        </is>
      </c>
      <c r="E225" s="2" t="inlineStr">
        <is>
          <t>implementing</t>
        </is>
      </c>
      <c r="F225" s="2" t="inlineStr">
        <is>
          <t>DEC_IMPL</t>
        </is>
      </c>
      <c r="G225" s="2" t="inlineStr">
        <is>
          <t>2022-12-06</t>
        </is>
      </c>
      <c r="H225" s="2" t="inlineStr">
        <is>
          <t>Council Implementing Decision (EU) 2022/2411 of 6 December 2022 amending Decision 2007/441/EC authorising the Italian Republic to apply measures derogating from Articles 26(1)(a) and 168 of Directive 2006/112/EC on the common system of value added tax</t>
        </is>
      </c>
      <c r="I225" s="2" t="inlineStr">
        <is>
          <t>yes</t>
        </is>
      </c>
      <c r="J225" s="2" t="inlineStr">
        <is>
          <t>https://eur-lex.europa.eu/legal-content/EN/TXT/?uri=CELEX:32022D2411</t>
        </is>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t="inlineStr"/>
    </row>
    <row r="226">
      <c r="A226" s="2" t="n">
        <v>14</v>
      </c>
      <c r="B226" s="2" t="inlineStr">
        <is>
          <t>Common VAT system Directive</t>
        </is>
      </c>
      <c r="C226" s="2" t="inlineStr">
        <is>
          <t>32006L0112</t>
        </is>
      </c>
      <c r="D226" s="2" t="inlineStr">
        <is>
          <t>32022D2542</t>
        </is>
      </c>
      <c r="E226" s="2" t="inlineStr">
        <is>
          <t>implementing</t>
        </is>
      </c>
      <c r="F226" s="2" t="inlineStr">
        <is>
          <t>DEC_IMPL</t>
        </is>
      </c>
      <c r="G226" s="2" t="inlineStr">
        <is>
          <t>2022-12-19</t>
        </is>
      </c>
      <c r="H226" s="2" t="inlineStr">
        <is>
          <t>Council Implementing Decision (EU) 2022/2542 of 19 December 2022 amending Implementing Decision (EU) 2018/1904 authorising the Netherlands to introduce a special measure derogating from Article 285 of Directive 2006/112/EC on the common system of value added tax</t>
        </is>
      </c>
      <c r="I226" s="2" t="inlineStr">
        <is>
          <t>yes</t>
        </is>
      </c>
      <c r="J226" s="2" t="inlineStr">
        <is>
          <t>https://eur-lex.europa.eu/legal-content/EN/TXT/?uri=CELEX:32022D2542</t>
        </is>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t="inlineStr"/>
    </row>
    <row r="227">
      <c r="A227" s="2" t="n">
        <v>14</v>
      </c>
      <c r="B227" s="2" t="inlineStr">
        <is>
          <t>Common VAT system Directive</t>
        </is>
      </c>
      <c r="C227" s="2" t="inlineStr">
        <is>
          <t>32006L0112</t>
        </is>
      </c>
      <c r="D227" s="2" t="inlineStr">
        <is>
          <t>32023D0218</t>
        </is>
      </c>
      <c r="E227" s="2" t="inlineStr">
        <is>
          <t>implementing</t>
        </is>
      </c>
      <c r="F227" s="2" t="inlineStr">
        <is>
          <t>DEC_IMPL</t>
        </is>
      </c>
      <c r="G227" s="2" t="inlineStr">
        <is>
          <t>2023-01-30</t>
        </is>
      </c>
      <c r="H227" s="2" t="inlineStr">
        <is>
          <t>Council Implementing Decision (EU) 2023/218 of 30 January 2023 amending Implementing Decision 2013/676/EU authorising Romania to continue to apply a special measure derogating from Article 193 of Directive 2006/112/EC on the common system of value added tax</t>
        </is>
      </c>
      <c r="I227" s="2" t="inlineStr">
        <is>
          <t>yes</t>
        </is>
      </c>
      <c r="J227" s="2" t="inlineStr">
        <is>
          <t>https://eur-lex.europa.eu/legal-content/EN/TXT/?uri=CELEX:32023D0218</t>
        </is>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t="inlineStr"/>
    </row>
    <row r="228">
      <c r="A228" s="2" t="n">
        <v>14</v>
      </c>
      <c r="B228" s="2" t="inlineStr">
        <is>
          <t>Common VAT system Directive</t>
        </is>
      </c>
      <c r="C228" s="2" t="inlineStr">
        <is>
          <t>32006L0112</t>
        </is>
      </c>
      <c r="D228" s="2" t="inlineStr">
        <is>
          <t>32023D0664</t>
        </is>
      </c>
      <c r="E228" s="2" t="inlineStr">
        <is>
          <t>implementing</t>
        </is>
      </c>
      <c r="F228" s="2" t="inlineStr">
        <is>
          <t>DEC_IMPL</t>
        </is>
      </c>
      <c r="G228" s="2" t="inlineStr">
        <is>
          <t>2023-03-21</t>
        </is>
      </c>
      <c r="H228" s="2" t="inlineStr">
        <is>
          <t>Council Implementing Decision (EU) 2023/664 of 21 March 2023 authorising the Italian Republic to apply a special measure derogating from Article 285 of Directive 2006/112/EC on the common system of value added tax and repealing Implementing Decision (EU) 2020/647</t>
        </is>
      </c>
      <c r="I228" s="2" t="inlineStr">
        <is>
          <t>yes</t>
        </is>
      </c>
      <c r="J228" s="2" t="inlineStr">
        <is>
          <t>https://eur-lex.europa.eu/legal-content/EN/TXT/?uri=CELEX:32023D0664</t>
        </is>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t="inlineStr"/>
    </row>
    <row r="229">
      <c r="A229" s="2" t="n">
        <v>14</v>
      </c>
      <c r="B229" s="2" t="inlineStr">
        <is>
          <t>Common VAT system Directive</t>
        </is>
      </c>
      <c r="C229" s="2" t="inlineStr">
        <is>
          <t>32006L0112</t>
        </is>
      </c>
      <c r="D229" s="2" t="inlineStr">
        <is>
          <t>32023D1025</t>
        </is>
      </c>
      <c r="E229" s="2" t="inlineStr">
        <is>
          <t>implementing</t>
        </is>
      </c>
      <c r="F229" s="2" t="inlineStr">
        <is>
          <t>DEC_IMPL</t>
        </is>
      </c>
      <c r="G229" s="2" t="inlineStr">
        <is>
          <t>2023-05-22</t>
        </is>
      </c>
      <c r="H229" s="2" t="inlineStr">
        <is>
          <t>Council Implementing Decision (EU) 2023/1025 of 22 May 2023 authorising Hungary to apply a special measure derogating from Article 287 of Directive 2006/112/EC on the common system of value added tax, and repealing Implementing Decision (EU) 2018/1490</t>
        </is>
      </c>
      <c r="I229" s="2" t="inlineStr">
        <is>
          <t>yes</t>
        </is>
      </c>
      <c r="J229" s="2" t="inlineStr">
        <is>
          <t>https://eur-lex.europa.eu/legal-content/EN/TXT/?uri=CELEX:32023D1025</t>
        </is>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t="inlineStr"/>
    </row>
    <row r="230">
      <c r="A230" s="2" t="n">
        <v>14</v>
      </c>
      <c r="B230" s="2" t="inlineStr">
        <is>
          <t>Common VAT system Directive</t>
        </is>
      </c>
      <c r="C230" s="2" t="inlineStr">
        <is>
          <t>32006L0112</t>
        </is>
      </c>
      <c r="D230" s="2" t="inlineStr">
        <is>
          <t>32023D1551</t>
        </is>
      </c>
      <c r="E230" s="2" t="inlineStr">
        <is>
          <t>implementing</t>
        </is>
      </c>
      <c r="F230" s="2" t="inlineStr">
        <is>
          <t>DEC_IMPL</t>
        </is>
      </c>
      <c r="G230" s="2" t="inlineStr">
        <is>
          <t>2023-07-25</t>
        </is>
      </c>
      <c r="H230" s="2" t="inlineStr">
        <is>
          <t>Council Implementing Decision (EU) 2023/1551 of 25 July 2023 authorising Germany to introduce a special measure derogating from Articles 218 and 232 of Directive 2006/112/EC on the common system of value added tax</t>
        </is>
      </c>
      <c r="I230" s="2" t="inlineStr">
        <is>
          <t>yes</t>
        </is>
      </c>
      <c r="J230" s="2" t="inlineStr">
        <is>
          <t>https://eur-lex.europa.eu/legal-content/EN/TXT/?uri=CELEX:32023D1551</t>
        </is>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t="inlineStr"/>
    </row>
    <row r="231">
      <c r="A231" s="2" t="n">
        <v>14</v>
      </c>
      <c r="B231" s="2" t="inlineStr">
        <is>
          <t>Common VAT system Directive</t>
        </is>
      </c>
      <c r="C231" s="2" t="inlineStr">
        <is>
          <t>32006L0112</t>
        </is>
      </c>
      <c r="D231" s="2" t="inlineStr">
        <is>
          <t>32023D1552</t>
        </is>
      </c>
      <c r="E231" s="2" t="inlineStr">
        <is>
          <t>implementing</t>
        </is>
      </c>
      <c r="F231" s="2" t="inlineStr">
        <is>
          <t>DEC_IMPL</t>
        </is>
      </c>
      <c r="G231" s="2" t="inlineStr">
        <is>
          <t>2023-07-25</t>
        </is>
      </c>
      <c r="H231" s="2" t="inlineStr">
        <is>
          <t>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is>
      </c>
      <c r="I231" s="2" t="inlineStr">
        <is>
          <t>yes</t>
        </is>
      </c>
      <c r="J231" s="2" t="inlineStr">
        <is>
          <t>https://eur-lex.europa.eu/legal-content/EN/TXT/?uri=CELEX:32023D1552</t>
        </is>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t="inlineStr"/>
    </row>
    <row r="232">
      <c r="A232" s="2" t="n">
        <v>14</v>
      </c>
      <c r="B232" s="2" t="inlineStr">
        <is>
          <t>Common VAT system Directive</t>
        </is>
      </c>
      <c r="C232" s="2" t="inlineStr">
        <is>
          <t>32006L0112</t>
        </is>
      </c>
      <c r="D232" s="2" t="inlineStr">
        <is>
          <t>32023D1553</t>
        </is>
      </c>
      <c r="E232" s="2" t="inlineStr">
        <is>
          <t>implementing</t>
        </is>
      </c>
      <c r="F232" s="2" t="inlineStr">
        <is>
          <t>DEC_IMPL</t>
        </is>
      </c>
      <c r="G232" s="2" t="inlineStr">
        <is>
          <t>2023-07-25</t>
        </is>
      </c>
      <c r="H232" s="2" t="inlineStr">
        <is>
          <t>Council Implementing Decision (EU) 2023/1553 of 25 July 2023 authorising Romania to introduce a special measure derogating from Articles 218 and 232 of Directive 2006/112/EC on the common system of value added tax</t>
        </is>
      </c>
      <c r="I232" s="2" t="inlineStr">
        <is>
          <t>yes</t>
        </is>
      </c>
      <c r="J232" s="2" t="inlineStr">
        <is>
          <t>https://eur-lex.europa.eu/legal-content/EN/TXT/?uri=CELEX:32023D1553</t>
        </is>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t="inlineStr"/>
    </row>
    <row r="233">
      <c r="A233" s="2" t="n">
        <v>14</v>
      </c>
      <c r="B233" s="2" t="inlineStr">
        <is>
          <t>Common VAT system Directive</t>
        </is>
      </c>
      <c r="C233" s="2" t="inlineStr">
        <is>
          <t>32006L0112</t>
        </is>
      </c>
      <c r="D233" s="2" t="inlineStr">
        <is>
          <t>32023D2094</t>
        </is>
      </c>
      <c r="E233" s="2" t="inlineStr">
        <is>
          <t>implementing</t>
        </is>
      </c>
      <c r="F233" s="2" t="inlineStr">
        <is>
          <t>DEC_IMPL</t>
        </is>
      </c>
      <c r="G233" s="2" t="inlineStr">
        <is>
          <t>2023-09-25</t>
        </is>
      </c>
      <c r="H233" s="2" t="inlineStr">
        <is>
          <t>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is>
      </c>
      <c r="I233" s="2" t="inlineStr">
        <is>
          <t>yes</t>
        </is>
      </c>
      <c r="J233" s="2" t="inlineStr">
        <is>
          <t>https://eur-lex.europa.eu/legal-content/EN/TXT/?uri=CELEX:32023D2094</t>
        </is>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t="inlineStr"/>
    </row>
    <row r="234">
      <c r="A234" s="2" t="n">
        <v>14</v>
      </c>
      <c r="B234" s="2" t="inlineStr">
        <is>
          <t>Common VAT system Directive</t>
        </is>
      </c>
      <c r="C234" s="2" t="inlineStr">
        <is>
          <t>32006L0112</t>
        </is>
      </c>
      <c r="D234" s="2" t="inlineStr">
        <is>
          <t>32023D2907</t>
        </is>
      </c>
      <c r="E234" s="2" t="inlineStr">
        <is>
          <t>implementing</t>
        </is>
      </c>
      <c r="F234" s="2" t="inlineStr">
        <is>
          <t>DEC_IMPL</t>
        </is>
      </c>
      <c r="G234" s="2" t="inlineStr">
        <is>
          <t>2023-12-21</t>
        </is>
      </c>
      <c r="H234" s="2" t="inlineStr">
        <is>
          <t>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is>
      </c>
      <c r="I234" s="2" t="inlineStr">
        <is>
          <t>yes</t>
        </is>
      </c>
      <c r="J234" s="2" t="inlineStr">
        <is>
          <t>https://eur-lex.europa.eu/legal-content/EN/TXT/?uri=CELEX:32023D2907</t>
        </is>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t="inlineStr"/>
    </row>
    <row r="235">
      <c r="A235" s="2" t="n">
        <v>14</v>
      </c>
      <c r="B235" s="2" t="inlineStr">
        <is>
          <t>Common VAT system Directive</t>
        </is>
      </c>
      <c r="C235" s="2" t="inlineStr">
        <is>
          <t>32006L0112</t>
        </is>
      </c>
      <c r="D235" s="2" t="inlineStr">
        <is>
          <t>32024D1641</t>
        </is>
      </c>
      <c r="E235" s="2" t="inlineStr">
        <is>
          <t>implementing</t>
        </is>
      </c>
      <c r="F235" s="2" t="inlineStr">
        <is>
          <t>DEC_IMPL</t>
        </is>
      </c>
      <c r="G235" s="2" t="inlineStr">
        <is>
          <t>2024-05-24</t>
        </is>
      </c>
      <c r="H235" s="2" t="inlineStr">
        <is>
          <t>Council Implementing Decision (EU) 2024/1641 of 24 May 2024 authorising Romania to apply special measures derogating from Article 26(1), point (a), and Article 168 of Directive 2006/112/EC on the common system of value added tax</t>
        </is>
      </c>
      <c r="I235" s="2" t="inlineStr">
        <is>
          <t>yes</t>
        </is>
      </c>
      <c r="J235" s="2" t="inlineStr">
        <is>
          <t>https://eur-lex.europa.eu/legal-content/EN/TXT/?uri=CELEX:32024D1641</t>
        </is>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t="inlineStr"/>
    </row>
    <row r="236">
      <c r="A236" s="2" t="n">
        <v>14</v>
      </c>
      <c r="B236" s="2" t="inlineStr">
        <is>
          <t>Common VAT system Directive</t>
        </is>
      </c>
      <c r="C236" s="2" t="inlineStr">
        <is>
          <t>32006L0112</t>
        </is>
      </c>
      <c r="D236" s="2" t="inlineStr">
        <is>
          <t>32024D2680</t>
        </is>
      </c>
      <c r="E236" s="2" t="inlineStr">
        <is>
          <t>implementing</t>
        </is>
      </c>
      <c r="F236" s="2" t="inlineStr">
        <is>
          <t>DEC_IMPL</t>
        </is>
      </c>
      <c r="G236" s="2" t="inlineStr">
        <is>
          <t>2024-10-08</t>
        </is>
      </c>
      <c r="H236" s="2" t="inlineStr">
        <is>
          <t>Council Implementing Decision (EU) 2024/2680 of 8 October 2024 amending Implementing Decision (EU) 2021/1778 authorising Germany to continue to apply a special measure derogating from Article 193 of Directive 2006/112/EC on the common system of value added tax</t>
        </is>
      </c>
      <c r="I236" s="2" t="inlineStr">
        <is>
          <t>yes</t>
        </is>
      </c>
      <c r="J236" s="2" t="inlineStr">
        <is>
          <t>https://eur-lex.europa.eu/legal-content/EN/TXT/?uri=CELEX:32024D2680</t>
        </is>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t="inlineStr"/>
    </row>
    <row r="237">
      <c r="A237" s="2" t="n">
        <v>14</v>
      </c>
      <c r="B237" s="2" t="inlineStr">
        <is>
          <t>Common VAT system Directive</t>
        </is>
      </c>
      <c r="C237" s="2" t="inlineStr">
        <is>
          <t>32006L0112</t>
        </is>
      </c>
      <c r="D237" s="2" t="inlineStr">
        <is>
          <t>32024D2884</t>
        </is>
      </c>
      <c r="E237" s="2" t="inlineStr">
        <is>
          <t>implementing</t>
        </is>
      </c>
      <c r="F237" s="2" t="inlineStr">
        <is>
          <t>DEC_IMPL</t>
        </is>
      </c>
      <c r="G237" s="2" t="inlineStr">
        <is>
          <t>2024-11-05</t>
        </is>
      </c>
      <c r="H237" s="2" t="inlineStr">
        <is>
          <t>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is>
      </c>
      <c r="I237" s="2" t="inlineStr">
        <is>
          <t>yes</t>
        </is>
      </c>
      <c r="J237" s="2" t="inlineStr">
        <is>
          <t>https://eur-lex.europa.eu/legal-content/EN/TXT/?uri=CELEX:32024D2884</t>
        </is>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t="inlineStr"/>
    </row>
    <row r="238">
      <c r="A238" s="2" t="n">
        <v>14</v>
      </c>
      <c r="B238" s="2" t="inlineStr">
        <is>
          <t>Common VAT system Directive</t>
        </is>
      </c>
      <c r="C238" s="2" t="inlineStr">
        <is>
          <t>32006L0112</t>
        </is>
      </c>
      <c r="D238" s="2" t="inlineStr">
        <is>
          <t>32024D2885</t>
        </is>
      </c>
      <c r="E238" s="2" t="inlineStr">
        <is>
          <t>implementing</t>
        </is>
      </c>
      <c r="F238" s="2" t="inlineStr">
        <is>
          <t>DEC_IMPL</t>
        </is>
      </c>
      <c r="G238" s="2" t="inlineStr">
        <is>
          <t>2024-11-05</t>
        </is>
      </c>
      <c r="H238" s="2" t="inlineStr">
        <is>
          <t>Council Implementing Decision (EU) 2024/2885 of 5 November 2024 amending Decision 2009/791/EC authorising the Federal Republic of Germany to continue to apply a measure derogating from Articles 168 and 168a of Directive 2006/112/EC on the common system of value added tax</t>
        </is>
      </c>
      <c r="I238" s="2" t="inlineStr">
        <is>
          <t>yes</t>
        </is>
      </c>
      <c r="J238" s="2" t="inlineStr">
        <is>
          <t>https://eur-lex.europa.eu/legal-content/EN/TXT/?uri=CELEX:32024D2885</t>
        </is>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t="inlineStr"/>
    </row>
    <row r="239">
      <c r="A239" s="2" t="n">
        <v>14</v>
      </c>
      <c r="B239" s="2" t="inlineStr">
        <is>
          <t>Common VAT system Directive</t>
        </is>
      </c>
      <c r="C239" s="2" t="inlineStr">
        <is>
          <t>32006L0112</t>
        </is>
      </c>
      <c r="D239" s="2" t="inlineStr">
        <is>
          <t>32024D3013</t>
        </is>
      </c>
      <c r="E239" s="2" t="inlineStr">
        <is>
          <t>implementing</t>
        </is>
      </c>
      <c r="F239" s="2" t="inlineStr">
        <is>
          <t>DEC_IMPL</t>
        </is>
      </c>
      <c r="G239" s="2" t="inlineStr">
        <is>
          <t>2024-11-28</t>
        </is>
      </c>
      <c r="H239" s="2" t="inlineStr">
        <is>
          <t>Council Implementing Decision (EU) 2024/3013 of 28 November 2024 amending Implementing Decision 2009/1013/EU authorising the Republic of Austria to continue to apply a measure derogating from Articles 168 and 168a of Directive 2006/112/EC on the common system of value added tax</t>
        </is>
      </c>
      <c r="I239" s="2" t="inlineStr">
        <is>
          <t>yes</t>
        </is>
      </c>
      <c r="J239" s="2" t="inlineStr">
        <is>
          <t>https://eur-lex.europa.eu/legal-content/EN/TXT/?uri=CELEX:32024D3013</t>
        </is>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t="inlineStr"/>
    </row>
    <row r="240">
      <c r="A240" s="2" t="n">
        <v>14</v>
      </c>
      <c r="B240" s="2" t="inlineStr">
        <is>
          <t>Common VAT system Directive</t>
        </is>
      </c>
      <c r="C240" s="2" t="inlineStr">
        <is>
          <t>32006L0112</t>
        </is>
      </c>
      <c r="D240" s="2" t="inlineStr">
        <is>
          <t>32024D3150</t>
        </is>
      </c>
      <c r="E240" s="2" t="inlineStr">
        <is>
          <t>implementing</t>
        </is>
      </c>
      <c r="F240" s="2" t="inlineStr">
        <is>
          <t>DEC_IMPL</t>
        </is>
      </c>
      <c r="G240" s="2" t="inlineStr">
        <is>
          <t>2024-12-10</t>
        </is>
      </c>
      <c r="H240" s="2" t="inlineStr">
        <is>
          <t>Council Implementing Decision (EU) 2024/3150 of 10 December 2024 amending Implementing Decision (EU) 2018/593 authorising the Italian Republic to introduce a special measure derogating from Articles 218 and 232 of Directive 2006/112/EC on the common system of value added tax</t>
        </is>
      </c>
      <c r="I240" s="2" t="inlineStr">
        <is>
          <t>yes</t>
        </is>
      </c>
      <c r="J240" s="2" t="inlineStr">
        <is>
          <t>https://eur-lex.europa.eu/legal-content/EN/TXT/?uri=CELEX:32024D3150</t>
        </is>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t="inlineStr"/>
    </row>
    <row r="241">
      <c r="A241" s="2" t="n">
        <v>14</v>
      </c>
      <c r="B241" s="2" t="inlineStr">
        <is>
          <t>Common VAT system Directive</t>
        </is>
      </c>
      <c r="C241" s="2" t="inlineStr">
        <is>
          <t>32006L0112</t>
        </is>
      </c>
      <c r="D241" s="2" t="inlineStr">
        <is>
          <t>32024D3205</t>
        </is>
      </c>
      <c r="E241" s="2" t="inlineStr">
        <is>
          <t>implementing</t>
        </is>
      </c>
      <c r="F241" s="2" t="inlineStr">
        <is>
          <t>DEC_IMPL</t>
        </is>
      </c>
      <c r="G241" s="2" t="inlineStr">
        <is>
          <t>2024-12-10</t>
        </is>
      </c>
      <c r="H241" s="2" t="inlineStr">
        <is>
          <t>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is>
      </c>
      <c r="I241" s="2" t="inlineStr">
        <is>
          <t>yes</t>
        </is>
      </c>
      <c r="J241" s="2" t="inlineStr">
        <is>
          <t>https://eur-lex.europa.eu/legal-content/EN/TXT/?uri=CELEX:32024D3205</t>
        </is>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t="inlineStr"/>
    </row>
    <row r="242">
      <c r="A242" s="2" t="n">
        <v>14</v>
      </c>
      <c r="B242" s="2" t="inlineStr">
        <is>
          <t>Common VAT system Directive</t>
        </is>
      </c>
      <c r="C242" s="2" t="inlineStr">
        <is>
          <t>32006L0112</t>
        </is>
      </c>
      <c r="D242" s="2" t="inlineStr">
        <is>
          <t>32024D3206</t>
        </is>
      </c>
      <c r="E242" s="2" t="inlineStr">
        <is>
          <t>implementing</t>
        </is>
      </c>
      <c r="F242" s="2" t="inlineStr">
        <is>
          <t>DEC_IMPL</t>
        </is>
      </c>
      <c r="G242" s="2" t="inlineStr">
        <is>
          <t>2024-12-10</t>
        </is>
      </c>
      <c r="H242" s="2" t="inlineStr">
        <is>
          <t>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is>
      </c>
      <c r="I242" s="2" t="inlineStr">
        <is>
          <t>yes</t>
        </is>
      </c>
      <c r="J242" s="2" t="inlineStr">
        <is>
          <t>https://eur-lex.europa.eu/legal-content/EN/TXT/?uri=CELEX:32024D3206</t>
        </is>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t="inlineStr"/>
    </row>
    <row r="243">
      <c r="A243" s="2" t="n">
        <v>14</v>
      </c>
      <c r="B243" s="2" t="inlineStr">
        <is>
          <t>Common VAT system Directive</t>
        </is>
      </c>
      <c r="C243" s="2" t="inlineStr">
        <is>
          <t>32006L0112</t>
        </is>
      </c>
      <c r="D243" s="2" t="inlineStr">
        <is>
          <t>32024D3207</t>
        </is>
      </c>
      <c r="E243" s="2" t="inlineStr">
        <is>
          <t>implementing</t>
        </is>
      </c>
      <c r="F243" s="2" t="inlineStr">
        <is>
          <t>DEC_IMPL</t>
        </is>
      </c>
      <c r="G243" s="2" t="inlineStr">
        <is>
          <t>2024-12-12</t>
        </is>
      </c>
      <c r="H243" s="2" t="inlineStr">
        <is>
          <t>Council Implementing Decision (EU) 2024/3207 of 12 December 2024 amending Implementing Decision 2009/1008/EU authorising the Republic of Latvia to extend the application of a measure derogating from Article 193 of Directive 2006/112/EC on the common system of value added tax</t>
        </is>
      </c>
      <c r="I243" s="2" t="inlineStr">
        <is>
          <t>yes</t>
        </is>
      </c>
      <c r="J243" s="2" t="inlineStr">
        <is>
          <t>https://eur-lex.europa.eu/legal-content/EN/TXT/?uri=CELEX:32024D3207</t>
        </is>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t="inlineStr"/>
    </row>
    <row r="244">
      <c r="A244" s="2" t="n">
        <v>14</v>
      </c>
      <c r="B244" s="2" t="inlineStr">
        <is>
          <t>Common VAT system Directive</t>
        </is>
      </c>
      <c r="C244" s="2" t="inlineStr">
        <is>
          <t>32006L0112</t>
        </is>
      </c>
      <c r="D244" s="2" t="inlineStr">
        <is>
          <t>32024D3209</t>
        </is>
      </c>
      <c r="E244" s="2" t="inlineStr">
        <is>
          <t>implementing</t>
        </is>
      </c>
      <c r="F244" s="2" t="inlineStr">
        <is>
          <t>DEC_IMPL</t>
        </is>
      </c>
      <c r="G244" s="2" t="inlineStr">
        <is>
          <t>2024-12-12</t>
        </is>
      </c>
      <c r="H244" s="2" t="inlineStr">
        <is>
          <t>Council Implementing Decision (EU) 2024/3209 of 12 December 2024 amending Implementing Decision (EU) 2018/789 authorising Hungary to introduce a special measure derogating from Article 193 of Directive 2006/112/EC on the common system of value added tax</t>
        </is>
      </c>
      <c r="I244" s="2" t="inlineStr">
        <is>
          <t>yes</t>
        </is>
      </c>
      <c r="J244" s="2" t="inlineStr">
        <is>
          <t>https://eur-lex.europa.eu/legal-content/EN/TXT/?uri=CELEX:32024D3209</t>
        </is>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t="inlineStr"/>
    </row>
    <row r="245">
      <c r="A245" s="2" t="n">
        <v>14</v>
      </c>
      <c r="B245" s="2" t="inlineStr">
        <is>
          <t>Common VAT system Directive</t>
        </is>
      </c>
      <c r="C245" s="2" t="inlineStr">
        <is>
          <t>32006L0112</t>
        </is>
      </c>
      <c r="D245" s="2" t="inlineStr">
        <is>
          <t>32025D0373</t>
        </is>
      </c>
      <c r="E245" s="2" t="inlineStr">
        <is>
          <t>implementing</t>
        </is>
      </c>
      <c r="F245" s="2" t="inlineStr">
        <is>
          <t>DEC_IMPL</t>
        </is>
      </c>
      <c r="G245" s="2" t="inlineStr">
        <is>
          <t>2025-02-18</t>
        </is>
      </c>
      <c r="H245" s="2" t="inlineStr">
        <is>
          <t>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is>
      </c>
      <c r="I245" s="2" t="inlineStr">
        <is>
          <t>yes</t>
        </is>
      </c>
      <c r="J245" s="2" t="inlineStr">
        <is>
          <t>https://eur-lex.europa.eu/legal-content/EN/TXT/?uri=CELEX:32025D0373</t>
        </is>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t="inlineStr"/>
    </row>
    <row r="246">
      <c r="A246" s="2" t="n">
        <v>14</v>
      </c>
      <c r="B246" s="2" t="inlineStr">
        <is>
          <t>Common VAT system Directive</t>
        </is>
      </c>
      <c r="C246" s="2" t="inlineStr">
        <is>
          <t>32006L0112</t>
        </is>
      </c>
      <c r="D246" s="2" t="inlineStr">
        <is>
          <t>32025R0428</t>
        </is>
      </c>
      <c r="E246" s="2" t="inlineStr">
        <is>
          <t>implementing</t>
        </is>
      </c>
      <c r="F246" s="2" t="inlineStr">
        <is>
          <t>REG_IMPL</t>
        </is>
      </c>
      <c r="G246" s="2" t="inlineStr">
        <is>
          <t>2025-02-18</t>
        </is>
      </c>
      <c r="H246" s="2" t="inlineStr">
        <is>
          <t>Council Implementing Regulation (EU) 2025/428 of 18 February 2025 amending Implementing Regulation (EU) No 282/2011 as regards the electronic value added tax exemption certificate</t>
        </is>
      </c>
      <c r="I246" s="2" t="inlineStr">
        <is>
          <t>no</t>
        </is>
      </c>
      <c r="J246" s="2" t="inlineStr">
        <is>
          <t>https://eur-lex.europa.eu/legal-content/EN/TXT/?uri=CELEX:32025R0428</t>
        </is>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t="inlineStr"/>
    </row>
    <row r="247">
      <c r="A247" s="2" t="n">
        <v>14</v>
      </c>
      <c r="B247" s="2" t="inlineStr">
        <is>
          <t>Common VAT system Directive</t>
        </is>
      </c>
      <c r="C247" s="2" t="inlineStr">
        <is>
          <t>32006L0112</t>
        </is>
      </c>
      <c r="D247" s="2" t="inlineStr">
        <is>
          <t>32025D0502</t>
        </is>
      </c>
      <c r="E247" s="2" t="inlineStr">
        <is>
          <t>implementing</t>
        </is>
      </c>
      <c r="F247" s="2" t="inlineStr">
        <is>
          <t>DEC_IMPL</t>
        </is>
      </c>
      <c r="G247" s="2" t="inlineStr">
        <is>
          <t>2025-03-05</t>
        </is>
      </c>
      <c r="H247" s="2" t="inlineStr">
        <is>
          <t>Council Implementing Decision (EU) 2025/502 of 5 March 2025 authorising Greece to introduce a special measure derogating from Articles 218 and 232 of Directive 2006/112/EC on the common system of value added tax</t>
        </is>
      </c>
      <c r="I247" s="2" t="inlineStr">
        <is>
          <t>yes</t>
        </is>
      </c>
      <c r="J247" s="2" t="inlineStr">
        <is>
          <t>https://eur-lex.europa.eu/legal-content/EN/TXT/?uri=CELEX:32025D0502</t>
        </is>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t="inlineStr"/>
    </row>
    <row r="248">
      <c r="A248" s="2" t="n">
        <v>14</v>
      </c>
      <c r="B248" s="2" t="inlineStr">
        <is>
          <t>Common VAT system Directive</t>
        </is>
      </c>
      <c r="C248" s="2" t="inlineStr">
        <is>
          <t>32006L0112</t>
        </is>
      </c>
      <c r="D248" s="2" t="inlineStr">
        <is>
          <t>32025R0518</t>
        </is>
      </c>
      <c r="E248" s="2" t="inlineStr">
        <is>
          <t>implementing</t>
        </is>
      </c>
      <c r="F248" s="2" t="inlineStr">
        <is>
          <t>REG_IMPL</t>
        </is>
      </c>
      <c r="G248" s="2" t="inlineStr">
        <is>
          <t>2025-03-11</t>
        </is>
      </c>
      <c r="H248" s="2" t="inlineStr">
        <is>
          <t>Council Implementing Regulation (EU) 2025/518 of 11 March 2025 amending Implementing Regulation (EU) No 282/2011 as regards information requirements for certain VAT schemes</t>
        </is>
      </c>
      <c r="I248" s="2" t="inlineStr">
        <is>
          <t>no</t>
        </is>
      </c>
      <c r="J248" s="2" t="inlineStr">
        <is>
          <t>https://eur-lex.europa.eu/legal-content/EN/TXT/?uri=CELEX:32025R0518</t>
        </is>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t="inlineStr"/>
    </row>
    <row r="249">
      <c r="A249" s="2" t="n">
        <v>14</v>
      </c>
      <c r="B249" s="2" t="inlineStr">
        <is>
          <t>Common VAT system Directive</t>
        </is>
      </c>
      <c r="C249" s="2" t="inlineStr">
        <is>
          <t>32006L0112</t>
        </is>
      </c>
      <c r="D249" s="2" t="inlineStr">
        <is>
          <t>32025D0539</t>
        </is>
      </c>
      <c r="E249" s="2" t="inlineStr">
        <is>
          <t>implementing</t>
        </is>
      </c>
      <c r="F249" s="2" t="inlineStr">
        <is>
          <t>DEC_IMPL</t>
        </is>
      </c>
      <c r="G249" s="2" t="inlineStr">
        <is>
          <t>2025-03-18</t>
        </is>
      </c>
      <c r="H249" s="2" t="inlineStr">
        <is>
          <t>Council Implementing Decision (EU) 2025/539 of 18 March 2025 authorising Estonia to apply a special measure derogating from Article 26(1), point (a), and Articles 168 and 168a of Directive 2006/112/EC on the common system of value added tax</t>
        </is>
      </c>
      <c r="I249" s="2" t="inlineStr">
        <is>
          <t>yes</t>
        </is>
      </c>
      <c r="J249" s="2" t="inlineStr">
        <is>
          <t>https://eur-lex.europa.eu/legal-content/EN/TXT/?uri=CELEX:32025D0539</t>
        </is>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t="inlineStr"/>
    </row>
    <row r="250">
      <c r="A250" s="2" t="n">
        <v>14</v>
      </c>
      <c r="B250" s="2" t="inlineStr">
        <is>
          <t>Common VAT system Directive</t>
        </is>
      </c>
      <c r="C250" s="2" t="inlineStr">
        <is>
          <t>32006L0112</t>
        </is>
      </c>
      <c r="D250" s="2" t="inlineStr">
        <is>
          <t>32025D0852</t>
        </is>
      </c>
      <c r="E250" s="2" t="inlineStr">
        <is>
          <t>implementing</t>
        </is>
      </c>
      <c r="F250" s="2" t="inlineStr">
        <is>
          <t>DEC_IMPL</t>
        </is>
      </c>
      <c r="G250" s="2" t="inlineStr">
        <is>
          <t>2025-04-14</t>
        </is>
      </c>
      <c r="H250" s="2" t="inlineStr">
        <is>
          <t>Council Implementing Decision (EU) 2025/852 of 14 April 2025 authorising the Slovak Republic to introduce a special measure derogating from Article 26(1), point (a), and Articles 168 and 168a of Directive 2006/112/EC on the common system of value added tax</t>
        </is>
      </c>
      <c r="I250" s="2" t="inlineStr">
        <is>
          <t>yes</t>
        </is>
      </c>
      <c r="J250" s="2" t="inlineStr">
        <is>
          <t>https://eur-lex.europa.eu/legal-content/EN/TXT/?uri=CELEX:32025D0852</t>
        </is>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t="inlineStr"/>
    </row>
    <row r="251">
      <c r="A251" s="2" t="n">
        <v>14</v>
      </c>
      <c r="B251" s="2" t="inlineStr">
        <is>
          <t>Common VAT system Directive</t>
        </is>
      </c>
      <c r="C251" s="2" t="inlineStr">
        <is>
          <t>32006L0112</t>
        </is>
      </c>
      <c r="D251" s="2" t="inlineStr">
        <is>
          <t>32025D1986</t>
        </is>
      </c>
      <c r="E251" s="2" t="inlineStr">
        <is>
          <t>implementing</t>
        </is>
      </c>
      <c r="F251" s="2" t="inlineStr">
        <is>
          <t>DEC_IMPL</t>
        </is>
      </c>
      <c r="G251" s="2" t="inlineStr">
        <is>
          <t>2025-09-22</t>
        </is>
      </c>
      <c r="H251" s="2" t="inlineStr">
        <is>
          <t>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is>
      </c>
      <c r="I251" s="2" t="inlineStr">
        <is>
          <t>yes</t>
        </is>
      </c>
      <c r="J251" s="2" t="inlineStr">
        <is>
          <t>https://eur-lex.europa.eu/legal-content/EN/TXT/?uri=CELEX:32025D1986</t>
        </is>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t="inlineStr"/>
    </row>
    <row r="252">
      <c r="A252" s="2" t="n">
        <v>14</v>
      </c>
      <c r="B252" s="2" t="inlineStr">
        <is>
          <t>Common VAT system Directive</t>
        </is>
      </c>
      <c r="C252" s="2" t="inlineStr">
        <is>
          <t>32006L0112</t>
        </is>
      </c>
      <c r="D252" s="2" t="inlineStr">
        <is>
          <t>32025D2529</t>
        </is>
      </c>
      <c r="E252" s="2" t="inlineStr">
        <is>
          <t>implementing</t>
        </is>
      </c>
      <c r="F252" s="2" t="inlineStr">
        <is>
          <t>DEC_IMPL</t>
        </is>
      </c>
      <c r="G252" s="2" t="inlineStr">
        <is>
          <t>2025-12-08</t>
        </is>
      </c>
      <c r="H252" s="2" t="inlineStr">
        <is>
          <t>Council Implementing Decision (EU) 2025/2529 of 8 December 2025 amending Decision 2007/441/EC authorising the Italian Republic to apply measures derogating from Articles 26(1)(a) and 168 of Directive 2006/112/EC on the common system of value added tax</t>
        </is>
      </c>
      <c r="I252" s="2" t="inlineStr">
        <is>
          <t>yes</t>
        </is>
      </c>
      <c r="J252" s="2" t="inlineStr">
        <is>
          <t>https://eur-lex.europa.eu/legal-content/EN/TXT/?uri=CELEX:32025D2529</t>
        </is>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t="inlineStr"/>
    </row>
    <row r="253">
      <c r="A253" s="2" t="n">
        <v>14</v>
      </c>
      <c r="B253" s="2" t="inlineStr">
        <is>
          <t>Common VAT system Directive</t>
        </is>
      </c>
      <c r="C253" s="2" t="inlineStr">
        <is>
          <t>32006L0112</t>
        </is>
      </c>
      <c r="D253" s="2" t="inlineStr">
        <is>
          <t>32026D1728</t>
        </is>
      </c>
      <c r="E253" s="2" t="inlineStr">
        <is>
          <t>implementing</t>
        </is>
      </c>
      <c r="F253" s="2" t="inlineStr">
        <is>
          <t>DEC_IMPL</t>
        </is>
      </c>
      <c r="G253" s="2" t="inlineStr">
        <is>
          <t>2026-07-10</t>
        </is>
      </c>
      <c r="H253" s="2" t="inlineStr">
        <is>
          <t>Council Implementing Decision (EU) 2026/1728 of 10 July 2026 amending Implementing Decision (EU) 2017/784 authorising the Italian Republic to apply a special measure derogating from Articles 206 and 226 of Directive 2006/112/EC on the common system of value added tax</t>
        </is>
      </c>
      <c r="I253" s="2" t="inlineStr">
        <is>
          <t>yes</t>
        </is>
      </c>
      <c r="J253" s="2" t="inlineStr">
        <is>
          <t>https://eur-lex.europa.eu/legal-content/EN/TXT/?uri=CELEX:32026D1728</t>
        </is>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t="inlineStr"/>
    </row>
    <row r="254">
      <c r="A254" s="2" t="n">
        <v>15</v>
      </c>
      <c r="B254" s="2" t="inlineStr">
        <is>
          <t>Audiovisual Media Services Directive</t>
        </is>
      </c>
      <c r="C254" s="2" t="inlineStr">
        <is>
          <t>32010L0013</t>
        </is>
      </c>
      <c r="D254" s="2" t="inlineStr">
        <is>
          <t>52020XC0707(02)</t>
        </is>
      </c>
      <c r="E254" s="2" t="inlineStr">
        <is>
          <t>guidance</t>
        </is>
      </c>
      <c r="F254" s="2" t="inlineStr">
        <is>
          <t>NOTICE</t>
        </is>
      </c>
      <c r="G254" s="2" t="inlineStr">
        <is>
          <t>2020-07-07</t>
        </is>
      </c>
      <c r="H254" s="2" t="inlineStr">
        <is>
          <t>Communication from the Commission Guidelines on the practical application of the essential functionality criterion of the definition of a ‘video-sharing platform service’ under the Audiovisual Media Services Directive 2020/C 223/02</t>
        </is>
      </c>
      <c r="I254" s="2" t="inlineStr">
        <is>
          <t>no</t>
        </is>
      </c>
      <c r="J254" s="2" t="inlineStr">
        <is>
          <t>https://eur-lex.europa.eu/legal-content/EN/TXT/?uri=CELEX:52020XC0707(02)</t>
        </is>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inlineStr">
        <is>
          <t>Guidance is non-binding: restriction counts mostly reflect obligations it restates</t>
        </is>
      </c>
    </row>
    <row r="255">
      <c r="A255" s="2" t="n">
        <v>15</v>
      </c>
      <c r="B255" s="2" t="inlineStr">
        <is>
          <t>Audiovisual Media Services Directive</t>
        </is>
      </c>
      <c r="C255" s="2" t="inlineStr">
        <is>
          <t>32010L0013</t>
        </is>
      </c>
      <c r="D255" s="2" t="inlineStr">
        <is>
          <t>52020XC0707(03)</t>
        </is>
      </c>
      <c r="E255" s="2" t="inlineStr">
        <is>
          <t>guidance</t>
        </is>
      </c>
      <c r="F255" s="2" t="inlineStr">
        <is>
          <t>NOTICE</t>
        </is>
      </c>
      <c r="G255" s="2" t="inlineStr">
        <is>
          <t>2020-07-07</t>
        </is>
      </c>
      <c r="H255" s="2" t="inlineStr">
        <is>
          <t>Communication from the Commission Guidelines pursuant to Article 13(7) of the Audiovisual Media Services Directive on the calculation of the share of European works in on-demand catalogues and on the definition of low audience and low turnover 2020/C 223/03</t>
        </is>
      </c>
      <c r="I255" s="2" t="inlineStr">
        <is>
          <t>no</t>
        </is>
      </c>
      <c r="J255" s="2" t="inlineStr">
        <is>
          <t>https://eur-lex.europa.eu/legal-content/EN/TXT/?uri=CELEX:52020XC0707(03)</t>
        </is>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inlineStr">
        <is>
          <t>Guidance is non-binding: restriction counts mostly reflect obligations it restates</t>
        </is>
      </c>
    </row>
    <row r="256">
      <c r="A256" s="2" t="n">
        <v>15</v>
      </c>
      <c r="B256" s="2" t="inlineStr">
        <is>
          <t>Audiovisual Media Services Directive</t>
        </is>
      </c>
      <c r="C256" s="2" t="inlineStr">
        <is>
          <t>32010L0013</t>
        </is>
      </c>
      <c r="D256" s="2" t="inlineStr">
        <is>
          <t>52023XC0223(01)</t>
        </is>
      </c>
      <c r="E256" s="2" t="inlineStr">
        <is>
          <t>guidance</t>
        </is>
      </c>
      <c r="F256" s="2" t="inlineStr">
        <is>
          <t>NOTICE</t>
        </is>
      </c>
      <c r="G256" s="2" t="inlineStr">
        <is>
          <t>2023-02-23</t>
        </is>
      </c>
      <c r="H256" s="2" t="inlineStr">
        <is>
          <t>Communication from the Commission Guidelines pursuant to Article 33a(3) of the Audiovisual Media Services Directive on the scope of Member States' reports concerning measures for the promotion and development of media literacy skills 2023/C 66/02</t>
        </is>
      </c>
      <c r="I256" s="2" t="inlineStr">
        <is>
          <t>no</t>
        </is>
      </c>
      <c r="J256" s="2" t="inlineStr">
        <is>
          <t>https://eur-lex.europa.eu/legal-content/EN/TXT/?uri=CELEX:52023XC0223(01)</t>
        </is>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inlineStr">
        <is>
          <t>Guidance is non-binding: restriction counts mostly reflect obligations it restates</t>
        </is>
      </c>
    </row>
    <row r="257">
      <c r="A257" s="2" t="n">
        <v>16</v>
      </c>
      <c r="B257" s="2" t="inlineStr">
        <is>
          <t>European Statistics Regulation</t>
        </is>
      </c>
      <c r="C257" s="2" t="inlineStr">
        <is>
          <t>32009R0223</t>
        </is>
      </c>
      <c r="D257" s="2" t="inlineStr">
        <is>
          <t>32010R0520</t>
        </is>
      </c>
      <c r="E257" s="2" t="inlineStr">
        <is>
          <t>other Commission/Council act</t>
        </is>
      </c>
      <c r="F257" s="2" t="inlineStr">
        <is>
          <t>REG</t>
        </is>
      </c>
      <c r="G257" s="2" t="inlineStr">
        <is>
          <t>2010-06-16</t>
        </is>
      </c>
      <c r="H257" s="2" t="inlineStr">
        <is>
          <t>Commission Regulation (EU) No 520/2010 of 16 June 2010 amending Regulation (EC) No 831/2002 concerning access to confidential data for scientific purposes as regards the available surveys and statistical data sources  (Text with EEA relevance)</t>
        </is>
      </c>
      <c r="I257" s="2" t="inlineStr">
        <is>
          <t>no</t>
        </is>
      </c>
      <c r="J257" s="2" t="inlineStr">
        <is>
          <t>https://eur-lex.europa.eu/legal-content/EN/TXT/?uri=CELEX:32010R0520</t>
        </is>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t="inlineStr"/>
    </row>
    <row r="258">
      <c r="A258" s="2" t="n">
        <v>16</v>
      </c>
      <c r="B258" s="2" t="inlineStr">
        <is>
          <t>European Statistics Regulation</t>
        </is>
      </c>
      <c r="C258" s="2" t="inlineStr">
        <is>
          <t>32009R0223</t>
        </is>
      </c>
      <c r="D258" s="2" t="inlineStr">
        <is>
          <t>32013R0557</t>
        </is>
      </c>
      <c r="E258" s="2" t="inlineStr">
        <is>
          <t>other Commission/Council act</t>
        </is>
      </c>
      <c r="F258" s="2" t="inlineStr">
        <is>
          <t>REG</t>
        </is>
      </c>
      <c r="G258" s="2" t="inlineStr">
        <is>
          <t>2013-06-17</t>
        </is>
      </c>
      <c r="H258" s="2" t="inlineStr">
        <is>
          <t>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is>
      </c>
      <c r="I258" s="2" t="inlineStr">
        <is>
          <t>no</t>
        </is>
      </c>
      <c r="J258" s="2" t="inlineStr">
        <is>
          <t>https://eur-lex.europa.eu/legal-content/EN/TXT/?uri=CELEX:32013R0557</t>
        </is>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t="inlineStr"/>
    </row>
    <row r="259">
      <c r="A259" s="2" t="n">
        <v>16</v>
      </c>
      <c r="B259" s="2" t="inlineStr">
        <is>
          <t>European Statistics Regulation</t>
        </is>
      </c>
      <c r="C259" s="2" t="inlineStr">
        <is>
          <t>32009R0223</t>
        </is>
      </c>
      <c r="D259" s="2" t="inlineStr">
        <is>
          <t>32018R1799</t>
        </is>
      </c>
      <c r="E259" s="2" t="inlineStr">
        <is>
          <t>implementing</t>
        </is>
      </c>
      <c r="F259" s="2" t="inlineStr">
        <is>
          <t>REG_IMPL</t>
        </is>
      </c>
      <c r="G259" s="2" t="inlineStr">
        <is>
          <t>2018-11-21</t>
        </is>
      </c>
      <c r="H259" s="2" t="inlineStr">
        <is>
          <t>Commission Implementing Regulation (EU) 2018/1799 of 21 November 2018 on the establishment of a temporary direct statistical action for the dissemination of selected topics of the 2021 population and housing census geocoded to a 1 km2 grid (Text with EEA relevance.)</t>
        </is>
      </c>
      <c r="I259" s="2" t="inlineStr">
        <is>
          <t>no</t>
        </is>
      </c>
      <c r="J259" s="2" t="inlineStr">
        <is>
          <t>https://eur-lex.europa.eu/legal-content/EN/TXT/?uri=CELEX:32018R1799</t>
        </is>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t="inlineStr"/>
    </row>
    <row r="260">
      <c r="A260" s="2" t="n">
        <v>17</v>
      </c>
      <c r="B260" s="2" t="inlineStr">
        <is>
          <t>Toys Safety Directive</t>
        </is>
      </c>
      <c r="C260" s="2" t="inlineStr">
        <is>
          <t>32009L0048</t>
        </is>
      </c>
      <c r="D260" s="2" t="inlineStr">
        <is>
          <t>32012L0007</t>
        </is>
      </c>
      <c r="E260" s="2" t="inlineStr">
        <is>
          <t>other Commission/Council act</t>
        </is>
      </c>
      <c r="F260" s="2" t="inlineStr">
        <is>
          <t>DIR</t>
        </is>
      </c>
      <c r="G260" s="2" t="inlineStr">
        <is>
          <t>2012-03-02</t>
        </is>
      </c>
      <c r="H260" s="2" t="inlineStr">
        <is>
          <t>Commission Directive 2012/7/EU of 2 March 2012 amending, for the purpose of adaptation to technical progress, part III of Annex II to Directive 2009/48/EC of the European Parliament and of the Council relating to toy safety  Text with EEA relevance</t>
        </is>
      </c>
      <c r="I260" s="2" t="inlineStr">
        <is>
          <t>no</t>
        </is>
      </c>
      <c r="J260" s="2" t="inlineStr">
        <is>
          <t>https://eur-lex.europa.eu/legal-content/EN/TXT/?uri=CELEX:32012L0007</t>
        </is>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t="inlineStr"/>
    </row>
    <row r="261">
      <c r="A261" s="2" t="n">
        <v>17</v>
      </c>
      <c r="B261" s="2" t="inlineStr">
        <is>
          <t>Toys Safety Directive</t>
        </is>
      </c>
      <c r="C261" s="2" t="inlineStr">
        <is>
          <t>32009L0048</t>
        </is>
      </c>
      <c r="D261" s="2" t="inlineStr">
        <is>
          <t>32013R0681</t>
        </is>
      </c>
      <c r="E261" s="2" t="inlineStr">
        <is>
          <t>other Commission/Council act</t>
        </is>
      </c>
      <c r="F261" s="2" t="inlineStr">
        <is>
          <t>REG</t>
        </is>
      </c>
      <c r="G261" s="2" t="inlineStr">
        <is>
          <t>2013-07-17</t>
        </is>
      </c>
      <c r="H261" s="2" t="inlineStr">
        <is>
          <t>Commission Regulation (EU) No 681/2013 of 17 July 2013 amending part III of Annex II to Directive 2009/48/EC of the European Parliament and of the Council on the safety of toys  Text with EEA relevance</t>
        </is>
      </c>
      <c r="I261" s="2" t="inlineStr">
        <is>
          <t>no</t>
        </is>
      </c>
      <c r="J261" s="2" t="inlineStr">
        <is>
          <t>https://eur-lex.europa.eu/legal-content/EN/TXT/?uri=CELEX:32013R0681</t>
        </is>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t="inlineStr"/>
    </row>
    <row r="262">
      <c r="A262" s="2" t="n">
        <v>17</v>
      </c>
      <c r="B262" s="2" t="inlineStr">
        <is>
          <t>Toys Safety Directive</t>
        </is>
      </c>
      <c r="C262" s="2" t="inlineStr">
        <is>
          <t>32009L0048</t>
        </is>
      </c>
      <c r="D262" s="2" t="inlineStr">
        <is>
          <t>32014L0079</t>
        </is>
      </c>
      <c r="E262" s="2" t="inlineStr">
        <is>
          <t>other Commission/Council act</t>
        </is>
      </c>
      <c r="F262" s="2" t="inlineStr">
        <is>
          <t>DIR</t>
        </is>
      </c>
      <c r="G262" s="2" t="inlineStr">
        <is>
          <t>2014-06-20</t>
        </is>
      </c>
      <c r="H262" s="2" t="inlineStr">
        <is>
          <t>Commission Directive 2014/79/EU of 20 June 2014 amending Appendix C of Annex II to Directive 2009/48/EC of the European Parliament and of the Council on the safety of toys, as regards TCEP, TCPP and TDCP  Text with EEA relevance</t>
        </is>
      </c>
      <c r="I262" s="2" t="inlineStr">
        <is>
          <t>no</t>
        </is>
      </c>
      <c r="J262" s="2" t="inlineStr">
        <is>
          <t>https://eur-lex.europa.eu/legal-content/EN/TXT/?uri=CELEX:32014L0079</t>
        </is>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t="inlineStr"/>
    </row>
    <row r="263">
      <c r="A263" s="2" t="n">
        <v>17</v>
      </c>
      <c r="B263" s="2" t="inlineStr">
        <is>
          <t>Toys Safety Directive</t>
        </is>
      </c>
      <c r="C263" s="2" t="inlineStr">
        <is>
          <t>32009L0048</t>
        </is>
      </c>
      <c r="D263" s="2" t="inlineStr">
        <is>
          <t>32014L0081</t>
        </is>
      </c>
      <c r="E263" s="2" t="inlineStr">
        <is>
          <t>other Commission/Council act</t>
        </is>
      </c>
      <c r="F263" s="2" t="inlineStr">
        <is>
          <t>DIR</t>
        </is>
      </c>
      <c r="G263" s="2" t="inlineStr">
        <is>
          <t>2014-06-23</t>
        </is>
      </c>
      <c r="H263" s="2" t="inlineStr">
        <is>
          <t>Commission Directive 2014/81/EU of 23 June 2014 amending Appendix C of Annex II to Directive 2009/48/EC of the European Parliament and of the Council on the safety of toys, as regards bisphenol A  Text with EEA relevance</t>
        </is>
      </c>
      <c r="I263" s="2" t="inlineStr">
        <is>
          <t>no</t>
        </is>
      </c>
      <c r="J263" s="2" t="inlineStr">
        <is>
          <t>https://eur-lex.europa.eu/legal-content/EN/TXT/?uri=CELEX:32014L0081</t>
        </is>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t="inlineStr"/>
    </row>
    <row r="264">
      <c r="A264" s="2" t="n">
        <v>17</v>
      </c>
      <c r="B264" s="2" t="inlineStr">
        <is>
          <t>Toys Safety Directive</t>
        </is>
      </c>
      <c r="C264" s="2" t="inlineStr">
        <is>
          <t>32009L0048</t>
        </is>
      </c>
      <c r="D264" s="2" t="inlineStr">
        <is>
          <t>32014L0084</t>
        </is>
      </c>
      <c r="E264" s="2" t="inlineStr">
        <is>
          <t>other Commission/Council act</t>
        </is>
      </c>
      <c r="F264" s="2" t="inlineStr">
        <is>
          <t>DIR</t>
        </is>
      </c>
      <c r="G264" s="2" t="inlineStr">
        <is>
          <t>2014-06-30</t>
        </is>
      </c>
      <c r="H264" s="2" t="inlineStr">
        <is>
          <t>Commission Directive 2014/84/EU of 30 June 2014 amending Appendix A of Annex II to Directive 2009/48/EC of the European Parliament and of the Council on the safety of toys, as regards nickel  Text with EEA relevance</t>
        </is>
      </c>
      <c r="I264" s="2" t="inlineStr">
        <is>
          <t>no</t>
        </is>
      </c>
      <c r="J264" s="2" t="inlineStr">
        <is>
          <t>https://eur-lex.europa.eu/legal-content/EN/TXT/?uri=CELEX:32014L0084</t>
        </is>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t="inlineStr"/>
    </row>
    <row r="265">
      <c r="A265" s="2" t="n">
        <v>17</v>
      </c>
      <c r="B265" s="2" t="inlineStr">
        <is>
          <t>Toys Safety Directive</t>
        </is>
      </c>
      <c r="C265" s="2" t="inlineStr">
        <is>
          <t>32009L0048</t>
        </is>
      </c>
      <c r="D265" s="2" t="inlineStr">
        <is>
          <t>32015L2115</t>
        </is>
      </c>
      <c r="E265" s="2" t="inlineStr">
        <is>
          <t>other Commission/Council act</t>
        </is>
      </c>
      <c r="F265" s="2" t="inlineStr">
        <is>
          <t>DIR</t>
        </is>
      </c>
      <c r="G265" s="2" t="inlineStr">
        <is>
          <t>2015-11-23</t>
        </is>
      </c>
      <c r="H265" s="2" t="inlineStr">
        <is>
          <t>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is>
      </c>
      <c r="I265" s="2" t="inlineStr">
        <is>
          <t>no</t>
        </is>
      </c>
      <c r="J265" s="2" t="inlineStr">
        <is>
          <t>https://eur-lex.europa.eu/legal-content/EN/TXT/?uri=CELEX:32015L2115</t>
        </is>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t="inlineStr"/>
    </row>
    <row r="266">
      <c r="A266" s="2" t="n">
        <v>17</v>
      </c>
      <c r="B266" s="2" t="inlineStr">
        <is>
          <t>Toys Safety Directive</t>
        </is>
      </c>
      <c r="C266" s="2" t="inlineStr">
        <is>
          <t>32009L0048</t>
        </is>
      </c>
      <c r="D266" s="2" t="inlineStr">
        <is>
          <t>32015L2116</t>
        </is>
      </c>
      <c r="E266" s="2" t="inlineStr">
        <is>
          <t>other Commission/Council act</t>
        </is>
      </c>
      <c r="F266" s="2" t="inlineStr">
        <is>
          <t>DIR</t>
        </is>
      </c>
      <c r="G266" s="2" t="inlineStr">
        <is>
          <t>2015-11-23</t>
        </is>
      </c>
      <c r="H266" s="2" t="inlineStr">
        <is>
          <t>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is>
      </c>
      <c r="I266" s="2" t="inlineStr">
        <is>
          <t>no</t>
        </is>
      </c>
      <c r="J266" s="2" t="inlineStr">
        <is>
          <t>https://eur-lex.europa.eu/legal-content/EN/TXT/?uri=CELEX:32015L2116</t>
        </is>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t="inlineStr"/>
    </row>
    <row r="267">
      <c r="A267" s="2" t="n">
        <v>17</v>
      </c>
      <c r="B267" s="2" t="inlineStr">
        <is>
          <t>Toys Safety Directive</t>
        </is>
      </c>
      <c r="C267" s="2" t="inlineStr">
        <is>
          <t>32009L0048</t>
        </is>
      </c>
      <c r="D267" s="2" t="inlineStr">
        <is>
          <t>32015L2117</t>
        </is>
      </c>
      <c r="E267" s="2" t="inlineStr">
        <is>
          <t>other Commission/Council act</t>
        </is>
      </c>
      <c r="F267" s="2" t="inlineStr">
        <is>
          <t>DIR</t>
        </is>
      </c>
      <c r="G267" s="2" t="inlineStr">
        <is>
          <t>2015-11-23</t>
        </is>
      </c>
      <c r="H267" s="2" t="inlineStr">
        <is>
          <t>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is>
      </c>
      <c r="I267" s="2" t="inlineStr">
        <is>
          <t>no</t>
        </is>
      </c>
      <c r="J267" s="2" t="inlineStr">
        <is>
          <t>https://eur-lex.europa.eu/legal-content/EN/TXT/?uri=CELEX:32015L2117</t>
        </is>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t="inlineStr"/>
    </row>
    <row r="268">
      <c r="A268" s="2" t="n">
        <v>17</v>
      </c>
      <c r="B268" s="2" t="inlineStr">
        <is>
          <t>Toys Safety Directive</t>
        </is>
      </c>
      <c r="C268" s="2" t="inlineStr">
        <is>
          <t>32009L0048</t>
        </is>
      </c>
      <c r="D268" s="2" t="inlineStr">
        <is>
          <t>32017L0738</t>
        </is>
      </c>
      <c r="E268" s="2" t="inlineStr">
        <is>
          <t>other Commission/Council act</t>
        </is>
      </c>
      <c r="F268" s="2" t="inlineStr">
        <is>
          <t>DIR</t>
        </is>
      </c>
      <c r="G268" s="2" t="inlineStr">
        <is>
          <t>2017-03-27</t>
        </is>
      </c>
      <c r="H268" s="2" t="inlineStr">
        <is>
          <t>Council Directive (EU) 2017/738 of 27 March 2017 amending, for the purpose of adapting to technical progress, Annex II to Directive 2009/48/EC of the European Parliament and of the Council on the safety of toys, as regards lead (Text with EEA relevance. )</t>
        </is>
      </c>
      <c r="I268" s="2" t="inlineStr">
        <is>
          <t>no</t>
        </is>
      </c>
      <c r="J268" s="2" t="inlineStr">
        <is>
          <t>https://eur-lex.europa.eu/legal-content/EN/TXT/?uri=CELEX:32017L0738</t>
        </is>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t="inlineStr"/>
    </row>
    <row r="269">
      <c r="A269" s="2" t="n">
        <v>17</v>
      </c>
      <c r="B269" s="2" t="inlineStr">
        <is>
          <t>Toys Safety Directive</t>
        </is>
      </c>
      <c r="C269" s="2" t="inlineStr">
        <is>
          <t>32009L0048</t>
        </is>
      </c>
      <c r="D269" s="2" t="inlineStr">
        <is>
          <t>32017L0774</t>
        </is>
      </c>
      <c r="E269" s="2" t="inlineStr">
        <is>
          <t>other Commission/Council act</t>
        </is>
      </c>
      <c r="F269" s="2" t="inlineStr">
        <is>
          <t>DIR</t>
        </is>
      </c>
      <c r="G269" s="2" t="inlineStr">
        <is>
          <t>2017-05-03</t>
        </is>
      </c>
      <c r="H269" s="2" t="inlineStr">
        <is>
          <t>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is>
      </c>
      <c r="I269" s="2" t="inlineStr">
        <is>
          <t>no</t>
        </is>
      </c>
      <c r="J269" s="2" t="inlineStr">
        <is>
          <t>https://eur-lex.europa.eu/legal-content/EN/TXT/?uri=CELEX:32017L0774</t>
        </is>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t="inlineStr"/>
    </row>
    <row r="270">
      <c r="A270" s="2" t="n">
        <v>17</v>
      </c>
      <c r="B270" s="2" t="inlineStr">
        <is>
          <t>Toys Safety Directive</t>
        </is>
      </c>
      <c r="C270" s="2" t="inlineStr">
        <is>
          <t>32009L0048</t>
        </is>
      </c>
      <c r="D270" s="2" t="inlineStr">
        <is>
          <t>32017L0898</t>
        </is>
      </c>
      <c r="E270" s="2" t="inlineStr">
        <is>
          <t>other Commission/Council act</t>
        </is>
      </c>
      <c r="F270" s="2" t="inlineStr">
        <is>
          <t>DIR</t>
        </is>
      </c>
      <c r="G270" s="2" t="inlineStr">
        <is>
          <t>2017-05-24</t>
        </is>
      </c>
      <c r="H270" s="2" t="inlineStr">
        <is>
          <t>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is>
      </c>
      <c r="I270" s="2" t="inlineStr">
        <is>
          <t>no</t>
        </is>
      </c>
      <c r="J270" s="2" t="inlineStr">
        <is>
          <t>https://eur-lex.europa.eu/legal-content/EN/TXT/?uri=CELEX:32017L0898</t>
        </is>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t="inlineStr"/>
    </row>
    <row r="271">
      <c r="A271" s="2" t="n">
        <v>17</v>
      </c>
      <c r="B271" s="2" t="inlineStr">
        <is>
          <t>Toys Safety Directive</t>
        </is>
      </c>
      <c r="C271" s="2" t="inlineStr">
        <is>
          <t>32009L0048</t>
        </is>
      </c>
      <c r="D271" s="2" t="inlineStr">
        <is>
          <t>32018L0725</t>
        </is>
      </c>
      <c r="E271" s="2" t="inlineStr">
        <is>
          <t>other Commission/Council act</t>
        </is>
      </c>
      <c r="F271" s="2" t="inlineStr">
        <is>
          <t>DIR</t>
        </is>
      </c>
      <c r="G271" s="2" t="inlineStr">
        <is>
          <t>2018-05-16</t>
        </is>
      </c>
      <c r="H271" s="2" t="inlineStr">
        <is>
          <t>Commission Directive (EU) 2018/725 of 16 May 2018 amending, for the purpose of adaptation to technical and scientific developments, point 13 of part III of Annex II to Directive 2009/48/EC of the European Parliament and of the Council on the safety of toys, as regards chromium VI</t>
        </is>
      </c>
      <c r="I271" s="2" t="inlineStr">
        <is>
          <t>no</t>
        </is>
      </c>
      <c r="J271" s="2" t="inlineStr">
        <is>
          <t>https://eur-lex.europa.eu/legal-content/EN/TXT/?uri=CELEX:32018L0725</t>
        </is>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t="inlineStr"/>
    </row>
    <row r="272">
      <c r="A272" s="2" t="n">
        <v>17</v>
      </c>
      <c r="B272" s="2" t="inlineStr">
        <is>
          <t>Toys Safety Directive</t>
        </is>
      </c>
      <c r="C272" s="2" t="inlineStr">
        <is>
          <t>32009L0048</t>
        </is>
      </c>
      <c r="D272" s="2" t="inlineStr">
        <is>
          <t>32019L1922</t>
        </is>
      </c>
      <c r="E272" s="2" t="inlineStr">
        <is>
          <t>other Commission/Council act</t>
        </is>
      </c>
      <c r="F272" s="2" t="inlineStr">
        <is>
          <t>DIR</t>
        </is>
      </c>
      <c r="G272" s="2" t="inlineStr">
        <is>
          <t>2019-11-18</t>
        </is>
      </c>
      <c r="H272" s="2" t="inlineStr">
        <is>
          <t>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is>
      </c>
      <c r="I272" s="2" t="inlineStr">
        <is>
          <t>no</t>
        </is>
      </c>
      <c r="J272" s="2" t="inlineStr">
        <is>
          <t>https://eur-lex.europa.eu/legal-content/EN/TXT/?uri=CELEX:32019L1922</t>
        </is>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t="inlineStr"/>
    </row>
    <row r="273">
      <c r="A273" s="2" t="n">
        <v>17</v>
      </c>
      <c r="B273" s="2" t="inlineStr">
        <is>
          <t>Toys Safety Directive</t>
        </is>
      </c>
      <c r="C273" s="2" t="inlineStr">
        <is>
          <t>32009L0048</t>
        </is>
      </c>
      <c r="D273" s="2" t="inlineStr">
        <is>
          <t>32019L1929</t>
        </is>
      </c>
      <c r="E273" s="2" t="inlineStr">
        <is>
          <t>other Commission/Council act</t>
        </is>
      </c>
      <c r="F273" s="2" t="inlineStr">
        <is>
          <t>DIR</t>
        </is>
      </c>
      <c r="G273" s="2" t="inlineStr">
        <is>
          <t>2019-11-19</t>
        </is>
      </c>
      <c r="H273" s="2" t="inlineStr">
        <is>
          <t>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is>
      </c>
      <c r="I273" s="2" t="inlineStr">
        <is>
          <t>no</t>
        </is>
      </c>
      <c r="J273" s="2" t="inlineStr">
        <is>
          <t>https://eur-lex.europa.eu/legal-content/EN/TXT/?uri=CELEX:32019L1929</t>
        </is>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t="inlineStr"/>
    </row>
    <row r="274">
      <c r="A274" s="2" t="n">
        <v>17</v>
      </c>
      <c r="B274" s="2" t="inlineStr">
        <is>
          <t>Toys Safety Directive</t>
        </is>
      </c>
      <c r="C274" s="2" t="inlineStr">
        <is>
          <t>32009L0048</t>
        </is>
      </c>
      <c r="D274" s="2" t="inlineStr">
        <is>
          <t>32020L2088</t>
        </is>
      </c>
      <c r="E274" s="2" t="inlineStr">
        <is>
          <t>other Commission/Council act</t>
        </is>
      </c>
      <c r="F274" s="2" t="inlineStr">
        <is>
          <t>DIR</t>
        </is>
      </c>
      <c r="G274" s="2" t="inlineStr">
        <is>
          <t>2020-12-11</t>
        </is>
      </c>
      <c r="H274" s="2" t="inlineStr">
        <is>
          <t>Commission Directive (EU) 2020/2088 of 11 December 2020 amending Annex II to Directive 2009/48/EC of the European Parliament and of the Council as regards the labelling of allergenic fragrances in toys (Text with EEA relevance)</t>
        </is>
      </c>
      <c r="I274" s="2" t="inlineStr">
        <is>
          <t>no</t>
        </is>
      </c>
      <c r="J274" s="2" t="inlineStr">
        <is>
          <t>https://eur-lex.europa.eu/legal-content/EN/TXT/?uri=CELEX:32020L2088</t>
        </is>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t="inlineStr"/>
    </row>
    <row r="275">
      <c r="A275" s="2" t="n">
        <v>17</v>
      </c>
      <c r="B275" s="2" t="inlineStr">
        <is>
          <t>Toys Safety Directive</t>
        </is>
      </c>
      <c r="C275" s="2" t="inlineStr">
        <is>
          <t>32009L0048</t>
        </is>
      </c>
      <c r="D275" s="2" t="inlineStr">
        <is>
          <t>32020L2089</t>
        </is>
      </c>
      <c r="E275" s="2" t="inlineStr">
        <is>
          <t>other Commission/Council act</t>
        </is>
      </c>
      <c r="F275" s="2" t="inlineStr">
        <is>
          <t>DIR</t>
        </is>
      </c>
      <c r="G275" s="2" t="inlineStr">
        <is>
          <t>2020-12-11</t>
        </is>
      </c>
      <c r="H275" s="2" t="inlineStr">
        <is>
          <t>Commission Directive (EU) 2020/2089 of 11 December 2020 amending Annex II to Directive 2009/48/EC of the European Parliament and of the Council as regards the prohibition of allergenic fragrances in toys (Text with EEA relevance)</t>
        </is>
      </c>
      <c r="I275" s="2" t="inlineStr">
        <is>
          <t>no</t>
        </is>
      </c>
      <c r="J275" s="2" t="inlineStr">
        <is>
          <t>https://eur-lex.europa.eu/legal-content/EN/TXT/?uri=CELEX:32020L2089</t>
        </is>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t="inlineStr"/>
    </row>
    <row r="276">
      <c r="A276" s="2" t="n">
        <v>17</v>
      </c>
      <c r="B276" s="2" t="inlineStr">
        <is>
          <t>Toys Safety Directive</t>
        </is>
      </c>
      <c r="C276" s="2" t="inlineStr">
        <is>
          <t>32009L0048</t>
        </is>
      </c>
      <c r="D276" s="2" t="inlineStr">
        <is>
          <t>32021L0903</t>
        </is>
      </c>
      <c r="E276" s="2" t="inlineStr">
        <is>
          <t>other Commission/Council act</t>
        </is>
      </c>
      <c r="F276" s="2" t="inlineStr">
        <is>
          <t>DIR</t>
        </is>
      </c>
      <c r="G276" s="2" t="inlineStr">
        <is>
          <t>2021-06-03</t>
        </is>
      </c>
      <c r="H276" s="2" t="inlineStr">
        <is>
          <t>Commission Directive (EU) 2021/903 of 3 June 2021 amending Directive 2009/48/EC of the European Parliament and of the Council as regards specific limit values for aniline in certain toys (Text with EEA relevance)</t>
        </is>
      </c>
      <c r="I276" s="2" t="inlineStr">
        <is>
          <t>no</t>
        </is>
      </c>
      <c r="J276" s="2" t="inlineStr">
        <is>
          <t>https://eur-lex.europa.eu/legal-content/EN/TXT/?uri=CELEX:32021L0903</t>
        </is>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t="inlineStr"/>
    </row>
    <row r="277">
      <c r="A277" s="2" t="n">
        <v>17</v>
      </c>
      <c r="B277" s="2" t="inlineStr">
        <is>
          <t>Toys Safety Directive</t>
        </is>
      </c>
      <c r="C277" s="2" t="inlineStr">
        <is>
          <t>32009L0048</t>
        </is>
      </c>
      <c r="D277" s="2" t="inlineStr">
        <is>
          <t>32025D1785</t>
        </is>
      </c>
      <c r="E277" s="2" t="inlineStr">
        <is>
          <t>implementing</t>
        </is>
      </c>
      <c r="F277" s="2" t="inlineStr">
        <is>
          <t>DEC_IMPL</t>
        </is>
      </c>
      <c r="G277" s="2" t="inlineStr">
        <is>
          <t>2025-09-09</t>
        </is>
      </c>
      <c r="H277" s="2" t="inlineStr">
        <is>
          <t>Commission Implementing Decision (EU) 2025/1785 of 9 September 2025 amending Implementing Decision (EU) 2023/740 as regards the harmonised standards for certain ride-on toys (wave rollers) drafted in support of Directive 2009/48/EC of the European Parliament and of the Council</t>
        </is>
      </c>
      <c r="I277" s="2" t="inlineStr">
        <is>
          <t>no</t>
        </is>
      </c>
      <c r="J277" s="2" t="inlineStr">
        <is>
          <t>https://eur-lex.europa.eu/legal-content/EN/TXT/?uri=CELEX:32025D1785</t>
        </is>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t="inlineStr"/>
    </row>
    <row r="278">
      <c r="A278" s="2" t="n">
        <v>17</v>
      </c>
      <c r="B278" s="2" t="inlineStr">
        <is>
          <t>Toys Safety Directive</t>
        </is>
      </c>
      <c r="C278" s="2" t="inlineStr">
        <is>
          <t>32009L0048</t>
        </is>
      </c>
      <c r="D278" s="2" t="inlineStr">
        <is>
          <t>32026L0192</t>
        </is>
      </c>
      <c r="E278" s="2" t="inlineStr">
        <is>
          <t>other Commission/Council act</t>
        </is>
      </c>
      <c r="F278" s="2" t="inlineStr">
        <is>
          <t>DIR</t>
        </is>
      </c>
      <c r="G278" s="2" t="inlineStr">
        <is>
          <t>2026-01-28</t>
        </is>
      </c>
      <c r="H278" s="2" t="inlineStr">
        <is>
          <t>Commission Directive (EU) 2026/192 of 28 January 2026 amending Appendix A of Annex II to Directive 2009/48/EC of the European Parliament and of the Council on the safety of toys, as regards cobalt</t>
        </is>
      </c>
      <c r="I278" s="2" t="inlineStr">
        <is>
          <t>no</t>
        </is>
      </c>
      <c r="J278" s="2" t="inlineStr">
        <is>
          <t>https://eur-lex.europa.eu/legal-content/EN/TXT/?uri=CELEX:32026L0192</t>
        </is>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t="inlineStr"/>
    </row>
    <row r="279">
      <c r="A279" s="2" t="n">
        <v>18</v>
      </c>
      <c r="B279" s="2" t="inlineStr">
        <is>
          <t>Consumer Rights Directive</t>
        </is>
      </c>
      <c r="C279" s="2" t="inlineStr">
        <is>
          <t>32011L0083</t>
        </is>
      </c>
      <c r="D279" s="2" t="inlineStr">
        <is>
          <t>52021XC1229(04)</t>
        </is>
      </c>
      <c r="E279" s="2" t="inlineStr">
        <is>
          <t>guidance</t>
        </is>
      </c>
      <c r="F279" s="2" t="inlineStr">
        <is>
          <t>NOTICE</t>
        </is>
      </c>
      <c r="G279" s="2" t="inlineStr">
        <is>
          <t>2021-12-29</t>
        </is>
      </c>
      <c r="H279" s="2" t="inlineStr">
        <is>
          <t>Commission notice Guidance on the interpretation and application of Directive 2011/83/EU of the European Parliament and of the Council on consumer rights (Text with EEA relevance) 2021/C 525/01</t>
        </is>
      </c>
      <c r="I279" s="2" t="inlineStr">
        <is>
          <t>no</t>
        </is>
      </c>
      <c r="J279" s="2" t="inlineStr">
        <is>
          <t>https://eur-lex.europa.eu/legal-content/EN/TXT/?uri=CELEX:52021XC1229(04)</t>
        </is>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inlineStr">
        <is>
          <t>Guidance is non-binding: restriction counts mostly reflect obligations it restates</t>
        </is>
      </c>
    </row>
    <row r="280">
      <c r="A280" s="2" t="n">
        <v>18</v>
      </c>
      <c r="B280" s="2" t="inlineStr">
        <is>
          <t>Consumer Rights Directive</t>
        </is>
      </c>
      <c r="C280" s="2" t="inlineStr">
        <is>
          <t>32011L0083</t>
        </is>
      </c>
      <c r="D280" s="2" t="inlineStr">
        <is>
          <t>32025R1960</t>
        </is>
      </c>
      <c r="E280" s="2" t="inlineStr">
        <is>
          <t>implementing</t>
        </is>
      </c>
      <c r="F280" s="2" t="inlineStr">
        <is>
          <t>REG_IMPL</t>
        </is>
      </c>
      <c r="G280" s="2" t="inlineStr">
        <is>
          <t>2025-09-25</t>
        </is>
      </c>
      <c r="H280" s="2" t="inlineStr">
        <is>
          <t>Commission Implementing Regulation (EU) 2025/1960 of 25 September 2025 on the design and content of the harmonised notice on the legal guarantee of conformity and of the harmonised label for the commercial guarantee of durability</t>
        </is>
      </c>
      <c r="I280" s="2" t="inlineStr">
        <is>
          <t>no</t>
        </is>
      </c>
      <c r="J280" s="2" t="inlineStr">
        <is>
          <t>https://eur-lex.europa.eu/legal-content/EN/TXT/?uri=CELEX:32025R1960</t>
        </is>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t="inlineStr"/>
    </row>
    <row r="281">
      <c r="A281" s="2" t="n">
        <v>19</v>
      </c>
      <c r="B281" s="2" t="inlineStr">
        <is>
          <t>Administrative cooperation in taxation (DAC)</t>
        </is>
      </c>
      <c r="C281" s="2" t="inlineStr">
        <is>
          <t>32011L0016</t>
        </is>
      </c>
      <c r="D281" s="2" t="inlineStr">
        <is>
          <t>32012R1156</t>
        </is>
      </c>
      <c r="E281" s="2" t="inlineStr">
        <is>
          <t>implementing</t>
        </is>
      </c>
      <c r="F281" s="2" t="inlineStr">
        <is>
          <t>REG_IMPL</t>
        </is>
      </c>
      <c r="G281" s="2" t="inlineStr">
        <is>
          <t>2012-12-06</t>
        </is>
      </c>
      <c r="H281" s="2" t="inlineStr">
        <is>
          <t>Commission Implementing Regulation (EU) No 1156/2012 of 6 December 2012 laying down detailed rules for implementing certain provisions of Council Directive 2011/16/EU on administrative cooperation in the field of taxation</t>
        </is>
      </c>
      <c r="I281" s="2" t="inlineStr">
        <is>
          <t>no</t>
        </is>
      </c>
      <c r="J281" s="2" t="inlineStr">
        <is>
          <t>https://eur-lex.europa.eu/legal-content/EN/TXT/?uri=CELEX:32012R1156</t>
        </is>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t="inlineStr"/>
    </row>
    <row r="282">
      <c r="A282" s="2" t="n">
        <v>19</v>
      </c>
      <c r="B282" s="2" t="inlineStr">
        <is>
          <t>Administrative cooperation in taxation (DAC)</t>
        </is>
      </c>
      <c r="C282" s="2" t="inlineStr">
        <is>
          <t>32011L0016</t>
        </is>
      </c>
      <c r="D282" s="2" t="inlineStr">
        <is>
          <t>32014R1353</t>
        </is>
      </c>
      <c r="E282" s="2" t="inlineStr">
        <is>
          <t>implementing</t>
        </is>
      </c>
      <c r="F282" s="2" t="inlineStr">
        <is>
          <t>REG_IMPL</t>
        </is>
      </c>
      <c r="G282" s="2" t="inlineStr">
        <is>
          <t>2014-12-15</t>
        </is>
      </c>
      <c r="H282" s="2" t="inlineStr">
        <is>
          <t>Commission Implementing Regulation (EU) No 1353/2014 of 15 December 2014 amending Implementing Regulation (EU) No 1156/2012 laying down detailed rules for implementing certain provisions of Council Directive 2011/16/EU on administrative cooperation in the field of taxation</t>
        </is>
      </c>
      <c r="I282" s="2" t="inlineStr">
        <is>
          <t>no</t>
        </is>
      </c>
      <c r="J282" s="2" t="inlineStr">
        <is>
          <t>https://eur-lex.europa.eu/legal-content/EN/TXT/?uri=CELEX:32014R1353</t>
        </is>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t="inlineStr"/>
    </row>
    <row r="283">
      <c r="A283" s="2" t="n">
        <v>19</v>
      </c>
      <c r="B283" s="2" t="inlineStr">
        <is>
          <t>Administrative cooperation in taxation (DAC)</t>
        </is>
      </c>
      <c r="C283" s="2" t="inlineStr">
        <is>
          <t>32011L0016</t>
        </is>
      </c>
      <c r="D283" s="2" t="inlineStr">
        <is>
          <t>32015R2378</t>
        </is>
      </c>
      <c r="E283" s="2" t="inlineStr">
        <is>
          <t>implementing</t>
        </is>
      </c>
      <c r="F283" s="2" t="inlineStr">
        <is>
          <t>REG_IMPL</t>
        </is>
      </c>
      <c r="G283" s="2" t="inlineStr">
        <is>
          <t>2015-12-15</t>
        </is>
      </c>
      <c r="H283" s="2" t="inlineStr">
        <is>
          <t>Commission Implementing Regulation (EU) 2015/2378 of 15 December 2015 laying down detailed rules for implementing certain provisions of Council Directive 2011/16/EU on administrative cooperation in the field of taxation and repealing Implementing Regulation (EU) No 1156/2012</t>
        </is>
      </c>
      <c r="I283" s="2" t="inlineStr">
        <is>
          <t>no</t>
        </is>
      </c>
      <c r="J283" s="2" t="inlineStr">
        <is>
          <t>https://eur-lex.europa.eu/legal-content/EN/TXT/?uri=CELEX:32015R2378</t>
        </is>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t="inlineStr"/>
    </row>
    <row r="284">
      <c r="A284" s="2" t="n">
        <v>19</v>
      </c>
      <c r="B284" s="2" t="inlineStr">
        <is>
          <t>Administrative cooperation in taxation (DAC)</t>
        </is>
      </c>
      <c r="C284" s="2" t="inlineStr">
        <is>
          <t>32011L0016</t>
        </is>
      </c>
      <c r="D284" s="2" t="inlineStr">
        <is>
          <t>32016R1963</t>
        </is>
      </c>
      <c r="E284" s="2" t="inlineStr">
        <is>
          <t>implementing</t>
        </is>
      </c>
      <c r="F284" s="2" t="inlineStr">
        <is>
          <t>REG_IMPL</t>
        </is>
      </c>
      <c r="G284" s="2" t="inlineStr">
        <is>
          <t>2016-11-09</t>
        </is>
      </c>
      <c r="H284" s="2" t="inlineStr">
        <is>
          <t>Commission Implementing Regulation (EU) 2016/1963 of 9 November 2016 amending Implementing Regulation (EU) 2015/2378 as regards standard forms and linguistic arrangements to be used in relation to Council Directives (EU) 2015/2376 and (EU) 2016/881</t>
        </is>
      </c>
      <c r="I284" s="2" t="inlineStr">
        <is>
          <t>no</t>
        </is>
      </c>
      <c r="J284" s="2" t="inlineStr">
        <is>
          <t>https://eur-lex.europa.eu/legal-content/EN/TXT/?uri=CELEX:32016R1963</t>
        </is>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t="inlineStr"/>
    </row>
    <row r="285">
      <c r="A285" s="2" t="n">
        <v>19</v>
      </c>
      <c r="B285" s="2" t="inlineStr">
        <is>
          <t>Administrative cooperation in taxation (DAC)</t>
        </is>
      </c>
      <c r="C285" s="2" t="inlineStr">
        <is>
          <t>32011L0016</t>
        </is>
      </c>
      <c r="D285" s="2" t="inlineStr">
        <is>
          <t>32018R0099</t>
        </is>
      </c>
      <c r="E285" s="2" t="inlineStr">
        <is>
          <t>implementing</t>
        </is>
      </c>
      <c r="F285" s="2" t="inlineStr">
        <is>
          <t>REG_IMPL</t>
        </is>
      </c>
      <c r="G285" s="2" t="inlineStr">
        <is>
          <t>2018-01-22</t>
        </is>
      </c>
      <c r="H285" s="2" t="inlineStr">
        <is>
          <t>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is>
      </c>
      <c r="I285" s="2" t="inlineStr">
        <is>
          <t>no</t>
        </is>
      </c>
      <c r="J285" s="2" t="inlineStr">
        <is>
          <t>https://eur-lex.europa.eu/legal-content/EN/TXT/?uri=CELEX:32018R0099</t>
        </is>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t="inlineStr"/>
    </row>
    <row r="286">
      <c r="A286" s="2" t="n">
        <v>19</v>
      </c>
      <c r="B286" s="2" t="inlineStr">
        <is>
          <t>Administrative cooperation in taxation (DAC)</t>
        </is>
      </c>
      <c r="C286" s="2" t="inlineStr">
        <is>
          <t>32011L0016</t>
        </is>
      </c>
      <c r="D286" s="2" t="inlineStr">
        <is>
          <t>32019R0532</t>
        </is>
      </c>
      <c r="E286" s="2" t="inlineStr">
        <is>
          <t>implementing</t>
        </is>
      </c>
      <c r="F286" s="2" t="inlineStr">
        <is>
          <t>REG_IMPL</t>
        </is>
      </c>
      <c r="G286" s="2" t="inlineStr">
        <is>
          <t>2019-03-28</t>
        </is>
      </c>
      <c r="H286" s="2" t="inlineStr">
        <is>
          <t>Commission Implementing Regulation (EU) 2019/532 of 28 March 2019 amending Implementing Regulation (EU) 2015/2378 as regards the standard forms, including linguistic arrangements, for the mandatory automatic exchange of information on reportable cross-border arrangements</t>
        </is>
      </c>
      <c r="I286" s="2" t="inlineStr">
        <is>
          <t>no</t>
        </is>
      </c>
      <c r="J286" s="2" t="inlineStr">
        <is>
          <t>https://eur-lex.europa.eu/legal-content/EN/TXT/?uri=CELEX:32019R0532</t>
        </is>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t="inlineStr"/>
    </row>
    <row r="287">
      <c r="A287" s="2" t="n">
        <v>19</v>
      </c>
      <c r="B287" s="2" t="inlineStr">
        <is>
          <t>Administrative cooperation in taxation (DAC)</t>
        </is>
      </c>
      <c r="C287" s="2" t="inlineStr">
        <is>
          <t>32011L0016</t>
        </is>
      </c>
      <c r="D287" s="2" t="inlineStr">
        <is>
          <t>32022R1467</t>
        </is>
      </c>
      <c r="E287" s="2" t="inlineStr">
        <is>
          <t>implementing</t>
        </is>
      </c>
      <c r="F287" s="2" t="inlineStr">
        <is>
          <t>REG_IMPL</t>
        </is>
      </c>
      <c r="G287" s="2" t="inlineStr">
        <is>
          <t>2022-09-05</t>
        </is>
      </c>
      <c r="H287" s="2" t="inlineStr">
        <is>
          <t>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is>
      </c>
      <c r="I287" s="2" t="inlineStr">
        <is>
          <t>no</t>
        </is>
      </c>
      <c r="J287" s="2" t="inlineStr">
        <is>
          <t>https://eur-lex.europa.eu/legal-content/EN/TXT/?uri=CELEX:32022R1467</t>
        </is>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t="inlineStr"/>
    </row>
    <row r="288">
      <c r="A288" s="2" t="n">
        <v>19</v>
      </c>
      <c r="B288" s="2" t="inlineStr">
        <is>
          <t>Administrative cooperation in taxation (DAC)</t>
        </is>
      </c>
      <c r="C288" s="2" t="inlineStr">
        <is>
          <t>32011L0016</t>
        </is>
      </c>
      <c r="D288" s="2" t="inlineStr">
        <is>
          <t>32023R0823</t>
        </is>
      </c>
      <c r="E288" s="2" t="inlineStr">
        <is>
          <t>implementing</t>
        </is>
      </c>
      <c r="F288" s="2" t="inlineStr">
        <is>
          <t>REG_IMPL</t>
        </is>
      </c>
      <c r="G288" s="2" t="inlineStr">
        <is>
          <t>2023-04-13</t>
        </is>
      </c>
      <c r="H288" s="2" t="inlineStr">
        <is>
          <t>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is>
      </c>
      <c r="I288" s="2" t="inlineStr">
        <is>
          <t>no</t>
        </is>
      </c>
      <c r="J288" s="2" t="inlineStr">
        <is>
          <t>https://eur-lex.europa.eu/legal-content/EN/TXT/?uri=CELEX:32023R0823</t>
        </is>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t="inlineStr"/>
    </row>
    <row r="289">
      <c r="A289" s="2" t="n">
        <v>19</v>
      </c>
      <c r="B289" s="2" t="inlineStr">
        <is>
          <t>Administrative cooperation in taxation (DAC)</t>
        </is>
      </c>
      <c r="C289" s="2" t="inlineStr">
        <is>
          <t>32011L0016</t>
        </is>
      </c>
      <c r="D289" s="2" t="inlineStr">
        <is>
          <t>32023R2389</t>
        </is>
      </c>
      <c r="E289" s="2" t="inlineStr">
        <is>
          <t>implementing</t>
        </is>
      </c>
      <c r="F289" s="2" t="inlineStr">
        <is>
          <t>REG_IMPL</t>
        </is>
      </c>
      <c r="G289" s="2" t="inlineStr">
        <is>
          <t>2023-09-29</t>
        </is>
      </c>
      <c r="H289" s="2" t="inlineStr">
        <is>
          <t>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is>
      </c>
      <c r="I289" s="2" t="inlineStr">
        <is>
          <t>no</t>
        </is>
      </c>
      <c r="J289" s="2" t="inlineStr">
        <is>
          <t>https://eur-lex.europa.eu/legal-content/EN/TXT/?uri=CELEX:32023R2389</t>
        </is>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t="inlineStr"/>
    </row>
    <row r="290">
      <c r="A290" s="2" t="n">
        <v>19</v>
      </c>
      <c r="B290" s="2" t="inlineStr">
        <is>
          <t>Administrative cooperation in taxation (DAC)</t>
        </is>
      </c>
      <c r="C290" s="2" t="inlineStr">
        <is>
          <t>32011L0016</t>
        </is>
      </c>
      <c r="D290" s="2" t="inlineStr">
        <is>
          <t>32023R2693</t>
        </is>
      </c>
      <c r="E290" s="2" t="inlineStr">
        <is>
          <t>implementing</t>
        </is>
      </c>
      <c r="F290" s="2" t="inlineStr">
        <is>
          <t>REG_IMPL</t>
        </is>
      </c>
      <c r="G290" s="2" t="inlineStr">
        <is>
          <t>2023-11-30</t>
        </is>
      </c>
      <c r="H290" s="2" t="inlineStr">
        <is>
          <t>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is>
      </c>
      <c r="I290" s="2" t="inlineStr">
        <is>
          <t>no</t>
        </is>
      </c>
      <c r="J290" s="2" t="inlineStr">
        <is>
          <t>https://eur-lex.europa.eu/legal-content/EN/TXT/?uri=CELEX:32023R2693</t>
        </is>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t="inlineStr"/>
    </row>
    <row r="291">
      <c r="A291" s="2" t="n">
        <v>19</v>
      </c>
      <c r="B291" s="2" t="inlineStr">
        <is>
          <t>Administrative cooperation in taxation (DAC)</t>
        </is>
      </c>
      <c r="C291" s="2" t="inlineStr">
        <is>
          <t>32011L0016</t>
        </is>
      </c>
      <c r="D291" s="2" t="inlineStr">
        <is>
          <t>32024R0432</t>
        </is>
      </c>
      <c r="E291" s="2" t="inlineStr">
        <is>
          <t>implementing</t>
        </is>
      </c>
      <c r="F291" s="2" t="inlineStr">
        <is>
          <t>REG_IMPL</t>
        </is>
      </c>
      <c r="G291" s="2" t="inlineStr">
        <is>
          <t>2024-02-02</t>
        </is>
      </c>
      <c r="H291" s="2" t="inlineStr">
        <is>
          <t>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is>
      </c>
      <c r="I291" s="2" t="inlineStr">
        <is>
          <t>no</t>
        </is>
      </c>
      <c r="J291" s="2" t="inlineStr">
        <is>
          <t>https://eur-lex.europa.eu/legal-content/EN/TXT/?uri=CELEX:32024R0432</t>
        </is>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t="inlineStr"/>
    </row>
    <row r="292">
      <c r="A292" s="2" t="n">
        <v>19</v>
      </c>
      <c r="B292" s="2" t="inlineStr">
        <is>
          <t>Administrative cooperation in taxation (DAC)</t>
        </is>
      </c>
      <c r="C292" s="2" t="inlineStr">
        <is>
          <t>32011L0016</t>
        </is>
      </c>
      <c r="D292" s="2" t="inlineStr">
        <is>
          <t>32025R0648</t>
        </is>
      </c>
      <c r="E292" s="2" t="inlineStr">
        <is>
          <t>implementing</t>
        </is>
      </c>
      <c r="F292" s="2" t="inlineStr">
        <is>
          <t>REG_IMPL</t>
        </is>
      </c>
      <c r="G292" s="2" t="inlineStr">
        <is>
          <t>2025-04-02</t>
        </is>
      </c>
      <c r="H292" s="2" t="inlineStr">
        <is>
          <t>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is>
      </c>
      <c r="I292" s="2" t="inlineStr">
        <is>
          <t>no</t>
        </is>
      </c>
      <c r="J292" s="2" t="inlineStr">
        <is>
          <t>https://eur-lex.europa.eu/legal-content/EN/TXT/?uri=CELEX:32025R0648</t>
        </is>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t="inlineStr"/>
    </row>
    <row r="293">
      <c r="A293" s="2" t="n">
        <v>19</v>
      </c>
      <c r="B293" s="2" t="inlineStr">
        <is>
          <t>Administrative cooperation in taxation (DAC)</t>
        </is>
      </c>
      <c r="C293" s="2" t="inlineStr">
        <is>
          <t>32011L0016</t>
        </is>
      </c>
      <c r="D293" s="2" t="inlineStr">
        <is>
          <t>32025R1325</t>
        </is>
      </c>
      <c r="E293" s="2" t="inlineStr">
        <is>
          <t>implementing</t>
        </is>
      </c>
      <c r="F293" s="2" t="inlineStr">
        <is>
          <t>REG_IMPL</t>
        </is>
      </c>
      <c r="G293" s="2" t="inlineStr">
        <is>
          <t>2025-07-07</t>
        </is>
      </c>
      <c r="H293" s="2" t="inlineStr">
        <is>
          <t>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is>
      </c>
      <c r="I293" s="2" t="inlineStr">
        <is>
          <t>no</t>
        </is>
      </c>
      <c r="J293" s="2" t="inlineStr">
        <is>
          <t>https://eur-lex.europa.eu/legal-content/EN/TXT/?uri=CELEX:32025R1325</t>
        </is>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t="inlineStr"/>
    </row>
    <row r="294">
      <c r="A294" s="2" t="n">
        <v>19</v>
      </c>
      <c r="B294" s="2" t="inlineStr">
        <is>
          <t>Administrative cooperation in taxation (DAC)</t>
        </is>
      </c>
      <c r="C294" s="2" t="inlineStr">
        <is>
          <t>32011L0016</t>
        </is>
      </c>
      <c r="D294" s="2" t="inlineStr">
        <is>
          <t>32025R2263</t>
        </is>
      </c>
      <c r="E294" s="2" t="inlineStr">
        <is>
          <t>implementing</t>
        </is>
      </c>
      <c r="F294" s="2" t="inlineStr">
        <is>
          <t>REG_IMPL</t>
        </is>
      </c>
      <c r="G294" s="2" t="inlineStr">
        <is>
          <t>2025-11-12</t>
        </is>
      </c>
      <c r="H294" s="2" t="inlineStr">
        <is>
          <t>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is>
      </c>
      <c r="I294" s="2" t="inlineStr">
        <is>
          <t>no</t>
        </is>
      </c>
      <c r="J294" s="2" t="inlineStr">
        <is>
          <t>https://eur-lex.europa.eu/legal-content/EN/TXT/?uri=CELEX:32025R2263</t>
        </is>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t="inlineStr"/>
    </row>
    <row r="295">
      <c r="A295" s="2" t="n">
        <v>20</v>
      </c>
      <c r="B295" s="2" t="inlineStr">
        <is>
          <t>General Data Protection Regulation</t>
        </is>
      </c>
      <c r="C295" s="2" t="inlineStr">
        <is>
          <t>32016R0679</t>
        </is>
      </c>
      <c r="D295" s="2" t="inlineStr">
        <is>
          <t>52018DC0043</t>
        </is>
      </c>
      <c r="E295" s="2" t="inlineStr">
        <is>
          <t>guidance</t>
        </is>
      </c>
      <c r="F295" s="2" t="inlineStr">
        <is>
          <t>COMMUNIC</t>
        </is>
      </c>
      <c r="G295" s="2" t="inlineStr">
        <is>
          <t>2018-01-24</t>
        </is>
      </c>
      <c r="H295" s="2" t="inlineStr">
        <is>
          <t>COMMUNICATION FROM THE COMMISSION TO THE EUROPEAN PARLIAMENT AND THE COUNCIL Stronger protection, new opportunities - Commission guidance on the direct application of the General Data Protection Regulation as of 25 May 2018</t>
        </is>
      </c>
      <c r="I295" s="2" t="inlineStr">
        <is>
          <t>no</t>
        </is>
      </c>
      <c r="J295" s="2" t="inlineStr">
        <is>
          <t>https://eur-lex.europa.eu/legal-content/EN/TXT/?uri=CELEX:52018DC0043</t>
        </is>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inlineStr">
        <is>
          <t>Guidance is non-binding: restriction counts mostly reflect obligations it restates</t>
        </is>
      </c>
    </row>
    <row r="296">
      <c r="A296" s="2" t="n">
        <v>20</v>
      </c>
      <c r="B296" s="2" t="inlineStr">
        <is>
          <t>General Data Protection Regulation</t>
        </is>
      </c>
      <c r="C296" s="2" t="inlineStr">
        <is>
          <t>32016R0679</t>
        </is>
      </c>
      <c r="D296" s="2" t="inlineStr">
        <is>
          <t>32019D0419</t>
        </is>
      </c>
      <c r="E296" s="2" t="inlineStr">
        <is>
          <t>implementing</t>
        </is>
      </c>
      <c r="F296" s="2" t="inlineStr">
        <is>
          <t>DEC_IMPL</t>
        </is>
      </c>
      <c r="G296" s="2" t="inlineStr">
        <is>
          <t>2019-01-23</t>
        </is>
      </c>
      <c r="H296" s="2" t="inlineStr">
        <is>
          <t>Commission Implementing Decision (EU) 2019/419 of 23 January 2019 pursuant to Regulation (EU) 2016/679 of the European Parliament and of the Council on the adequate protection of personal data by Japan under the Act on the Protection of Personal Information (Text with EEA relevance)</t>
        </is>
      </c>
      <c r="I296" s="2" t="inlineStr">
        <is>
          <t>yes</t>
        </is>
      </c>
      <c r="J296" s="2" t="inlineStr">
        <is>
          <t>https://eur-lex.europa.eu/legal-content/EN/TXT/?uri=CELEX:32019D0419</t>
        </is>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t="inlineStr"/>
    </row>
    <row r="297">
      <c r="A297" s="2" t="n">
        <v>20</v>
      </c>
      <c r="B297" s="2" t="inlineStr">
        <is>
          <t>General Data Protection Regulation</t>
        </is>
      </c>
      <c r="C297" s="2" t="inlineStr">
        <is>
          <t>32016R0679</t>
        </is>
      </c>
      <c r="D297" s="2" t="inlineStr">
        <is>
          <t>52020DC0264</t>
        </is>
      </c>
      <c r="E297" s="2" t="inlineStr">
        <is>
          <t>guidance</t>
        </is>
      </c>
      <c r="F297" s="2" t="inlineStr">
        <is>
          <t>COMMUNIC</t>
        </is>
      </c>
      <c r="G297" s="2" t="inlineStr">
        <is>
          <t>2020-06-24</t>
        </is>
      </c>
      <c r="H297" s="2" t="inlineStr">
        <is>
          <t>COMMUNICATION FROM THE COMMISSION TO THE EUROPEAN PARLIAMENT AND THE COUNCIL Data protection as a pillar of citizens’ empowerment and the EU’s approach to the digital transition - two years of application of the General Data Protection Regulation</t>
        </is>
      </c>
      <c r="I297" s="2" t="inlineStr">
        <is>
          <t>no</t>
        </is>
      </c>
      <c r="J297" s="2" t="inlineStr">
        <is>
          <t>https://eur-lex.europa.eu/legal-content/EN/TXT/?uri=CELEX:52020DC0264</t>
        </is>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inlineStr">
        <is>
          <t>Guidance is non-binding: restriction counts mostly reflect obligations it restates</t>
        </is>
      </c>
    </row>
    <row r="298">
      <c r="A298" s="2" t="n">
        <v>20</v>
      </c>
      <c r="B298" s="2" t="inlineStr">
        <is>
          <t>General Data Protection Regulation</t>
        </is>
      </c>
      <c r="C298" s="2" t="inlineStr">
        <is>
          <t>32016R0679</t>
        </is>
      </c>
      <c r="D298" s="2" t="inlineStr">
        <is>
          <t>32021D0914</t>
        </is>
      </c>
      <c r="E298" s="2" t="inlineStr">
        <is>
          <t>implementing</t>
        </is>
      </c>
      <c r="F298" s="2" t="inlineStr">
        <is>
          <t>DEC_IMPL</t>
        </is>
      </c>
      <c r="G298" s="2" t="inlineStr">
        <is>
          <t>2021-06-04</t>
        </is>
      </c>
      <c r="H298" s="2" t="inlineStr">
        <is>
          <t>Commission Implementing Decision (EU) 2021/914 of 4 June 2021 on standard contractual clauses for the transfer of personal data to third countries pursuant to Regulation (EU) 2016/679 of the European Parliament and of the Council (Text with EEA relevance)</t>
        </is>
      </c>
      <c r="I298" s="2" t="inlineStr">
        <is>
          <t>no</t>
        </is>
      </c>
      <c r="J298" s="2" t="inlineStr">
        <is>
          <t>https://eur-lex.europa.eu/legal-content/EN/TXT/?uri=CELEX:32021D0914</t>
        </is>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t="inlineStr"/>
    </row>
    <row r="299">
      <c r="A299" s="2" t="n">
        <v>20</v>
      </c>
      <c r="B299" s="2" t="inlineStr">
        <is>
          <t>General Data Protection Regulation</t>
        </is>
      </c>
      <c r="C299" s="2" t="inlineStr">
        <is>
          <t>32016R0679</t>
        </is>
      </c>
      <c r="D299" s="2" t="inlineStr">
        <is>
          <t>32021D0915</t>
        </is>
      </c>
      <c r="E299" s="2" t="inlineStr">
        <is>
          <t>implementing</t>
        </is>
      </c>
      <c r="F299" s="2" t="inlineStr">
        <is>
          <t>DEC_IMPL</t>
        </is>
      </c>
      <c r="G299" s="2" t="inlineStr">
        <is>
          <t>2021-06-04</t>
        </is>
      </c>
      <c r="H299" s="2" t="inlineStr">
        <is>
          <t>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is>
      </c>
      <c r="I299" s="2" t="inlineStr">
        <is>
          <t>no</t>
        </is>
      </c>
      <c r="J299" s="2" t="inlineStr">
        <is>
          <t>https://eur-lex.europa.eu/legal-content/EN/TXT/?uri=CELEX:32021D0915</t>
        </is>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t="inlineStr"/>
    </row>
    <row r="300">
      <c r="A300" s="2" t="n">
        <v>20</v>
      </c>
      <c r="B300" s="2" t="inlineStr">
        <is>
          <t>General Data Protection Regulation</t>
        </is>
      </c>
      <c r="C300" s="2" t="inlineStr">
        <is>
          <t>32016R0679</t>
        </is>
      </c>
      <c r="D300" s="2" t="inlineStr">
        <is>
          <t>32021D1772</t>
        </is>
      </c>
      <c r="E300" s="2" t="inlineStr">
        <is>
          <t>implementing</t>
        </is>
      </c>
      <c r="F300" s="2" t="inlineStr">
        <is>
          <t>DEC_IMPL</t>
        </is>
      </c>
      <c r="G300" s="2" t="inlineStr">
        <is>
          <t>2021-06-28</t>
        </is>
      </c>
      <c r="H300" s="2" t="inlineStr">
        <is>
          <t>Commission Implementing Decision (EU) 2021/1772 of 28 June 2021 pursuant to Regulation (EU) 2016/679 of the European Parliament and of the Council on the adequate protection of personal data by the United Kingdom (notified under document C(2021)4800) (Text with EEA relevance)</t>
        </is>
      </c>
      <c r="I300" s="2" t="inlineStr">
        <is>
          <t>yes</t>
        </is>
      </c>
      <c r="J300" s="2" t="inlineStr">
        <is>
          <t>https://eur-lex.europa.eu/legal-content/EN/TXT/?uri=CELEX:32021D1772</t>
        </is>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t="inlineStr"/>
    </row>
    <row r="301">
      <c r="A301" s="2" t="n">
        <v>20</v>
      </c>
      <c r="B301" s="2" t="inlineStr">
        <is>
          <t>General Data Protection Regulation</t>
        </is>
      </c>
      <c r="C301" s="2" t="inlineStr">
        <is>
          <t>32016R0679</t>
        </is>
      </c>
      <c r="D301" s="2" t="inlineStr">
        <is>
          <t>32022D0254</t>
        </is>
      </c>
      <c r="E301" s="2" t="inlineStr">
        <is>
          <t>implementing</t>
        </is>
      </c>
      <c r="F301" s="2" t="inlineStr">
        <is>
          <t>DEC_IMPL</t>
        </is>
      </c>
      <c r="G301" s="2" t="inlineStr">
        <is>
          <t>2021-12-17</t>
        </is>
      </c>
      <c r="H301" s="2" t="inlineStr">
        <is>
          <t>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is>
      </c>
      <c r="I301" s="2" t="inlineStr">
        <is>
          <t>yes</t>
        </is>
      </c>
      <c r="J301" s="2" t="inlineStr">
        <is>
          <t>https://eur-lex.europa.eu/legal-content/EN/TXT/?uri=CELEX:32022D0254</t>
        </is>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t="inlineStr"/>
    </row>
    <row r="302">
      <c r="A302" s="2" t="n">
        <v>20</v>
      </c>
      <c r="B302" s="2" t="inlineStr">
        <is>
          <t>General Data Protection Regulation</t>
        </is>
      </c>
      <c r="C302" s="2" t="inlineStr">
        <is>
          <t>32016R0679</t>
        </is>
      </c>
      <c r="D302" s="2" t="inlineStr">
        <is>
          <t>32023D0975</t>
        </is>
      </c>
      <c r="E302" s="2" t="inlineStr">
        <is>
          <t>implementing</t>
        </is>
      </c>
      <c r="F302" s="2" t="inlineStr">
        <is>
          <t>DEC_IMPL</t>
        </is>
      </c>
      <c r="G302" s="2" t="inlineStr">
        <is>
          <t>2023-05-15</t>
        </is>
      </c>
      <c r="H302" s="2" t="inlineStr">
        <is>
          <t>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is>
      </c>
      <c r="I302" s="2" t="inlineStr">
        <is>
          <t>no</t>
        </is>
      </c>
      <c r="J302" s="2" t="inlineStr">
        <is>
          <t>https://eur-lex.europa.eu/legal-content/EN/TXT/?uri=CELEX:32023D0975</t>
        </is>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t="inlineStr"/>
    </row>
    <row r="303">
      <c r="A303" s="2" t="n">
        <v>20</v>
      </c>
      <c r="B303" s="2" t="inlineStr">
        <is>
          <t>General Data Protection Regulation</t>
        </is>
      </c>
      <c r="C303" s="2" t="inlineStr">
        <is>
          <t>32016R0679</t>
        </is>
      </c>
      <c r="D303" s="2" t="inlineStr">
        <is>
          <t>32023D1795</t>
        </is>
      </c>
      <c r="E303" s="2" t="inlineStr">
        <is>
          <t>implementing</t>
        </is>
      </c>
      <c r="F303" s="2" t="inlineStr">
        <is>
          <t>DEC_IMPL</t>
        </is>
      </c>
      <c r="G303" s="2" t="inlineStr">
        <is>
          <t>2023-07-10</t>
        </is>
      </c>
      <c r="H303" s="2" t="inlineStr">
        <is>
          <t>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is>
      </c>
      <c r="I303" s="2" t="inlineStr">
        <is>
          <t>no</t>
        </is>
      </c>
      <c r="J303" s="2" t="inlineStr">
        <is>
          <t>https://eur-lex.europa.eu/legal-content/EN/TXT/?uri=CELEX:32023D1795</t>
        </is>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t="inlineStr"/>
    </row>
    <row r="304">
      <c r="A304" s="2" t="n">
        <v>20</v>
      </c>
      <c r="B304" s="2" t="inlineStr">
        <is>
          <t>General Data Protection Regulation</t>
        </is>
      </c>
      <c r="C304" s="2" t="inlineStr">
        <is>
          <t>32016R0679</t>
        </is>
      </c>
      <c r="D304" s="2" t="inlineStr">
        <is>
          <t>32025D1226</t>
        </is>
      </c>
      <c r="E304" s="2" t="inlineStr">
        <is>
          <t>implementing</t>
        </is>
      </c>
      <c r="F304" s="2" t="inlineStr">
        <is>
          <t>DEC_IMPL</t>
        </is>
      </c>
      <c r="G304" s="2" t="inlineStr">
        <is>
          <t>2025-06-24</t>
        </is>
      </c>
      <c r="H304" s="2" t="inlineStr">
        <is>
          <t>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is>
      </c>
      <c r="I304" s="2" t="inlineStr">
        <is>
          <t>yes</t>
        </is>
      </c>
      <c r="J304" s="2" t="inlineStr">
        <is>
          <t>https://eur-lex.europa.eu/legal-content/EN/TXT/?uri=CELEX:32025D1226</t>
        </is>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t="inlineStr"/>
    </row>
    <row r="305">
      <c r="A305" s="2" t="n">
        <v>20</v>
      </c>
      <c r="B305" s="2" t="inlineStr">
        <is>
          <t>General Data Protection Regulation</t>
        </is>
      </c>
      <c r="C305" s="2" t="inlineStr">
        <is>
          <t>32016R0679</t>
        </is>
      </c>
      <c r="D305" s="2" t="inlineStr">
        <is>
          <t>32025D1382</t>
        </is>
      </c>
      <c r="E305" s="2" t="inlineStr">
        <is>
          <t>implementing</t>
        </is>
      </c>
      <c r="F305" s="2" t="inlineStr">
        <is>
          <t>DEC_IMPL</t>
        </is>
      </c>
      <c r="G305" s="2" t="inlineStr">
        <is>
          <t>2025-07-15</t>
        </is>
      </c>
      <c r="H305" s="2" t="inlineStr">
        <is>
          <t>Commission Implementing Decision (EU) 2025/1382 of 15 July 2025 pursuant to Regulation (EU) 2016/679 of the European Parliament and of the Council on the adequate protection of personal data by the European Patent Organisation (notified under document C(2025) 4626)</t>
        </is>
      </c>
      <c r="I305" s="2" t="inlineStr">
        <is>
          <t>yes</t>
        </is>
      </c>
      <c r="J305" s="2" t="inlineStr">
        <is>
          <t>https://eur-lex.europa.eu/legal-content/EN/TXT/?uri=CELEX:32025D1382</t>
        </is>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t="inlineStr"/>
    </row>
    <row r="306">
      <c r="A306" s="2" t="n">
        <v>20</v>
      </c>
      <c r="B306" s="2" t="inlineStr">
        <is>
          <t>General Data Protection Regulation</t>
        </is>
      </c>
      <c r="C306" s="2" t="inlineStr">
        <is>
          <t>32016R0679</t>
        </is>
      </c>
      <c r="D306" s="2" t="inlineStr">
        <is>
          <t>32025D2574</t>
        </is>
      </c>
      <c r="E306" s="2" t="inlineStr">
        <is>
          <t>implementing</t>
        </is>
      </c>
      <c r="F306" s="2" t="inlineStr">
        <is>
          <t>DEC_IMPL</t>
        </is>
      </c>
      <c r="G306" s="2" t="inlineStr">
        <is>
          <t>2025-12-19</t>
        </is>
      </c>
      <c r="H306" s="2" t="inlineStr">
        <is>
          <t>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is>
      </c>
      <c r="I306" s="2" t="inlineStr">
        <is>
          <t>yes</t>
        </is>
      </c>
      <c r="J306" s="2" t="inlineStr">
        <is>
          <t>https://eur-lex.europa.eu/legal-content/EN/TXT/?uri=CELEX:32025D2574</t>
        </is>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t="inlineStr"/>
    </row>
    <row r="307">
      <c r="A307" s="2" t="n">
        <v>20</v>
      </c>
      <c r="B307" s="2" t="inlineStr">
        <is>
          <t>General Data Protection Regulation</t>
        </is>
      </c>
      <c r="C307" s="2" t="inlineStr">
        <is>
          <t>32016R0679</t>
        </is>
      </c>
      <c r="D307" s="2" t="inlineStr">
        <is>
          <t>32026D0179</t>
        </is>
      </c>
      <c r="E307" s="2" t="inlineStr">
        <is>
          <t>implementing</t>
        </is>
      </c>
      <c r="F307" s="2" t="inlineStr">
        <is>
          <t>DEC_IMPL</t>
        </is>
      </c>
      <c r="G307" s="2" t="inlineStr">
        <is>
          <t>2026-01-26</t>
        </is>
      </c>
      <c r="H307" s="2" t="inlineStr">
        <is>
          <t>Commission Implementing Decision (EU) 2026/179 of 26 January 2026 pursuant to Regulation (EU) 2016/679 of the European Parliament and of the Council on the adequate level of protection of personal data by Brazil (notified under document C(2026) 373)</t>
        </is>
      </c>
      <c r="I307" s="2" t="inlineStr">
        <is>
          <t>no</t>
        </is>
      </c>
      <c r="J307" s="2" t="inlineStr">
        <is>
          <t>https://eur-lex.europa.eu/legal-content/EN/TXT/?uri=CELEX:32026D0179</t>
        </is>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t="inlineStr"/>
    </row>
    <row r="308">
      <c r="A308" s="2" t="n">
        <v>21</v>
      </c>
      <c r="B308" s="2" t="inlineStr">
        <is>
          <t>Law Enforcement Directive</t>
        </is>
      </c>
      <c r="C308" s="2" t="inlineStr">
        <is>
          <t>32016L0680</t>
        </is>
      </c>
      <c r="D308" s="2" t="inlineStr">
        <is>
          <t>32021D1773</t>
        </is>
      </c>
      <c r="E308" s="2" t="inlineStr">
        <is>
          <t>implementing</t>
        </is>
      </c>
      <c r="F308" s="2" t="inlineStr">
        <is>
          <t>DEC_IMPL</t>
        </is>
      </c>
      <c r="G308" s="2" t="inlineStr">
        <is>
          <t>2021-06-28</t>
        </is>
      </c>
      <c r="H308" s="2" t="inlineStr">
        <is>
          <t>Commission Implementing Decision (EU) 2021/1773 of 28 June 2021 pursuant to Directive (EU) 2016/680 of the European Parliament and of the Council on the adequate protection of personal data by the United Kingdom (notified under document C(2021) 4801)</t>
        </is>
      </c>
      <c r="I308" s="2" t="inlineStr">
        <is>
          <t>yes</t>
        </is>
      </c>
      <c r="J308" s="2" t="inlineStr">
        <is>
          <t>https://eur-lex.europa.eu/legal-content/EN/TXT/?uri=CELEX:32021D1773</t>
        </is>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t="inlineStr"/>
    </row>
    <row r="309">
      <c r="A309" s="2" t="n">
        <v>21</v>
      </c>
      <c r="B309" s="2" t="inlineStr">
        <is>
          <t>Law Enforcement Directive</t>
        </is>
      </c>
      <c r="C309" s="2" t="inlineStr">
        <is>
          <t>32016L0680</t>
        </is>
      </c>
      <c r="D309" s="2" t="inlineStr">
        <is>
          <t>32025D1225</t>
        </is>
      </c>
      <c r="E309" s="2" t="inlineStr">
        <is>
          <t>implementing</t>
        </is>
      </c>
      <c r="F309" s="2" t="inlineStr">
        <is>
          <t>DEC_IMPL</t>
        </is>
      </c>
      <c r="G309" s="2" t="inlineStr">
        <is>
          <t>2025-06-24</t>
        </is>
      </c>
      <c r="H309" s="2" t="inlineStr">
        <is>
          <t>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is>
      </c>
      <c r="I309" s="2" t="inlineStr">
        <is>
          <t>yes</t>
        </is>
      </c>
      <c r="J309" s="2" t="inlineStr">
        <is>
          <t>https://eur-lex.europa.eu/legal-content/EN/TXT/?uri=CELEX:32025D1225</t>
        </is>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t="inlineStr"/>
    </row>
    <row r="310">
      <c r="A310" s="2" t="n">
        <v>21</v>
      </c>
      <c r="B310" s="2" t="inlineStr">
        <is>
          <t>Law Enforcement Directive</t>
        </is>
      </c>
      <c r="C310" s="2" t="inlineStr">
        <is>
          <t>32016L0680</t>
        </is>
      </c>
      <c r="D310" s="2" t="inlineStr">
        <is>
          <t>32025D2571</t>
        </is>
      </c>
      <c r="E310" s="2" t="inlineStr">
        <is>
          <t>implementing</t>
        </is>
      </c>
      <c r="F310" s="2" t="inlineStr">
        <is>
          <t>DEC_IMPL</t>
        </is>
      </c>
      <c r="G310" s="2" t="inlineStr">
        <is>
          <t>2025-12-19</t>
        </is>
      </c>
      <c r="H310" s="2" t="inlineStr">
        <is>
          <t>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is>
      </c>
      <c r="I310" s="2" t="inlineStr">
        <is>
          <t>yes</t>
        </is>
      </c>
      <c r="J310" s="2" t="inlineStr">
        <is>
          <t>https://eur-lex.europa.eu/legal-content/EN/TXT/?uri=CELEX:32025D2571</t>
        </is>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t="inlineStr"/>
    </row>
    <row r="311">
      <c r="A311" s="2" t="n">
        <v>22</v>
      </c>
      <c r="B311" s="2" t="inlineStr">
        <is>
          <t>eIDAS Regulation</t>
        </is>
      </c>
      <c r="C311" s="2" t="inlineStr">
        <is>
          <t>32014R0910</t>
        </is>
      </c>
      <c r="D311" s="2" t="inlineStr">
        <is>
          <t>32015D0296</t>
        </is>
      </c>
      <c r="E311" s="2" t="inlineStr">
        <is>
          <t>implementing</t>
        </is>
      </c>
      <c r="F311" s="2" t="inlineStr">
        <is>
          <t>DEC_IMPL</t>
        </is>
      </c>
      <c r="G311" s="2" t="inlineStr">
        <is>
          <t>2015-02-24</t>
        </is>
      </c>
      <c r="H311" s="2" t="inlineStr">
        <is>
          <t>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is>
      </c>
      <c r="I311" s="2" t="inlineStr">
        <is>
          <t>no</t>
        </is>
      </c>
      <c r="J311" s="2" t="inlineStr">
        <is>
          <t>https://eur-lex.europa.eu/legal-content/EN/TXT/?uri=CELEX:32015D0296</t>
        </is>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t="inlineStr"/>
    </row>
    <row r="312">
      <c r="A312" s="2" t="n">
        <v>22</v>
      </c>
      <c r="B312" s="2" t="inlineStr">
        <is>
          <t>eIDAS Regulation</t>
        </is>
      </c>
      <c r="C312" s="2" t="inlineStr">
        <is>
          <t>32014R0910</t>
        </is>
      </c>
      <c r="D312" s="2" t="inlineStr">
        <is>
          <t>32015R0806</t>
        </is>
      </c>
      <c r="E312" s="2" t="inlineStr">
        <is>
          <t>implementing</t>
        </is>
      </c>
      <c r="F312" s="2" t="inlineStr">
        <is>
          <t>REG_IMPL</t>
        </is>
      </c>
      <c r="G312" s="2" t="inlineStr">
        <is>
          <t>2015-05-22</t>
        </is>
      </c>
      <c r="H312" s="2" t="inlineStr">
        <is>
          <t>Commission Implementing Regulation (EU) 2015/806 of 22 May 2015 laying down specifications relating to the form of the EU trust mark for qualified trust services (Text with EEA relevance)</t>
        </is>
      </c>
      <c r="I312" s="2" t="inlineStr">
        <is>
          <t>no</t>
        </is>
      </c>
      <c r="J312" s="2" t="inlineStr">
        <is>
          <t>https://eur-lex.europa.eu/legal-content/EN/TXT/?uri=CELEX:32015R0806</t>
        </is>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t="inlineStr"/>
    </row>
    <row r="313">
      <c r="A313" s="2" t="n">
        <v>22</v>
      </c>
      <c r="B313" s="2" t="inlineStr">
        <is>
          <t>eIDAS Regulation</t>
        </is>
      </c>
      <c r="C313" s="2" t="inlineStr">
        <is>
          <t>32014R0910</t>
        </is>
      </c>
      <c r="D313" s="2" t="inlineStr">
        <is>
          <t>32015D1505</t>
        </is>
      </c>
      <c r="E313" s="2" t="inlineStr">
        <is>
          <t>implementing</t>
        </is>
      </c>
      <c r="F313" s="2" t="inlineStr">
        <is>
          <t>DEC_IMPL</t>
        </is>
      </c>
      <c r="G313" s="2" t="inlineStr">
        <is>
          <t>2015-09-08</t>
        </is>
      </c>
      <c r="H313" s="2" t="inlineStr">
        <is>
          <t>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is>
      </c>
      <c r="I313" s="2" t="inlineStr">
        <is>
          <t>no</t>
        </is>
      </c>
      <c r="J313" s="2" t="inlineStr">
        <is>
          <t>https://eur-lex.europa.eu/legal-content/EN/TXT/?uri=CELEX:32015D1505</t>
        </is>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t="inlineStr"/>
    </row>
    <row r="314">
      <c r="A314" s="2" t="n">
        <v>22</v>
      </c>
      <c r="B314" s="2" t="inlineStr">
        <is>
          <t>eIDAS Regulation</t>
        </is>
      </c>
      <c r="C314" s="2" t="inlineStr">
        <is>
          <t>32014R0910</t>
        </is>
      </c>
      <c r="D314" s="2" t="inlineStr">
        <is>
          <t>32015D1506</t>
        </is>
      </c>
      <c r="E314" s="2" t="inlineStr">
        <is>
          <t>implementing</t>
        </is>
      </c>
      <c r="F314" s="2" t="inlineStr">
        <is>
          <t>DEC_IMPL</t>
        </is>
      </c>
      <c r="G314" s="2" t="inlineStr">
        <is>
          <t>2015-09-08</t>
        </is>
      </c>
      <c r="H314" s="2" t="inlineStr">
        <is>
          <t>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is>
      </c>
      <c r="I314" s="2" t="inlineStr">
        <is>
          <t>no</t>
        </is>
      </c>
      <c r="J314" s="2" t="inlineStr">
        <is>
          <t>https://eur-lex.europa.eu/legal-content/EN/TXT/?uri=CELEX:32015D1506</t>
        </is>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t="inlineStr"/>
    </row>
    <row r="315">
      <c r="A315" s="2" t="n">
        <v>22</v>
      </c>
      <c r="B315" s="2" t="inlineStr">
        <is>
          <t>eIDAS Regulation</t>
        </is>
      </c>
      <c r="C315" s="2" t="inlineStr">
        <is>
          <t>32014R0910</t>
        </is>
      </c>
      <c r="D315" s="2" t="inlineStr">
        <is>
          <t>32015R1501</t>
        </is>
      </c>
      <c r="E315" s="2" t="inlineStr">
        <is>
          <t>implementing</t>
        </is>
      </c>
      <c r="F315" s="2" t="inlineStr">
        <is>
          <t>REG_IMPL</t>
        </is>
      </c>
      <c r="G315" s="2" t="inlineStr">
        <is>
          <t>2015-09-08</t>
        </is>
      </c>
      <c r="H315" s="2" t="inlineStr">
        <is>
          <t>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is>
      </c>
      <c r="I315" s="2" t="inlineStr">
        <is>
          <t>no</t>
        </is>
      </c>
      <c r="J315" s="2" t="inlineStr">
        <is>
          <t>https://eur-lex.europa.eu/legal-content/EN/TXT/?uri=CELEX:32015R1501</t>
        </is>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t="inlineStr"/>
    </row>
    <row r="316">
      <c r="A316" s="2" t="n">
        <v>22</v>
      </c>
      <c r="B316" s="2" t="inlineStr">
        <is>
          <t>eIDAS Regulation</t>
        </is>
      </c>
      <c r="C316" s="2" t="inlineStr">
        <is>
          <t>32014R0910</t>
        </is>
      </c>
      <c r="D316" s="2" t="inlineStr">
        <is>
          <t>32015R1502</t>
        </is>
      </c>
      <c r="E316" s="2" t="inlineStr">
        <is>
          <t>implementing</t>
        </is>
      </c>
      <c r="F316" s="2" t="inlineStr">
        <is>
          <t>REG_IMPL</t>
        </is>
      </c>
      <c r="G316" s="2" t="inlineStr">
        <is>
          <t>2015-09-08</t>
        </is>
      </c>
      <c r="H316" s="2" t="inlineStr">
        <is>
          <t>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is>
      </c>
      <c r="I316" s="2" t="inlineStr">
        <is>
          <t>no</t>
        </is>
      </c>
      <c r="J316" s="2" t="inlineStr">
        <is>
          <t>https://eur-lex.europa.eu/legal-content/EN/TXT/?uri=CELEX:32015R1502</t>
        </is>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t="inlineStr"/>
    </row>
    <row r="317">
      <c r="A317" s="2" t="n">
        <v>22</v>
      </c>
      <c r="B317" s="2" t="inlineStr">
        <is>
          <t>eIDAS Regulation</t>
        </is>
      </c>
      <c r="C317" s="2" t="inlineStr">
        <is>
          <t>32014R0910</t>
        </is>
      </c>
      <c r="D317" s="2" t="inlineStr">
        <is>
          <t>32015D1984</t>
        </is>
      </c>
      <c r="E317" s="2" t="inlineStr">
        <is>
          <t>implementing</t>
        </is>
      </c>
      <c r="F317" s="2" t="inlineStr">
        <is>
          <t>DEC_IMPL</t>
        </is>
      </c>
      <c r="G317" s="2" t="inlineStr">
        <is>
          <t>2015-11-03</t>
        </is>
      </c>
      <c r="H317" s="2" t="inlineStr">
        <is>
          <t>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is>
      </c>
      <c r="I317" s="2" t="inlineStr">
        <is>
          <t>no</t>
        </is>
      </c>
      <c r="J317" s="2" t="inlineStr">
        <is>
          <t>https://eur-lex.europa.eu/legal-content/EN/TXT/?uri=CELEX:32015D1984</t>
        </is>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t="inlineStr"/>
    </row>
    <row r="318">
      <c r="A318" s="2" t="n">
        <v>22</v>
      </c>
      <c r="B318" s="2" t="inlineStr">
        <is>
          <t>eIDAS Regulation</t>
        </is>
      </c>
      <c r="C318" s="2" t="inlineStr">
        <is>
          <t>32014R0910</t>
        </is>
      </c>
      <c r="D318" s="2" t="inlineStr">
        <is>
          <t>32016D0650</t>
        </is>
      </c>
      <c r="E318" s="2" t="inlineStr">
        <is>
          <t>implementing</t>
        </is>
      </c>
      <c r="F318" s="2" t="inlineStr">
        <is>
          <t>DEC_IMPL</t>
        </is>
      </c>
      <c r="G318" s="2" t="inlineStr">
        <is>
          <t>2016-04-25</t>
        </is>
      </c>
      <c r="H318" s="2" t="inlineStr">
        <is>
          <t>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is>
      </c>
      <c r="I318" s="2" t="inlineStr">
        <is>
          <t>no</t>
        </is>
      </c>
      <c r="J318" s="2" t="inlineStr">
        <is>
          <t>https://eur-lex.europa.eu/legal-content/EN/TXT/?uri=CELEX:32016D0650</t>
        </is>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t="inlineStr"/>
    </row>
    <row r="319">
      <c r="A319" s="2" t="n">
        <v>22</v>
      </c>
      <c r="B319" s="2" t="inlineStr">
        <is>
          <t>eIDAS Regulation</t>
        </is>
      </c>
      <c r="C319" s="2" t="inlineStr">
        <is>
          <t>32014R0910</t>
        </is>
      </c>
      <c r="D319" s="2" t="inlineStr">
        <is>
          <t>32022R0960</t>
        </is>
      </c>
      <c r="E319" s="2" t="inlineStr">
        <is>
          <t>implementing</t>
        </is>
      </c>
      <c r="F319" s="2" t="inlineStr">
        <is>
          <t>REG_IMPL</t>
        </is>
      </c>
      <c r="G319" s="2" t="inlineStr">
        <is>
          <t>2022-06-20</t>
        </is>
      </c>
      <c r="H319" s="2" t="inlineStr">
        <is>
          <t>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is>
      </c>
      <c r="I319" s="2" t="inlineStr">
        <is>
          <t>no</t>
        </is>
      </c>
      <c r="J319" s="2" t="inlineStr">
        <is>
          <t>https://eur-lex.europa.eu/legal-content/EN/TXT/?uri=CELEX:32022R0960</t>
        </is>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t="inlineStr"/>
    </row>
    <row r="320">
      <c r="A320" s="2" t="n">
        <v>22</v>
      </c>
      <c r="B320" s="2" t="inlineStr">
        <is>
          <t>eIDAS Regulation</t>
        </is>
      </c>
      <c r="C320" s="2" t="inlineStr">
        <is>
          <t>32014R0910</t>
        </is>
      </c>
      <c r="D320" s="2" t="inlineStr">
        <is>
          <t>32024R2977</t>
        </is>
      </c>
      <c r="E320" s="2" t="inlineStr">
        <is>
          <t>implementing</t>
        </is>
      </c>
      <c r="F320" s="2" t="inlineStr">
        <is>
          <t>REG_IMPL</t>
        </is>
      </c>
      <c r="G320" s="2" t="inlineStr">
        <is>
          <t>2024-11-28</t>
        </is>
      </c>
      <c r="H320" s="2" t="inlineStr">
        <is>
          <t>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is>
      </c>
      <c r="I320" s="2" t="inlineStr">
        <is>
          <t>no</t>
        </is>
      </c>
      <c r="J320" s="2" t="inlineStr">
        <is>
          <t>https://eur-lex.europa.eu/legal-content/EN/TXT/?uri=CELEX:32024R2977</t>
        </is>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t="inlineStr"/>
    </row>
    <row r="321">
      <c r="A321" s="2" t="n">
        <v>22</v>
      </c>
      <c r="B321" s="2" t="inlineStr">
        <is>
          <t>eIDAS Regulation</t>
        </is>
      </c>
      <c r="C321" s="2" t="inlineStr">
        <is>
          <t>32014R0910</t>
        </is>
      </c>
      <c r="D321" s="2" t="inlineStr">
        <is>
          <t>32024R2979</t>
        </is>
      </c>
      <c r="E321" s="2" t="inlineStr">
        <is>
          <t>implementing</t>
        </is>
      </c>
      <c r="F321" s="2" t="inlineStr">
        <is>
          <t>REG_IMPL</t>
        </is>
      </c>
      <c r="G321" s="2" t="inlineStr">
        <is>
          <t>2024-11-28</t>
        </is>
      </c>
      <c r="H321" s="2" t="inlineStr">
        <is>
          <t>Commission Implementing Regulation (EU) 2024/2979 of 28 November 2024 laying down rules for the application of Regulation (EU) No 910/2014 of the European Parliament and of the Council as regards the integrity and core functionalities of European Digital Identity Wallets</t>
        </is>
      </c>
      <c r="I321" s="2" t="inlineStr">
        <is>
          <t>no</t>
        </is>
      </c>
      <c r="J321" s="2" t="inlineStr">
        <is>
          <t>https://eur-lex.europa.eu/legal-content/EN/TXT/?uri=CELEX:32024R2979</t>
        </is>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t="inlineStr"/>
    </row>
    <row r="322">
      <c r="A322" s="2" t="n">
        <v>22</v>
      </c>
      <c r="B322" s="2" t="inlineStr">
        <is>
          <t>eIDAS Regulation</t>
        </is>
      </c>
      <c r="C322" s="2" t="inlineStr">
        <is>
          <t>32014R0910</t>
        </is>
      </c>
      <c r="D322" s="2" t="inlineStr">
        <is>
          <t>32024R2980</t>
        </is>
      </c>
      <c r="E322" s="2" t="inlineStr">
        <is>
          <t>implementing</t>
        </is>
      </c>
      <c r="F322" s="2" t="inlineStr">
        <is>
          <t>REG_IMPL</t>
        </is>
      </c>
      <c r="G322" s="2" t="inlineStr">
        <is>
          <t>2024-11-28</t>
        </is>
      </c>
      <c r="H322" s="2" t="inlineStr">
        <is>
          <t>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is>
      </c>
      <c r="I322" s="2" t="inlineStr">
        <is>
          <t>no</t>
        </is>
      </c>
      <c r="J322" s="2" t="inlineStr">
        <is>
          <t>https://eur-lex.europa.eu/legal-content/EN/TXT/?uri=CELEX:32024R2980</t>
        </is>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t="inlineStr"/>
    </row>
    <row r="323">
      <c r="A323" s="2" t="n">
        <v>22</v>
      </c>
      <c r="B323" s="2" t="inlineStr">
        <is>
          <t>eIDAS Regulation</t>
        </is>
      </c>
      <c r="C323" s="2" t="inlineStr">
        <is>
          <t>32014R0910</t>
        </is>
      </c>
      <c r="D323" s="2" t="inlineStr">
        <is>
          <t>32024R2981</t>
        </is>
      </c>
      <c r="E323" s="2" t="inlineStr">
        <is>
          <t>implementing</t>
        </is>
      </c>
      <c r="F323" s="2" t="inlineStr">
        <is>
          <t>REG_IMPL</t>
        </is>
      </c>
      <c r="G323" s="2" t="inlineStr">
        <is>
          <t>2024-11-28</t>
        </is>
      </c>
      <c r="H323" s="2" t="inlineStr">
        <is>
          <t>Commission Implementing Regulation (EU) 2024/2981 of 28 November 2024 laying down rules for the application of Regulation (EU) No 910/2014 of the European Parliament and the Council as regards the certification of European Digital Identity Wallets</t>
        </is>
      </c>
      <c r="I323" s="2" t="inlineStr">
        <is>
          <t>no</t>
        </is>
      </c>
      <c r="J323" s="2" t="inlineStr">
        <is>
          <t>https://eur-lex.europa.eu/legal-content/EN/TXT/?uri=CELEX:32024R2981</t>
        </is>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t="inlineStr"/>
    </row>
    <row r="324">
      <c r="A324" s="2" t="n">
        <v>22</v>
      </c>
      <c r="B324" s="2" t="inlineStr">
        <is>
          <t>eIDAS Regulation</t>
        </is>
      </c>
      <c r="C324" s="2" t="inlineStr">
        <is>
          <t>32014R0910</t>
        </is>
      </c>
      <c r="D324" s="2" t="inlineStr">
        <is>
          <t>32024R2982</t>
        </is>
      </c>
      <c r="E324" s="2" t="inlineStr">
        <is>
          <t>implementing</t>
        </is>
      </c>
      <c r="F324" s="2" t="inlineStr">
        <is>
          <t>REG_IMPL</t>
        </is>
      </c>
      <c r="G324" s="2" t="inlineStr">
        <is>
          <t>2024-11-28</t>
        </is>
      </c>
      <c r="H324" s="2" t="inlineStr">
        <is>
          <t>Commission Implementing Regulation (EU) 2024/2982 of 28 November 2024 laying down rules for the application of Regulation (EU) No 910/2014 of the European Parliament and of the Council as regards protocols and interfaces to be supported by the European Digital Identity Framework</t>
        </is>
      </c>
      <c r="I324" s="2" t="inlineStr">
        <is>
          <t>no</t>
        </is>
      </c>
      <c r="J324" s="2" t="inlineStr">
        <is>
          <t>https://eur-lex.europa.eu/legal-content/EN/TXT/?uri=CELEX:32024R2982</t>
        </is>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t="inlineStr"/>
    </row>
    <row r="325">
      <c r="A325" s="2" t="n">
        <v>22</v>
      </c>
      <c r="B325" s="2" t="inlineStr">
        <is>
          <t>eIDAS Regulation</t>
        </is>
      </c>
      <c r="C325" s="2" t="inlineStr">
        <is>
          <t>32014R0910</t>
        </is>
      </c>
      <c r="D325" s="2" t="inlineStr">
        <is>
          <t>32025R0846</t>
        </is>
      </c>
      <c r="E325" s="2" t="inlineStr">
        <is>
          <t>implementing</t>
        </is>
      </c>
      <c r="F325" s="2" t="inlineStr">
        <is>
          <t>REG_IMPL</t>
        </is>
      </c>
      <c r="G325" s="2" t="inlineStr">
        <is>
          <t>2025-05-06</t>
        </is>
      </c>
      <c r="H325" s="2" t="inlineStr">
        <is>
          <t>Commission Implementing Regulation (EU) 2025/846 of 6 May 2025 laying down rules for the application of Regulation (EU) No 910/2014 of the European Parliament and of the Council as regards cross-border identity matching of natural persons</t>
        </is>
      </c>
      <c r="I325" s="2" t="inlineStr">
        <is>
          <t>no</t>
        </is>
      </c>
      <c r="J325" s="2" t="inlineStr">
        <is>
          <t>https://eur-lex.europa.eu/legal-content/EN/TXT/?uri=CELEX:32025R0846</t>
        </is>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t="inlineStr"/>
    </row>
    <row r="326">
      <c r="A326" s="2" t="n">
        <v>22</v>
      </c>
      <c r="B326" s="2" t="inlineStr">
        <is>
          <t>eIDAS Regulation</t>
        </is>
      </c>
      <c r="C326" s="2" t="inlineStr">
        <is>
          <t>32014R0910</t>
        </is>
      </c>
      <c r="D326" s="2" t="inlineStr">
        <is>
          <t>32025R0847</t>
        </is>
      </c>
      <c r="E326" s="2" t="inlineStr">
        <is>
          <t>implementing</t>
        </is>
      </c>
      <c r="F326" s="2" t="inlineStr">
        <is>
          <t>REG_IMPL</t>
        </is>
      </c>
      <c r="G326" s="2" t="inlineStr">
        <is>
          <t>2025-05-06</t>
        </is>
      </c>
      <c r="H326" s="2" t="inlineStr">
        <is>
          <t>Commission Implementing Regulation (EU) 2025/847 of 6 May 2025 laying down rules for the application of Regulation (EU) No 910/2014 of the European Parliament and of the Council as regards reactions to security breaches of European Digital Identity Wallets</t>
        </is>
      </c>
      <c r="I326" s="2" t="inlineStr">
        <is>
          <t>no</t>
        </is>
      </c>
      <c r="J326" s="2" t="inlineStr">
        <is>
          <t>https://eur-lex.europa.eu/legal-content/EN/TXT/?uri=CELEX:32025R0847</t>
        </is>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t="inlineStr"/>
    </row>
    <row r="327">
      <c r="A327" s="2" t="n">
        <v>22</v>
      </c>
      <c r="B327" s="2" t="inlineStr">
        <is>
          <t>eIDAS Regulation</t>
        </is>
      </c>
      <c r="C327" s="2" t="inlineStr">
        <is>
          <t>32014R0910</t>
        </is>
      </c>
      <c r="D327" s="2" t="inlineStr">
        <is>
          <t>32025R0848</t>
        </is>
      </c>
      <c r="E327" s="2" t="inlineStr">
        <is>
          <t>implementing</t>
        </is>
      </c>
      <c r="F327" s="2" t="inlineStr">
        <is>
          <t>REG_IMPL</t>
        </is>
      </c>
      <c r="G327" s="2" t="inlineStr">
        <is>
          <t>2025-05-06</t>
        </is>
      </c>
      <c r="H327" s="2" t="inlineStr">
        <is>
          <t>Commission Implementing Regulation (EU) 2025/848 of 6 May 2025 laying down rules for the application of Regulation (EU) No 910/2014 of the European Parliament and of the Council as regards the registration of wallet-relying parties</t>
        </is>
      </c>
      <c r="I327" s="2" t="inlineStr">
        <is>
          <t>no</t>
        </is>
      </c>
      <c r="J327" s="2" t="inlineStr">
        <is>
          <t>https://eur-lex.europa.eu/legal-content/EN/TXT/?uri=CELEX:32025R0848</t>
        </is>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t="inlineStr"/>
    </row>
    <row r="328">
      <c r="A328" s="2" t="n">
        <v>22</v>
      </c>
      <c r="B328" s="2" t="inlineStr">
        <is>
          <t>eIDAS Regulation</t>
        </is>
      </c>
      <c r="C328" s="2" t="inlineStr">
        <is>
          <t>32014R0910</t>
        </is>
      </c>
      <c r="D328" s="2" t="inlineStr">
        <is>
          <t>32025R0849</t>
        </is>
      </c>
      <c r="E328" s="2" t="inlineStr">
        <is>
          <t>implementing</t>
        </is>
      </c>
      <c r="F328" s="2" t="inlineStr">
        <is>
          <t>REG_IMPL</t>
        </is>
      </c>
      <c r="G328" s="2" t="inlineStr">
        <is>
          <t>2025-05-06</t>
        </is>
      </c>
      <c r="H328" s="2" t="inlineStr">
        <is>
          <t>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is>
      </c>
      <c r="I328" s="2" t="inlineStr">
        <is>
          <t>no</t>
        </is>
      </c>
      <c r="J328" s="2" t="inlineStr">
        <is>
          <t>https://eur-lex.europa.eu/legal-content/EN/TXT/?uri=CELEX:32025R0849</t>
        </is>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t="inlineStr"/>
    </row>
    <row r="329">
      <c r="A329" s="2" t="n">
        <v>22</v>
      </c>
      <c r="B329" s="2" t="inlineStr">
        <is>
          <t>eIDAS Regulation</t>
        </is>
      </c>
      <c r="C329" s="2" t="inlineStr">
        <is>
          <t>32014R0910</t>
        </is>
      </c>
      <c r="D329" s="2" t="inlineStr">
        <is>
          <t>32025R1566</t>
        </is>
      </c>
      <c r="E329" s="2" t="inlineStr">
        <is>
          <t>implementing</t>
        </is>
      </c>
      <c r="F329" s="2" t="inlineStr">
        <is>
          <t>REG_IMPL</t>
        </is>
      </c>
      <c r="G329" s="2" t="inlineStr">
        <is>
          <t>2025-07-29</t>
        </is>
      </c>
      <c r="H329" s="2" t="inlineStr">
        <is>
          <t>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is>
      </c>
      <c r="I329" s="2" t="inlineStr">
        <is>
          <t>no</t>
        </is>
      </c>
      <c r="J329" s="2" t="inlineStr">
        <is>
          <t>https://eur-lex.europa.eu/legal-content/EN/TXT/?uri=CELEX:32025R1566</t>
        </is>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t="inlineStr"/>
    </row>
    <row r="330">
      <c r="A330" s="2" t="n">
        <v>22</v>
      </c>
      <c r="B330" s="2" t="inlineStr">
        <is>
          <t>eIDAS Regulation</t>
        </is>
      </c>
      <c r="C330" s="2" t="inlineStr">
        <is>
          <t>32014R0910</t>
        </is>
      </c>
      <c r="D330" s="2" t="inlineStr">
        <is>
          <t>32025R1567</t>
        </is>
      </c>
      <c r="E330" s="2" t="inlineStr">
        <is>
          <t>implementing</t>
        </is>
      </c>
      <c r="F330" s="2" t="inlineStr">
        <is>
          <t>REG_IMPL</t>
        </is>
      </c>
      <c r="G330" s="2" t="inlineStr">
        <is>
          <t>2025-07-29</t>
        </is>
      </c>
      <c r="H330" s="2" t="inlineStr">
        <is>
          <t>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is>
      </c>
      <c r="I330" s="2" t="inlineStr">
        <is>
          <t>no</t>
        </is>
      </c>
      <c r="J330" s="2" t="inlineStr">
        <is>
          <t>https://eur-lex.europa.eu/legal-content/EN/TXT/?uri=CELEX:32025R1567</t>
        </is>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t="inlineStr"/>
    </row>
    <row r="331">
      <c r="A331" s="2" t="n">
        <v>22</v>
      </c>
      <c r="B331" s="2" t="inlineStr">
        <is>
          <t>eIDAS Regulation</t>
        </is>
      </c>
      <c r="C331" s="2" t="inlineStr">
        <is>
          <t>32014R0910</t>
        </is>
      </c>
      <c r="D331" s="2" t="inlineStr">
        <is>
          <t>32025R1568</t>
        </is>
      </c>
      <c r="E331" s="2" t="inlineStr">
        <is>
          <t>implementing</t>
        </is>
      </c>
      <c r="F331" s="2" t="inlineStr">
        <is>
          <t>REG_IMPL</t>
        </is>
      </c>
      <c r="G331" s="2" t="inlineStr">
        <is>
          <t>2025-07-29</t>
        </is>
      </c>
      <c r="H331" s="2" t="inlineStr">
        <is>
          <t>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is>
      </c>
      <c r="I331" s="2" t="inlineStr">
        <is>
          <t>no</t>
        </is>
      </c>
      <c r="J331" s="2" t="inlineStr">
        <is>
          <t>https://eur-lex.europa.eu/legal-content/EN/TXT/?uri=CELEX:32025R1568</t>
        </is>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t="inlineStr"/>
    </row>
    <row r="332">
      <c r="A332" s="2" t="n">
        <v>22</v>
      </c>
      <c r="B332" s="2" t="inlineStr">
        <is>
          <t>eIDAS Regulation</t>
        </is>
      </c>
      <c r="C332" s="2" t="inlineStr">
        <is>
          <t>32014R0910</t>
        </is>
      </c>
      <c r="D332" s="2" t="inlineStr">
        <is>
          <t>32025R1569</t>
        </is>
      </c>
      <c r="E332" s="2" t="inlineStr">
        <is>
          <t>implementing</t>
        </is>
      </c>
      <c r="F332" s="2" t="inlineStr">
        <is>
          <t>REG_IMPL</t>
        </is>
      </c>
      <c r="G332" s="2" t="inlineStr">
        <is>
          <t>2025-07-29</t>
        </is>
      </c>
      <c r="H332" s="2" t="inlineStr">
        <is>
          <t>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is>
      </c>
      <c r="I332" s="2" t="inlineStr">
        <is>
          <t>no</t>
        </is>
      </c>
      <c r="J332" s="2" t="inlineStr">
        <is>
          <t>https://eur-lex.europa.eu/legal-content/EN/TXT/?uri=CELEX:32025R1569</t>
        </is>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t="inlineStr"/>
    </row>
    <row r="333">
      <c r="A333" s="2" t="n">
        <v>22</v>
      </c>
      <c r="B333" s="2" t="inlineStr">
        <is>
          <t>eIDAS Regulation</t>
        </is>
      </c>
      <c r="C333" s="2" t="inlineStr">
        <is>
          <t>32014R0910</t>
        </is>
      </c>
      <c r="D333" s="2" t="inlineStr">
        <is>
          <t>32025R1570</t>
        </is>
      </c>
      <c r="E333" s="2" t="inlineStr">
        <is>
          <t>implementing</t>
        </is>
      </c>
      <c r="F333" s="2" t="inlineStr">
        <is>
          <t>REG_IMPL</t>
        </is>
      </c>
      <c r="G333" s="2" t="inlineStr">
        <is>
          <t>2025-07-29</t>
        </is>
      </c>
      <c r="H333" s="2" t="inlineStr">
        <is>
          <t>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is>
      </c>
      <c r="I333" s="2" t="inlineStr">
        <is>
          <t>no</t>
        </is>
      </c>
      <c r="J333" s="2" t="inlineStr">
        <is>
          <t>https://eur-lex.europa.eu/legal-content/EN/TXT/?uri=CELEX:32025R1570</t>
        </is>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t="inlineStr"/>
    </row>
    <row r="334">
      <c r="A334" s="2" t="n">
        <v>22</v>
      </c>
      <c r="B334" s="2" t="inlineStr">
        <is>
          <t>eIDAS Regulation</t>
        </is>
      </c>
      <c r="C334" s="2" t="inlineStr">
        <is>
          <t>32014R0910</t>
        </is>
      </c>
      <c r="D334" s="2" t="inlineStr">
        <is>
          <t>32025R1571</t>
        </is>
      </c>
      <c r="E334" s="2" t="inlineStr">
        <is>
          <t>implementing</t>
        </is>
      </c>
      <c r="F334" s="2" t="inlineStr">
        <is>
          <t>REG_IMPL</t>
        </is>
      </c>
      <c r="G334" s="2" t="inlineStr">
        <is>
          <t>2025-07-29</t>
        </is>
      </c>
      <c r="H334" s="2" t="inlineStr">
        <is>
          <t>Commission Implementing Regulation (EU) 2025/1571 of 29 July 2025 laying down rules for the application of Regulation (EU) No 910/2014 of the European Parliament and of the Council as regards the formats and procedures for annual reports by supervisory bodies</t>
        </is>
      </c>
      <c r="I334" s="2" t="inlineStr">
        <is>
          <t>no</t>
        </is>
      </c>
      <c r="J334" s="2" t="inlineStr">
        <is>
          <t>https://eur-lex.europa.eu/legal-content/EN/TXT/?uri=CELEX:32025R1571</t>
        </is>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t="inlineStr"/>
    </row>
    <row r="335">
      <c r="A335" s="2" t="n">
        <v>22</v>
      </c>
      <c r="B335" s="2" t="inlineStr">
        <is>
          <t>eIDAS Regulation</t>
        </is>
      </c>
      <c r="C335" s="2" t="inlineStr">
        <is>
          <t>32014R0910</t>
        </is>
      </c>
      <c r="D335" s="2" t="inlineStr">
        <is>
          <t>32025R1572</t>
        </is>
      </c>
      <c r="E335" s="2" t="inlineStr">
        <is>
          <t>implementing</t>
        </is>
      </c>
      <c r="F335" s="2" t="inlineStr">
        <is>
          <t>REG_IMPL</t>
        </is>
      </c>
      <c r="G335" s="2" t="inlineStr">
        <is>
          <t>2025-07-29</t>
        </is>
      </c>
      <c r="H335" s="2" t="inlineStr">
        <is>
          <t>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is>
      </c>
      <c r="I335" s="2" t="inlineStr">
        <is>
          <t>no</t>
        </is>
      </c>
      <c r="J335" s="2" t="inlineStr">
        <is>
          <t>https://eur-lex.europa.eu/legal-content/EN/TXT/?uri=CELEX:32025R1572</t>
        </is>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t="inlineStr"/>
    </row>
    <row r="336">
      <c r="A336" s="2" t="n">
        <v>22</v>
      </c>
      <c r="B336" s="2" t="inlineStr">
        <is>
          <t>eIDAS Regulation</t>
        </is>
      </c>
      <c r="C336" s="2" t="inlineStr">
        <is>
          <t>32014R0910</t>
        </is>
      </c>
      <c r="D336" s="2" t="inlineStr">
        <is>
          <t>32025R1929</t>
        </is>
      </c>
      <c r="E336" s="2" t="inlineStr">
        <is>
          <t>implementing</t>
        </is>
      </c>
      <c r="F336" s="2" t="inlineStr">
        <is>
          <t>REG_IMPL</t>
        </is>
      </c>
      <c r="G336" s="2" t="inlineStr">
        <is>
          <t>2025-09-29</t>
        </is>
      </c>
      <c r="H336" s="2" t="inlineStr">
        <is>
          <t>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is>
      </c>
      <c r="I336" s="2" t="inlineStr">
        <is>
          <t>no</t>
        </is>
      </c>
      <c r="J336" s="2" t="inlineStr">
        <is>
          <t>https://eur-lex.europa.eu/legal-content/EN/TXT/?uri=CELEX:32025R1929</t>
        </is>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t="inlineStr"/>
    </row>
    <row r="337">
      <c r="A337" s="2" t="n">
        <v>22</v>
      </c>
      <c r="B337" s="2" t="inlineStr">
        <is>
          <t>eIDAS Regulation</t>
        </is>
      </c>
      <c r="C337" s="2" t="inlineStr">
        <is>
          <t>32014R0910</t>
        </is>
      </c>
      <c r="D337" s="2" t="inlineStr">
        <is>
          <t>32025R1942</t>
        </is>
      </c>
      <c r="E337" s="2" t="inlineStr">
        <is>
          <t>implementing</t>
        </is>
      </c>
      <c r="F337" s="2" t="inlineStr">
        <is>
          <t>REG_IMPL</t>
        </is>
      </c>
      <c r="G337" s="2" t="inlineStr">
        <is>
          <t>2025-09-29</t>
        </is>
      </c>
      <c r="H337" s="2" t="inlineStr">
        <is>
          <t>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is>
      </c>
      <c r="I337" s="2" t="inlineStr">
        <is>
          <t>no</t>
        </is>
      </c>
      <c r="J337" s="2" t="inlineStr">
        <is>
          <t>https://eur-lex.europa.eu/legal-content/EN/TXT/?uri=CELEX:32025R1942</t>
        </is>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t="inlineStr"/>
    </row>
    <row r="338">
      <c r="A338" s="2" t="n">
        <v>22</v>
      </c>
      <c r="B338" s="2" t="inlineStr">
        <is>
          <t>eIDAS Regulation</t>
        </is>
      </c>
      <c r="C338" s="2" t="inlineStr">
        <is>
          <t>32014R0910</t>
        </is>
      </c>
      <c r="D338" s="2" t="inlineStr">
        <is>
          <t>32025R1943</t>
        </is>
      </c>
      <c r="E338" s="2" t="inlineStr">
        <is>
          <t>implementing</t>
        </is>
      </c>
      <c r="F338" s="2" t="inlineStr">
        <is>
          <t>REG_IMPL</t>
        </is>
      </c>
      <c r="G338" s="2" t="inlineStr">
        <is>
          <t>2025-09-29</t>
        </is>
      </c>
      <c r="H338" s="2" t="inlineStr">
        <is>
          <t>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is>
      </c>
      <c r="I338" s="2" t="inlineStr">
        <is>
          <t>no</t>
        </is>
      </c>
      <c r="J338" s="2" t="inlineStr">
        <is>
          <t>https://eur-lex.europa.eu/legal-content/EN/TXT/?uri=CELEX:32025R1943</t>
        </is>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t="inlineStr"/>
    </row>
    <row r="339">
      <c r="A339" s="2" t="n">
        <v>22</v>
      </c>
      <c r="B339" s="2" t="inlineStr">
        <is>
          <t>eIDAS Regulation</t>
        </is>
      </c>
      <c r="C339" s="2" t="inlineStr">
        <is>
          <t>32014R0910</t>
        </is>
      </c>
      <c r="D339" s="2" t="inlineStr">
        <is>
          <t>32025R1944</t>
        </is>
      </c>
      <c r="E339" s="2" t="inlineStr">
        <is>
          <t>implementing</t>
        </is>
      </c>
      <c r="F339" s="2" t="inlineStr">
        <is>
          <t>REG_IMPL</t>
        </is>
      </c>
      <c r="G339" s="2" t="inlineStr">
        <is>
          <t>2025-09-29</t>
        </is>
      </c>
      <c r="H339" s="2" t="inlineStr">
        <is>
          <t>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is>
      </c>
      <c r="I339" s="2" t="inlineStr">
        <is>
          <t>no</t>
        </is>
      </c>
      <c r="J339" s="2" t="inlineStr">
        <is>
          <t>https://eur-lex.europa.eu/legal-content/EN/TXT/?uri=CELEX:32025R1944</t>
        </is>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t="inlineStr"/>
    </row>
    <row r="340">
      <c r="A340" s="2" t="n">
        <v>22</v>
      </c>
      <c r="B340" s="2" t="inlineStr">
        <is>
          <t>eIDAS Regulation</t>
        </is>
      </c>
      <c r="C340" s="2" t="inlineStr">
        <is>
          <t>32014R0910</t>
        </is>
      </c>
      <c r="D340" s="2" t="inlineStr">
        <is>
          <t>32025R1945</t>
        </is>
      </c>
      <c r="E340" s="2" t="inlineStr">
        <is>
          <t>implementing</t>
        </is>
      </c>
      <c r="F340" s="2" t="inlineStr">
        <is>
          <t>REG_IMPL</t>
        </is>
      </c>
      <c r="G340" s="2" t="inlineStr">
        <is>
          <t>2025-09-29</t>
        </is>
      </c>
      <c r="H340" s="2" t="inlineStr">
        <is>
          <t>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is>
      </c>
      <c r="I340" s="2" t="inlineStr">
        <is>
          <t>no</t>
        </is>
      </c>
      <c r="J340" s="2" t="inlineStr">
        <is>
          <t>https://eur-lex.europa.eu/legal-content/EN/TXT/?uri=CELEX:32025R1945</t>
        </is>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t="inlineStr"/>
    </row>
    <row r="341">
      <c r="A341" s="2" t="n">
        <v>22</v>
      </c>
      <c r="B341" s="2" t="inlineStr">
        <is>
          <t>eIDAS Regulation</t>
        </is>
      </c>
      <c r="C341" s="2" t="inlineStr">
        <is>
          <t>32014R0910</t>
        </is>
      </c>
      <c r="D341" s="2" t="inlineStr">
        <is>
          <t>32025R1946</t>
        </is>
      </c>
      <c r="E341" s="2" t="inlineStr">
        <is>
          <t>implementing</t>
        </is>
      </c>
      <c r="F341" s="2" t="inlineStr">
        <is>
          <t>REG_IMPL</t>
        </is>
      </c>
      <c r="G341" s="2" t="inlineStr">
        <is>
          <t>2025-09-29</t>
        </is>
      </c>
      <c r="H341" s="2" t="inlineStr">
        <is>
          <t>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is>
      </c>
      <c r="I341" s="2" t="inlineStr">
        <is>
          <t>no</t>
        </is>
      </c>
      <c r="J341" s="2" t="inlineStr">
        <is>
          <t>https://eur-lex.europa.eu/legal-content/EN/TXT/?uri=CELEX:32025R1946</t>
        </is>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t="inlineStr"/>
    </row>
    <row r="342">
      <c r="A342" s="2" t="n">
        <v>22</v>
      </c>
      <c r="B342" s="2" t="inlineStr">
        <is>
          <t>eIDAS Regulation</t>
        </is>
      </c>
      <c r="C342" s="2" t="inlineStr">
        <is>
          <t>32014R0910</t>
        </is>
      </c>
      <c r="D342" s="2" t="inlineStr">
        <is>
          <t>32025D2164</t>
        </is>
      </c>
      <c r="E342" s="2" t="inlineStr">
        <is>
          <t>implementing</t>
        </is>
      </c>
      <c r="F342" s="2" t="inlineStr">
        <is>
          <t>DEC_IMPL</t>
        </is>
      </c>
      <c r="G342" s="2" t="inlineStr">
        <is>
          <t>2025-10-27</t>
        </is>
      </c>
      <c r="H342" s="2" t="inlineStr">
        <is>
          <t>Commission Implementing Decision (EU) 2025/2164 of 27 October 2025 amending Implementing Decision (EU) 2015/1505 as regards the version of the standard on which the common template for the trusted lists is based</t>
        </is>
      </c>
      <c r="I342" s="2" t="inlineStr">
        <is>
          <t>no</t>
        </is>
      </c>
      <c r="J342" s="2" t="inlineStr">
        <is>
          <t>https://eur-lex.europa.eu/legal-content/EN/TXT/?uri=CELEX:32025D2164</t>
        </is>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t="inlineStr"/>
    </row>
    <row r="343">
      <c r="A343" s="2" t="n">
        <v>22</v>
      </c>
      <c r="B343" s="2" t="inlineStr">
        <is>
          <t>eIDAS Regulation</t>
        </is>
      </c>
      <c r="C343" s="2" t="inlineStr">
        <is>
          <t>32014R0910</t>
        </is>
      </c>
      <c r="D343" s="2" t="inlineStr">
        <is>
          <t>32025R2160</t>
        </is>
      </c>
      <c r="E343" s="2" t="inlineStr">
        <is>
          <t>implementing</t>
        </is>
      </c>
      <c r="F343" s="2" t="inlineStr">
        <is>
          <t>REG_IMPL</t>
        </is>
      </c>
      <c r="G343" s="2" t="inlineStr">
        <is>
          <t>2025-10-27</t>
        </is>
      </c>
      <c r="H343" s="2" t="inlineStr">
        <is>
          <t>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is>
      </c>
      <c r="I343" s="2" t="inlineStr">
        <is>
          <t>no</t>
        </is>
      </c>
      <c r="J343" s="2" t="inlineStr">
        <is>
          <t>https://eur-lex.europa.eu/legal-content/EN/TXT/?uri=CELEX:32025R2160</t>
        </is>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t="inlineStr"/>
    </row>
    <row r="344">
      <c r="A344" s="2" t="n">
        <v>22</v>
      </c>
      <c r="B344" s="2" t="inlineStr">
        <is>
          <t>eIDAS Regulation</t>
        </is>
      </c>
      <c r="C344" s="2" t="inlineStr">
        <is>
          <t>32014R0910</t>
        </is>
      </c>
      <c r="D344" s="2" t="inlineStr">
        <is>
          <t>32025R2162</t>
        </is>
      </c>
      <c r="E344" s="2" t="inlineStr">
        <is>
          <t>implementing</t>
        </is>
      </c>
      <c r="F344" s="2" t="inlineStr">
        <is>
          <t>REG_IMPL</t>
        </is>
      </c>
      <c r="G344" s="2" t="inlineStr">
        <is>
          <t>2025-10-27</t>
        </is>
      </c>
      <c r="H344" s="2" t="inlineStr">
        <is>
          <t>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is>
      </c>
      <c r="I344" s="2" t="inlineStr">
        <is>
          <t>no</t>
        </is>
      </c>
      <c r="J344" s="2" t="inlineStr">
        <is>
          <t>https://eur-lex.europa.eu/legal-content/EN/TXT/?uri=CELEX:32025R2162</t>
        </is>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t="inlineStr"/>
    </row>
    <row r="345">
      <c r="A345" s="2" t="n">
        <v>22</v>
      </c>
      <c r="B345" s="2" t="inlineStr">
        <is>
          <t>eIDAS Regulation</t>
        </is>
      </c>
      <c r="C345" s="2" t="inlineStr">
        <is>
          <t>32014R0910</t>
        </is>
      </c>
      <c r="D345" s="2" t="inlineStr">
        <is>
          <t>32025R2527</t>
        </is>
      </c>
      <c r="E345" s="2" t="inlineStr">
        <is>
          <t>implementing</t>
        </is>
      </c>
      <c r="F345" s="2" t="inlineStr">
        <is>
          <t>REG_IMPL</t>
        </is>
      </c>
      <c r="G345" s="2" t="inlineStr">
        <is>
          <t>2025-12-16</t>
        </is>
      </c>
      <c r="H345" s="2" t="inlineStr">
        <is>
          <t>Commission Implementing Regulation (EU) 2025/2527 of 16 December 2025 laying down rules for the application of Regulation (EU) No 910/2014 of the European Parliament and of the Council as regards reference standards for qualified certificates for website authentication</t>
        </is>
      </c>
      <c r="I345" s="2" t="inlineStr">
        <is>
          <t>no</t>
        </is>
      </c>
      <c r="J345" s="2" t="inlineStr">
        <is>
          <t>https://eur-lex.europa.eu/legal-content/EN/TXT/?uri=CELEX:32025R2527</t>
        </is>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t="inlineStr"/>
    </row>
    <row r="346">
      <c r="A346" s="2" t="n">
        <v>22</v>
      </c>
      <c r="B346" s="2" t="inlineStr">
        <is>
          <t>eIDAS Regulation</t>
        </is>
      </c>
      <c r="C346" s="2" t="inlineStr">
        <is>
          <t>32014R0910</t>
        </is>
      </c>
      <c r="D346" s="2" t="inlineStr">
        <is>
          <t>32025R2530</t>
        </is>
      </c>
      <c r="E346" s="2" t="inlineStr">
        <is>
          <t>implementing</t>
        </is>
      </c>
      <c r="F346" s="2" t="inlineStr">
        <is>
          <t>REG_IMPL</t>
        </is>
      </c>
      <c r="G346" s="2" t="inlineStr">
        <is>
          <t>2025-12-16</t>
        </is>
      </c>
      <c r="H346" s="2" t="inlineStr">
        <is>
          <t>Commission Implementing Regulation (EU) 2025/2530 of 16 December 2025 laying down rules for the application of Regulation (EU) No 910/2014 of the European Parliament and of the Council as regards requirements for qualified trust service providers providing qualified trust services</t>
        </is>
      </c>
      <c r="I346" s="2" t="inlineStr">
        <is>
          <t>no</t>
        </is>
      </c>
      <c r="J346" s="2" t="inlineStr">
        <is>
          <t>https://eur-lex.europa.eu/legal-content/EN/TXT/?uri=CELEX:32025R2530</t>
        </is>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t="inlineStr"/>
    </row>
    <row r="347">
      <c r="A347" s="2" t="n">
        <v>22</v>
      </c>
      <c r="B347" s="2" t="inlineStr">
        <is>
          <t>eIDAS Regulation</t>
        </is>
      </c>
      <c r="C347" s="2" t="inlineStr">
        <is>
          <t>32014R0910</t>
        </is>
      </c>
      <c r="D347" s="2" t="inlineStr">
        <is>
          <t>32025R2531</t>
        </is>
      </c>
      <c r="E347" s="2" t="inlineStr">
        <is>
          <t>implementing</t>
        </is>
      </c>
      <c r="F347" s="2" t="inlineStr">
        <is>
          <t>REG_IMPL</t>
        </is>
      </c>
      <c r="G347" s="2" t="inlineStr">
        <is>
          <t>2025-12-16</t>
        </is>
      </c>
      <c r="H347" s="2" t="inlineStr">
        <is>
          <t>Commission Implementing Regulation (EU) 2025/2531 of 16 December 2025 laying down rules for the application of Regulation (EU) No 910/2014 of the European Parliament and of the Council as regards reference standards and specifications for qualified electronic ledgers</t>
        </is>
      </c>
      <c r="I347" s="2" t="inlineStr">
        <is>
          <t>no</t>
        </is>
      </c>
      <c r="J347" s="2" t="inlineStr">
        <is>
          <t>https://eur-lex.europa.eu/legal-content/EN/TXT/?uri=CELEX:32025R2531</t>
        </is>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t="inlineStr"/>
    </row>
    <row r="348">
      <c r="A348" s="2" t="n">
        <v>22</v>
      </c>
      <c r="B348" s="2" t="inlineStr">
        <is>
          <t>eIDAS Regulation</t>
        </is>
      </c>
      <c r="C348" s="2" t="inlineStr">
        <is>
          <t>32014R0910</t>
        </is>
      </c>
      <c r="D348" s="2" t="inlineStr">
        <is>
          <t>32025R2532</t>
        </is>
      </c>
      <c r="E348" s="2" t="inlineStr">
        <is>
          <t>implementing</t>
        </is>
      </c>
      <c r="F348" s="2" t="inlineStr">
        <is>
          <t>REG_IMPL</t>
        </is>
      </c>
      <c r="G348" s="2" t="inlineStr">
        <is>
          <t>2025-12-16</t>
        </is>
      </c>
      <c r="H348" s="2" t="inlineStr">
        <is>
          <t>Commission Implementing Regulation (EU) 2025/2532 of 16 December 2025 laying down rules for the application of Regulation (EU) No 910/2014 of the European Parliament and of the Council as regards reference standards and specifications for qualified electronic archiving services</t>
        </is>
      </c>
      <c r="I348" s="2" t="inlineStr">
        <is>
          <t>no</t>
        </is>
      </c>
      <c r="J348" s="2" t="inlineStr">
        <is>
          <t>https://eur-lex.europa.eu/legal-content/EN/TXT/?uri=CELEX:32025R2532</t>
        </is>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t="inlineStr"/>
    </row>
    <row r="349">
      <c r="A349" s="2" t="n">
        <v>22</v>
      </c>
      <c r="B349" s="2" t="inlineStr">
        <is>
          <t>eIDAS Regulation</t>
        </is>
      </c>
      <c r="C349" s="2" t="inlineStr">
        <is>
          <t>32014R0910</t>
        </is>
      </c>
      <c r="D349" s="2" t="inlineStr">
        <is>
          <t>32026R0248</t>
        </is>
      </c>
      <c r="E349" s="2" t="inlineStr">
        <is>
          <t>implementing</t>
        </is>
      </c>
      <c r="F349" s="2" t="inlineStr">
        <is>
          <t>REG_IMPL</t>
        </is>
      </c>
      <c r="G349" s="2" t="inlineStr">
        <is>
          <t>2026-02-02</t>
        </is>
      </c>
      <c r="H349" s="2" t="inlineStr">
        <is>
          <t>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is>
      </c>
      <c r="I349" s="2" t="inlineStr">
        <is>
          <t>no</t>
        </is>
      </c>
      <c r="J349" s="2" t="inlineStr">
        <is>
          <t>https://eur-lex.europa.eu/legal-content/EN/TXT/?uri=CELEX:32026R0248</t>
        </is>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t="inlineStr"/>
    </row>
    <row r="350">
      <c r="A350" s="2" t="n">
        <v>22</v>
      </c>
      <c r="B350" s="2" t="inlineStr">
        <is>
          <t>eIDAS Regulation</t>
        </is>
      </c>
      <c r="C350" s="2" t="inlineStr">
        <is>
          <t>32014R0910</t>
        </is>
      </c>
      <c r="D350" s="2" t="inlineStr">
        <is>
          <t>32026R0798</t>
        </is>
      </c>
      <c r="E350" s="2" t="inlineStr">
        <is>
          <t>implementing</t>
        </is>
      </c>
      <c r="F350" s="2" t="inlineStr">
        <is>
          <t>REG_IMPL</t>
        </is>
      </c>
      <c r="G350" s="2" t="inlineStr">
        <is>
          <t>2026-04-07</t>
        </is>
      </c>
      <c r="H350" s="2" t="inlineStr">
        <is>
          <t>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is>
      </c>
      <c r="I350" s="2" t="inlineStr">
        <is>
          <t>no</t>
        </is>
      </c>
      <c r="J350" s="2" t="inlineStr">
        <is>
          <t>https://eur-lex.europa.eu/legal-content/EN/TXT/?uri=CELEX:32026R0798</t>
        </is>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t="inlineStr"/>
    </row>
    <row r="351">
      <c r="A351" s="2" t="n">
        <v>22</v>
      </c>
      <c r="B351" s="2" t="inlineStr">
        <is>
          <t>eIDAS Regulation</t>
        </is>
      </c>
      <c r="C351" s="2" t="inlineStr">
        <is>
          <t>32014R0910</t>
        </is>
      </c>
      <c r="D351" s="2" t="inlineStr">
        <is>
          <t>32026R1730</t>
        </is>
      </c>
      <c r="E351" s="2" t="inlineStr">
        <is>
          <t>implementing</t>
        </is>
      </c>
      <c r="F351" s="2" t="inlineStr">
        <is>
          <t>REG_IMPL</t>
        </is>
      </c>
      <c r="G351" s="2" t="inlineStr">
        <is>
          <t>2026-07-15</t>
        </is>
      </c>
      <c r="H351" s="2" t="inlineStr">
        <is>
          <t>Commission Implementing Regulation (EU) 2026/1730 of 15 July 2026 amending Implementing Regulation (EU) 2025/848 as regards applicable standards and specifications</t>
        </is>
      </c>
      <c r="I351" s="2" t="inlineStr">
        <is>
          <t>no</t>
        </is>
      </c>
      <c r="J351" s="2" t="inlineStr">
        <is>
          <t>https://eur-lex.europa.eu/legal-content/EN/TXT/?uri=CELEX:32026R1730</t>
        </is>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t="inlineStr"/>
    </row>
    <row r="352">
      <c r="A352" s="2" t="n">
        <v>22</v>
      </c>
      <c r="B352" s="2" t="inlineStr">
        <is>
          <t>eIDAS Regulation</t>
        </is>
      </c>
      <c r="C352" s="2" t="inlineStr">
        <is>
          <t>32014R0910</t>
        </is>
      </c>
      <c r="D352" s="2" t="inlineStr">
        <is>
          <t>32026R1731</t>
        </is>
      </c>
      <c r="E352" s="2" t="inlineStr">
        <is>
          <t>implementing</t>
        </is>
      </c>
      <c r="F352" s="2" t="inlineStr">
        <is>
          <t>REG_IMPL</t>
        </is>
      </c>
      <c r="G352" s="2" t="inlineStr">
        <is>
          <t>2026-07-15</t>
        </is>
      </c>
      <c r="H352" s="2" t="inlineStr">
        <is>
          <t>Commission Implementing Regulation (EU) 2026/1731 of 15 July 2026 amending Implementing Regulations (EU) 2024/2977, (EU) 2024/2979, (EU) 2024/2980 and (EU) 2024/2982 as regards applicable standards and specifications</t>
        </is>
      </c>
      <c r="I352" s="2" t="inlineStr">
        <is>
          <t>no</t>
        </is>
      </c>
      <c r="J352" s="2" t="inlineStr">
        <is>
          <t>https://eur-lex.europa.eu/legal-content/EN/TXT/?uri=CELEX:32026R1731</t>
        </is>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t="inlineStr"/>
    </row>
    <row r="353">
      <c r="A353" s="2" t="n">
        <v>22</v>
      </c>
      <c r="B353" s="2" t="inlineStr">
        <is>
          <t>eIDAS Regulation</t>
        </is>
      </c>
      <c r="C353" s="2" t="inlineStr">
        <is>
          <t>32014R0910</t>
        </is>
      </c>
      <c r="D353" s="2" t="inlineStr">
        <is>
          <t>32026R1735</t>
        </is>
      </c>
      <c r="E353" s="2" t="inlineStr">
        <is>
          <t>implementing</t>
        </is>
      </c>
      <c r="F353" s="2" t="inlineStr">
        <is>
          <t>REG_IMPL</t>
        </is>
      </c>
      <c r="G353" s="2" t="inlineStr">
        <is>
          <t>2026-07-15</t>
        </is>
      </c>
      <c r="H353" s="2" t="inlineStr">
        <is>
          <t>Commission Implementing Regulation (EU) 2026/1735 of 15 July 2026 amending Implementing Regulation (EU) 2025/1569 as regards applicable standards and specifications</t>
        </is>
      </c>
      <c r="I353" s="2" t="inlineStr">
        <is>
          <t>no</t>
        </is>
      </c>
      <c r="J353" s="2" t="inlineStr">
        <is>
          <t>https://eur-lex.europa.eu/legal-content/EN/TXT/?uri=CELEX:32026R1735</t>
        </is>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t="inlineStr"/>
    </row>
    <row r="354">
      <c r="A354" s="2" t="n">
        <v>23</v>
      </c>
      <c r="B354" s="2" t="inlineStr">
        <is>
          <t>Payment Services Directive 2 (PSD2)</t>
        </is>
      </c>
      <c r="C354" s="2" t="inlineStr">
        <is>
          <t>32015L2366</t>
        </is>
      </c>
      <c r="D354" s="2" t="inlineStr">
        <is>
          <t>32017R2055</t>
        </is>
      </c>
      <c r="E354" s="2" t="inlineStr">
        <is>
          <t>delegated</t>
        </is>
      </c>
      <c r="F354" s="2" t="inlineStr">
        <is>
          <t>REG_DEL</t>
        </is>
      </c>
      <c r="G354" s="2" t="inlineStr">
        <is>
          <t>2017-06-23</t>
        </is>
      </c>
      <c r="H354" s="2" t="inlineStr">
        <is>
          <t>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is>
      </c>
      <c r="I354" s="2" t="inlineStr">
        <is>
          <t>no</t>
        </is>
      </c>
      <c r="J354" s="2" t="inlineStr">
        <is>
          <t>https://eur-lex.europa.eu/legal-content/EN/TXT/?uri=CELEX:32017R2055</t>
        </is>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t="inlineStr"/>
    </row>
    <row r="355">
      <c r="A355" s="2" t="n">
        <v>23</v>
      </c>
      <c r="B355" s="2" t="inlineStr">
        <is>
          <t>Payment Services Directive 2 (PSD2)</t>
        </is>
      </c>
      <c r="C355" s="2" t="inlineStr">
        <is>
          <t>32015L2366</t>
        </is>
      </c>
      <c r="D355" s="2" t="inlineStr">
        <is>
          <t>32018R0389</t>
        </is>
      </c>
      <c r="E355" s="2" t="inlineStr">
        <is>
          <t>delegated</t>
        </is>
      </c>
      <c r="F355" s="2" t="inlineStr">
        <is>
          <t>REG_DEL</t>
        </is>
      </c>
      <c r="G355" s="2" t="inlineStr">
        <is>
          <t>2017-11-27</t>
        </is>
      </c>
      <c r="H355" s="2" t="inlineStr">
        <is>
          <t>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is>
      </c>
      <c r="I355" s="2" t="inlineStr">
        <is>
          <t>no</t>
        </is>
      </c>
      <c r="J355" s="2" t="inlineStr">
        <is>
          <t>https://eur-lex.europa.eu/legal-content/EN/TXT/?uri=CELEX:32018R0389</t>
        </is>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t="inlineStr"/>
    </row>
    <row r="356">
      <c r="A356" s="2" t="n">
        <v>23</v>
      </c>
      <c r="B356" s="2" t="inlineStr">
        <is>
          <t>Payment Services Directive 2 (PSD2)</t>
        </is>
      </c>
      <c r="C356" s="2" t="inlineStr">
        <is>
          <t>32015L2366</t>
        </is>
      </c>
      <c r="D356" s="2" t="inlineStr">
        <is>
          <t>32019R0410</t>
        </is>
      </c>
      <c r="E356" s="2" t="inlineStr">
        <is>
          <t>implementing</t>
        </is>
      </c>
      <c r="F356" s="2" t="inlineStr">
        <is>
          <t>REG_IMPL</t>
        </is>
      </c>
      <c r="G356" s="2" t="inlineStr">
        <is>
          <t>2018-11-29</t>
        </is>
      </c>
      <c r="H356" s="2" t="inlineStr">
        <is>
          <t>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is>
      </c>
      <c r="I356" s="2" t="inlineStr">
        <is>
          <t>no</t>
        </is>
      </c>
      <c r="J356" s="2" t="inlineStr">
        <is>
          <t>https://eur-lex.europa.eu/legal-content/EN/TXT/?uri=CELEX:32019R0410</t>
        </is>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t="inlineStr"/>
    </row>
    <row r="357">
      <c r="A357" s="2" t="n">
        <v>23</v>
      </c>
      <c r="B357" s="2" t="inlineStr">
        <is>
          <t>Payment Services Directive 2 (PSD2)</t>
        </is>
      </c>
      <c r="C357" s="2" t="inlineStr">
        <is>
          <t>32015L2366</t>
        </is>
      </c>
      <c r="D357" s="2" t="inlineStr">
        <is>
          <t>32019R0411</t>
        </is>
      </c>
      <c r="E357" s="2" t="inlineStr">
        <is>
          <t>delegated</t>
        </is>
      </c>
      <c r="F357" s="2" t="inlineStr">
        <is>
          <t>REG_DEL</t>
        </is>
      </c>
      <c r="G357" s="2" t="inlineStr">
        <is>
          <t>2018-11-29</t>
        </is>
      </c>
      <c r="H357" s="2" t="inlineStr">
        <is>
          <t>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is>
      </c>
      <c r="I357" s="2" t="inlineStr">
        <is>
          <t>no</t>
        </is>
      </c>
      <c r="J357" s="2" t="inlineStr">
        <is>
          <t>https://eur-lex.europa.eu/legal-content/EN/TXT/?uri=CELEX:32019R0411</t>
        </is>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t="inlineStr"/>
    </row>
    <row r="358">
      <c r="A358" s="2" t="n">
        <v>23</v>
      </c>
      <c r="B358" s="2" t="inlineStr">
        <is>
          <t>Payment Services Directive 2 (PSD2)</t>
        </is>
      </c>
      <c r="C358" s="2" t="inlineStr">
        <is>
          <t>32015L2366</t>
        </is>
      </c>
      <c r="D358" s="2" t="inlineStr">
        <is>
          <t>32020R1423</t>
        </is>
      </c>
      <c r="E358" s="2" t="inlineStr">
        <is>
          <t>delegated</t>
        </is>
      </c>
      <c r="F358" s="2" t="inlineStr">
        <is>
          <t>REG_DEL</t>
        </is>
      </c>
      <c r="G358" s="2" t="inlineStr">
        <is>
          <t>2019-03-14</t>
        </is>
      </c>
      <c r="H358" s="2" t="inlineStr">
        <is>
          <t>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is>
      </c>
      <c r="I358" s="2" t="inlineStr">
        <is>
          <t>no</t>
        </is>
      </c>
      <c r="J358" s="2" t="inlineStr">
        <is>
          <t>https://eur-lex.europa.eu/legal-content/EN/TXT/?uri=CELEX:32020R1423</t>
        </is>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t="inlineStr"/>
    </row>
    <row r="359">
      <c r="A359" s="2" t="n">
        <v>23</v>
      </c>
      <c r="B359" s="2" t="inlineStr">
        <is>
          <t>Payment Services Directive 2 (PSD2)</t>
        </is>
      </c>
      <c r="C359" s="2" t="inlineStr">
        <is>
          <t>32015L2366</t>
        </is>
      </c>
      <c r="D359" s="2" t="inlineStr">
        <is>
          <t>32021R1722</t>
        </is>
      </c>
      <c r="E359" s="2" t="inlineStr">
        <is>
          <t>delegated</t>
        </is>
      </c>
      <c r="F359" s="2" t="inlineStr">
        <is>
          <t>REG_DEL</t>
        </is>
      </c>
      <c r="G359" s="2" t="inlineStr">
        <is>
          <t>2021-07-18</t>
        </is>
      </c>
      <c r="H359" s="2" t="inlineStr">
        <is>
          <t>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is>
      </c>
      <c r="I359" s="2" t="inlineStr">
        <is>
          <t>no</t>
        </is>
      </c>
      <c r="J359" s="2" t="inlineStr">
        <is>
          <t>https://eur-lex.europa.eu/legal-content/EN/TXT/?uri=CELEX:32021R1722</t>
        </is>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t="inlineStr"/>
    </row>
    <row r="360">
      <c r="A360" s="2" t="n">
        <v>23</v>
      </c>
      <c r="B360" s="2" t="inlineStr">
        <is>
          <t>Payment Services Directive 2 (PSD2)</t>
        </is>
      </c>
      <c r="C360" s="2" t="inlineStr">
        <is>
          <t>32015L2366</t>
        </is>
      </c>
      <c r="D360" s="2" t="inlineStr">
        <is>
          <t>32022R2360</t>
        </is>
      </c>
      <c r="E360" s="2" t="inlineStr">
        <is>
          <t>delegated</t>
        </is>
      </c>
      <c r="F360" s="2" t="inlineStr">
        <is>
          <t>REG_DEL</t>
        </is>
      </c>
      <c r="G360" s="2" t="inlineStr">
        <is>
          <t>2022-08-03</t>
        </is>
      </c>
      <c r="H360" s="2" t="inlineStr">
        <is>
          <t>Commission Delegated Regulation (EU) 2022/2360 of 3 August 2022 amending the regulatory technical standards laid down in Delegated Regulation (EU) 2018/389 as regards the 90-day exemption for account access (Text with EEA relevance)</t>
        </is>
      </c>
      <c r="I360" s="2" t="inlineStr">
        <is>
          <t>no</t>
        </is>
      </c>
      <c r="J360" s="2" t="inlineStr">
        <is>
          <t>https://eur-lex.europa.eu/legal-content/EN/TXT/?uri=CELEX:32022R2360</t>
        </is>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t="inlineStr"/>
    </row>
    <row r="361">
      <c r="A361" s="2" t="n">
        <v>23</v>
      </c>
      <c r="B361" s="2" t="inlineStr">
        <is>
          <t>Payment Services Directive 2 (PSD2)</t>
        </is>
      </c>
      <c r="C361" s="2" t="inlineStr">
        <is>
          <t>32015L2366</t>
        </is>
      </c>
      <c r="D361" s="2" t="inlineStr">
        <is>
          <t>32023R1650</t>
        </is>
      </c>
      <c r="E361" s="2" t="inlineStr">
        <is>
          <t>delegated</t>
        </is>
      </c>
      <c r="F361" s="2" t="inlineStr">
        <is>
          <t>REG_DEL</t>
        </is>
      </c>
      <c r="G361" s="2" t="inlineStr">
        <is>
          <t>2023-08-15</t>
        </is>
      </c>
      <c r="H361" s="2" t="inlineStr">
        <is>
          <t>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is>
      </c>
      <c r="I361" s="2" t="inlineStr">
        <is>
          <t>no</t>
        </is>
      </c>
      <c r="J361" s="2" t="inlineStr">
        <is>
          <t>https://eur-lex.europa.eu/legal-content/EN/TXT/?uri=CELEX:32023R1650</t>
        </is>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t="inlineStr"/>
    </row>
    <row r="362">
      <c r="A362" s="2" t="n">
        <v>23</v>
      </c>
      <c r="B362" s="2" t="inlineStr">
        <is>
          <t>Payment Services Directive 2 (PSD2)</t>
        </is>
      </c>
      <c r="C362" s="2" t="inlineStr">
        <is>
          <t>32015L2366</t>
        </is>
      </c>
      <c r="D362" s="2" t="inlineStr">
        <is>
          <t>32025R0212</t>
        </is>
      </c>
      <c r="E362" s="2" t="inlineStr">
        <is>
          <t>delegated</t>
        </is>
      </c>
      <c r="F362" s="2" t="inlineStr">
        <is>
          <t>REG_DEL</t>
        </is>
      </c>
      <c r="G362" s="2" t="inlineStr">
        <is>
          <t>2024-09-13</t>
        </is>
      </c>
      <c r="H362" s="2" t="inlineStr">
        <is>
          <t>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is>
      </c>
      <c r="I362" s="2" t="inlineStr">
        <is>
          <t>no</t>
        </is>
      </c>
      <c r="J362" s="2" t="inlineStr">
        <is>
          <t>https://eur-lex.europa.eu/legal-content/EN/TXT/?uri=CELEX:32025R0212</t>
        </is>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t="inlineStr"/>
    </row>
    <row r="363">
      <c r="A363" s="2" t="n">
        <v>24</v>
      </c>
      <c r="B363" s="2" t="inlineStr">
        <is>
          <t>Open Internet Access Regulation</t>
        </is>
      </c>
      <c r="C363" s="2" t="inlineStr">
        <is>
          <t>32015R2120</t>
        </is>
      </c>
      <c r="D363" s="2" t="inlineStr">
        <is>
          <t>32025R2592</t>
        </is>
      </c>
      <c r="E363" s="2" t="inlineStr">
        <is>
          <t>implementing</t>
        </is>
      </c>
      <c r="F363" s="2" t="inlineStr">
        <is>
          <t>REG_IMPL</t>
        </is>
      </c>
      <c r="G363" s="2" t="inlineStr">
        <is>
          <t>2025-12-17</t>
        </is>
      </c>
      <c r="H363" s="2" t="inlineStr">
        <is>
          <t>Commission Implementing Regulation (EU) 2025/2592 of 17 December 2025 for the application of Regulation (EU) 2015/2120 of the European Parliament and of the Council as regards fair use, based on typical usage patterns, and anti-fraud measures for intra-EU communications</t>
        </is>
      </c>
      <c r="I363" s="2" t="inlineStr">
        <is>
          <t>no</t>
        </is>
      </c>
      <c r="J363" s="2" t="inlineStr">
        <is>
          <t>https://eur-lex.europa.eu/legal-content/EN/TXT/?uri=CELEX:32025R2592</t>
        </is>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t="inlineStr"/>
    </row>
    <row r="364">
      <c r="A364" s="2" t="n">
        <v>29</v>
      </c>
      <c r="B364" s="2" t="inlineStr">
        <is>
          <t>Company Law Directive</t>
        </is>
      </c>
      <c r="C364" s="2" t="inlineStr">
        <is>
          <t>32017L1132</t>
        </is>
      </c>
      <c r="D364" s="2" t="inlineStr">
        <is>
          <t>32020R2244</t>
        </is>
      </c>
      <c r="E364" s="2" t="inlineStr">
        <is>
          <t>implementing</t>
        </is>
      </c>
      <c r="F364" s="2" t="inlineStr">
        <is>
          <t>REG_IMPL</t>
        </is>
      </c>
      <c r="G364" s="2" t="inlineStr">
        <is>
          <t>2020-12-17</t>
        </is>
      </c>
      <c r="H364" s="2" t="inlineStr">
        <is>
          <t>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is>
      </c>
      <c r="I364" s="2" t="inlineStr">
        <is>
          <t>no</t>
        </is>
      </c>
      <c r="J364" s="2" t="inlineStr">
        <is>
          <t>https://eur-lex.europa.eu/legal-content/EN/TXT/?uri=CELEX:32020R2244</t>
        </is>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t="inlineStr"/>
    </row>
    <row r="365">
      <c r="A365" s="2" t="n">
        <v>29</v>
      </c>
      <c r="B365" s="2" t="inlineStr">
        <is>
          <t>Company Law Directive</t>
        </is>
      </c>
      <c r="C365" s="2" t="inlineStr">
        <is>
          <t>32017L1132</t>
        </is>
      </c>
      <c r="D365" s="2" t="inlineStr">
        <is>
          <t>32021R1042</t>
        </is>
      </c>
      <c r="E365" s="2" t="inlineStr">
        <is>
          <t>implementing</t>
        </is>
      </c>
      <c r="F365" s="2" t="inlineStr">
        <is>
          <t>REG_IMPL</t>
        </is>
      </c>
      <c r="G365" s="2" t="inlineStr">
        <is>
          <t>2021-06-18</t>
        </is>
      </c>
      <c r="H365" s="2" t="inlineStr">
        <is>
          <t>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is>
      </c>
      <c r="I365" s="2" t="inlineStr">
        <is>
          <t>no</t>
        </is>
      </c>
      <c r="J365" s="2" t="inlineStr">
        <is>
          <t>https://eur-lex.europa.eu/legal-content/EN/TXT/?uri=CELEX:32021R1042</t>
        </is>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t="inlineStr"/>
    </row>
    <row r="366">
      <c r="A366" s="2" t="n">
        <v>31</v>
      </c>
      <c r="B366" s="2" t="inlineStr">
        <is>
          <t>Consumer Protection Cooperation Regulation</t>
        </is>
      </c>
      <c r="C366" s="2" t="inlineStr">
        <is>
          <t>32017R2394</t>
        </is>
      </c>
      <c r="D366" s="2" t="inlineStr">
        <is>
          <t>32019D2213</t>
        </is>
      </c>
      <c r="E366" s="2" t="inlineStr">
        <is>
          <t>implementing</t>
        </is>
      </c>
      <c r="F366" s="2" t="inlineStr">
        <is>
          <t>DEC_IMPL</t>
        </is>
      </c>
      <c r="G366" s="2" t="inlineStr">
        <is>
          <t>2019-12-20</t>
        </is>
      </c>
      <c r="H366" s="2" t="inlineStr">
        <is>
          <t>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is>
      </c>
      <c r="I366" s="2" t="inlineStr">
        <is>
          <t>no</t>
        </is>
      </c>
      <c r="J366" s="2" t="inlineStr">
        <is>
          <t>https://eur-lex.europa.eu/legal-content/EN/TXT/?uri=CELEX:32019D2213</t>
        </is>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t="inlineStr"/>
    </row>
    <row r="367">
      <c r="A367" s="2" t="n">
        <v>32</v>
      </c>
      <c r="B367" s="2" t="inlineStr">
        <is>
          <t>European Electronic Communications Code</t>
        </is>
      </c>
      <c r="C367" s="2" t="inlineStr">
        <is>
          <t>32018L1972</t>
        </is>
      </c>
      <c r="D367" s="2" t="inlineStr">
        <is>
          <t>32019D0235</t>
        </is>
      </c>
      <c r="E367" s="2" t="inlineStr">
        <is>
          <t>implementing</t>
        </is>
      </c>
      <c r="F367" s="2" t="inlineStr">
        <is>
          <t>DEC_IMPL</t>
        </is>
      </c>
      <c r="G367" s="2" t="inlineStr">
        <is>
          <t>2019-01-24</t>
        </is>
      </c>
      <c r="H367" s="2" t="inlineStr">
        <is>
          <t>Commission Implementing Decision (EU) 2019/235 of 24 January 2019 on amending Decision 2008/411/EC as regards an update of relevant technical conditions applicable to the 3400-3800 MHz frequency band (notified under document C(2019) 262) (Text with EEA relevance.)</t>
        </is>
      </c>
      <c r="I367" s="2" t="inlineStr">
        <is>
          <t>no</t>
        </is>
      </c>
      <c r="J367" s="2" t="inlineStr">
        <is>
          <t>https://eur-lex.europa.eu/legal-content/EN/TXT/?uri=CELEX:32019D0235</t>
        </is>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t="inlineStr"/>
    </row>
    <row r="368">
      <c r="A368" s="2" t="n">
        <v>32</v>
      </c>
      <c r="B368" s="2" t="inlineStr">
        <is>
          <t>European Electronic Communications Code</t>
        </is>
      </c>
      <c r="C368" s="2" t="inlineStr">
        <is>
          <t>32018L1972</t>
        </is>
      </c>
      <c r="D368" s="2" t="inlineStr">
        <is>
          <t>32019R2243</t>
        </is>
      </c>
      <c r="E368" s="2" t="inlineStr">
        <is>
          <t>implementing</t>
        </is>
      </c>
      <c r="F368" s="2" t="inlineStr">
        <is>
          <t>REG_IMPL</t>
        </is>
      </c>
      <c r="G368" s="2" t="inlineStr">
        <is>
          <t>2019-12-17</t>
        </is>
      </c>
      <c r="H368" s="2" t="inlineStr">
        <is>
          <t>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is>
      </c>
      <c r="I368" s="2" t="inlineStr">
        <is>
          <t>no</t>
        </is>
      </c>
      <c r="J368" s="2" t="inlineStr">
        <is>
          <t>https://eur-lex.europa.eu/legal-content/EN/TXT/?uri=CELEX:32019R2243</t>
        </is>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t="inlineStr"/>
    </row>
    <row r="369">
      <c r="A369" s="2" t="n">
        <v>32</v>
      </c>
      <c r="B369" s="2" t="inlineStr">
        <is>
          <t>European Electronic Communications Code</t>
        </is>
      </c>
      <c r="C369" s="2" t="inlineStr">
        <is>
          <t>32018L1972</t>
        </is>
      </c>
      <c r="D369" s="2" t="inlineStr">
        <is>
          <t>32020R0911</t>
        </is>
      </c>
      <c r="E369" s="2" t="inlineStr">
        <is>
          <t>implementing</t>
        </is>
      </c>
      <c r="F369" s="2" t="inlineStr">
        <is>
          <t>REG_IMPL</t>
        </is>
      </c>
      <c r="G369" s="2" t="inlineStr">
        <is>
          <t>2020-06-30</t>
        </is>
      </c>
      <c r="H369" s="2" t="inlineStr">
        <is>
          <t>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is>
      </c>
      <c r="I369" s="2" t="inlineStr">
        <is>
          <t>no</t>
        </is>
      </c>
      <c r="J369" s="2" t="inlineStr">
        <is>
          <t>https://eur-lex.europa.eu/legal-content/EN/TXT/?uri=CELEX:32020R0911</t>
        </is>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t="inlineStr"/>
    </row>
    <row r="370">
      <c r="A370" s="2" t="n">
        <v>32</v>
      </c>
      <c r="B370" s="2" t="inlineStr">
        <is>
          <t>European Electronic Communications Code</t>
        </is>
      </c>
      <c r="C370" s="2" t="inlineStr">
        <is>
          <t>32018L1972</t>
        </is>
      </c>
      <c r="D370" s="2" t="inlineStr">
        <is>
          <t>32020R1070</t>
        </is>
      </c>
      <c r="E370" s="2" t="inlineStr">
        <is>
          <t>implementing</t>
        </is>
      </c>
      <c r="F370" s="2" t="inlineStr">
        <is>
          <t>REG_IMPL</t>
        </is>
      </c>
      <c r="G370" s="2" t="inlineStr">
        <is>
          <t>2020-07-20</t>
        </is>
      </c>
      <c r="H370" s="2" t="inlineStr">
        <is>
          <t>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is>
      </c>
      <c r="I370" s="2" t="inlineStr">
        <is>
          <t>no</t>
        </is>
      </c>
      <c r="J370" s="2" t="inlineStr">
        <is>
          <t>https://eur-lex.europa.eu/legal-content/EN/TXT/?uri=CELEX:32020R1070</t>
        </is>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t="inlineStr"/>
    </row>
    <row r="371">
      <c r="A371" s="2" t="n">
        <v>32</v>
      </c>
      <c r="B371" s="2" t="inlineStr">
        <is>
          <t>European Electronic Communications Code</t>
        </is>
      </c>
      <c r="C371" s="2" t="inlineStr">
        <is>
          <t>32018L1972</t>
        </is>
      </c>
      <c r="D371" s="2" t="inlineStr">
        <is>
          <t>32020H2245</t>
        </is>
      </c>
      <c r="E371" s="2" t="inlineStr">
        <is>
          <t>guidance</t>
        </is>
      </c>
      <c r="F371" s="2" t="inlineStr">
        <is>
          <t>RECO</t>
        </is>
      </c>
      <c r="G371" s="2" t="inlineStr">
        <is>
          <t>2020-12-18</t>
        </is>
      </c>
      <c r="H371" s="2" t="inlineStr">
        <is>
          <t>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is>
      </c>
      <c r="I371" s="2" t="inlineStr">
        <is>
          <t>no</t>
        </is>
      </c>
      <c r="J371" s="2" t="inlineStr">
        <is>
          <t>https://eur-lex.europa.eu/legal-content/EN/TXT/?uri=CELEX:32020H2245</t>
        </is>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inlineStr">
        <is>
          <t>Guidance is non-binding: restriction counts mostly reflect obligations it restates</t>
        </is>
      </c>
    </row>
    <row r="372">
      <c r="A372" s="2" t="n">
        <v>32</v>
      </c>
      <c r="B372" s="2" t="inlineStr">
        <is>
          <t>European Electronic Communications Code</t>
        </is>
      </c>
      <c r="C372" s="2" t="inlineStr">
        <is>
          <t>32018L1972</t>
        </is>
      </c>
      <c r="D372" s="2" t="inlineStr">
        <is>
          <t>32021R0654</t>
        </is>
      </c>
      <c r="E372" s="2" t="inlineStr">
        <is>
          <t>delegated</t>
        </is>
      </c>
      <c r="F372" s="2" t="inlineStr">
        <is>
          <t>REG_DEL</t>
        </is>
      </c>
      <c r="G372" s="2" t="inlineStr">
        <is>
          <t>2020-12-18</t>
        </is>
      </c>
      <c r="H372" s="2" t="inlineStr">
        <is>
          <t>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is>
      </c>
      <c r="I372" s="2" t="inlineStr">
        <is>
          <t>no</t>
        </is>
      </c>
      <c r="J372" s="2" t="inlineStr">
        <is>
          <t>https://eur-lex.europa.eu/legal-content/EN/TXT/?uri=CELEX:32021R0654</t>
        </is>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t="inlineStr"/>
    </row>
    <row r="373">
      <c r="A373" s="2" t="n">
        <v>32</v>
      </c>
      <c r="B373" s="2" t="inlineStr">
        <is>
          <t>European Electronic Communications Code</t>
        </is>
      </c>
      <c r="C373" s="2" t="inlineStr">
        <is>
          <t>32018L1972</t>
        </is>
      </c>
      <c r="D373" s="2" t="inlineStr">
        <is>
          <t>32021H0554</t>
        </is>
      </c>
      <c r="E373" s="2" t="inlineStr">
        <is>
          <t>guidance</t>
        </is>
      </c>
      <c r="F373" s="2" t="inlineStr">
        <is>
          <t>RECO</t>
        </is>
      </c>
      <c r="G373" s="2" t="inlineStr">
        <is>
          <t>2021-03-30</t>
        </is>
      </c>
      <c r="H373" s="2" t="inlineStr">
        <is>
          <t>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is>
      </c>
      <c r="I373" s="2" t="inlineStr">
        <is>
          <t>no</t>
        </is>
      </c>
      <c r="J373" s="2" t="inlineStr">
        <is>
          <t>https://eur-lex.europa.eu/legal-content/EN/TXT/?uri=CELEX:32021H0554</t>
        </is>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inlineStr">
        <is>
          <t>Guidance is non-binding: restriction counts mostly reflect obligations it restates</t>
        </is>
      </c>
    </row>
    <row r="374">
      <c r="A374" s="2" t="n">
        <v>32</v>
      </c>
      <c r="B374" s="2" t="inlineStr">
        <is>
          <t>European Electronic Communications Code</t>
        </is>
      </c>
      <c r="C374" s="2" t="inlineStr">
        <is>
          <t>32018L1972</t>
        </is>
      </c>
      <c r="D374" s="2" t="inlineStr">
        <is>
          <t>32022D0173</t>
        </is>
      </c>
      <c r="E374" s="2" t="inlineStr">
        <is>
          <t>implementing</t>
        </is>
      </c>
      <c r="F374" s="2" t="inlineStr">
        <is>
          <t>DEC_IMPL</t>
        </is>
      </c>
      <c r="G374" s="2" t="inlineStr">
        <is>
          <t>2022-02-07</t>
        </is>
      </c>
      <c r="H374" s="2" t="inlineStr">
        <is>
          <t>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is>
      </c>
      <c r="I374" s="2" t="inlineStr">
        <is>
          <t>no</t>
        </is>
      </c>
      <c r="J374" s="2" t="inlineStr">
        <is>
          <t>https://eur-lex.europa.eu/legal-content/EN/TXT/?uri=CELEX:32022D0173</t>
        </is>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t="inlineStr"/>
    </row>
    <row r="375">
      <c r="A375" s="2" t="n">
        <v>32</v>
      </c>
      <c r="B375" s="2" t="inlineStr">
        <is>
          <t>European Electronic Communications Code</t>
        </is>
      </c>
      <c r="C375" s="2" t="inlineStr">
        <is>
          <t>32018L1972</t>
        </is>
      </c>
      <c r="D375" s="2" t="inlineStr">
        <is>
          <t>32023D0468</t>
        </is>
      </c>
      <c r="E375" s="2" t="inlineStr">
        <is>
          <t>implementing</t>
        </is>
      </c>
      <c r="F375" s="2" t="inlineStr">
        <is>
          <t>DEC_IMPL</t>
        </is>
      </c>
      <c r="G375" s="2" t="inlineStr">
        <is>
          <t>2022-11-25</t>
        </is>
      </c>
      <c r="H375" s="2" t="inlineStr">
        <is>
          <t>Commission Implementing Decision (EU) 2023/468 of 25 November 2022 amending Decision 2007/116/EC as regards the introduction of an additional reserved number beginning with 116 (notified under document C(2022) 8407)</t>
        </is>
      </c>
      <c r="I375" s="2" t="inlineStr">
        <is>
          <t>no</t>
        </is>
      </c>
      <c r="J375" s="2" t="inlineStr">
        <is>
          <t>https://eur-lex.europa.eu/legal-content/EN/TXT/?uri=CELEX:32023D0468</t>
        </is>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t="inlineStr"/>
    </row>
    <row r="376">
      <c r="A376" s="2" t="n">
        <v>32</v>
      </c>
      <c r="B376" s="2" t="inlineStr">
        <is>
          <t>European Electronic Communications Code</t>
        </is>
      </c>
      <c r="C376" s="2" t="inlineStr">
        <is>
          <t>32018L1972</t>
        </is>
      </c>
      <c r="D376" s="2" t="inlineStr">
        <is>
          <t>32023R0444</t>
        </is>
      </c>
      <c r="E376" s="2" t="inlineStr">
        <is>
          <t>delegated</t>
        </is>
      </c>
      <c r="F376" s="2" t="inlineStr">
        <is>
          <t>REG_DEL</t>
        </is>
      </c>
      <c r="G376" s="2" t="inlineStr">
        <is>
          <t>2022-12-16</t>
        </is>
      </c>
      <c r="H376" s="2" t="inlineStr">
        <is>
          <t>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is>
      </c>
      <c r="I376" s="2" t="inlineStr">
        <is>
          <t>no</t>
        </is>
      </c>
      <c r="J376" s="2" t="inlineStr">
        <is>
          <t>https://eur-lex.europa.eu/legal-content/EN/TXT/?uri=CELEX:32023R0444</t>
        </is>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t="inlineStr"/>
    </row>
    <row r="377">
      <c r="A377" s="2" t="n">
        <v>32</v>
      </c>
      <c r="B377" s="2" t="inlineStr">
        <is>
          <t>European Electronic Communications Code</t>
        </is>
      </c>
      <c r="C377" s="2" t="inlineStr">
        <is>
          <t>32018L1972</t>
        </is>
      </c>
      <c r="D377" s="2" t="inlineStr">
        <is>
          <t>32024R2000</t>
        </is>
      </c>
      <c r="E377" s="2" t="inlineStr">
        <is>
          <t>implementing</t>
        </is>
      </c>
      <c r="F377" s="2" t="inlineStr">
        <is>
          <t>REG_IMPL</t>
        </is>
      </c>
      <c r="G377" s="2" t="inlineStr">
        <is>
          <t>2024-07-24</t>
        </is>
      </c>
      <c r="H377" s="2" t="inlineStr">
        <is>
          <t>Commission Implementing Regulation (EU) 2024/2000 of 24 July 2024 amending Implementing Regulation (EU) 2020/1070 to rationalise reporting on its application and to enable the usage of active antenna systems</t>
        </is>
      </c>
      <c r="I377" s="2" t="inlineStr">
        <is>
          <t>no</t>
        </is>
      </c>
      <c r="J377" s="2" t="inlineStr">
        <is>
          <t>https://eur-lex.europa.eu/legal-content/EN/TXT/?uri=CELEX:32024R2000</t>
        </is>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t="inlineStr"/>
    </row>
    <row r="378">
      <c r="A378" s="2" t="n">
        <v>33</v>
      </c>
      <c r="B378" s="2" t="inlineStr">
        <is>
          <t>Copyright in the Digital Single Market Directive</t>
        </is>
      </c>
      <c r="C378" s="2" t="inlineStr">
        <is>
          <t>32019L0790</t>
        </is>
      </c>
      <c r="D378" s="2" t="inlineStr">
        <is>
          <t>52021DC0288</t>
        </is>
      </c>
      <c r="E378" s="2" t="inlineStr">
        <is>
          <t>guidance</t>
        </is>
      </c>
      <c r="F378" s="2" t="inlineStr">
        <is>
          <t>COMMUNIC</t>
        </is>
      </c>
      <c r="G378" s="2" t="inlineStr">
        <is>
          <t>2021-06-04</t>
        </is>
      </c>
      <c r="H378" s="2" t="inlineStr">
        <is>
          <t>COMMUNICATION FROM THE COMMISSION TO THE EUROPEAN PARLIAMENT AND THE COUNCIL Guidance on Article 17 of Directive 2019/790 on Copyright in the Digital Single Market</t>
        </is>
      </c>
      <c r="I378" s="2" t="inlineStr">
        <is>
          <t>no</t>
        </is>
      </c>
      <c r="J378" s="2" t="inlineStr">
        <is>
          <t>https://eur-lex.europa.eu/legal-content/EN/TXT/?uri=CELEX:52021DC0288</t>
        </is>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inlineStr">
        <is>
          <t>Guidance is non-binding: restriction counts mostly reflect obligations it restates</t>
        </is>
      </c>
    </row>
    <row r="379">
      <c r="A379" s="2" t="n">
        <v>35</v>
      </c>
      <c r="B379" s="2" t="inlineStr">
        <is>
          <t>Data protection by EU institutions Regulation</t>
        </is>
      </c>
      <c r="C379" s="2" t="inlineStr">
        <is>
          <t>32018R1725</t>
        </is>
      </c>
      <c r="D379" s="2" t="inlineStr">
        <is>
          <t>32021D0915</t>
        </is>
      </c>
      <c r="E379" s="2" t="inlineStr">
        <is>
          <t>implementing</t>
        </is>
      </c>
      <c r="F379" s="2" t="inlineStr">
        <is>
          <t>DEC_IMPL</t>
        </is>
      </c>
      <c r="G379" s="2" t="inlineStr">
        <is>
          <t>2021-06-04</t>
        </is>
      </c>
      <c r="H379" s="2" t="inlineStr">
        <is>
          <t>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is>
      </c>
      <c r="I379" s="2" t="inlineStr">
        <is>
          <t>no</t>
        </is>
      </c>
      <c r="J379" s="2" t="inlineStr">
        <is>
          <t>https://eur-lex.europa.eu/legal-content/EN/TXT/?uri=CELEX:32021D0915</t>
        </is>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t="inlineStr"/>
    </row>
    <row r="380">
      <c r="A380" s="2" t="n">
        <v>35</v>
      </c>
      <c r="B380" s="2" t="inlineStr">
        <is>
          <t>Data protection by EU institutions Regulation</t>
        </is>
      </c>
      <c r="C380" s="2" t="inlineStr">
        <is>
          <t>32018R1725</t>
        </is>
      </c>
      <c r="D380" s="2" t="inlineStr">
        <is>
          <t>32023D0975</t>
        </is>
      </c>
      <c r="E380" s="2" t="inlineStr">
        <is>
          <t>implementing</t>
        </is>
      </c>
      <c r="F380" s="2" t="inlineStr">
        <is>
          <t>DEC_IMPL</t>
        </is>
      </c>
      <c r="G380" s="2" t="inlineStr">
        <is>
          <t>2023-05-15</t>
        </is>
      </c>
      <c r="H380" s="2" t="inlineStr">
        <is>
          <t>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is>
      </c>
      <c r="I380" s="2" t="inlineStr">
        <is>
          <t>no</t>
        </is>
      </c>
      <c r="J380" s="2" t="inlineStr">
        <is>
          <t>https://eur-lex.europa.eu/legal-content/EN/TXT/?uri=CELEX:32023D0975</t>
        </is>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t="inlineStr"/>
    </row>
    <row r="381">
      <c r="A381" s="2" t="n">
        <v>36</v>
      </c>
      <c r="B381" s="2" t="inlineStr">
        <is>
          <t>Single Digital Gateway Regulation</t>
        </is>
      </c>
      <c r="C381" s="2" t="inlineStr">
        <is>
          <t>32018R1724</t>
        </is>
      </c>
      <c r="D381" s="2" t="inlineStr">
        <is>
          <t>52019XC0731(01)</t>
        </is>
      </c>
      <c r="E381" s="2" t="inlineStr">
        <is>
          <t>guidance</t>
        </is>
      </c>
      <c r="F381" s="2" t="inlineStr">
        <is>
          <t>NOTICE</t>
        </is>
      </c>
      <c r="G381" s="2" t="inlineStr">
        <is>
          <t>2019-07-31</t>
        </is>
      </c>
      <c r="H381" s="2" t="inlineStr">
        <is>
          <t>Commission notice — Guidelines for the implementation of the single digital gateway Regulation — 2019-2020 work programme</t>
        </is>
      </c>
      <c r="I381" s="2" t="inlineStr">
        <is>
          <t>no</t>
        </is>
      </c>
      <c r="J381" s="2" t="inlineStr">
        <is>
          <t>https://eur-lex.europa.eu/legal-content/EN/TXT/?uri=CELEX:52019XC0731(01)</t>
        </is>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inlineStr">
        <is>
          <t>Guidance is non-binding: restriction counts mostly reflect obligations it restates</t>
        </is>
      </c>
    </row>
    <row r="382">
      <c r="A382" s="2" t="n">
        <v>36</v>
      </c>
      <c r="B382" s="2" t="inlineStr">
        <is>
          <t>Single Digital Gateway Regulation</t>
        </is>
      </c>
      <c r="C382" s="2" t="inlineStr">
        <is>
          <t>32018R1724</t>
        </is>
      </c>
      <c r="D382" s="2" t="inlineStr">
        <is>
          <t>32020R1121</t>
        </is>
      </c>
      <c r="E382" s="2" t="inlineStr">
        <is>
          <t>implementing</t>
        </is>
      </c>
      <c r="F382" s="2" t="inlineStr">
        <is>
          <t>REG_IMPL</t>
        </is>
      </c>
      <c r="G382" s="2" t="inlineStr">
        <is>
          <t>2020-07-29</t>
        </is>
      </c>
      <c r="H382" s="2" t="inlineStr">
        <is>
          <t>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is>
      </c>
      <c r="I382" s="2" t="inlineStr">
        <is>
          <t>no</t>
        </is>
      </c>
      <c r="J382" s="2" t="inlineStr">
        <is>
          <t>https://eur-lex.europa.eu/legal-content/EN/TXT/?uri=CELEX:32020R1121</t>
        </is>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t="inlineStr"/>
    </row>
    <row r="383">
      <c r="A383" s="2" t="n">
        <v>36</v>
      </c>
      <c r="B383" s="2" t="inlineStr">
        <is>
          <t>Single Digital Gateway Regulation</t>
        </is>
      </c>
      <c r="C383" s="2" t="inlineStr">
        <is>
          <t>32018R1724</t>
        </is>
      </c>
      <c r="D383" s="2" t="inlineStr">
        <is>
          <t>52021XC0301(02)</t>
        </is>
      </c>
      <c r="E383" s="2" t="inlineStr">
        <is>
          <t>guidance</t>
        </is>
      </c>
      <c r="F383" s="2" t="inlineStr">
        <is>
          <t>NOTICE</t>
        </is>
      </c>
      <c r="G383" s="2" t="inlineStr">
        <is>
          <t>2021-03-01</t>
        </is>
      </c>
      <c r="H383" s="2" t="inlineStr">
        <is>
          <t>Commission Notice Guidelines for the implementation of the single digital gateway Regulation 2021-2022 work programme (Text with EEA relevance) 2021/C 71/02</t>
        </is>
      </c>
      <c r="I383" s="2" t="inlineStr">
        <is>
          <t>no</t>
        </is>
      </c>
      <c r="J383" s="2" t="inlineStr">
        <is>
          <t>https://eur-lex.europa.eu/legal-content/EN/TXT/?uri=CELEX:52021XC0301(02)</t>
        </is>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inlineStr">
        <is>
          <t>Guidance is non-binding: restriction counts mostly reflect obligations it restates</t>
        </is>
      </c>
    </row>
    <row r="384">
      <c r="A384" s="2" t="n">
        <v>36</v>
      </c>
      <c r="B384" s="2" t="inlineStr">
        <is>
          <t>Single Digital Gateway Regulation</t>
        </is>
      </c>
      <c r="C384" s="2" t="inlineStr">
        <is>
          <t>32018R1724</t>
        </is>
      </c>
      <c r="D384" s="2" t="inlineStr">
        <is>
          <t>32022R1463</t>
        </is>
      </c>
      <c r="E384" s="2" t="inlineStr">
        <is>
          <t>implementing</t>
        </is>
      </c>
      <c r="F384" s="2" t="inlineStr">
        <is>
          <t>REG_IMPL</t>
        </is>
      </c>
      <c r="G384" s="2" t="inlineStr">
        <is>
          <t>2022-08-05</t>
        </is>
      </c>
      <c r="H384" s="2" t="inlineStr">
        <is>
          <t>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is>
      </c>
      <c r="I384" s="2" t="inlineStr">
        <is>
          <t>no</t>
        </is>
      </c>
      <c r="J384" s="2" t="inlineStr">
        <is>
          <t>https://eur-lex.europa.eu/legal-content/EN/TXT/?uri=CELEX:32022R1463</t>
        </is>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t="inlineStr"/>
    </row>
    <row r="385">
      <c r="A385" s="2" t="n">
        <v>36</v>
      </c>
      <c r="B385" s="2" t="inlineStr">
        <is>
          <t>Single Digital Gateway Regulation</t>
        </is>
      </c>
      <c r="C385" s="2" t="inlineStr">
        <is>
          <t>32018R1724</t>
        </is>
      </c>
      <c r="D385" s="2" t="inlineStr">
        <is>
          <t>52023XC0515(02)</t>
        </is>
      </c>
      <c r="E385" s="2" t="inlineStr">
        <is>
          <t>guidance</t>
        </is>
      </c>
      <c r="F385" s="2" t="inlineStr">
        <is>
          <t>NOTICE</t>
        </is>
      </c>
      <c r="G385" s="2" t="inlineStr">
        <is>
          <t>2023-05-15</t>
        </is>
      </c>
      <c r="H385" s="2" t="inlineStr">
        <is>
          <t>Commission Notice Guidelines for the implementation of the single digital gateway Regulation 2023-2024 work programme 2023/C 172/02</t>
        </is>
      </c>
      <c r="I385" s="2" t="inlineStr">
        <is>
          <t>no</t>
        </is>
      </c>
      <c r="J385" s="2" t="inlineStr">
        <is>
          <t>https://eur-lex.europa.eu/legal-content/EN/TXT/?uri=CELEX:52023XC0515(02)</t>
        </is>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inlineStr">
        <is>
          <t>Guidance is non-binding: restriction counts mostly reflect obligations it restates</t>
        </is>
      </c>
    </row>
    <row r="386">
      <c r="A386" s="2" t="n">
        <v>36</v>
      </c>
      <c r="B386" s="2" t="inlineStr">
        <is>
          <t>Single Digital Gateway Regulation</t>
        </is>
      </c>
      <c r="C386" s="2" t="inlineStr">
        <is>
          <t>32018R1724</t>
        </is>
      </c>
      <c r="D386" s="2" t="inlineStr">
        <is>
          <t>52025XC05013</t>
        </is>
      </c>
      <c r="E386" s="2" t="inlineStr">
        <is>
          <t>guidance</t>
        </is>
      </c>
      <c r="F386" s="2" t="inlineStr">
        <is>
          <t>NOTICE</t>
        </is>
      </c>
      <c r="G386" s="2" t="inlineStr">
        <is>
          <t>2025-09-16</t>
        </is>
      </c>
      <c r="H386" s="2" t="inlineStr">
        <is>
          <t>COMMISSION NOTICE – Guidelines for the implementation of the Single Digital Gateway Regulation 2025-2026 work programme</t>
        </is>
      </c>
      <c r="I386" s="2" t="inlineStr">
        <is>
          <t>no</t>
        </is>
      </c>
      <c r="J386" s="2" t="inlineStr">
        <is>
          <t>https://eur-lex.europa.eu/legal-content/EN/TXT/?uri=CELEX:52025XC05013</t>
        </is>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inlineStr">
        <is>
          <t>Guidance is non-binding: restriction counts mostly reflect obligations it restates</t>
        </is>
      </c>
    </row>
    <row r="387">
      <c r="A387" s="2" t="n">
        <v>37</v>
      </c>
      <c r="B387" s="2" t="inlineStr">
        <is>
          <t>Cybersecurity Act</t>
        </is>
      </c>
      <c r="C387" s="2" t="inlineStr">
        <is>
          <t>32019R0881</t>
        </is>
      </c>
      <c r="D387" s="2" t="inlineStr">
        <is>
          <t>32024R0482</t>
        </is>
      </c>
      <c r="E387" s="2" t="inlineStr">
        <is>
          <t>implementing</t>
        </is>
      </c>
      <c r="F387" s="2" t="inlineStr">
        <is>
          <t>REG_IMPL</t>
        </is>
      </c>
      <c r="G387" s="2" t="inlineStr">
        <is>
          <t>2024-01-31</t>
        </is>
      </c>
      <c r="H387" s="2" t="inlineStr">
        <is>
          <t>Commission Implementing Regulation (EU) 2024/482 of 31 January 2024 laying down rules for the application of Regulation (EU) 2019/881 of the European Parliament and of the Council as regards the adoption of the European Common Criteria-based cybersecurity certification scheme (EUCC)</t>
        </is>
      </c>
      <c r="I387" s="2" t="inlineStr">
        <is>
          <t>no</t>
        </is>
      </c>
      <c r="J387" s="2" t="inlineStr">
        <is>
          <t>https://eur-lex.europa.eu/legal-content/EN/TXT/?uri=CELEX:32024R0482</t>
        </is>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t="inlineStr"/>
    </row>
    <row r="388">
      <c r="A388" s="2" t="n">
        <v>37</v>
      </c>
      <c r="B388" s="2" t="inlineStr">
        <is>
          <t>Cybersecurity Act</t>
        </is>
      </c>
      <c r="C388" s="2" t="inlineStr">
        <is>
          <t>32019R0881</t>
        </is>
      </c>
      <c r="D388" s="2" t="inlineStr">
        <is>
          <t>32024R3143</t>
        </is>
      </c>
      <c r="E388" s="2" t="inlineStr">
        <is>
          <t>implementing</t>
        </is>
      </c>
      <c r="F388" s="2" t="inlineStr">
        <is>
          <t>REG_IMPL</t>
        </is>
      </c>
      <c r="G388" s="2" t="inlineStr">
        <is>
          <t>2024-12-18</t>
        </is>
      </c>
      <c r="H388" s="2" t="inlineStr">
        <is>
          <t>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is>
      </c>
      <c r="I388" s="2" t="inlineStr">
        <is>
          <t>no</t>
        </is>
      </c>
      <c r="J388" s="2" t="inlineStr">
        <is>
          <t>https://eur-lex.europa.eu/legal-content/EN/TXT/?uri=CELEX:32024R3143</t>
        </is>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t="inlineStr"/>
    </row>
    <row r="389">
      <c r="A389" s="2" t="n">
        <v>37</v>
      </c>
      <c r="B389" s="2" t="inlineStr">
        <is>
          <t>Cybersecurity Act</t>
        </is>
      </c>
      <c r="C389" s="2" t="inlineStr">
        <is>
          <t>32019R0881</t>
        </is>
      </c>
      <c r="D389" s="2" t="inlineStr">
        <is>
          <t>32024R3144</t>
        </is>
      </c>
      <c r="E389" s="2" t="inlineStr">
        <is>
          <t>implementing</t>
        </is>
      </c>
      <c r="F389" s="2" t="inlineStr">
        <is>
          <t>REG_IMPL</t>
        </is>
      </c>
      <c r="G389" s="2" t="inlineStr">
        <is>
          <t>2024-12-18</t>
        </is>
      </c>
      <c r="H389" s="2" t="inlineStr">
        <is>
          <t>Commission Implementing Regulation (EU) 2024/3144 of 18 December 2024 amending Implementing Regulation (EU) 2024/482 as regards applicable international standards and correcting that Implementing Regulation</t>
        </is>
      </c>
      <c r="I389" s="2" t="inlineStr">
        <is>
          <t>no</t>
        </is>
      </c>
      <c r="J389" s="2" t="inlineStr">
        <is>
          <t>https://eur-lex.europa.eu/legal-content/EN/TXT/?uri=CELEX:32024R3144</t>
        </is>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t="inlineStr"/>
    </row>
    <row r="390">
      <c r="A390" s="2" t="n">
        <v>37</v>
      </c>
      <c r="B390" s="2" t="inlineStr">
        <is>
          <t>Cybersecurity Act</t>
        </is>
      </c>
      <c r="C390" s="2" t="inlineStr">
        <is>
          <t>32019R0881</t>
        </is>
      </c>
      <c r="D390" s="2" t="inlineStr">
        <is>
          <t>32025R2462</t>
        </is>
      </c>
      <c r="E390" s="2" t="inlineStr">
        <is>
          <t>implementing</t>
        </is>
      </c>
      <c r="F390" s="2" t="inlineStr">
        <is>
          <t>REG_IMPL</t>
        </is>
      </c>
      <c r="G390" s="2" t="inlineStr">
        <is>
          <t>2025-12-08</t>
        </is>
      </c>
      <c r="H390" s="2" t="inlineStr">
        <is>
          <t>Commission Implementing Regulation (EU) 2025/2462 of 8 December 2025 amending Implementing Regulation (EU) 2024/482 as regards definitions, ICT product series certification, assurance continuity and state-of-the-art documents</t>
        </is>
      </c>
      <c r="I390" s="2" t="inlineStr">
        <is>
          <t>no</t>
        </is>
      </c>
      <c r="J390" s="2" t="inlineStr">
        <is>
          <t>https://eur-lex.europa.eu/legal-content/EN/TXT/?uri=CELEX:32025R2462</t>
        </is>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t="inlineStr"/>
    </row>
    <row r="391">
      <c r="A391" s="2" t="n">
        <v>37</v>
      </c>
      <c r="B391" s="2" t="inlineStr">
        <is>
          <t>Cybersecurity Act</t>
        </is>
      </c>
      <c r="C391" s="2" t="inlineStr">
        <is>
          <t>32019R0881</t>
        </is>
      </c>
      <c r="D391" s="2" t="inlineStr">
        <is>
          <t>32025R2540</t>
        </is>
      </c>
      <c r="E391" s="2" t="inlineStr">
        <is>
          <t>implementing</t>
        </is>
      </c>
      <c r="F391" s="2" t="inlineStr">
        <is>
          <t>REG_IMPL</t>
        </is>
      </c>
      <c r="G391" s="2" t="inlineStr">
        <is>
          <t>2025-12-09</t>
        </is>
      </c>
      <c r="H391" s="2" t="inlineStr">
        <is>
          <t>Commission Implementing Regulation (EU) 2025/2540 of 9 December 2025 laying down rules for the application of Regulation (EU) 2019/881 of the European Parliament and of the Council as regards the establishment of the plan for peer review</t>
        </is>
      </c>
      <c r="I391" s="2" t="inlineStr">
        <is>
          <t>no</t>
        </is>
      </c>
      <c r="J391" s="2" t="inlineStr">
        <is>
          <t>https://eur-lex.europa.eu/legal-content/EN/TXT/?uri=CELEX:32025R2540</t>
        </is>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t="inlineStr"/>
    </row>
    <row r="392">
      <c r="A392" s="2" t="n">
        <v>38</v>
      </c>
      <c r="B392" s="2" t="inlineStr">
        <is>
          <t>Free Flow of Non-Personal Data Regulation</t>
        </is>
      </c>
      <c r="C392" s="2" t="inlineStr">
        <is>
          <t>32018R1807</t>
        </is>
      </c>
      <c r="D392" s="2" t="inlineStr">
        <is>
          <t>52019DC0250</t>
        </is>
      </c>
      <c r="E392" s="2" t="inlineStr">
        <is>
          <t>guidance</t>
        </is>
      </c>
      <c r="F392" s="2" t="inlineStr">
        <is>
          <t>COMMUNIC</t>
        </is>
      </c>
      <c r="G392" s="2" t="inlineStr">
        <is>
          <t>2019-05-29</t>
        </is>
      </c>
      <c r="H392" s="2" t="inlineStr">
        <is>
          <t>COMMUNICATION FROM THE COMMISSION TO THE EUROPEAN PARLIAMENT AND THE COUNCIL Guidance on the Regulation on a framework for the free flow of non-personal data in the European Union</t>
        </is>
      </c>
      <c r="I392" s="2" t="inlineStr">
        <is>
          <t>no</t>
        </is>
      </c>
      <c r="J392" s="2" t="inlineStr">
        <is>
          <t>https://eur-lex.europa.eu/legal-content/EN/TXT/?uri=CELEX:52019DC0250</t>
        </is>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inlineStr">
        <is>
          <t>Guidance is non-binding: restriction counts mostly reflect obligations it restates</t>
        </is>
      </c>
    </row>
    <row r="393">
      <c r="A393" s="2" t="n">
        <v>39</v>
      </c>
      <c r="B393" s="2" t="inlineStr">
        <is>
          <t>FDI Screening Regulation</t>
        </is>
      </c>
      <c r="C393" s="2" t="inlineStr">
        <is>
          <t>32019R0452</t>
        </is>
      </c>
      <c r="D393" s="2" t="inlineStr">
        <is>
          <t>52020XC0326(03)</t>
        </is>
      </c>
      <c r="E393" s="2" t="inlineStr">
        <is>
          <t>guidance</t>
        </is>
      </c>
      <c r="F393" s="2" t="inlineStr">
        <is>
          <t>NOTICE</t>
        </is>
      </c>
      <c r="G393" s="2" t="inlineStr">
        <is>
          <t>2020-03-26</t>
        </is>
      </c>
      <c r="H393" s="2" t="inlineStr">
        <is>
          <t>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is>
      </c>
      <c r="I393" s="2" t="inlineStr">
        <is>
          <t>no</t>
        </is>
      </c>
      <c r="J393" s="2" t="inlineStr">
        <is>
          <t>https://eur-lex.europa.eu/legal-content/EN/TXT/?uri=CELEX:52020XC0326(03)</t>
        </is>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inlineStr">
        <is>
          <t>Guidance is non-binding: restriction counts mostly reflect obligations it restates</t>
        </is>
      </c>
    </row>
    <row r="394">
      <c r="A394" s="2" t="n">
        <v>39</v>
      </c>
      <c r="B394" s="2" t="inlineStr">
        <is>
          <t>FDI Screening Regulation</t>
        </is>
      </c>
      <c r="C394" s="2" t="inlineStr">
        <is>
          <t>32019R0452</t>
        </is>
      </c>
      <c r="D394" s="2" t="inlineStr">
        <is>
          <t>32020R1298</t>
        </is>
      </c>
      <c r="E394" s="2" t="inlineStr">
        <is>
          <t>delegated</t>
        </is>
      </c>
      <c r="F394" s="2" t="inlineStr">
        <is>
          <t>REG_DEL</t>
        </is>
      </c>
      <c r="G394" s="2" t="inlineStr">
        <is>
          <t>2020-07-13</t>
        </is>
      </c>
      <c r="H394" s="2" t="inlineStr">
        <is>
          <t>Commission Delegated Regulation (EU) 2020/1298 of 13 July 2020 amending the Annex to Regulation (EU) 2019/452 of the European Parliament and of the Council establishing a framework for the screening of foreign direct investments into the Union</t>
        </is>
      </c>
      <c r="I394" s="2" t="inlineStr">
        <is>
          <t>no</t>
        </is>
      </c>
      <c r="J394" s="2" t="inlineStr">
        <is>
          <t>https://eur-lex.europa.eu/legal-content/EN/TXT/?uri=CELEX:32020R1298</t>
        </is>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t="inlineStr"/>
    </row>
    <row r="395">
      <c r="A395" s="2" t="n">
        <v>39</v>
      </c>
      <c r="B395" s="2" t="inlineStr">
        <is>
          <t>FDI Screening Regulation</t>
        </is>
      </c>
      <c r="C395" s="2" t="inlineStr">
        <is>
          <t>32019R0452</t>
        </is>
      </c>
      <c r="D395" s="2" t="inlineStr">
        <is>
          <t>32021R2126</t>
        </is>
      </c>
      <c r="E395" s="2" t="inlineStr">
        <is>
          <t>delegated</t>
        </is>
      </c>
      <c r="F395" s="2" t="inlineStr">
        <is>
          <t>REG_DEL</t>
        </is>
      </c>
      <c r="G395" s="2" t="inlineStr">
        <is>
          <t>2021-09-29</t>
        </is>
      </c>
      <c r="H395" s="2" t="inlineStr">
        <is>
          <t>Commission Delegated Regulation (EU) 2021/2126 of 29 September 2021 amending the Annex to Regulation (EU) 2019/452 of the European Parliament and of the Council establishing a framework for the screening of foreign direct investments into the Union</t>
        </is>
      </c>
      <c r="I395" s="2" t="inlineStr">
        <is>
          <t>no</t>
        </is>
      </c>
      <c r="J395" s="2" t="inlineStr">
        <is>
          <t>https://eur-lex.europa.eu/legal-content/EN/TXT/?uri=CELEX:32021R2126</t>
        </is>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t="inlineStr"/>
    </row>
    <row r="396">
      <c r="A396" s="2" t="n">
        <v>41</v>
      </c>
      <c r="B396" s="2" t="inlineStr">
        <is>
          <t>Market Surveillance Regulation</t>
        </is>
      </c>
      <c r="C396" s="2" t="inlineStr">
        <is>
          <t>32019R1020</t>
        </is>
      </c>
      <c r="D396" s="2" t="inlineStr">
        <is>
          <t>52021XC0323(01)</t>
        </is>
      </c>
      <c r="E396" s="2" t="inlineStr">
        <is>
          <t>guidance</t>
        </is>
      </c>
      <c r="F396" s="2" t="inlineStr">
        <is>
          <t>NOTICE</t>
        </is>
      </c>
      <c r="G396" s="2" t="inlineStr">
        <is>
          <t>2021-03-23</t>
        </is>
      </c>
      <c r="H396" s="2" t="inlineStr">
        <is>
          <t>Commission Notice Guidelines for economic operators and market surveillance authorities on the practical implementation of Article 4 of Regulation (EU) 2019/1020 on market surveillance and compliance of products (Text with EEA relevance) 2021/C 100/01</t>
        </is>
      </c>
      <c r="I396" s="2" t="inlineStr">
        <is>
          <t>no</t>
        </is>
      </c>
      <c r="J396" s="2" t="inlineStr">
        <is>
          <t>https://eur-lex.europa.eu/legal-content/EN/TXT/?uri=CELEX:52021XC0323(01)</t>
        </is>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inlineStr">
        <is>
          <t>Guidance is non-binding: restriction counts mostly reflect obligations it restates</t>
        </is>
      </c>
    </row>
    <row r="397">
      <c r="A397" s="2" t="n">
        <v>41</v>
      </c>
      <c r="B397" s="2" t="inlineStr">
        <is>
          <t>Market Surveillance Regulation</t>
        </is>
      </c>
      <c r="C397" s="2" t="inlineStr">
        <is>
          <t>32019R1020</t>
        </is>
      </c>
      <c r="D397" s="2" t="inlineStr">
        <is>
          <t>32021R1121</t>
        </is>
      </c>
      <c r="E397" s="2" t="inlineStr">
        <is>
          <t>implementing</t>
        </is>
      </c>
      <c r="F397" s="2" t="inlineStr">
        <is>
          <t>REG_IMPL</t>
        </is>
      </c>
      <c r="G397" s="2" t="inlineStr">
        <is>
          <t>2021-07-08</t>
        </is>
      </c>
      <c r="H397" s="2" t="inlineStr">
        <is>
          <t>Commission Implementing Regulation (EU) 2021/1121 of 8 July 2021 specifying the details of the statistical data to be submitted by the Member States as regards controls on products entering the Union market with regard to product safety and compliance (Text with EEA relevance)</t>
        </is>
      </c>
      <c r="I397" s="2" t="inlineStr">
        <is>
          <t>no</t>
        </is>
      </c>
      <c r="J397" s="2" t="inlineStr">
        <is>
          <t>https://eur-lex.europa.eu/legal-content/EN/TXT/?uri=CELEX:32021R1121</t>
        </is>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t="inlineStr"/>
    </row>
    <row r="398">
      <c r="A398" s="2" t="n">
        <v>41</v>
      </c>
      <c r="B398" s="2" t="inlineStr">
        <is>
          <t>Market Surveillance Regulation</t>
        </is>
      </c>
      <c r="C398" s="2" t="inlineStr">
        <is>
          <t>32019R1020</t>
        </is>
      </c>
      <c r="D398" s="2" t="inlineStr">
        <is>
          <t>32021R2248</t>
        </is>
      </c>
      <c r="E398" s="2" t="inlineStr">
        <is>
          <t>implementing</t>
        </is>
      </c>
      <c r="F398" s="2" t="inlineStr">
        <is>
          <t>REG_IMPL</t>
        </is>
      </c>
      <c r="G398" s="2" t="inlineStr">
        <is>
          <t>2021-12-16</t>
        </is>
      </c>
      <c r="H398" s="2" t="inlineStr">
        <is>
          <t>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is>
      </c>
      <c r="I398" s="2" t="inlineStr">
        <is>
          <t>no</t>
        </is>
      </c>
      <c r="J398" s="2" t="inlineStr">
        <is>
          <t>https://eur-lex.europa.eu/legal-content/EN/TXT/?uri=CELEX:32021R2248</t>
        </is>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t="inlineStr"/>
    </row>
    <row r="399">
      <c r="A399" s="2" t="n">
        <v>41</v>
      </c>
      <c r="B399" s="2" t="inlineStr">
        <is>
          <t>Market Surveillance Regulation</t>
        </is>
      </c>
      <c r="C399" s="2" t="inlineStr">
        <is>
          <t>32019R1020</t>
        </is>
      </c>
      <c r="D399" s="2" t="inlineStr">
        <is>
          <t>32022R1267</t>
        </is>
      </c>
      <c r="E399" s="2" t="inlineStr">
        <is>
          <t>implementing</t>
        </is>
      </c>
      <c r="F399" s="2" t="inlineStr">
        <is>
          <t>REG_IMPL</t>
        </is>
      </c>
      <c r="G399" s="2" t="inlineStr">
        <is>
          <t>2022-07-20</t>
        </is>
      </c>
      <c r="H399" s="2" t="inlineStr">
        <is>
          <t>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is>
      </c>
      <c r="I399" s="2" t="inlineStr">
        <is>
          <t>no</t>
        </is>
      </c>
      <c r="J399" s="2" t="inlineStr">
        <is>
          <t>https://eur-lex.europa.eu/legal-content/EN/TXT/?uri=CELEX:32022R1267</t>
        </is>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t="inlineStr"/>
    </row>
    <row r="400">
      <c r="A400" s="2" t="n">
        <v>41</v>
      </c>
      <c r="B400" s="2" t="inlineStr">
        <is>
          <t>Market Surveillance Regulation</t>
        </is>
      </c>
      <c r="C400" s="2" t="inlineStr">
        <is>
          <t>32019R1020</t>
        </is>
      </c>
      <c r="D400" s="2" t="inlineStr">
        <is>
          <t>32023D0733</t>
        </is>
      </c>
      <c r="E400" s="2" t="inlineStr">
        <is>
          <t>implementing</t>
        </is>
      </c>
      <c r="F400" s="2" t="inlineStr">
        <is>
          <t>DEC_IMPL</t>
        </is>
      </c>
      <c r="G400" s="2" t="inlineStr">
        <is>
          <t>2023-04-03</t>
        </is>
      </c>
      <c r="H400" s="2" t="inlineStr">
        <is>
          <t>Commission Implementing Decision (EU) 2023/733 of 3 April 2023 designating Union testing facilities for radio equipment and toys in accordance with Regulation (EU) 2019/1020 of the European Parliament and of the Council</t>
        </is>
      </c>
      <c r="I400" s="2" t="inlineStr">
        <is>
          <t>no</t>
        </is>
      </c>
      <c r="J400" s="2" t="inlineStr">
        <is>
          <t>https://eur-lex.europa.eu/legal-content/EN/TXT/?uri=CELEX:32023D0733</t>
        </is>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t="inlineStr"/>
    </row>
    <row r="401">
      <c r="A401" s="2" t="n">
        <v>41</v>
      </c>
      <c r="B401" s="2" t="inlineStr">
        <is>
          <t>Market Surveillance Regulation</t>
        </is>
      </c>
      <c r="C401" s="2" t="inlineStr">
        <is>
          <t>32019R1020</t>
        </is>
      </c>
      <c r="D401" s="2" t="inlineStr">
        <is>
          <t>32023D0975</t>
        </is>
      </c>
      <c r="E401" s="2" t="inlineStr">
        <is>
          <t>implementing</t>
        </is>
      </c>
      <c r="F401" s="2" t="inlineStr">
        <is>
          <t>DEC_IMPL</t>
        </is>
      </c>
      <c r="G401" s="2" t="inlineStr">
        <is>
          <t>2023-05-15</t>
        </is>
      </c>
      <c r="H401" s="2" t="inlineStr">
        <is>
          <t>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is>
      </c>
      <c r="I401" s="2" t="inlineStr">
        <is>
          <t>no</t>
        </is>
      </c>
      <c r="J401" s="2" t="inlineStr">
        <is>
          <t>https://eur-lex.europa.eu/legal-content/EN/TXT/?uri=CELEX:32023D0975</t>
        </is>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t="inlineStr"/>
    </row>
    <row r="402">
      <c r="A402" s="2" t="n">
        <v>41</v>
      </c>
      <c r="B402" s="2" t="inlineStr">
        <is>
          <t>Market Surveillance Regulation</t>
        </is>
      </c>
      <c r="C402" s="2" t="inlineStr">
        <is>
          <t>32019R1020</t>
        </is>
      </c>
      <c r="D402" s="2" t="inlineStr">
        <is>
          <t>32023R2712</t>
        </is>
      </c>
      <c r="E402" s="2" t="inlineStr">
        <is>
          <t>implementing</t>
        </is>
      </c>
      <c r="F402" s="2" t="inlineStr">
        <is>
          <t>REG_IMPL</t>
        </is>
      </c>
      <c r="G402" s="2" t="inlineStr">
        <is>
          <t>2023-12-05</t>
        </is>
      </c>
      <c r="H402" s="2" t="inlineStr">
        <is>
          <t>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is>
      </c>
      <c r="I402" s="2" t="inlineStr">
        <is>
          <t>no</t>
        </is>
      </c>
      <c r="J402" s="2" t="inlineStr">
        <is>
          <t>https://eur-lex.europa.eu/legal-content/EN/TXT/?uri=CELEX:32023R2712</t>
        </is>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t="inlineStr"/>
    </row>
    <row r="403">
      <c r="A403" s="2" t="n">
        <v>41</v>
      </c>
      <c r="B403" s="2" t="inlineStr">
        <is>
          <t>Market Surveillance Regulation</t>
        </is>
      </c>
      <c r="C403" s="2" t="inlineStr">
        <is>
          <t>32019R1020</t>
        </is>
      </c>
      <c r="D403" s="2" t="inlineStr">
        <is>
          <t>32024D1456</t>
        </is>
      </c>
      <c r="E403" s="2" t="inlineStr">
        <is>
          <t>implementing</t>
        </is>
      </c>
      <c r="F403" s="2" t="inlineStr">
        <is>
          <t>DEC_IMPL</t>
        </is>
      </c>
      <c r="G403" s="2" t="inlineStr">
        <is>
          <t>2024-05-27</t>
        </is>
      </c>
      <c r="H403" s="2" t="inlineStr">
        <is>
          <t>Commission Implementing Decision (EU) 2024/1456 of 27 May 2024 designating a Union testing facility for eco-design and energy labelling in accordance with Regulation (EU) 2019/1020 of the European Parliament and of the Council</t>
        </is>
      </c>
      <c r="I403" s="2" t="inlineStr">
        <is>
          <t>no</t>
        </is>
      </c>
      <c r="J403" s="2" t="inlineStr">
        <is>
          <t>https://eur-lex.europa.eu/legal-content/EN/TXT/?uri=CELEX:32024D1456</t>
        </is>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t="inlineStr"/>
    </row>
    <row r="404">
      <c r="A404" s="2" t="n">
        <v>41</v>
      </c>
      <c r="B404" s="2" t="inlineStr">
        <is>
          <t>Market Surveillance Regulation</t>
        </is>
      </c>
      <c r="C404" s="2" t="inlineStr">
        <is>
          <t>32019R1020</t>
        </is>
      </c>
      <c r="D404" s="2" t="inlineStr">
        <is>
          <t>32024R2216</t>
        </is>
      </c>
      <c r="E404" s="2" t="inlineStr">
        <is>
          <t>implementing</t>
        </is>
      </c>
      <c r="F404" s="2" t="inlineStr">
        <is>
          <t>REG_IMPL</t>
        </is>
      </c>
      <c r="G404" s="2" t="inlineStr">
        <is>
          <t>2024-09-06</t>
        </is>
      </c>
      <c r="H404" s="2" t="inlineStr">
        <is>
          <t>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is>
      </c>
      <c r="I404" s="2" t="inlineStr">
        <is>
          <t>no</t>
        </is>
      </c>
      <c r="J404" s="2" t="inlineStr">
        <is>
          <t>https://eur-lex.europa.eu/legal-content/EN/TXT/?uri=CELEX:32024R2216</t>
        </is>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t="inlineStr"/>
    </row>
    <row r="405">
      <c r="A405" s="2" t="n">
        <v>41</v>
      </c>
      <c r="B405" s="2" t="inlineStr">
        <is>
          <t>Market Surveillance Regulation</t>
        </is>
      </c>
      <c r="C405" s="2" t="inlineStr">
        <is>
          <t>32019R1020</t>
        </is>
      </c>
      <c r="D405" s="2" t="inlineStr">
        <is>
          <t>32025D0526</t>
        </is>
      </c>
      <c r="E405" s="2" t="inlineStr">
        <is>
          <t>implementing</t>
        </is>
      </c>
      <c r="F405" s="2" t="inlineStr">
        <is>
          <t>DEC_IMPL</t>
        </is>
      </c>
      <c r="G405" s="2" t="inlineStr">
        <is>
          <t>2025-03-21</t>
        </is>
      </c>
      <c r="H405" s="2" t="inlineStr">
        <is>
          <t>Commission Implementing Decision (EU) 2025/526 of 21 March 2025 designating a Union testing facility for electromagnetic compatibility in accordance with Regulation (EU) 2019/1020 of the European Parliament and of the Council</t>
        </is>
      </c>
      <c r="I405" s="2" t="inlineStr">
        <is>
          <t>no</t>
        </is>
      </c>
      <c r="J405" s="2" t="inlineStr">
        <is>
          <t>https://eur-lex.europa.eu/legal-content/EN/TXT/?uri=CELEX:32025D0526</t>
        </is>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t="inlineStr"/>
    </row>
    <row r="406">
      <c r="A406" s="2" t="n">
        <v>41</v>
      </c>
      <c r="B406" s="2" t="inlineStr">
        <is>
          <t>Market Surveillance Regulation</t>
        </is>
      </c>
      <c r="C406" s="2" t="inlineStr">
        <is>
          <t>32019R1020</t>
        </is>
      </c>
      <c r="D406" s="2" t="inlineStr">
        <is>
          <t>32026D1481</t>
        </is>
      </c>
      <c r="E406" s="2" t="inlineStr">
        <is>
          <t>implementing</t>
        </is>
      </c>
      <c r="F406" s="2" t="inlineStr">
        <is>
          <t>DEC_IMPL</t>
        </is>
      </c>
      <c r="G406" s="2" t="inlineStr">
        <is>
          <t>2026-07-02</t>
        </is>
      </c>
      <c r="H406" s="2" t="inlineStr">
        <is>
          <t>Commission Implementing Decision (EU) 2026/1481 of 2 July 2026 designating a Union testing facility for textiles in accordance with Regulation (EU) 2019/1020 of the European Parliament and of the Council</t>
        </is>
      </c>
      <c r="I406" s="2" t="inlineStr">
        <is>
          <t>no</t>
        </is>
      </c>
      <c r="J406" s="2" t="inlineStr">
        <is>
          <t>https://eur-lex.europa.eu/legal-content/EN/TXT/?uri=CELEX:32026D1481</t>
        </is>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t="inlineStr"/>
    </row>
    <row r="407">
      <c r="A407" s="2" t="n">
        <v>42</v>
      </c>
      <c r="B407" s="2" t="inlineStr">
        <is>
          <t>E-evidence Regulation</t>
        </is>
      </c>
      <c r="C407" s="2" t="inlineStr">
        <is>
          <t>32023R1543</t>
        </is>
      </c>
      <c r="D407" s="2" t="inlineStr">
        <is>
          <t>32025R1550</t>
        </is>
      </c>
      <c r="E407" s="2" t="inlineStr">
        <is>
          <t>implementing</t>
        </is>
      </c>
      <c r="F407" s="2" t="inlineStr">
        <is>
          <t>REG_IMPL</t>
        </is>
      </c>
      <c r="G407" s="2" t="inlineStr">
        <is>
          <t>2025-07-28</t>
        </is>
      </c>
      <c r="H407" s="2" t="inlineStr">
        <is>
          <t>Commission Implementing Regulation (EU) 2025/1550 of 28 July 2025 establishing the technical specifications and other requirements for the decentralised IT system, referred to in Regulation (EU) 2023/1543 of the European Parliament and of the Council</t>
        </is>
      </c>
      <c r="I407" s="2" t="inlineStr">
        <is>
          <t>no</t>
        </is>
      </c>
      <c r="J407" s="2" t="inlineStr">
        <is>
          <t>https://eur-lex.europa.eu/legal-content/EN/TXT/?uri=CELEX:32025R1550</t>
        </is>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t="inlineStr"/>
    </row>
    <row r="408">
      <c r="A408" s="2" t="n">
        <v>43</v>
      </c>
      <c r="B408" s="2" t="inlineStr">
        <is>
          <t>Open Data Directive (PSI)</t>
        </is>
      </c>
      <c r="C408" s="2" t="inlineStr">
        <is>
          <t>32019L1024</t>
        </is>
      </c>
      <c r="D408" s="2" t="inlineStr">
        <is>
          <t>32023R0138</t>
        </is>
      </c>
      <c r="E408" s="2" t="inlineStr">
        <is>
          <t>implementing</t>
        </is>
      </c>
      <c r="F408" s="2" t="inlineStr">
        <is>
          <t>REG_IMPL</t>
        </is>
      </c>
      <c r="G408" s="2" t="inlineStr">
        <is>
          <t>2022-12-21</t>
        </is>
      </c>
      <c r="H408" s="2" t="inlineStr">
        <is>
          <t>Commission Implementing Regulation (EU) 2023/138 of 21 December 2022 laying down a list of specific high-value datasets and the arrangements for their publication and re-use (Text with EEA relevance)</t>
        </is>
      </c>
      <c r="I408" s="2" t="inlineStr">
        <is>
          <t>no</t>
        </is>
      </c>
      <c r="J408" s="2" t="inlineStr">
        <is>
          <t>https://eur-lex.europa.eu/legal-content/EN/TXT/?uri=CELEX:32023R0138</t>
        </is>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t="inlineStr"/>
    </row>
    <row r="409">
      <c r="A409" s="2" t="n">
        <v>44</v>
      </c>
      <c r="B409" s="2" t="inlineStr">
        <is>
          <t>Platform-to-Business (P2B) Regulation</t>
        </is>
      </c>
      <c r="C409" s="2" t="inlineStr">
        <is>
          <t>32019R1150</t>
        </is>
      </c>
      <c r="D409" s="2" t="inlineStr">
        <is>
          <t>52020XC1208(01)</t>
        </is>
      </c>
      <c r="E409" s="2" t="inlineStr">
        <is>
          <t>guidance</t>
        </is>
      </c>
      <c r="F409" s="2" t="inlineStr">
        <is>
          <t>NOTICE</t>
        </is>
      </c>
      <c r="G409" s="2" t="inlineStr">
        <is>
          <t>2020-12-08</t>
        </is>
      </c>
      <c r="H409" s="2" t="inlineStr">
        <is>
          <t>Commission Notice Guidelines on ranking transparency pursuant to Regulation (EU) 2019/1150 of the European Parliament and of the Council 2020/C 424/01</t>
        </is>
      </c>
      <c r="I409" s="2" t="inlineStr">
        <is>
          <t>no</t>
        </is>
      </c>
      <c r="J409" s="2" t="inlineStr">
        <is>
          <t>https://eur-lex.europa.eu/legal-content/EN/TXT/?uri=CELEX:52020XC1208(01)</t>
        </is>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inlineStr">
        <is>
          <t>Guidance is non-binding: restriction counts mostly reflect obligations it restates</t>
        </is>
      </c>
    </row>
    <row r="410">
      <c r="A410" s="2" t="n">
        <v>45</v>
      </c>
      <c r="B410" s="2" t="inlineStr">
        <is>
          <t>Digital Europe Programme</t>
        </is>
      </c>
      <c r="C410" s="2" t="inlineStr">
        <is>
          <t>32021R0694</t>
        </is>
      </c>
      <c r="D410" s="2" t="inlineStr">
        <is>
          <t>32023D1534</t>
        </is>
      </c>
      <c r="E410" s="2" t="inlineStr">
        <is>
          <t>implementing</t>
        </is>
      </c>
      <c r="F410" s="2" t="inlineStr">
        <is>
          <t>DEC_IMPL</t>
        </is>
      </c>
      <c r="G410" s="2" t="inlineStr">
        <is>
          <t>2023-07-24</t>
        </is>
      </c>
      <c r="H410" s="2" t="inlineStr">
        <is>
          <t>Commission Implementing Decision (EU) 2023/1534 of 24 July 2023 selecting the entities forming the initial network of European Digital Innovation Hubs in accordance with Regulation (EU) 2021/694 of the European Parliament and of the Council (Text with EEA relevance)</t>
        </is>
      </c>
      <c r="I410" s="2" t="inlineStr">
        <is>
          <t>no</t>
        </is>
      </c>
      <c r="J410" s="2" t="inlineStr">
        <is>
          <t>https://eur-lex.europa.eu/legal-content/EN/TXT/?uri=CELEX:32023D1534</t>
        </is>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t="inlineStr"/>
    </row>
    <row r="411">
      <c r="A411" s="2" t="n">
        <v>46</v>
      </c>
      <c r="B411" s="2" t="inlineStr">
        <is>
          <t>InvestEU Programme</t>
        </is>
      </c>
      <c r="C411" s="2" t="inlineStr">
        <is>
          <t>32021R0523</t>
        </is>
      </c>
      <c r="D411" s="2" t="inlineStr">
        <is>
          <t>32021D0626</t>
        </is>
      </c>
      <c r="E411" s="2" t="inlineStr">
        <is>
          <t>implementing</t>
        </is>
      </c>
      <c r="F411" s="2" t="inlineStr">
        <is>
          <t>DEC_IMPL</t>
        </is>
      </c>
      <c r="G411" s="2" t="inlineStr">
        <is>
          <t>2021-04-14</t>
        </is>
      </c>
      <c r="H411" s="2" t="inlineStr">
        <is>
          <t>Commission Implementing Decision (EU) 2021/626 of 14 April 2021 establishing the InvestEU Portal and setting out its technical specifications</t>
        </is>
      </c>
      <c r="I411" s="2" t="inlineStr">
        <is>
          <t>no</t>
        </is>
      </c>
      <c r="J411" s="2" t="inlineStr">
        <is>
          <t>https://eur-lex.europa.eu/legal-content/EN/TXT/?uri=CELEX:32021D0626</t>
        </is>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t="inlineStr"/>
    </row>
    <row r="412">
      <c r="A412" s="2" t="n">
        <v>46</v>
      </c>
      <c r="B412" s="2" t="inlineStr">
        <is>
          <t>InvestEU Programme</t>
        </is>
      </c>
      <c r="C412" s="2" t="inlineStr">
        <is>
          <t>32021R0523</t>
        </is>
      </c>
      <c r="D412" s="2" t="inlineStr">
        <is>
          <t>32021R1078</t>
        </is>
      </c>
      <c r="E412" s="2" t="inlineStr">
        <is>
          <t>delegated</t>
        </is>
      </c>
      <c r="F412" s="2" t="inlineStr">
        <is>
          <t>REG_DEL</t>
        </is>
      </c>
      <c r="G412" s="2" t="inlineStr">
        <is>
          <t>2021-04-14</t>
        </is>
      </c>
      <c r="H412" s="2" t="inlineStr">
        <is>
          <t>Commission Delegated Regulation (EU) 2021/1078 of 14 April 2021 supplementing Regulation (EU) 2021/523 of the European Parliament and of the Council by setting out the investment guidelines for the InvestEU Fund</t>
        </is>
      </c>
      <c r="I412" s="2" t="inlineStr">
        <is>
          <t>no</t>
        </is>
      </c>
      <c r="J412" s="2" t="inlineStr">
        <is>
          <t>https://eur-lex.europa.eu/legal-content/EN/TXT/?uri=CELEX:32021R1078</t>
        </is>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t="inlineStr"/>
    </row>
    <row r="413">
      <c r="A413" s="2" t="n">
        <v>46</v>
      </c>
      <c r="B413" s="2" t="inlineStr">
        <is>
          <t>InvestEU Programme</t>
        </is>
      </c>
      <c r="C413" s="2" t="inlineStr">
        <is>
          <t>32021R0523</t>
        </is>
      </c>
      <c r="D413" s="2" t="inlineStr">
        <is>
          <t>32021R1702</t>
        </is>
      </c>
      <c r="E413" s="2" t="inlineStr">
        <is>
          <t>delegated</t>
        </is>
      </c>
      <c r="F413" s="2" t="inlineStr">
        <is>
          <t>REG_DEL</t>
        </is>
      </c>
      <c r="G413" s="2" t="inlineStr">
        <is>
          <t>2021-07-12</t>
        </is>
      </c>
      <c r="H413" s="2" t="inlineStr">
        <is>
          <t>Commission Delegated Regulation (EU) 2021/1702 of 12 July 2021 supplementing Regulation (EU) 2021/523 of the European Parliament and of the Council by setting out additional elements and detailed rules for the InvestEU Scoreboard</t>
        </is>
      </c>
      <c r="I413" s="2" t="inlineStr">
        <is>
          <t>no</t>
        </is>
      </c>
      <c r="J413" s="2" t="inlineStr">
        <is>
          <t>https://eur-lex.europa.eu/legal-content/EN/TXT/?uri=CELEX:32021R1702</t>
        </is>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t="inlineStr"/>
    </row>
    <row r="414">
      <c r="A414" s="2" t="n">
        <v>46</v>
      </c>
      <c r="B414" s="2" t="inlineStr">
        <is>
          <t>InvestEU Programme</t>
        </is>
      </c>
      <c r="C414" s="2" t="inlineStr">
        <is>
          <t>32021R0523</t>
        </is>
      </c>
      <c r="D414" s="2" t="inlineStr">
        <is>
          <t>52021XC0713(02)</t>
        </is>
      </c>
      <c r="E414" s="2" t="inlineStr">
        <is>
          <t>guidance</t>
        </is>
      </c>
      <c r="F414" s="2" t="inlineStr">
        <is>
          <t>NOTICE</t>
        </is>
      </c>
      <c r="G414" s="2" t="inlineStr">
        <is>
          <t>2021-07-13</t>
        </is>
      </c>
      <c r="H414" s="2" t="inlineStr">
        <is>
          <t>Commission Notice – Technical guidance on sustainability proofing for the InvestEU Fund</t>
        </is>
      </c>
      <c r="I414" s="2" t="inlineStr">
        <is>
          <t>no</t>
        </is>
      </c>
      <c r="J414" s="2" t="inlineStr">
        <is>
          <t>https://eur-lex.europa.eu/legal-content/EN/TXT/?uri=CELEX:52021XC0713(02)</t>
        </is>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inlineStr">
        <is>
          <t>Guidance is non-binding: restriction counts mostly reflect obligations it restates</t>
        </is>
      </c>
    </row>
    <row r="415">
      <c r="A415" s="2" t="n">
        <v>46</v>
      </c>
      <c r="B415" s="2" t="inlineStr">
        <is>
          <t>InvestEU Programme</t>
        </is>
      </c>
      <c r="C415" s="2" t="inlineStr">
        <is>
          <t>32021R0523</t>
        </is>
      </c>
      <c r="D415" s="2" t="inlineStr">
        <is>
          <t>52021XC0916(03)</t>
        </is>
      </c>
      <c r="E415" s="2" t="inlineStr">
        <is>
          <t>guidance</t>
        </is>
      </c>
      <c r="F415" s="2" t="inlineStr">
        <is>
          <t>NOTICE</t>
        </is>
      </c>
      <c r="G415" s="2" t="inlineStr">
        <is>
          <t>2021-09-16</t>
        </is>
      </c>
      <c r="H415" s="2" t="inlineStr">
        <is>
          <t>Commission Notice — Technical guidance on the climate proofing of infrastructure in the period 2021-2027</t>
        </is>
      </c>
      <c r="I415" s="2" t="inlineStr">
        <is>
          <t>no</t>
        </is>
      </c>
      <c r="J415" s="2" t="inlineStr">
        <is>
          <t>https://eur-lex.europa.eu/legal-content/EN/TXT/?uri=CELEX:52021XC0916(03)</t>
        </is>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inlineStr">
        <is>
          <t>Guidance is non-binding: restriction counts mostly reflect obligations it restates</t>
        </is>
      </c>
    </row>
    <row r="416">
      <c r="A416" s="2" t="n">
        <v>46</v>
      </c>
      <c r="B416" s="2" t="inlineStr">
        <is>
          <t>InvestEU Programme</t>
        </is>
      </c>
      <c r="C416" s="2" t="inlineStr">
        <is>
          <t>32021R0523</t>
        </is>
      </c>
      <c r="D416" s="2" t="inlineStr">
        <is>
          <t>32022D1980</t>
        </is>
      </c>
      <c r="E416" s="2" t="inlineStr">
        <is>
          <t>implementing</t>
        </is>
      </c>
      <c r="F416" s="2" t="inlineStr">
        <is>
          <t>DEC_IMPL</t>
        </is>
      </c>
      <c r="G416" s="2" t="inlineStr">
        <is>
          <t>2022-10-19</t>
        </is>
      </c>
      <c r="H416" s="2" t="inlineStr">
        <is>
          <t>Commission Implementing Decision (EU) 2022/1980 of 19 October 2022 amending Implementing Decision (EU) 2021/626 establishing the InvestEU Portal and setting out its technical specifications (Text with EEA relevance)</t>
        </is>
      </c>
      <c r="I416" s="2" t="inlineStr">
        <is>
          <t>no</t>
        </is>
      </c>
      <c r="J416" s="2" t="inlineStr">
        <is>
          <t>https://eur-lex.europa.eu/legal-content/EN/TXT/?uri=CELEX:32022D1980</t>
        </is>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t="inlineStr"/>
    </row>
    <row r="417">
      <c r="A417" s="2" t="n">
        <v>46</v>
      </c>
      <c r="B417" s="2" t="inlineStr">
        <is>
          <t>InvestEU Programme</t>
        </is>
      </c>
      <c r="C417" s="2" t="inlineStr">
        <is>
          <t>32021R0523</t>
        </is>
      </c>
      <c r="D417" s="2" t="inlineStr">
        <is>
          <t>32025R1774</t>
        </is>
      </c>
      <c r="E417" s="2" t="inlineStr">
        <is>
          <t>delegated</t>
        </is>
      </c>
      <c r="F417" s="2" t="inlineStr">
        <is>
          <t>REG_DEL</t>
        </is>
      </c>
      <c r="G417" s="2" t="inlineStr">
        <is>
          <t>2025-08-28</t>
        </is>
      </c>
      <c r="H417" s="2" t="inlineStr">
        <is>
          <t>Commission Delegated Regulation (EU) 2025/1774 of 28 August 2025 amending Delegated Regulation (EU) 2021/1078 as regards strategic investments in the field of defence set out in the investment guidelines for the InvestEU Fund</t>
        </is>
      </c>
      <c r="I417" s="2" t="inlineStr">
        <is>
          <t>no</t>
        </is>
      </c>
      <c r="J417" s="2" t="inlineStr">
        <is>
          <t>https://eur-lex.europa.eu/legal-content/EN/TXT/?uri=CELEX:32025R1774</t>
        </is>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t="inlineStr"/>
    </row>
    <row r="418">
      <c r="A418" s="2" t="n">
        <v>47</v>
      </c>
      <c r="B418" s="2" t="inlineStr">
        <is>
          <t>Connecting Europe Facility</t>
        </is>
      </c>
      <c r="C418" s="2" t="inlineStr">
        <is>
          <t>32021R1153</t>
        </is>
      </c>
      <c r="D418" s="2" t="inlineStr">
        <is>
          <t>32021R1328</t>
        </is>
      </c>
      <c r="E418" s="2" t="inlineStr">
        <is>
          <t>implementing</t>
        </is>
      </c>
      <c r="F418" s="2" t="inlineStr">
        <is>
          <t>REG_IMPL</t>
        </is>
      </c>
      <c r="G418" s="2" t="inlineStr">
        <is>
          <t>2021-08-10</t>
        </is>
      </c>
      <c r="H418" s="2" t="inlineStr">
        <is>
          <t>Commission Implementing Regulation (EU) 2021/1328 of 10 August 2021 specifying the infrastructure requirements applicable to certain categories of dual-use infrastructure actions pursuant to Regulation (EU) 2021/1153 of the European Parliament and of the Council</t>
        </is>
      </c>
      <c r="I418" s="2" t="inlineStr">
        <is>
          <t>no</t>
        </is>
      </c>
      <c r="J418" s="2" t="inlineStr">
        <is>
          <t>https://eur-lex.europa.eu/legal-content/EN/TXT/?uri=CELEX:32021R1328</t>
        </is>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t="inlineStr"/>
    </row>
    <row r="419">
      <c r="A419" s="2" t="n">
        <v>47</v>
      </c>
      <c r="B419" s="2" t="inlineStr">
        <is>
          <t>Connecting Europe Facility</t>
        </is>
      </c>
      <c r="C419" s="2" t="inlineStr">
        <is>
          <t>32021R1153</t>
        </is>
      </c>
      <c r="D419" s="2" t="inlineStr">
        <is>
          <t>52021XC0916(03)</t>
        </is>
      </c>
      <c r="E419" s="2" t="inlineStr">
        <is>
          <t>guidance</t>
        </is>
      </c>
      <c r="F419" s="2" t="inlineStr">
        <is>
          <t>NOTICE</t>
        </is>
      </c>
      <c r="G419" s="2" t="inlineStr">
        <is>
          <t>2021-09-16</t>
        </is>
      </c>
      <c r="H419" s="2" t="inlineStr">
        <is>
          <t>Commission Notice — Technical guidance on the climate proofing of infrastructure in the period 2021-2027</t>
        </is>
      </c>
      <c r="I419" s="2" t="inlineStr">
        <is>
          <t>no</t>
        </is>
      </c>
      <c r="J419" s="2" t="inlineStr">
        <is>
          <t>https://eur-lex.europa.eu/legal-content/EN/TXT/?uri=CELEX:52021XC0916(03)</t>
        </is>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inlineStr">
        <is>
          <t>Guidance is non-binding: restriction counts mostly reflect obligations it restates</t>
        </is>
      </c>
    </row>
    <row r="420">
      <c r="A420" s="2" t="n">
        <v>47</v>
      </c>
      <c r="B420" s="2" t="inlineStr">
        <is>
          <t>Connecting Europe Facility</t>
        </is>
      </c>
      <c r="C420" s="2" t="inlineStr">
        <is>
          <t>32021R1153</t>
        </is>
      </c>
      <c r="D420" s="2" t="inlineStr">
        <is>
          <t>32022R0342</t>
        </is>
      </c>
      <c r="E420" s="2" t="inlineStr">
        <is>
          <t>delegated</t>
        </is>
      </c>
      <c r="F420" s="2" t="inlineStr">
        <is>
          <t>REG_DEL</t>
        </is>
      </c>
      <c r="G420" s="2" t="inlineStr">
        <is>
          <t>2021-12-21</t>
        </is>
      </c>
      <c r="H420" s="2" t="inlineStr">
        <is>
          <t>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is>
      </c>
      <c r="I420" s="2" t="inlineStr">
        <is>
          <t>no</t>
        </is>
      </c>
      <c r="J420" s="2" t="inlineStr">
        <is>
          <t>https://eur-lex.europa.eu/legal-content/EN/TXT/?uri=CELEX:32022R0342</t>
        </is>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t="inlineStr"/>
    </row>
    <row r="421">
      <c r="A421" s="2" t="n">
        <v>47</v>
      </c>
      <c r="B421" s="2" t="inlineStr">
        <is>
          <t>Connecting Europe Facility</t>
        </is>
      </c>
      <c r="C421" s="2" t="inlineStr">
        <is>
          <t>32021R1153</t>
        </is>
      </c>
      <c r="D421" s="2" t="inlineStr">
        <is>
          <t>32022R2202</t>
        </is>
      </c>
      <c r="E421" s="2" t="inlineStr">
        <is>
          <t>delegated</t>
        </is>
      </c>
      <c r="F421" s="2" t="inlineStr">
        <is>
          <t>REG_DEL</t>
        </is>
      </c>
      <c r="G421" s="2" t="inlineStr">
        <is>
          <t>2022-08-29</t>
        </is>
      </c>
      <c r="H421" s="2" t="inlineStr">
        <is>
          <t>Commission Delegated Regulation (EU) 2022/2202 of 29 August 2022 supplementing Regulation (EU) 2021/1153 of the European Parliament and of the Council by establishing a list of selected cross-border projects in the field of renewable energy (Text with EEA relevance)</t>
        </is>
      </c>
      <c r="I421" s="2" t="inlineStr">
        <is>
          <t>no</t>
        </is>
      </c>
      <c r="J421" s="2" t="inlineStr">
        <is>
          <t>https://eur-lex.europa.eu/legal-content/EN/TXT/?uri=CELEX:32022R2202</t>
        </is>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t="inlineStr"/>
    </row>
    <row r="422">
      <c r="A422" s="2" t="n">
        <v>47</v>
      </c>
      <c r="B422" s="2" t="inlineStr">
        <is>
          <t>Connecting Europe Facility</t>
        </is>
      </c>
      <c r="C422" s="2" t="inlineStr">
        <is>
          <t>32021R1153</t>
        </is>
      </c>
      <c r="D422" s="2" t="inlineStr">
        <is>
          <t>32023R2639</t>
        </is>
      </c>
      <c r="E422" s="2" t="inlineStr">
        <is>
          <t>delegated</t>
        </is>
      </c>
      <c r="F422" s="2" t="inlineStr">
        <is>
          <t>REG_DEL</t>
        </is>
      </c>
      <c r="G422" s="2" t="inlineStr">
        <is>
          <t>2023-09-19</t>
        </is>
      </c>
      <c r="H422" s="2" t="inlineStr">
        <is>
          <t>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is>
      </c>
      <c r="I422" s="2" t="inlineStr">
        <is>
          <t>no</t>
        </is>
      </c>
      <c r="J422" s="2" t="inlineStr">
        <is>
          <t>https://eur-lex.europa.eu/legal-content/EN/TXT/?uri=CELEX:32023R2639</t>
        </is>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t="inlineStr"/>
    </row>
    <row r="423">
      <c r="A423" s="2" t="n">
        <v>47</v>
      </c>
      <c r="B423" s="2" t="inlineStr">
        <is>
          <t>Connecting Europe Facility</t>
        </is>
      </c>
      <c r="C423" s="2" t="inlineStr">
        <is>
          <t>32021R1153</t>
        </is>
      </c>
      <c r="D423" s="2" t="inlineStr">
        <is>
          <t>32024R2613</t>
        </is>
      </c>
      <c r="E423" s="2" t="inlineStr">
        <is>
          <t>delegated</t>
        </is>
      </c>
      <c r="F423" s="2" t="inlineStr">
        <is>
          <t>REG_DEL</t>
        </is>
      </c>
      <c r="G423" s="2" t="inlineStr">
        <is>
          <t>2024-07-24</t>
        </is>
      </c>
      <c r="H423" s="2" t="inlineStr">
        <is>
          <t>Commission Delegated Regulation (EU) 2024/2613 of 24 July 2024 amending Delegated Regulation (EU) 2022/2202 supplementing Regulation (EU) 2021/1153 of the European Parliament and of the Council by establishing a list of selected cross-border projects in the field of renewable energy</t>
        </is>
      </c>
      <c r="I423" s="2" t="inlineStr">
        <is>
          <t>no</t>
        </is>
      </c>
      <c r="J423" s="2" t="inlineStr">
        <is>
          <t>https://eur-lex.europa.eu/legal-content/EN/TXT/?uri=CELEX:32024R2613</t>
        </is>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t="inlineStr"/>
    </row>
    <row r="424">
      <c r="A424" s="2" t="n">
        <v>47</v>
      </c>
      <c r="B424" s="2" t="inlineStr">
        <is>
          <t>Connecting Europe Facility</t>
        </is>
      </c>
      <c r="C424" s="2" t="inlineStr">
        <is>
          <t>32021R1153</t>
        </is>
      </c>
      <c r="D424" s="2" t="inlineStr">
        <is>
          <t>32025R2514</t>
        </is>
      </c>
      <c r="E424" s="2" t="inlineStr">
        <is>
          <t>delegated</t>
        </is>
      </c>
      <c r="F424" s="2" t="inlineStr">
        <is>
          <t>REG_DEL</t>
        </is>
      </c>
      <c r="G424" s="2" t="inlineStr">
        <is>
          <t>2025-07-29</t>
        </is>
      </c>
      <c r="H424" s="2" t="inlineStr">
        <is>
          <t>Commission Delegated Regulation (EU) 2025/2514 of 29 July 2025 amending Delegated Regulation (EU) 2022/2202 by updating the list of selected cross-border projects in the field of renewable energy</t>
        </is>
      </c>
      <c r="I424" s="2" t="inlineStr">
        <is>
          <t>no</t>
        </is>
      </c>
      <c r="J424" s="2" t="inlineStr">
        <is>
          <t>https://eur-lex.europa.eu/legal-content/EN/TXT/?uri=CELEX:32025R2514</t>
        </is>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t="inlineStr"/>
    </row>
    <row r="425">
      <c r="A425" s="2" t="n">
        <v>47</v>
      </c>
      <c r="B425" s="2" t="inlineStr">
        <is>
          <t>Connecting Europe Facility</t>
        </is>
      </c>
      <c r="C425" s="2" t="inlineStr">
        <is>
          <t>32021R1153</t>
        </is>
      </c>
      <c r="D425" s="2" t="inlineStr">
        <is>
          <t>32026R1470</t>
        </is>
      </c>
      <c r="E425" s="2" t="inlineStr">
        <is>
          <t>delegated</t>
        </is>
      </c>
      <c r="F425" s="2" t="inlineStr">
        <is>
          <t>REG_DEL</t>
        </is>
      </c>
      <c r="G425" s="2" t="inlineStr">
        <is>
          <t>2026-07-02</t>
        </is>
      </c>
      <c r="H425" s="2" t="inlineStr">
        <is>
          <t>Commission Delegated Regulation (EU) 2026/1470 of 2 July 2026 amending Delegated Regulation (EU) 2022/2202 by updating the list of selected cross-border projects in the field of renewable energy</t>
        </is>
      </c>
      <c r="I425" s="2" t="inlineStr">
        <is>
          <t>no</t>
        </is>
      </c>
      <c r="J425" s="2" t="inlineStr">
        <is>
          <t>https://eur-lex.europa.eu/legal-content/EN/TXT/?uri=CELEX:32026R1470</t>
        </is>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t="inlineStr"/>
    </row>
    <row r="426">
      <c r="A426" s="2" t="n">
        <v>49</v>
      </c>
      <c r="B426" s="2" t="inlineStr">
        <is>
          <t>Single Market Programme</t>
        </is>
      </c>
      <c r="C426" s="2" t="inlineStr">
        <is>
          <t>32021R0690</t>
        </is>
      </c>
      <c r="D426" s="2" t="inlineStr">
        <is>
          <t>32023R2445</t>
        </is>
      </c>
      <c r="E426" s="2" t="inlineStr">
        <is>
          <t>delegated</t>
        </is>
      </c>
      <c r="F426" s="2" t="inlineStr">
        <is>
          <t>REG_DEL</t>
        </is>
      </c>
      <c r="G426" s="2" t="inlineStr">
        <is>
          <t>2023-07-28</t>
        </is>
      </c>
      <c r="H426" s="2" t="inlineStr">
        <is>
          <t>Commission Delegated Regulation (EU) 2023/2445 of 28 July 2023 supplementing Regulation (EU) 2021/690 of the European Parliament and of the Council as regards the establishment of a monitoring and evaluation framework for the Single Market Programme</t>
        </is>
      </c>
      <c r="I426" s="2" t="inlineStr">
        <is>
          <t>no</t>
        </is>
      </c>
      <c r="J426" s="2" t="inlineStr">
        <is>
          <t>https://eur-lex.europa.eu/legal-content/EN/TXT/?uri=CELEX:32023R2445</t>
        </is>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t="inlineStr"/>
    </row>
    <row r="427">
      <c r="A427" s="2" t="n">
        <v>52</v>
      </c>
      <c r="B427" s="2" t="inlineStr">
        <is>
          <t>Recovery and Resilience Facility</t>
        </is>
      </c>
      <c r="C427" s="2" t="inlineStr">
        <is>
          <t>32021R0241</t>
        </is>
      </c>
      <c r="D427" s="2" t="inlineStr">
        <is>
          <t>52021XC0218(01)</t>
        </is>
      </c>
      <c r="E427" s="2" t="inlineStr">
        <is>
          <t>guidance</t>
        </is>
      </c>
      <c r="F427" s="2" t="inlineStr">
        <is>
          <t>NOTICE</t>
        </is>
      </c>
      <c r="G427" s="2" t="inlineStr">
        <is>
          <t>2021-02-18</t>
        </is>
      </c>
      <c r="H427" s="2" t="inlineStr">
        <is>
          <t>Commission Notice Technical guidance on the application of ‘do no significant harm’ under the Recovery and Resilience Facility Regulation 2021/C 58/01</t>
        </is>
      </c>
      <c r="I427" s="2" t="inlineStr">
        <is>
          <t>no</t>
        </is>
      </c>
      <c r="J427" s="2" t="inlineStr">
        <is>
          <t>https://eur-lex.europa.eu/legal-content/EN/TXT/?uri=CELEX:52021XC0218(01)</t>
        </is>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inlineStr">
        <is>
          <t>Guidance is non-binding: restriction counts mostly reflect obligations it restates</t>
        </is>
      </c>
    </row>
    <row r="428">
      <c r="A428" s="2" t="n">
        <v>52</v>
      </c>
      <c r="B428" s="2" t="inlineStr">
        <is>
          <t>Recovery and Resilience Facility</t>
        </is>
      </c>
      <c r="C428" s="2" t="inlineStr">
        <is>
          <t>32021R0241</t>
        </is>
      </c>
      <c r="D428" s="2" t="inlineStr">
        <is>
          <t>32021D1095</t>
        </is>
      </c>
      <c r="E428" s="2" t="inlineStr">
        <is>
          <t>implementing</t>
        </is>
      </c>
      <c r="F428" s="2" t="inlineStr">
        <is>
          <t>DEC_IMPL</t>
        </is>
      </c>
      <c r="G428" s="2" t="inlineStr">
        <is>
          <t>2021-07-02</t>
        </is>
      </c>
      <c r="H428" s="2" t="inlineStr">
        <is>
          <t>Commission Implementing Decision (EU) 2021/1095 of 2 July 2021 establishing the methodology for allocating costs related to borrowing and debt management operations under NextGenerationEU</t>
        </is>
      </c>
      <c r="I428" s="2" t="inlineStr">
        <is>
          <t>no</t>
        </is>
      </c>
      <c r="J428" s="2" t="inlineStr">
        <is>
          <t>https://eur-lex.europa.eu/legal-content/EN/TXT/?uri=CELEX:32021D1095</t>
        </is>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t="inlineStr"/>
    </row>
    <row r="429">
      <c r="A429" s="2" t="n">
        <v>52</v>
      </c>
      <c r="B429" s="2" t="inlineStr">
        <is>
          <t>Recovery and Resilience Facility</t>
        </is>
      </c>
      <c r="C429" s="2" t="inlineStr">
        <is>
          <t>32021R0241</t>
        </is>
      </c>
      <c r="D429" s="2" t="inlineStr">
        <is>
          <t>52021XC0916(03)</t>
        </is>
      </c>
      <c r="E429" s="2" t="inlineStr">
        <is>
          <t>guidance</t>
        </is>
      </c>
      <c r="F429" s="2" t="inlineStr">
        <is>
          <t>NOTICE</t>
        </is>
      </c>
      <c r="G429" s="2" t="inlineStr">
        <is>
          <t>2021-09-16</t>
        </is>
      </c>
      <c r="H429" s="2" t="inlineStr">
        <is>
          <t>Commission Notice — Technical guidance on the climate proofing of infrastructure in the period 2021-2027</t>
        </is>
      </c>
      <c r="I429" s="2" t="inlineStr">
        <is>
          <t>no</t>
        </is>
      </c>
      <c r="J429" s="2" t="inlineStr">
        <is>
          <t>https://eur-lex.europa.eu/legal-content/EN/TXT/?uri=CELEX:52021XC0916(03)</t>
        </is>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inlineStr">
        <is>
          <t>Guidance is non-binding: restriction counts mostly reflect obligations it restates</t>
        </is>
      </c>
    </row>
    <row r="430">
      <c r="A430" s="2" t="n">
        <v>52</v>
      </c>
      <c r="B430" s="2" t="inlineStr">
        <is>
          <t>Recovery and Resilience Facility</t>
        </is>
      </c>
      <c r="C430" s="2" t="inlineStr">
        <is>
          <t>32021R0241</t>
        </is>
      </c>
      <c r="D430" s="2" t="inlineStr">
        <is>
          <t>32021R2105</t>
        </is>
      </c>
      <c r="E430" s="2" t="inlineStr">
        <is>
          <t>delegated</t>
        </is>
      </c>
      <c r="F430" s="2" t="inlineStr">
        <is>
          <t>REG_DEL</t>
        </is>
      </c>
      <c r="G430" s="2" t="inlineStr">
        <is>
          <t>2021-09-28</t>
        </is>
      </c>
      <c r="H430" s="2" t="inlineStr">
        <is>
          <t>Commission Delegated Regulation (EU) 2021/2105 of 28 September 2021 supplementing Regulation (EU) 2021/241 of the European Parliament and of the Council establishing the Recovery and Resilience Facility by defining a methodology for reporting social expenditure</t>
        </is>
      </c>
      <c r="I430" s="2" t="inlineStr">
        <is>
          <t>no</t>
        </is>
      </c>
      <c r="J430" s="2" t="inlineStr">
        <is>
          <t>https://eur-lex.europa.eu/legal-content/EN/TXT/?uri=CELEX:32021R2105</t>
        </is>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t="inlineStr"/>
    </row>
    <row r="431">
      <c r="A431" s="2" t="n">
        <v>52</v>
      </c>
      <c r="B431" s="2" t="inlineStr">
        <is>
          <t>Recovery and Resilience Facility</t>
        </is>
      </c>
      <c r="C431" s="2" t="inlineStr">
        <is>
          <t>32021R0241</t>
        </is>
      </c>
      <c r="D431" s="2" t="inlineStr">
        <is>
          <t>32021R2106</t>
        </is>
      </c>
      <c r="E431" s="2" t="inlineStr">
        <is>
          <t>delegated</t>
        </is>
      </c>
      <c r="F431" s="2" t="inlineStr">
        <is>
          <t>REG_DEL</t>
        </is>
      </c>
      <c r="G431" s="2" t="inlineStr">
        <is>
          <t>2021-09-28</t>
        </is>
      </c>
      <c r="H431" s="2" t="inlineStr">
        <is>
          <t>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is>
      </c>
      <c r="I431" s="2" t="inlineStr">
        <is>
          <t>no</t>
        </is>
      </c>
      <c r="J431" s="2" t="inlineStr">
        <is>
          <t>https://eur-lex.europa.eu/legal-content/EN/TXT/?uri=CELEX:32021R2106</t>
        </is>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t="inlineStr"/>
    </row>
    <row r="432">
      <c r="A432" s="2" t="n">
        <v>52</v>
      </c>
      <c r="B432" s="2" t="inlineStr">
        <is>
          <t>Recovery and Resilience Facility</t>
        </is>
      </c>
      <c r="C432" s="2" t="inlineStr">
        <is>
          <t>32021R0241</t>
        </is>
      </c>
      <c r="D432" s="2" t="inlineStr">
        <is>
          <t>52023XC00111</t>
        </is>
      </c>
      <c r="E432" s="2" t="inlineStr">
        <is>
          <t>guidance</t>
        </is>
      </c>
      <c r="F432" s="2" t="inlineStr">
        <is>
          <t>NOTICE</t>
        </is>
      </c>
      <c r="G432" s="2" t="inlineStr">
        <is>
          <t>2023-10-11</t>
        </is>
      </c>
      <c r="H432" s="2" t="inlineStr">
        <is>
          <t>Commission Notice – Technical guidance on the application of do no significant harm under the Recovery and Resilience Facility Regulation</t>
        </is>
      </c>
      <c r="I432" s="2" t="inlineStr">
        <is>
          <t>no</t>
        </is>
      </c>
      <c r="J432" s="2" t="inlineStr">
        <is>
          <t>https://eur-lex.europa.eu/legal-content/EN/TXT/?uri=CELEX:52023XC00111</t>
        </is>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inlineStr">
        <is>
          <t>Guidance is non-binding: restriction counts mostly reflect obligations it restates</t>
        </is>
      </c>
    </row>
    <row r="433">
      <c r="A433" s="2" t="n">
        <v>52</v>
      </c>
      <c r="B433" s="2" t="inlineStr">
        <is>
          <t>Recovery and Resilience Facility</t>
        </is>
      </c>
      <c r="C433" s="2" t="inlineStr">
        <is>
          <t>32021R0241</t>
        </is>
      </c>
      <c r="D433" s="2" t="inlineStr">
        <is>
          <t>52026XC02614</t>
        </is>
      </c>
      <c r="E433" s="2" t="inlineStr">
        <is>
          <t>guidance</t>
        </is>
      </c>
      <c r="F433" s="2" t="inlineStr">
        <is>
          <t>NOTICE</t>
        </is>
      </c>
      <c r="G433" s="2" t="inlineStr">
        <is>
          <t>2026-05-04</t>
        </is>
      </c>
      <c r="H433" s="2" t="inlineStr">
        <is>
          <t>COMMISSION NOTICE – Guidelines for Member States on operational aspects related to the final phase and closure of the Recovery and Resilience Facility</t>
        </is>
      </c>
      <c r="I433" s="2" t="inlineStr">
        <is>
          <t>no</t>
        </is>
      </c>
      <c r="J433" s="2" t="inlineStr">
        <is>
          <t>https://eur-lex.europa.eu/legal-content/EN/TXT/?uri=CELEX:52026XC02614</t>
        </is>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inlineStr">
        <is>
          <t>Guidance is non-binding: restriction counts mostly reflect obligations it restates</t>
        </is>
      </c>
    </row>
    <row r="434">
      <c r="A434" s="2" t="n">
        <v>53</v>
      </c>
      <c r="B434" s="2" t="inlineStr">
        <is>
          <t>Temporary CSAM Derogation Regulation</t>
        </is>
      </c>
      <c r="C434" s="2" t="inlineStr">
        <is>
          <t>32021R1232</t>
        </is>
      </c>
      <c r="D434" s="2" t="inlineStr">
        <is>
          <t>32024R2916</t>
        </is>
      </c>
      <c r="E434" s="2" t="inlineStr">
        <is>
          <t>implementing</t>
        </is>
      </c>
      <c r="F434" s="2" t="inlineStr">
        <is>
          <t>REG_IMPL</t>
        </is>
      </c>
      <c r="G434" s="2" t="inlineStr">
        <is>
          <t>2024-11-25</t>
        </is>
      </c>
      <c r="H434" s="2" t="inlineStr">
        <is>
          <t>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is>
      </c>
      <c r="I434" s="2" t="inlineStr">
        <is>
          <t>no</t>
        </is>
      </c>
      <c r="J434" s="2" t="inlineStr">
        <is>
          <t>https://eur-lex.europa.eu/legal-content/EN/TXT/?uri=CELEX:32024R2916</t>
        </is>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t="inlineStr"/>
    </row>
    <row r="435">
      <c r="A435" s="2" t="n">
        <v>56</v>
      </c>
      <c r="B435" s="2" t="inlineStr">
        <is>
          <t>Markets in Crypto-Assets (MiCA)</t>
        </is>
      </c>
      <c r="C435" s="2" t="inlineStr">
        <is>
          <t>32023R1114</t>
        </is>
      </c>
      <c r="D435" s="2" t="inlineStr">
        <is>
          <t>32024R1503</t>
        </is>
      </c>
      <c r="E435" s="2" t="inlineStr">
        <is>
          <t>delegated</t>
        </is>
      </c>
      <c r="F435" s="2" t="inlineStr">
        <is>
          <t>REG_DEL</t>
        </is>
      </c>
      <c r="G435" s="2" t="inlineStr">
        <is>
          <t>2024-02-22</t>
        </is>
      </c>
      <c r="H435" s="2" t="inlineStr">
        <is>
          <t>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is>
      </c>
      <c r="I435" s="2" t="inlineStr">
        <is>
          <t>no</t>
        </is>
      </c>
      <c r="J435" s="2" t="inlineStr">
        <is>
          <t>https://eur-lex.europa.eu/legal-content/EN/TXT/?uri=CELEX:32024R1503</t>
        </is>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t="inlineStr"/>
    </row>
    <row r="436">
      <c r="A436" s="2" t="n">
        <v>56</v>
      </c>
      <c r="B436" s="2" t="inlineStr">
        <is>
          <t>Markets in Crypto-Assets (MiCA)</t>
        </is>
      </c>
      <c r="C436" s="2" t="inlineStr">
        <is>
          <t>32023R1114</t>
        </is>
      </c>
      <c r="D436" s="2" t="inlineStr">
        <is>
          <t>32024R1504</t>
        </is>
      </c>
      <c r="E436" s="2" t="inlineStr">
        <is>
          <t>delegated</t>
        </is>
      </c>
      <c r="F436" s="2" t="inlineStr">
        <is>
          <t>REG_DEL</t>
        </is>
      </c>
      <c r="G436" s="2" t="inlineStr">
        <is>
          <t>2024-02-22</t>
        </is>
      </c>
      <c r="H436" s="2" t="inlineStr">
        <is>
          <t>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is>
      </c>
      <c r="I436" s="2" t="inlineStr">
        <is>
          <t>no</t>
        </is>
      </c>
      <c r="J436" s="2" t="inlineStr">
        <is>
          <t>https://eur-lex.europa.eu/legal-content/EN/TXT/?uri=CELEX:32024R1504</t>
        </is>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t="inlineStr"/>
    </row>
    <row r="437">
      <c r="A437" s="2" t="n">
        <v>56</v>
      </c>
      <c r="B437" s="2" t="inlineStr">
        <is>
          <t>Markets in Crypto-Assets (MiCA)</t>
        </is>
      </c>
      <c r="C437" s="2" t="inlineStr">
        <is>
          <t>32023R1114</t>
        </is>
      </c>
      <c r="D437" s="2" t="inlineStr">
        <is>
          <t>32024R1506</t>
        </is>
      </c>
      <c r="E437" s="2" t="inlineStr">
        <is>
          <t>delegated</t>
        </is>
      </c>
      <c r="F437" s="2" t="inlineStr">
        <is>
          <t>REG_DEL</t>
        </is>
      </c>
      <c r="G437" s="2" t="inlineStr">
        <is>
          <t>2024-02-22</t>
        </is>
      </c>
      <c r="H437" s="2" t="inlineStr">
        <is>
          <t>Commission Delegated Regulation (EU) 2024/1506 of 22 February 2024 supplementing Regulation (EU) 2023/1114 of the European Parliament and of the Council by specifying certain criteria for classifying asset-referenced tokens and e-money tokens as significant</t>
        </is>
      </c>
      <c r="I437" s="2" t="inlineStr">
        <is>
          <t>no</t>
        </is>
      </c>
      <c r="J437" s="2" t="inlineStr">
        <is>
          <t>https://eur-lex.europa.eu/legal-content/EN/TXT/?uri=CELEX:32024R1506</t>
        </is>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t="inlineStr"/>
    </row>
    <row r="438">
      <c r="A438" s="2" t="n">
        <v>56</v>
      </c>
      <c r="B438" s="2" t="inlineStr">
        <is>
          <t>Markets in Crypto-Assets (MiCA)</t>
        </is>
      </c>
      <c r="C438" s="2" t="inlineStr">
        <is>
          <t>32023R1114</t>
        </is>
      </c>
      <c r="D438" s="2" t="inlineStr">
        <is>
          <t>32024R1507</t>
        </is>
      </c>
      <c r="E438" s="2" t="inlineStr">
        <is>
          <t>delegated</t>
        </is>
      </c>
      <c r="F438" s="2" t="inlineStr">
        <is>
          <t>REG_DEL</t>
        </is>
      </c>
      <c r="G438" s="2" t="inlineStr">
        <is>
          <t>2024-02-22</t>
        </is>
      </c>
      <c r="H438" s="2" t="inlineStr">
        <is>
          <t>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is>
      </c>
      <c r="I438" s="2" t="inlineStr">
        <is>
          <t>no</t>
        </is>
      </c>
      <c r="J438" s="2" t="inlineStr">
        <is>
          <t>https://eur-lex.europa.eu/legal-content/EN/TXT/?uri=CELEX:32024R1507</t>
        </is>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t="inlineStr"/>
    </row>
    <row r="439">
      <c r="A439" s="2" t="n">
        <v>56</v>
      </c>
      <c r="B439" s="2" t="inlineStr">
        <is>
          <t>Markets in Crypto-Assets (MiCA)</t>
        </is>
      </c>
      <c r="C439" s="2" t="inlineStr">
        <is>
          <t>32023R1114</t>
        </is>
      </c>
      <c r="D439" s="2" t="inlineStr">
        <is>
          <t>32024R2494</t>
        </is>
      </c>
      <c r="E439" s="2" t="inlineStr">
        <is>
          <t>implementing</t>
        </is>
      </c>
      <c r="F439" s="2" t="inlineStr">
        <is>
          <t>REG_IMPL</t>
        </is>
      </c>
      <c r="G439" s="2" t="inlineStr">
        <is>
          <t>2024-09-24</t>
        </is>
      </c>
      <c r="H439" s="2" t="inlineStr">
        <is>
          <t>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is>
      </c>
      <c r="I439" s="2" t="inlineStr">
        <is>
          <t>no</t>
        </is>
      </c>
      <c r="J439" s="2" t="inlineStr">
        <is>
          <t>https://eur-lex.europa.eu/legal-content/EN/TXT/?uri=CELEX:32024R2494</t>
        </is>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t="inlineStr"/>
    </row>
    <row r="440">
      <c r="A440" s="2" t="n">
        <v>56</v>
      </c>
      <c r="B440" s="2" t="inlineStr">
        <is>
          <t>Markets in Crypto-Assets (MiCA)</t>
        </is>
      </c>
      <c r="C440" s="2" t="inlineStr">
        <is>
          <t>32023R1114</t>
        </is>
      </c>
      <c r="D440" s="2" t="inlineStr">
        <is>
          <t>32024R2545</t>
        </is>
      </c>
      <c r="E440" s="2" t="inlineStr">
        <is>
          <t>implementing</t>
        </is>
      </c>
      <c r="F440" s="2" t="inlineStr">
        <is>
          <t>REG_IMPL</t>
        </is>
      </c>
      <c r="G440" s="2" t="inlineStr">
        <is>
          <t>2024-09-24</t>
        </is>
      </c>
      <c r="H440" s="2" t="inlineStr">
        <is>
          <t>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is>
      </c>
      <c r="I440" s="2" t="inlineStr">
        <is>
          <t>no</t>
        </is>
      </c>
      <c r="J440" s="2" t="inlineStr">
        <is>
          <t>https://eur-lex.europa.eu/legal-content/EN/TXT/?uri=CELEX:32024R2545</t>
        </is>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t="inlineStr"/>
    </row>
    <row r="441">
      <c r="A441" s="2" t="n">
        <v>56</v>
      </c>
      <c r="B441" s="2" t="inlineStr">
        <is>
          <t>Markets in Crypto-Assets (MiCA)</t>
        </is>
      </c>
      <c r="C441" s="2" t="inlineStr">
        <is>
          <t>32023R1114</t>
        </is>
      </c>
      <c r="D441" s="2" t="inlineStr">
        <is>
          <t>32025R0292</t>
        </is>
      </c>
      <c r="E441" s="2" t="inlineStr">
        <is>
          <t>delegated</t>
        </is>
      </c>
      <c r="F441" s="2" t="inlineStr">
        <is>
          <t>REG_DEL</t>
        </is>
      </c>
      <c r="G441" s="2" t="inlineStr">
        <is>
          <t>2024-09-26</t>
        </is>
      </c>
      <c r="H441" s="2" t="inlineStr">
        <is>
          <t>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is>
      </c>
      <c r="I441" s="2" t="inlineStr">
        <is>
          <t>no</t>
        </is>
      </c>
      <c r="J441" s="2" t="inlineStr">
        <is>
          <t>https://eur-lex.europa.eu/legal-content/EN/TXT/?uri=CELEX:32025R0292</t>
        </is>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t="inlineStr"/>
    </row>
    <row r="442">
      <c r="A442" s="2" t="n">
        <v>56</v>
      </c>
      <c r="B442" s="2" t="inlineStr">
        <is>
          <t>Markets in Crypto-Assets (MiCA)</t>
        </is>
      </c>
      <c r="C442" s="2" t="inlineStr">
        <is>
          <t>32023R1114</t>
        </is>
      </c>
      <c r="D442" s="2" t="inlineStr">
        <is>
          <t>32025R0293</t>
        </is>
      </c>
      <c r="E442" s="2" t="inlineStr">
        <is>
          <t>delegated</t>
        </is>
      </c>
      <c r="F442" s="2" t="inlineStr">
        <is>
          <t>REG_DEL</t>
        </is>
      </c>
      <c r="G442" s="2" t="inlineStr">
        <is>
          <t>2024-09-30</t>
        </is>
      </c>
      <c r="H442" s="2" t="inlineStr">
        <is>
          <t>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is>
      </c>
      <c r="I442" s="2" t="inlineStr">
        <is>
          <t>no</t>
        </is>
      </c>
      <c r="J442" s="2" t="inlineStr">
        <is>
          <t>https://eur-lex.europa.eu/legal-content/EN/TXT/?uri=CELEX:32025R0293</t>
        </is>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t="inlineStr"/>
    </row>
    <row r="443">
      <c r="A443" s="2" t="n">
        <v>56</v>
      </c>
      <c r="B443" s="2" t="inlineStr">
        <is>
          <t>Markets in Crypto-Assets (MiCA)</t>
        </is>
      </c>
      <c r="C443" s="2" t="inlineStr">
        <is>
          <t>32023R1114</t>
        </is>
      </c>
      <c r="D443" s="2" t="inlineStr">
        <is>
          <t>32025R0294</t>
        </is>
      </c>
      <c r="E443" s="2" t="inlineStr">
        <is>
          <t>delegated</t>
        </is>
      </c>
      <c r="F443" s="2" t="inlineStr">
        <is>
          <t>REG_DEL</t>
        </is>
      </c>
      <c r="G443" s="2" t="inlineStr">
        <is>
          <t>2024-10-01</t>
        </is>
      </c>
      <c r="H443" s="2" t="inlineStr">
        <is>
          <t>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is>
      </c>
      <c r="I443" s="2" t="inlineStr">
        <is>
          <t>no</t>
        </is>
      </c>
      <c r="J443" s="2" t="inlineStr">
        <is>
          <t>https://eur-lex.europa.eu/legal-content/EN/TXT/?uri=CELEX:32025R0294</t>
        </is>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t="inlineStr"/>
    </row>
    <row r="444">
      <c r="A444" s="2" t="n">
        <v>56</v>
      </c>
      <c r="B444" s="2" t="inlineStr">
        <is>
          <t>Markets in Crypto-Assets (MiCA)</t>
        </is>
      </c>
      <c r="C444" s="2" t="inlineStr">
        <is>
          <t>32023R1114</t>
        </is>
      </c>
      <c r="D444" s="2" t="inlineStr">
        <is>
          <t>32025R0300</t>
        </is>
      </c>
      <c r="E444" s="2" t="inlineStr">
        <is>
          <t>delegated</t>
        </is>
      </c>
      <c r="F444" s="2" t="inlineStr">
        <is>
          <t>REG_DEL</t>
        </is>
      </c>
      <c r="G444" s="2" t="inlineStr">
        <is>
          <t>2024-10-10</t>
        </is>
      </c>
      <c r="H444" s="2" t="inlineStr">
        <is>
          <t>Commission Delegated Regulation (EU) 2025/300 of 10 October 2024 supplementing Regulation (EU) 2023/1114 of the European Parliament and of the Council with regard to regulatory technical standards on information to be exchanged between competent authorities</t>
        </is>
      </c>
      <c r="I444" s="2" t="inlineStr">
        <is>
          <t>no</t>
        </is>
      </c>
      <c r="J444" s="2" t="inlineStr">
        <is>
          <t>https://eur-lex.europa.eu/legal-content/EN/TXT/?uri=CELEX:32025R0300</t>
        </is>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t="inlineStr"/>
    </row>
    <row r="445">
      <c r="A445" s="2" t="n">
        <v>56</v>
      </c>
      <c r="B445" s="2" t="inlineStr">
        <is>
          <t>Markets in Crypto-Assets (MiCA)</t>
        </is>
      </c>
      <c r="C445" s="2" t="inlineStr">
        <is>
          <t>32023R1114</t>
        </is>
      </c>
      <c r="D445" s="2" t="inlineStr">
        <is>
          <t>32025R0296</t>
        </is>
      </c>
      <c r="E445" s="2" t="inlineStr">
        <is>
          <t>delegated</t>
        </is>
      </c>
      <c r="F445" s="2" t="inlineStr">
        <is>
          <t>REG_DEL</t>
        </is>
      </c>
      <c r="G445" s="2" t="inlineStr">
        <is>
          <t>2024-10-31</t>
        </is>
      </c>
      <c r="H445" s="2" t="inlineStr">
        <is>
          <t>Commission Delegated Regulation (EU) 2025/296 of 31 October 2024 supplementing Regulation (EU) 2023/1114 of the European Parliament and of the Council with regard to regulatory technical standards specifying the procedure for the approval of a crypto-asset white paper</t>
        </is>
      </c>
      <c r="I445" s="2" t="inlineStr">
        <is>
          <t>no</t>
        </is>
      </c>
      <c r="J445" s="2" t="inlineStr">
        <is>
          <t>https://eur-lex.europa.eu/legal-content/EN/TXT/?uri=CELEX:32025R0296</t>
        </is>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t="inlineStr"/>
    </row>
    <row r="446">
      <c r="A446" s="2" t="n">
        <v>56</v>
      </c>
      <c r="B446" s="2" t="inlineStr">
        <is>
          <t>Markets in Crypto-Assets (MiCA)</t>
        </is>
      </c>
      <c r="C446" s="2" t="inlineStr">
        <is>
          <t>32023R1114</t>
        </is>
      </c>
      <c r="D446" s="2" t="inlineStr">
        <is>
          <t>32025R0297</t>
        </is>
      </c>
      <c r="E446" s="2" t="inlineStr">
        <is>
          <t>delegated</t>
        </is>
      </c>
      <c r="F446" s="2" t="inlineStr">
        <is>
          <t>REG_DEL</t>
        </is>
      </c>
      <c r="G446" s="2" t="inlineStr">
        <is>
          <t>2024-10-31</t>
        </is>
      </c>
      <c r="H446" s="2" t="inlineStr">
        <is>
          <t>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is>
      </c>
      <c r="I446" s="2" t="inlineStr">
        <is>
          <t>no</t>
        </is>
      </c>
      <c r="J446" s="2" t="inlineStr">
        <is>
          <t>https://eur-lex.europa.eu/legal-content/EN/TXT/?uri=CELEX:32025R0297</t>
        </is>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t="inlineStr"/>
    </row>
    <row r="447">
      <c r="A447" s="2" t="n">
        <v>56</v>
      </c>
      <c r="B447" s="2" t="inlineStr">
        <is>
          <t>Markets in Crypto-Assets (MiCA)</t>
        </is>
      </c>
      <c r="C447" s="2" t="inlineStr">
        <is>
          <t>32023R1114</t>
        </is>
      </c>
      <c r="D447" s="2" t="inlineStr">
        <is>
          <t>32025R0298</t>
        </is>
      </c>
      <c r="E447" s="2" t="inlineStr">
        <is>
          <t>delegated</t>
        </is>
      </c>
      <c r="F447" s="2" t="inlineStr">
        <is>
          <t>REG_DEL</t>
        </is>
      </c>
      <c r="G447" s="2" t="inlineStr">
        <is>
          <t>2024-10-31</t>
        </is>
      </c>
      <c r="H447" s="2" t="inlineStr">
        <is>
          <t>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is>
      </c>
      <c r="I447" s="2" t="inlineStr">
        <is>
          <t>no</t>
        </is>
      </c>
      <c r="J447" s="2" t="inlineStr">
        <is>
          <t>https://eur-lex.europa.eu/legal-content/EN/TXT/?uri=CELEX:32025R0298</t>
        </is>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t="inlineStr"/>
    </row>
    <row r="448">
      <c r="A448" s="2" t="n">
        <v>56</v>
      </c>
      <c r="B448" s="2" t="inlineStr">
        <is>
          <t>Markets in Crypto-Assets (MiCA)</t>
        </is>
      </c>
      <c r="C448" s="2" t="inlineStr">
        <is>
          <t>32023R1114</t>
        </is>
      </c>
      <c r="D448" s="2" t="inlineStr">
        <is>
          <t>32025R0299</t>
        </is>
      </c>
      <c r="E448" s="2" t="inlineStr">
        <is>
          <t>delegated</t>
        </is>
      </c>
      <c r="F448" s="2" t="inlineStr">
        <is>
          <t>REG_DEL</t>
        </is>
      </c>
      <c r="G448" s="2" t="inlineStr">
        <is>
          <t>2024-10-31</t>
        </is>
      </c>
      <c r="H448" s="2" t="inlineStr">
        <is>
          <t>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is>
      </c>
      <c r="I448" s="2" t="inlineStr">
        <is>
          <t>no</t>
        </is>
      </c>
      <c r="J448" s="2" t="inlineStr">
        <is>
          <t>https://eur-lex.europa.eu/legal-content/EN/TXT/?uri=CELEX:32025R0299</t>
        </is>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t="inlineStr"/>
    </row>
    <row r="449">
      <c r="A449" s="2" t="n">
        <v>56</v>
      </c>
      <c r="B449" s="2" t="inlineStr">
        <is>
          <t>Markets in Crypto-Assets (MiCA)</t>
        </is>
      </c>
      <c r="C449" s="2" t="inlineStr">
        <is>
          <t>32023R1114</t>
        </is>
      </c>
      <c r="D449" s="2" t="inlineStr">
        <is>
          <t>32025R0303</t>
        </is>
      </c>
      <c r="E449" s="2" t="inlineStr">
        <is>
          <t>delegated</t>
        </is>
      </c>
      <c r="F449" s="2" t="inlineStr">
        <is>
          <t>REG_DEL</t>
        </is>
      </c>
      <c r="G449" s="2" t="inlineStr">
        <is>
          <t>2024-10-31</t>
        </is>
      </c>
      <c r="H449" s="2" t="inlineStr">
        <is>
          <t>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is>
      </c>
      <c r="I449" s="2" t="inlineStr">
        <is>
          <t>no</t>
        </is>
      </c>
      <c r="J449" s="2" t="inlineStr">
        <is>
          <t>https://eur-lex.europa.eu/legal-content/EN/TXT/?uri=CELEX:32025R0303</t>
        </is>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t="inlineStr"/>
    </row>
    <row r="450">
      <c r="A450" s="2" t="n">
        <v>56</v>
      </c>
      <c r="B450" s="2" t="inlineStr">
        <is>
          <t>Markets in Crypto-Assets (MiCA)</t>
        </is>
      </c>
      <c r="C450" s="2" t="inlineStr">
        <is>
          <t>32023R1114</t>
        </is>
      </c>
      <c r="D450" s="2" t="inlineStr">
        <is>
          <t>32025R0304</t>
        </is>
      </c>
      <c r="E450" s="2" t="inlineStr">
        <is>
          <t>implementing</t>
        </is>
      </c>
      <c r="F450" s="2" t="inlineStr">
        <is>
          <t>REG_IMPL</t>
        </is>
      </c>
      <c r="G450" s="2" t="inlineStr">
        <is>
          <t>2024-10-31</t>
        </is>
      </c>
      <c r="H450" s="2" t="inlineStr">
        <is>
          <t>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is>
      </c>
      <c r="I450" s="2" t="inlineStr">
        <is>
          <t>no</t>
        </is>
      </c>
      <c r="J450" s="2" t="inlineStr">
        <is>
          <t>https://eur-lex.europa.eu/legal-content/EN/TXT/?uri=CELEX:32025R0304</t>
        </is>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t="inlineStr"/>
    </row>
    <row r="451">
      <c r="A451" s="2" t="n">
        <v>56</v>
      </c>
      <c r="B451" s="2" t="inlineStr">
        <is>
          <t>Markets in Crypto-Assets (MiCA)</t>
        </is>
      </c>
      <c r="C451" s="2" t="inlineStr">
        <is>
          <t>32023R1114</t>
        </is>
      </c>
      <c r="D451" s="2" t="inlineStr">
        <is>
          <t>32025R0305</t>
        </is>
      </c>
      <c r="E451" s="2" t="inlineStr">
        <is>
          <t>delegated</t>
        </is>
      </c>
      <c r="F451" s="2" t="inlineStr">
        <is>
          <t>REG_DEL</t>
        </is>
      </c>
      <c r="G451" s="2" t="inlineStr">
        <is>
          <t>2024-10-31</t>
        </is>
      </c>
      <c r="H451" s="2" t="inlineStr">
        <is>
          <t>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is>
      </c>
      <c r="I451" s="2" t="inlineStr">
        <is>
          <t>no</t>
        </is>
      </c>
      <c r="J451" s="2" t="inlineStr">
        <is>
          <t>https://eur-lex.europa.eu/legal-content/EN/TXT/?uri=CELEX:32025R0305</t>
        </is>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t="inlineStr"/>
    </row>
    <row r="452">
      <c r="A452" s="2" t="n">
        <v>56</v>
      </c>
      <c r="B452" s="2" t="inlineStr">
        <is>
          <t>Markets in Crypto-Assets (MiCA)</t>
        </is>
      </c>
      <c r="C452" s="2" t="inlineStr">
        <is>
          <t>32023R1114</t>
        </is>
      </c>
      <c r="D452" s="2" t="inlineStr">
        <is>
          <t>32025R0306</t>
        </is>
      </c>
      <c r="E452" s="2" t="inlineStr">
        <is>
          <t>implementing</t>
        </is>
      </c>
      <c r="F452" s="2" t="inlineStr">
        <is>
          <t>REG_IMPL</t>
        </is>
      </c>
      <c r="G452" s="2" t="inlineStr">
        <is>
          <t>2024-10-31</t>
        </is>
      </c>
      <c r="H452" s="2" t="inlineStr">
        <is>
          <t>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is>
      </c>
      <c r="I452" s="2" t="inlineStr">
        <is>
          <t>no</t>
        </is>
      </c>
      <c r="J452" s="2" t="inlineStr">
        <is>
          <t>https://eur-lex.europa.eu/legal-content/EN/TXT/?uri=CELEX:32025R0306</t>
        </is>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t="inlineStr"/>
    </row>
    <row r="453">
      <c r="A453" s="2" t="n">
        <v>56</v>
      </c>
      <c r="B453" s="2" t="inlineStr">
        <is>
          <t>Markets in Crypto-Assets (MiCA)</t>
        </is>
      </c>
      <c r="C453" s="2" t="inlineStr">
        <is>
          <t>32023R1114</t>
        </is>
      </c>
      <c r="D453" s="2" t="inlineStr">
        <is>
          <t>32024R2861</t>
        </is>
      </c>
      <c r="E453" s="2" t="inlineStr">
        <is>
          <t>implementing</t>
        </is>
      </c>
      <c r="F453" s="2" t="inlineStr">
        <is>
          <t>REG_IMPL</t>
        </is>
      </c>
      <c r="G453" s="2" t="inlineStr">
        <is>
          <t>2024-11-12</t>
        </is>
      </c>
      <c r="H453" s="2" t="inlineStr">
        <is>
          <t>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is>
      </c>
      <c r="I453" s="2" t="inlineStr">
        <is>
          <t>no</t>
        </is>
      </c>
      <c r="J453" s="2" t="inlineStr">
        <is>
          <t>https://eur-lex.europa.eu/legal-content/EN/TXT/?uri=CELEX:32024R2861</t>
        </is>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t="inlineStr"/>
    </row>
    <row r="454">
      <c r="A454" s="2" t="n">
        <v>56</v>
      </c>
      <c r="B454" s="2" t="inlineStr">
        <is>
          <t>Markets in Crypto-Assets (MiCA)</t>
        </is>
      </c>
      <c r="C454" s="2" t="inlineStr">
        <is>
          <t>32023R1114</t>
        </is>
      </c>
      <c r="D454" s="2" t="inlineStr">
        <is>
          <t>32024R2902</t>
        </is>
      </c>
      <c r="E454" s="2" t="inlineStr">
        <is>
          <t>implementing</t>
        </is>
      </c>
      <c r="F454" s="2" t="inlineStr">
        <is>
          <t>REG_IMPL</t>
        </is>
      </c>
      <c r="G454" s="2" t="inlineStr">
        <is>
          <t>2024-11-20</t>
        </is>
      </c>
      <c r="H454" s="2" t="inlineStr">
        <is>
          <t>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is>
      </c>
      <c r="I454" s="2" t="inlineStr">
        <is>
          <t>no</t>
        </is>
      </c>
      <c r="J454" s="2" t="inlineStr">
        <is>
          <t>https://eur-lex.europa.eu/legal-content/EN/TXT/?uri=CELEX:32024R2902</t>
        </is>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t="inlineStr"/>
    </row>
    <row r="455">
      <c r="A455" s="2" t="n">
        <v>56</v>
      </c>
      <c r="B455" s="2" t="inlineStr">
        <is>
          <t>Markets in Crypto-Assets (MiCA)</t>
        </is>
      </c>
      <c r="C455" s="2" t="inlineStr">
        <is>
          <t>32023R1114</t>
        </is>
      </c>
      <c r="D455" s="2" t="inlineStr">
        <is>
          <t>32025R0417</t>
        </is>
      </c>
      <c r="E455" s="2" t="inlineStr">
        <is>
          <t>delegated</t>
        </is>
      </c>
      <c r="F455" s="2" t="inlineStr">
        <is>
          <t>REG_DEL</t>
        </is>
      </c>
      <c r="G455" s="2" t="inlineStr">
        <is>
          <t>2024-11-28</t>
        </is>
      </c>
      <c r="H455" s="2" t="inlineStr">
        <is>
          <t>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is>
      </c>
      <c r="I455" s="2" t="inlineStr">
        <is>
          <t>no</t>
        </is>
      </c>
      <c r="J455" s="2" t="inlineStr">
        <is>
          <t>https://eur-lex.europa.eu/legal-content/EN/TXT/?uri=CELEX:32025R0417</t>
        </is>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t="inlineStr"/>
    </row>
    <row r="456">
      <c r="A456" s="2" t="n">
        <v>56</v>
      </c>
      <c r="B456" s="2" t="inlineStr">
        <is>
          <t>Markets in Crypto-Assets (MiCA)</t>
        </is>
      </c>
      <c r="C456" s="2" t="inlineStr">
        <is>
          <t>32023R1114</t>
        </is>
      </c>
      <c r="D456" s="2" t="inlineStr">
        <is>
          <t>32024R2984</t>
        </is>
      </c>
      <c r="E456" s="2" t="inlineStr">
        <is>
          <t>implementing</t>
        </is>
      </c>
      <c r="F456" s="2" t="inlineStr">
        <is>
          <t>REG_IMPL</t>
        </is>
      </c>
      <c r="G456" s="2" t="inlineStr">
        <is>
          <t>2024-11-29</t>
        </is>
      </c>
      <c r="H456" s="2" t="inlineStr">
        <is>
          <t>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is>
      </c>
      <c r="I456" s="2" t="inlineStr">
        <is>
          <t>no</t>
        </is>
      </c>
      <c r="J456" s="2" t="inlineStr">
        <is>
          <t>https://eur-lex.europa.eu/legal-content/EN/TXT/?uri=CELEX:32024R2984</t>
        </is>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t="inlineStr"/>
    </row>
    <row r="457">
      <c r="A457" s="2" t="n">
        <v>56</v>
      </c>
      <c r="B457" s="2" t="inlineStr">
        <is>
          <t>Markets in Crypto-Assets (MiCA)</t>
        </is>
      </c>
      <c r="C457" s="2" t="inlineStr">
        <is>
          <t>32023R1114</t>
        </is>
      </c>
      <c r="D457" s="2" t="inlineStr">
        <is>
          <t>32025R0416</t>
        </is>
      </c>
      <c r="E457" s="2" t="inlineStr">
        <is>
          <t>delegated</t>
        </is>
      </c>
      <c r="F457" s="2" t="inlineStr">
        <is>
          <t>REG_DEL</t>
        </is>
      </c>
      <c r="G457" s="2" t="inlineStr">
        <is>
          <t>2024-11-29</t>
        </is>
      </c>
      <c r="H457" s="2" t="inlineStr">
        <is>
          <t>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is>
      </c>
      <c r="I457" s="2" t="inlineStr">
        <is>
          <t>no</t>
        </is>
      </c>
      <c r="J457" s="2" t="inlineStr">
        <is>
          <t>https://eur-lex.europa.eu/legal-content/EN/TXT/?uri=CELEX:32025R0416</t>
        </is>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t="inlineStr"/>
    </row>
    <row r="458">
      <c r="A458" s="2" t="n">
        <v>56</v>
      </c>
      <c r="B458" s="2" t="inlineStr">
        <is>
          <t>Markets in Crypto-Assets (MiCA)</t>
        </is>
      </c>
      <c r="C458" s="2" t="inlineStr">
        <is>
          <t>32023R1114</t>
        </is>
      </c>
      <c r="D458" s="2" t="inlineStr">
        <is>
          <t>32025R0415</t>
        </is>
      </c>
      <c r="E458" s="2" t="inlineStr">
        <is>
          <t>delegated</t>
        </is>
      </c>
      <c r="F458" s="2" t="inlineStr">
        <is>
          <t>REG_DEL</t>
        </is>
      </c>
      <c r="G458" s="2" t="inlineStr">
        <is>
          <t>2024-12-13</t>
        </is>
      </c>
      <c r="H458" s="2" t="inlineStr">
        <is>
          <t>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is>
      </c>
      <c r="I458" s="2" t="inlineStr">
        <is>
          <t>no</t>
        </is>
      </c>
      <c r="J458" s="2" t="inlineStr">
        <is>
          <t>https://eur-lex.europa.eu/legal-content/EN/TXT/?uri=CELEX:32025R0415</t>
        </is>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t="inlineStr"/>
    </row>
    <row r="459">
      <c r="A459" s="2" t="n">
        <v>56</v>
      </c>
      <c r="B459" s="2" t="inlineStr">
        <is>
          <t>Markets in Crypto-Assets (MiCA)</t>
        </is>
      </c>
      <c r="C459" s="2" t="inlineStr">
        <is>
          <t>32023R1114</t>
        </is>
      </c>
      <c r="D459" s="2" t="inlineStr">
        <is>
          <t>32025R0418</t>
        </is>
      </c>
      <c r="E459" s="2" t="inlineStr">
        <is>
          <t>delegated</t>
        </is>
      </c>
      <c r="F459" s="2" t="inlineStr">
        <is>
          <t>REG_DEL</t>
        </is>
      </c>
      <c r="G459" s="2" t="inlineStr">
        <is>
          <t>2024-12-16</t>
        </is>
      </c>
      <c r="H459" s="2" t="inlineStr">
        <is>
          <t>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is>
      </c>
      <c r="I459" s="2" t="inlineStr">
        <is>
          <t>no</t>
        </is>
      </c>
      <c r="J459" s="2" t="inlineStr">
        <is>
          <t>https://eur-lex.europa.eu/legal-content/EN/TXT/?uri=CELEX:32025R0418</t>
        </is>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t="inlineStr"/>
    </row>
    <row r="460">
      <c r="A460" s="2" t="n">
        <v>56</v>
      </c>
      <c r="B460" s="2" t="inlineStr">
        <is>
          <t>Markets in Crypto-Assets (MiCA)</t>
        </is>
      </c>
      <c r="C460" s="2" t="inlineStr">
        <is>
          <t>32023R1114</t>
        </is>
      </c>
      <c r="D460" s="2" t="inlineStr">
        <is>
          <t>32025R0419</t>
        </is>
      </c>
      <c r="E460" s="2" t="inlineStr">
        <is>
          <t>delegated</t>
        </is>
      </c>
      <c r="F460" s="2" t="inlineStr">
        <is>
          <t>REG_DEL</t>
        </is>
      </c>
      <c r="G460" s="2" t="inlineStr">
        <is>
          <t>2024-12-16</t>
        </is>
      </c>
      <c r="H460" s="2" t="inlineStr">
        <is>
          <t>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is>
      </c>
      <c r="I460" s="2" t="inlineStr">
        <is>
          <t>no</t>
        </is>
      </c>
      <c r="J460" s="2" t="inlineStr">
        <is>
          <t>https://eur-lex.europa.eu/legal-content/EN/TXT/?uri=CELEX:32025R0419</t>
        </is>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t="inlineStr"/>
    </row>
    <row r="461">
      <c r="A461" s="2" t="n">
        <v>56</v>
      </c>
      <c r="B461" s="2" t="inlineStr">
        <is>
          <t>Markets in Crypto-Assets (MiCA)</t>
        </is>
      </c>
      <c r="C461" s="2" t="inlineStr">
        <is>
          <t>32023R1114</t>
        </is>
      </c>
      <c r="D461" s="2" t="inlineStr">
        <is>
          <t>32025R0421</t>
        </is>
      </c>
      <c r="E461" s="2" t="inlineStr">
        <is>
          <t>delegated</t>
        </is>
      </c>
      <c r="F461" s="2" t="inlineStr">
        <is>
          <t>REG_DEL</t>
        </is>
      </c>
      <c r="G461" s="2" t="inlineStr">
        <is>
          <t>2024-12-16</t>
        </is>
      </c>
      <c r="H461" s="2" t="inlineStr">
        <is>
          <t>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is>
      </c>
      <c r="I461" s="2" t="inlineStr">
        <is>
          <t>no</t>
        </is>
      </c>
      <c r="J461" s="2" t="inlineStr">
        <is>
          <t>https://eur-lex.europa.eu/legal-content/EN/TXT/?uri=CELEX:32025R0421</t>
        </is>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t="inlineStr"/>
    </row>
    <row r="462">
      <c r="A462" s="2" t="n">
        <v>56</v>
      </c>
      <c r="B462" s="2" t="inlineStr">
        <is>
          <t>Markets in Crypto-Assets (MiCA)</t>
        </is>
      </c>
      <c r="C462" s="2" t="inlineStr">
        <is>
          <t>32023R1114</t>
        </is>
      </c>
      <c r="D462" s="2" t="inlineStr">
        <is>
          <t>32025R0422</t>
        </is>
      </c>
      <c r="E462" s="2" t="inlineStr">
        <is>
          <t>delegated</t>
        </is>
      </c>
      <c r="F462" s="2" t="inlineStr">
        <is>
          <t>REG_DEL</t>
        </is>
      </c>
      <c r="G462" s="2" t="inlineStr">
        <is>
          <t>2024-12-17</t>
        </is>
      </c>
      <c r="H462" s="2" t="inlineStr">
        <is>
          <t>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is>
      </c>
      <c r="I462" s="2" t="inlineStr">
        <is>
          <t>no</t>
        </is>
      </c>
      <c r="J462" s="2" t="inlineStr">
        <is>
          <t>https://eur-lex.europa.eu/legal-content/EN/TXT/?uri=CELEX:32025R0422</t>
        </is>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t="inlineStr"/>
    </row>
    <row r="463">
      <c r="A463" s="2" t="n">
        <v>56</v>
      </c>
      <c r="B463" s="2" t="inlineStr">
        <is>
          <t>Markets in Crypto-Assets (MiCA)</t>
        </is>
      </c>
      <c r="C463" s="2" t="inlineStr">
        <is>
          <t>32023R1114</t>
        </is>
      </c>
      <c r="D463" s="2" t="inlineStr">
        <is>
          <t>32025R0413</t>
        </is>
      </c>
      <c r="E463" s="2" t="inlineStr">
        <is>
          <t>delegated</t>
        </is>
      </c>
      <c r="F463" s="2" t="inlineStr">
        <is>
          <t>REG_DEL</t>
        </is>
      </c>
      <c r="G463" s="2" t="inlineStr">
        <is>
          <t>2024-12-18</t>
        </is>
      </c>
      <c r="H463" s="2" t="inlineStr">
        <is>
          <t>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is>
      </c>
      <c r="I463" s="2" t="inlineStr">
        <is>
          <t>no</t>
        </is>
      </c>
      <c r="J463" s="2" t="inlineStr">
        <is>
          <t>https://eur-lex.europa.eu/legal-content/EN/TXT/?uri=CELEX:32025R0413</t>
        </is>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t="inlineStr"/>
    </row>
    <row r="464">
      <c r="A464" s="2" t="n">
        <v>56</v>
      </c>
      <c r="B464" s="2" t="inlineStr">
        <is>
          <t>Markets in Crypto-Assets (MiCA)</t>
        </is>
      </c>
      <c r="C464" s="2" t="inlineStr">
        <is>
          <t>32023R1114</t>
        </is>
      </c>
      <c r="D464" s="2" t="inlineStr">
        <is>
          <t>32025R0414</t>
        </is>
      </c>
      <c r="E464" s="2" t="inlineStr">
        <is>
          <t>delegated</t>
        </is>
      </c>
      <c r="F464" s="2" t="inlineStr">
        <is>
          <t>REG_DEL</t>
        </is>
      </c>
      <c r="G464" s="2" t="inlineStr">
        <is>
          <t>2024-12-18</t>
        </is>
      </c>
      <c r="H464" s="2" t="inlineStr">
        <is>
          <t>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is>
      </c>
      <c r="I464" s="2" t="inlineStr">
        <is>
          <t>no</t>
        </is>
      </c>
      <c r="J464" s="2" t="inlineStr">
        <is>
          <t>https://eur-lex.europa.eu/legal-content/EN/TXT/?uri=CELEX:32025R0414</t>
        </is>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t="inlineStr"/>
    </row>
    <row r="465">
      <c r="A465" s="2" t="n">
        <v>56</v>
      </c>
      <c r="B465" s="2" t="inlineStr">
        <is>
          <t>Markets in Crypto-Assets (MiCA)</t>
        </is>
      </c>
      <c r="C465" s="2" t="inlineStr">
        <is>
          <t>32023R1114</t>
        </is>
      </c>
      <c r="D465" s="2" t="inlineStr">
        <is>
          <t>32025R1140</t>
        </is>
      </c>
      <c r="E465" s="2" t="inlineStr">
        <is>
          <t>delegated</t>
        </is>
      </c>
      <c r="F465" s="2" t="inlineStr">
        <is>
          <t>REG_DEL</t>
        </is>
      </c>
      <c r="G465" s="2" t="inlineStr">
        <is>
          <t>2025-02-27</t>
        </is>
      </c>
      <c r="H465" s="2" t="inlineStr">
        <is>
          <t>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is>
      </c>
      <c r="I465" s="2" t="inlineStr">
        <is>
          <t>no</t>
        </is>
      </c>
      <c r="J465" s="2" t="inlineStr">
        <is>
          <t>https://eur-lex.europa.eu/legal-content/EN/TXT/?uri=CELEX:32025R1140</t>
        </is>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t="inlineStr"/>
    </row>
    <row r="466">
      <c r="A466" s="2" t="n">
        <v>56</v>
      </c>
      <c r="B466" s="2" t="inlineStr">
        <is>
          <t>Markets in Crypto-Assets (MiCA)</t>
        </is>
      </c>
      <c r="C466" s="2" t="inlineStr">
        <is>
          <t>32023R1114</t>
        </is>
      </c>
      <c r="D466" s="2" t="inlineStr">
        <is>
          <t>32025R1141</t>
        </is>
      </c>
      <c r="E466" s="2" t="inlineStr">
        <is>
          <t>delegated</t>
        </is>
      </c>
      <c r="F466" s="2" t="inlineStr">
        <is>
          <t>REG_DEL</t>
        </is>
      </c>
      <c r="G466" s="2" t="inlineStr">
        <is>
          <t>2025-02-27</t>
        </is>
      </c>
      <c r="H466" s="2" t="inlineStr">
        <is>
          <t>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is>
      </c>
      <c r="I466" s="2" t="inlineStr">
        <is>
          <t>no</t>
        </is>
      </c>
      <c r="J466" s="2" t="inlineStr">
        <is>
          <t>https://eur-lex.europa.eu/legal-content/EN/TXT/?uri=CELEX:32025R1141</t>
        </is>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t="inlineStr"/>
    </row>
    <row r="467">
      <c r="A467" s="2" t="n">
        <v>56</v>
      </c>
      <c r="B467" s="2" t="inlineStr">
        <is>
          <t>Markets in Crypto-Assets (MiCA)</t>
        </is>
      </c>
      <c r="C467" s="2" t="inlineStr">
        <is>
          <t>32023R1114</t>
        </is>
      </c>
      <c r="D467" s="2" t="inlineStr">
        <is>
          <t>32025R1142</t>
        </is>
      </c>
      <c r="E467" s="2" t="inlineStr">
        <is>
          <t>delegated</t>
        </is>
      </c>
      <c r="F467" s="2" t="inlineStr">
        <is>
          <t>REG_DEL</t>
        </is>
      </c>
      <c r="G467" s="2" t="inlineStr">
        <is>
          <t>2025-02-27</t>
        </is>
      </c>
      <c r="H467" s="2" t="inlineStr">
        <is>
          <t>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is>
      </c>
      <c r="I467" s="2" t="inlineStr">
        <is>
          <t>no</t>
        </is>
      </c>
      <c r="J467" s="2" t="inlineStr">
        <is>
          <t>https://eur-lex.europa.eu/legal-content/EN/TXT/?uri=CELEX:32025R1142</t>
        </is>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t="inlineStr"/>
    </row>
    <row r="468">
      <c r="A468" s="2" t="n">
        <v>56</v>
      </c>
      <c r="B468" s="2" t="inlineStr">
        <is>
          <t>Markets in Crypto-Assets (MiCA)</t>
        </is>
      </c>
      <c r="C468" s="2" t="inlineStr">
        <is>
          <t>32023R1114</t>
        </is>
      </c>
      <c r="D468" s="2" t="inlineStr">
        <is>
          <t>32025R0885</t>
        </is>
      </c>
      <c r="E468" s="2" t="inlineStr">
        <is>
          <t>delegated</t>
        </is>
      </c>
      <c r="F468" s="2" t="inlineStr">
        <is>
          <t>REG_DEL</t>
        </is>
      </c>
      <c r="G468" s="2" t="inlineStr">
        <is>
          <t>2025-04-29</t>
        </is>
      </c>
      <c r="H468" s="2" t="inlineStr">
        <is>
          <t>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is>
      </c>
      <c r="I468" s="2" t="inlineStr">
        <is>
          <t>no</t>
        </is>
      </c>
      <c r="J468" s="2" t="inlineStr">
        <is>
          <t>https://eur-lex.europa.eu/legal-content/EN/TXT/?uri=CELEX:32025R0885</t>
        </is>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t="inlineStr"/>
    </row>
    <row r="469">
      <c r="A469" s="2" t="n">
        <v>56</v>
      </c>
      <c r="B469" s="2" t="inlineStr">
        <is>
          <t>Markets in Crypto-Assets (MiCA)</t>
        </is>
      </c>
      <c r="C469" s="2" t="inlineStr">
        <is>
          <t>32023R1114</t>
        </is>
      </c>
      <c r="D469" s="2" t="inlineStr">
        <is>
          <t>32025R1125</t>
        </is>
      </c>
      <c r="E469" s="2" t="inlineStr">
        <is>
          <t>delegated</t>
        </is>
      </c>
      <c r="F469" s="2" t="inlineStr">
        <is>
          <t>REG_DEL</t>
        </is>
      </c>
      <c r="G469" s="2" t="inlineStr">
        <is>
          <t>2025-06-05</t>
        </is>
      </c>
      <c r="H469" s="2" t="inlineStr">
        <is>
          <t>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is>
      </c>
      <c r="I469" s="2" t="inlineStr">
        <is>
          <t>no</t>
        </is>
      </c>
      <c r="J469" s="2" t="inlineStr">
        <is>
          <t>https://eur-lex.europa.eu/legal-content/EN/TXT/?uri=CELEX:32025R1125</t>
        </is>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t="inlineStr"/>
    </row>
    <row r="470">
      <c r="A470" s="2" t="n">
        <v>56</v>
      </c>
      <c r="B470" s="2" t="inlineStr">
        <is>
          <t>Markets in Crypto-Assets (MiCA)</t>
        </is>
      </c>
      <c r="C470" s="2" t="inlineStr">
        <is>
          <t>32023R1114</t>
        </is>
      </c>
      <c r="D470" s="2" t="inlineStr">
        <is>
          <t>32025R1126</t>
        </is>
      </c>
      <c r="E470" s="2" t="inlineStr">
        <is>
          <t>implementing</t>
        </is>
      </c>
      <c r="F470" s="2" t="inlineStr">
        <is>
          <t>REG_IMPL</t>
        </is>
      </c>
      <c r="G470" s="2" t="inlineStr">
        <is>
          <t>2025-06-05</t>
        </is>
      </c>
      <c r="H470" s="2" t="inlineStr">
        <is>
          <t>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is>
      </c>
      <c r="I470" s="2" t="inlineStr">
        <is>
          <t>no</t>
        </is>
      </c>
      <c r="J470" s="2" t="inlineStr">
        <is>
          <t>https://eur-lex.europa.eu/legal-content/EN/TXT/?uri=CELEX:32025R1126</t>
        </is>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t="inlineStr"/>
    </row>
    <row r="471">
      <c r="A471" s="2" t="n">
        <v>56</v>
      </c>
      <c r="B471" s="2" t="inlineStr">
        <is>
          <t>Markets in Crypto-Assets (MiCA)</t>
        </is>
      </c>
      <c r="C471" s="2" t="inlineStr">
        <is>
          <t>32023R1114</t>
        </is>
      </c>
      <c r="D471" s="2" t="inlineStr">
        <is>
          <t>32025R1264</t>
        </is>
      </c>
      <c r="E471" s="2" t="inlineStr">
        <is>
          <t>delegated</t>
        </is>
      </c>
      <c r="F471" s="2" t="inlineStr">
        <is>
          <t>REG_DEL</t>
        </is>
      </c>
      <c r="G471" s="2" t="inlineStr">
        <is>
          <t>2025-06-27</t>
        </is>
      </c>
      <c r="H471" s="2" t="inlineStr">
        <is>
          <t>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is>
      </c>
      <c r="I471" s="2" t="inlineStr">
        <is>
          <t>no</t>
        </is>
      </c>
      <c r="J471" s="2" t="inlineStr">
        <is>
          <t>https://eur-lex.europa.eu/legal-content/EN/TXT/?uri=CELEX:32025R1264</t>
        </is>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t="inlineStr"/>
    </row>
    <row r="472">
      <c r="A472" s="2" t="n">
        <v>57</v>
      </c>
      <c r="B472" s="2" t="inlineStr">
        <is>
          <t>Digital Operational Resilience Act (DORA)</t>
        </is>
      </c>
      <c r="C472" s="2" t="inlineStr">
        <is>
          <t>32022R2554</t>
        </is>
      </c>
      <c r="D472" s="2" t="inlineStr">
        <is>
          <t>32024R1502</t>
        </is>
      </c>
      <c r="E472" s="2" t="inlineStr">
        <is>
          <t>delegated</t>
        </is>
      </c>
      <c r="F472" s="2" t="inlineStr">
        <is>
          <t>REG_DEL</t>
        </is>
      </c>
      <c r="G472" s="2" t="inlineStr">
        <is>
          <t>2024-02-22</t>
        </is>
      </c>
      <c r="H472" s="2" t="inlineStr">
        <is>
          <t>Commission Delegated Regulation (EU) 2024/1502 of 22 February 2024 supplementing Regulation (EU) 2022/2554 of the European Parliament and of the Council by specifying the criteria for the designation of ICT third-party service providers as critical for financial entities</t>
        </is>
      </c>
      <c r="I472" s="2" t="inlineStr">
        <is>
          <t>no</t>
        </is>
      </c>
      <c r="J472" s="2" t="inlineStr">
        <is>
          <t>https://eur-lex.europa.eu/legal-content/EN/TXT/?uri=CELEX:32024R1502</t>
        </is>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t="inlineStr"/>
    </row>
    <row r="473">
      <c r="A473" s="2" t="n">
        <v>57</v>
      </c>
      <c r="B473" s="2" t="inlineStr">
        <is>
          <t>Digital Operational Resilience Act (DORA)</t>
        </is>
      </c>
      <c r="C473" s="2" t="inlineStr">
        <is>
          <t>32022R2554</t>
        </is>
      </c>
      <c r="D473" s="2" t="inlineStr">
        <is>
          <t>32024R1505</t>
        </is>
      </c>
      <c r="E473" s="2" t="inlineStr">
        <is>
          <t>delegated</t>
        </is>
      </c>
      <c r="F473" s="2" t="inlineStr">
        <is>
          <t>REG_DEL</t>
        </is>
      </c>
      <c r="G473" s="2" t="inlineStr">
        <is>
          <t>2024-02-22</t>
        </is>
      </c>
      <c r="H473" s="2" t="inlineStr">
        <is>
          <t>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is>
      </c>
      <c r="I473" s="2" t="inlineStr">
        <is>
          <t>no</t>
        </is>
      </c>
      <c r="J473" s="2" t="inlineStr">
        <is>
          <t>https://eur-lex.europa.eu/legal-content/EN/TXT/?uri=CELEX:32024R1505</t>
        </is>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t="inlineStr"/>
    </row>
    <row r="474">
      <c r="A474" s="2" t="n">
        <v>57</v>
      </c>
      <c r="B474" s="2" t="inlineStr">
        <is>
          <t>Digital Operational Resilience Act (DORA)</t>
        </is>
      </c>
      <c r="C474" s="2" t="inlineStr">
        <is>
          <t>32022R2554</t>
        </is>
      </c>
      <c r="D474" s="2" t="inlineStr">
        <is>
          <t>32024R1772</t>
        </is>
      </c>
      <c r="E474" s="2" t="inlineStr">
        <is>
          <t>delegated</t>
        </is>
      </c>
      <c r="F474" s="2" t="inlineStr">
        <is>
          <t>REG_DEL</t>
        </is>
      </c>
      <c r="G474" s="2" t="inlineStr">
        <is>
          <t>2024-03-13</t>
        </is>
      </c>
      <c r="H474" s="2" t="inlineStr">
        <is>
          <t>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is>
      </c>
      <c r="I474" s="2" t="inlineStr">
        <is>
          <t>no</t>
        </is>
      </c>
      <c r="J474" s="2" t="inlineStr">
        <is>
          <t>https://eur-lex.europa.eu/legal-content/EN/TXT/?uri=CELEX:32024R1772</t>
        </is>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t="inlineStr"/>
    </row>
    <row r="475">
      <c r="A475" s="2" t="n">
        <v>57</v>
      </c>
      <c r="B475" s="2" t="inlineStr">
        <is>
          <t>Digital Operational Resilience Act (DORA)</t>
        </is>
      </c>
      <c r="C475" s="2" t="inlineStr">
        <is>
          <t>32022R2554</t>
        </is>
      </c>
      <c r="D475" s="2" t="inlineStr">
        <is>
          <t>32024R1773</t>
        </is>
      </c>
      <c r="E475" s="2" t="inlineStr">
        <is>
          <t>delegated</t>
        </is>
      </c>
      <c r="F475" s="2" t="inlineStr">
        <is>
          <t>REG_DEL</t>
        </is>
      </c>
      <c r="G475" s="2" t="inlineStr">
        <is>
          <t>2024-03-13</t>
        </is>
      </c>
      <c r="H475" s="2" t="inlineStr">
        <is>
          <t>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is>
      </c>
      <c r="I475" s="2" t="inlineStr">
        <is>
          <t>no</t>
        </is>
      </c>
      <c r="J475" s="2" t="inlineStr">
        <is>
          <t>https://eur-lex.europa.eu/legal-content/EN/TXT/?uri=CELEX:32024R1773</t>
        </is>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t="inlineStr"/>
    </row>
    <row r="476">
      <c r="A476" s="2" t="n">
        <v>57</v>
      </c>
      <c r="B476" s="2" t="inlineStr">
        <is>
          <t>Digital Operational Resilience Act (DORA)</t>
        </is>
      </c>
      <c r="C476" s="2" t="inlineStr">
        <is>
          <t>32022R2554</t>
        </is>
      </c>
      <c r="D476" s="2" t="inlineStr">
        <is>
          <t>32024R1774</t>
        </is>
      </c>
      <c r="E476" s="2" t="inlineStr">
        <is>
          <t>delegated</t>
        </is>
      </c>
      <c r="F476" s="2" t="inlineStr">
        <is>
          <t>REG_DEL</t>
        </is>
      </c>
      <c r="G476" s="2" t="inlineStr">
        <is>
          <t>2024-03-13</t>
        </is>
      </c>
      <c r="H476" s="2" t="inlineStr">
        <is>
          <t>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is>
      </c>
      <c r="I476" s="2" t="inlineStr">
        <is>
          <t>no</t>
        </is>
      </c>
      <c r="J476" s="2" t="inlineStr">
        <is>
          <t>https://eur-lex.europa.eu/legal-content/EN/TXT/?uri=CELEX:32024R1774</t>
        </is>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t="inlineStr"/>
    </row>
    <row r="477">
      <c r="A477" s="2" t="n">
        <v>57</v>
      </c>
      <c r="B477" s="2" t="inlineStr">
        <is>
          <t>Digital Operational Resilience Act (DORA)</t>
        </is>
      </c>
      <c r="C477" s="2" t="inlineStr">
        <is>
          <t>32022R2554</t>
        </is>
      </c>
      <c r="D477" s="2" t="inlineStr">
        <is>
          <t>32025R0301</t>
        </is>
      </c>
      <c r="E477" s="2" t="inlineStr">
        <is>
          <t>delegated</t>
        </is>
      </c>
      <c r="F477" s="2" t="inlineStr">
        <is>
          <t>REG_DEL</t>
        </is>
      </c>
      <c r="G477" s="2" t="inlineStr">
        <is>
          <t>2024-10-23</t>
        </is>
      </c>
      <c r="H477" s="2" t="inlineStr">
        <is>
          <t>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is>
      </c>
      <c r="I477" s="2" t="inlineStr">
        <is>
          <t>no</t>
        </is>
      </c>
      <c r="J477" s="2" t="inlineStr">
        <is>
          <t>https://eur-lex.europa.eu/legal-content/EN/TXT/?uri=CELEX:32025R0301</t>
        </is>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t="inlineStr"/>
    </row>
    <row r="478">
      <c r="A478" s="2" t="n">
        <v>57</v>
      </c>
      <c r="B478" s="2" t="inlineStr">
        <is>
          <t>Digital Operational Resilience Act (DORA)</t>
        </is>
      </c>
      <c r="C478" s="2" t="inlineStr">
        <is>
          <t>32022R2554</t>
        </is>
      </c>
      <c r="D478" s="2" t="inlineStr">
        <is>
          <t>32025R0302</t>
        </is>
      </c>
      <c r="E478" s="2" t="inlineStr">
        <is>
          <t>implementing</t>
        </is>
      </c>
      <c r="F478" s="2" t="inlineStr">
        <is>
          <t>REG_IMPL</t>
        </is>
      </c>
      <c r="G478" s="2" t="inlineStr">
        <is>
          <t>2024-10-23</t>
        </is>
      </c>
      <c r="H478" s="2" t="inlineStr">
        <is>
          <t>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is>
      </c>
      <c r="I478" s="2" t="inlineStr">
        <is>
          <t>no</t>
        </is>
      </c>
      <c r="J478" s="2" t="inlineStr">
        <is>
          <t>https://eur-lex.europa.eu/legal-content/EN/TXT/?uri=CELEX:32025R0302</t>
        </is>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t="inlineStr"/>
    </row>
    <row r="479">
      <c r="A479" s="2" t="n">
        <v>57</v>
      </c>
      <c r="B479" s="2" t="inlineStr">
        <is>
          <t>Digital Operational Resilience Act (DORA)</t>
        </is>
      </c>
      <c r="C479" s="2" t="inlineStr">
        <is>
          <t>32022R2554</t>
        </is>
      </c>
      <c r="D479" s="2" t="inlineStr">
        <is>
          <t>32025R0295</t>
        </is>
      </c>
      <c r="E479" s="2" t="inlineStr">
        <is>
          <t>delegated</t>
        </is>
      </c>
      <c r="F479" s="2" t="inlineStr">
        <is>
          <t>REG_DEL</t>
        </is>
      </c>
      <c r="G479" s="2" t="inlineStr">
        <is>
          <t>2024-10-24</t>
        </is>
      </c>
      <c r="H479" s="2" t="inlineStr">
        <is>
          <t>Commission Delegated Regulation (EU) 2025/295 of 24 October 2024 supplementing Regulation (EU) 2022/2554 of the European Parliament and of the Council with regard to regulatory technical standards on harmonisation of conditions enabling the conduct of the oversight activities</t>
        </is>
      </c>
      <c r="I479" s="2" t="inlineStr">
        <is>
          <t>no</t>
        </is>
      </c>
      <c r="J479" s="2" t="inlineStr">
        <is>
          <t>https://eur-lex.europa.eu/legal-content/EN/TXT/?uri=CELEX:32025R0295</t>
        </is>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t="inlineStr"/>
    </row>
    <row r="480">
      <c r="A480" s="2" t="n">
        <v>57</v>
      </c>
      <c r="B480" s="2" t="inlineStr">
        <is>
          <t>Digital Operational Resilience Act (DORA)</t>
        </is>
      </c>
      <c r="C480" s="2" t="inlineStr">
        <is>
          <t>32022R2554</t>
        </is>
      </c>
      <c r="D480" s="2" t="inlineStr">
        <is>
          <t>32024R2956</t>
        </is>
      </c>
      <c r="E480" s="2" t="inlineStr">
        <is>
          <t>implementing</t>
        </is>
      </c>
      <c r="F480" s="2" t="inlineStr">
        <is>
          <t>REG_IMPL</t>
        </is>
      </c>
      <c r="G480" s="2" t="inlineStr">
        <is>
          <t>2024-11-29</t>
        </is>
      </c>
      <c r="H480" s="2" t="inlineStr">
        <is>
          <t>Commission Implementing Regulation (EU) 2024/2956 of 29 November 2024 laying down implementing technical standards for the application of Regulation (EU) 2022/2554 of the European Parliament and of the Council with regard to standard templates for the register of information</t>
        </is>
      </c>
      <c r="I480" s="2" t="inlineStr">
        <is>
          <t>no</t>
        </is>
      </c>
      <c r="J480" s="2" t="inlineStr">
        <is>
          <t>https://eur-lex.europa.eu/legal-content/EN/TXT/?uri=CELEX:32024R2956</t>
        </is>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t="inlineStr"/>
    </row>
    <row r="481">
      <c r="A481" s="2" t="n">
        <v>57</v>
      </c>
      <c r="B481" s="2" t="inlineStr">
        <is>
          <t>Digital Operational Resilience Act (DORA)</t>
        </is>
      </c>
      <c r="C481" s="2" t="inlineStr">
        <is>
          <t>32022R2554</t>
        </is>
      </c>
      <c r="D481" s="2" t="inlineStr">
        <is>
          <t>32025R0420</t>
        </is>
      </c>
      <c r="E481" s="2" t="inlineStr">
        <is>
          <t>delegated</t>
        </is>
      </c>
      <c r="F481" s="2" t="inlineStr">
        <is>
          <t>REG_DEL</t>
        </is>
      </c>
      <c r="G481" s="2" t="inlineStr">
        <is>
          <t>2024-12-16</t>
        </is>
      </c>
      <c r="H481" s="2" t="inlineStr">
        <is>
          <t>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is>
      </c>
      <c r="I481" s="2" t="inlineStr">
        <is>
          <t>no</t>
        </is>
      </c>
      <c r="J481" s="2" t="inlineStr">
        <is>
          <t>https://eur-lex.europa.eu/legal-content/EN/TXT/?uri=CELEX:32025R0420</t>
        </is>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t="inlineStr"/>
    </row>
    <row r="482">
      <c r="A482" s="2" t="n">
        <v>57</v>
      </c>
      <c r="B482" s="2" t="inlineStr">
        <is>
          <t>Digital Operational Resilience Act (DORA)</t>
        </is>
      </c>
      <c r="C482" s="2" t="inlineStr">
        <is>
          <t>32022R2554</t>
        </is>
      </c>
      <c r="D482" s="2" t="inlineStr">
        <is>
          <t>32025R1190</t>
        </is>
      </c>
      <c r="E482" s="2" t="inlineStr">
        <is>
          <t>delegated</t>
        </is>
      </c>
      <c r="F482" s="2" t="inlineStr">
        <is>
          <t>REG_DEL</t>
        </is>
      </c>
      <c r="G482" s="2" t="inlineStr">
        <is>
          <t>2025-02-13</t>
        </is>
      </c>
      <c r="H482" s="2" t="inlineStr">
        <is>
          <t>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is>
      </c>
      <c r="I482" s="2" t="inlineStr">
        <is>
          <t>no</t>
        </is>
      </c>
      <c r="J482" s="2" t="inlineStr">
        <is>
          <t>https://eur-lex.europa.eu/legal-content/EN/TXT/?uri=CELEX:32025R1190</t>
        </is>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t="inlineStr"/>
    </row>
    <row r="483">
      <c r="A483" s="2" t="n">
        <v>57</v>
      </c>
      <c r="B483" s="2" t="inlineStr">
        <is>
          <t>Digital Operational Resilience Act (DORA)</t>
        </is>
      </c>
      <c r="C483" s="2" t="inlineStr">
        <is>
          <t>32022R2554</t>
        </is>
      </c>
      <c r="D483" s="2" t="inlineStr">
        <is>
          <t>32025R0532</t>
        </is>
      </c>
      <c r="E483" s="2" t="inlineStr">
        <is>
          <t>delegated</t>
        </is>
      </c>
      <c r="F483" s="2" t="inlineStr">
        <is>
          <t>REG_DEL</t>
        </is>
      </c>
      <c r="G483" s="2" t="inlineStr">
        <is>
          <t>2025-03-24</t>
        </is>
      </c>
      <c r="H483" s="2" t="inlineStr">
        <is>
          <t>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is>
      </c>
      <c r="I483" s="2" t="inlineStr">
        <is>
          <t>no</t>
        </is>
      </c>
      <c r="J483" s="2" t="inlineStr">
        <is>
          <t>https://eur-lex.europa.eu/legal-content/EN/TXT/?uri=CELEX:32025R0532</t>
        </is>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t="inlineStr"/>
    </row>
    <row r="484">
      <c r="A484" s="2" t="n">
        <v>58</v>
      </c>
      <c r="B484" s="2" t="inlineStr">
        <is>
          <t>Data Governance Act</t>
        </is>
      </c>
      <c r="C484" s="2" t="inlineStr">
        <is>
          <t>32022R0868</t>
        </is>
      </c>
      <c r="D484" s="2" t="inlineStr">
        <is>
          <t>32023R1622</t>
        </is>
      </c>
      <c r="E484" s="2" t="inlineStr">
        <is>
          <t>implementing</t>
        </is>
      </c>
      <c r="F484" s="2" t="inlineStr">
        <is>
          <t>REG_IMPL</t>
        </is>
      </c>
      <c r="G484" s="2" t="inlineStr">
        <is>
          <t>2023-08-09</t>
        </is>
      </c>
      <c r="H484" s="2" t="inlineStr">
        <is>
          <t>Commission Implementing Regulation (EU) 2023/1622 of 9 August 2023 on the design of common logos to identify data intermediation services providers and data altruism organisations recognised in the Union</t>
        </is>
      </c>
      <c r="I484" s="2" t="inlineStr">
        <is>
          <t>no</t>
        </is>
      </c>
      <c r="J484" s="2" t="inlineStr">
        <is>
          <t>https://eur-lex.europa.eu/legal-content/EN/TXT/?uri=CELEX:32023R1622</t>
        </is>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t="inlineStr"/>
    </row>
    <row r="485">
      <c r="A485" s="2" t="n">
        <v>59</v>
      </c>
      <c r="B485" s="2" t="inlineStr">
        <is>
          <t>Digital Markets Act</t>
        </is>
      </c>
      <c r="C485" s="2" t="inlineStr">
        <is>
          <t>32022R1925</t>
        </is>
      </c>
      <c r="D485" s="2" t="inlineStr">
        <is>
          <t>32023R0814</t>
        </is>
      </c>
      <c r="E485" s="2" t="inlineStr">
        <is>
          <t>implementing</t>
        </is>
      </c>
      <c r="F485" s="2" t="inlineStr">
        <is>
          <t>REG_IMPL</t>
        </is>
      </c>
      <c r="G485" s="2" t="inlineStr">
        <is>
          <t>2023-04-14</t>
        </is>
      </c>
      <c r="H485" s="2" t="inlineStr">
        <is>
          <t>Commission Implementing Regulation (EU) 2023/814 of 14 April 2023 on detailed arrangements for the conduct of certain proceedings by the Commission pursuant to Regulation (EU) 2022/1925 of the European Parliament and of the Council (Text with EEA relevance)</t>
        </is>
      </c>
      <c r="I485" s="2" t="inlineStr">
        <is>
          <t>no</t>
        </is>
      </c>
      <c r="J485" s="2" t="inlineStr">
        <is>
          <t>https://eur-lex.europa.eu/legal-content/EN/TXT/?uri=CELEX:32023R0814</t>
        </is>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t="inlineStr"/>
    </row>
    <row r="486">
      <c r="A486" s="2" t="n">
        <v>60</v>
      </c>
      <c r="B486" s="2" t="inlineStr">
        <is>
          <t>Digital Services Act</t>
        </is>
      </c>
      <c r="C486" s="2" t="inlineStr">
        <is>
          <t>32022R2065</t>
        </is>
      </c>
      <c r="D486" s="2" t="inlineStr">
        <is>
          <t>32023R1127</t>
        </is>
      </c>
      <c r="E486" s="2" t="inlineStr">
        <is>
          <t>delegated</t>
        </is>
      </c>
      <c r="F486" s="2" t="inlineStr">
        <is>
          <t>REG_DEL</t>
        </is>
      </c>
      <c r="G486" s="2" t="inlineStr">
        <is>
          <t>2023-03-02</t>
        </is>
      </c>
      <c r="H486" s="2" t="inlineStr">
        <is>
          <t>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is>
      </c>
      <c r="I486" s="2" t="inlineStr">
        <is>
          <t>no</t>
        </is>
      </c>
      <c r="J486" s="2" t="inlineStr">
        <is>
          <t>https://eur-lex.europa.eu/legal-content/EN/TXT/?uri=CELEX:32023R1127</t>
        </is>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t="inlineStr"/>
    </row>
    <row r="487">
      <c r="A487" s="2" t="n">
        <v>60</v>
      </c>
      <c r="B487" s="2" t="inlineStr">
        <is>
          <t>Digital Services Act</t>
        </is>
      </c>
      <c r="C487" s="2" t="inlineStr">
        <is>
          <t>32022R2065</t>
        </is>
      </c>
      <c r="D487" s="2" t="inlineStr">
        <is>
          <t>32023R1201</t>
        </is>
      </c>
      <c r="E487" s="2" t="inlineStr">
        <is>
          <t>implementing</t>
        </is>
      </c>
      <c r="F487" s="2" t="inlineStr">
        <is>
          <t>REG_IMPL</t>
        </is>
      </c>
      <c r="G487" s="2" t="inlineStr">
        <is>
          <t>2023-06-21</t>
        </is>
      </c>
      <c r="H487" s="2" t="inlineStr">
        <is>
          <t>Commission Implementing Regulation (EU) 2023/1201 of 21 June 2023 on detailed arrangements for the conduct of certain proceedings by the Commission pursuant to Regulation (EU) 2022/2065 of the European Parliament and of the Council (‘Digital Services Act’)</t>
        </is>
      </c>
      <c r="I487" s="2" t="inlineStr">
        <is>
          <t>no</t>
        </is>
      </c>
      <c r="J487" s="2" t="inlineStr">
        <is>
          <t>https://eur-lex.europa.eu/legal-content/EN/TXT/?uri=CELEX:32023R1201</t>
        </is>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t="inlineStr"/>
    </row>
    <row r="488">
      <c r="A488" s="2" t="n">
        <v>60</v>
      </c>
      <c r="B488" s="2" t="inlineStr">
        <is>
          <t>Digital Services Act</t>
        </is>
      </c>
      <c r="C488" s="2" t="inlineStr">
        <is>
          <t>32022R2065</t>
        </is>
      </c>
      <c r="D488" s="2" t="inlineStr">
        <is>
          <t>32024R0436</t>
        </is>
      </c>
      <c r="E488" s="2" t="inlineStr">
        <is>
          <t>delegated</t>
        </is>
      </c>
      <c r="F488" s="2" t="inlineStr">
        <is>
          <t>REG_DEL</t>
        </is>
      </c>
      <c r="G488" s="2" t="inlineStr">
        <is>
          <t>2023-10-20</t>
        </is>
      </c>
      <c r="H488" s="2" t="inlineStr">
        <is>
          <t>Commission Delegated Regulation (EU) 2024/436 of 20 October 2023 supplementing Regulation (EU) 2022/2065 of the European Parliament and of the Council, by laying down rules on the performance of audits for very large online platforms and very large online search engines</t>
        </is>
      </c>
      <c r="I488" s="2" t="inlineStr">
        <is>
          <t>no</t>
        </is>
      </c>
      <c r="J488" s="2" t="inlineStr">
        <is>
          <t>https://eur-lex.europa.eu/legal-content/EN/TXT/?uri=CELEX:32024R0436</t>
        </is>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t="inlineStr"/>
    </row>
    <row r="489">
      <c r="A489" s="2" t="n">
        <v>60</v>
      </c>
      <c r="B489" s="2" t="inlineStr">
        <is>
          <t>Digital Services Act</t>
        </is>
      </c>
      <c r="C489" s="2" t="inlineStr">
        <is>
          <t>32022R2065</t>
        </is>
      </c>
      <c r="D489" s="2" t="inlineStr">
        <is>
          <t>32024R0607</t>
        </is>
      </c>
      <c r="E489" s="2" t="inlineStr">
        <is>
          <t>implementing</t>
        </is>
      </c>
      <c r="F489" s="2" t="inlineStr">
        <is>
          <t>REG_IMPL</t>
        </is>
      </c>
      <c r="G489" s="2" t="inlineStr">
        <is>
          <t>2024-02-15</t>
        </is>
      </c>
      <c r="H489" s="2" t="inlineStr">
        <is>
          <t>Commission Implementing Regulation (EU) 2024/607 of 15 February 2024 on the practical and operational arrangements for the functioning of the information sharing system pursuant to Regulation (EU) 2022/2065 of the European Parliament and of the Council (Digital Services Act)</t>
        </is>
      </c>
      <c r="I489" s="2" t="inlineStr">
        <is>
          <t>no</t>
        </is>
      </c>
      <c r="J489" s="2" t="inlineStr">
        <is>
          <t>https://eur-lex.europa.eu/legal-content/EN/TXT/?uri=CELEX:32024R0607</t>
        </is>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t="inlineStr"/>
    </row>
    <row r="490">
      <c r="A490" s="2" t="n">
        <v>60</v>
      </c>
      <c r="B490" s="2" t="inlineStr">
        <is>
          <t>Digital Services Act</t>
        </is>
      </c>
      <c r="C490" s="2" t="inlineStr">
        <is>
          <t>32022R2065</t>
        </is>
      </c>
      <c r="D490" s="2" t="inlineStr">
        <is>
          <t>52024XC03014</t>
        </is>
      </c>
      <c r="E490" s="2" t="inlineStr">
        <is>
          <t>guidance</t>
        </is>
      </c>
      <c r="F490" s="2" t="inlineStr">
        <is>
          <t>NOTICE</t>
        </is>
      </c>
      <c r="G490" s="2" t="inlineStr">
        <is>
          <t>2024-04-26</t>
        </is>
      </c>
      <c r="H490" s="2" t="inlineStr">
        <is>
          <t>Communication from the Commission – Commission Guidelines for providers of Very Large Online Platforms and Very Large Online Search Engines on the mitigation of systemic risks for electoral processes pursuant to Article 35(3) of Regulation (EU) 2022/2065</t>
        </is>
      </c>
      <c r="I490" s="2" t="inlineStr">
        <is>
          <t>no</t>
        </is>
      </c>
      <c r="J490" s="2" t="inlineStr">
        <is>
          <t>https://eur-lex.europa.eu/legal-content/EN/TXT/?uri=CELEX:52024XC03014</t>
        </is>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inlineStr">
        <is>
          <t>Guidance is non-binding: restriction counts mostly reflect obligations it restates</t>
        </is>
      </c>
    </row>
    <row r="491">
      <c r="A491" s="2" t="n">
        <v>60</v>
      </c>
      <c r="B491" s="2" t="inlineStr">
        <is>
          <t>Digital Services Act</t>
        </is>
      </c>
      <c r="C491" s="2" t="inlineStr">
        <is>
          <t>32022R2065</t>
        </is>
      </c>
      <c r="D491" s="2" t="inlineStr">
        <is>
          <t>32024R2835</t>
        </is>
      </c>
      <c r="E491" s="2" t="inlineStr">
        <is>
          <t>implementing</t>
        </is>
      </c>
      <c r="F491" s="2" t="inlineStr">
        <is>
          <t>REG_IMPL</t>
        </is>
      </c>
      <c r="G491" s="2" t="inlineStr">
        <is>
          <t>2024-11-04</t>
        </is>
      </c>
      <c r="H491" s="2" t="inlineStr">
        <is>
          <t>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is>
      </c>
      <c r="I491" s="2" t="inlineStr">
        <is>
          <t>no</t>
        </is>
      </c>
      <c r="J491" s="2" t="inlineStr">
        <is>
          <t>https://eur-lex.europa.eu/legal-content/EN/TXT/?uri=CELEX:32024R2835</t>
        </is>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t="inlineStr"/>
    </row>
    <row r="492">
      <c r="A492" s="2" t="n">
        <v>60</v>
      </c>
      <c r="B492" s="2" t="inlineStr">
        <is>
          <t>Digital Services Act</t>
        </is>
      </c>
      <c r="C492" s="2" t="inlineStr">
        <is>
          <t>32022R2065</t>
        </is>
      </c>
      <c r="D492" s="2" t="inlineStr">
        <is>
          <t>32025R2050</t>
        </is>
      </c>
      <c r="E492" s="2" t="inlineStr">
        <is>
          <t>delegated</t>
        </is>
      </c>
      <c r="F492" s="2" t="inlineStr">
        <is>
          <t>REG_DEL</t>
        </is>
      </c>
      <c r="G492" s="2" t="inlineStr">
        <is>
          <t>2025-07-01</t>
        </is>
      </c>
      <c r="H492" s="2" t="inlineStr">
        <is>
          <t>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is>
      </c>
      <c r="I492" s="2" t="inlineStr">
        <is>
          <t>no</t>
        </is>
      </c>
      <c r="J492" s="2" t="inlineStr">
        <is>
          <t>https://eur-lex.europa.eu/legal-content/EN/TXT/?uri=CELEX:32025R2050</t>
        </is>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t="inlineStr"/>
    </row>
    <row r="493">
      <c r="A493" s="2" t="n">
        <v>60</v>
      </c>
      <c r="B493" s="2" t="inlineStr">
        <is>
          <t>Digital Services Act</t>
        </is>
      </c>
      <c r="C493" s="2" t="inlineStr">
        <is>
          <t>32022R2065</t>
        </is>
      </c>
      <c r="D493" s="2" t="inlineStr">
        <is>
          <t>52025XC05519</t>
        </is>
      </c>
      <c r="E493" s="2" t="inlineStr">
        <is>
          <t>guidance</t>
        </is>
      </c>
      <c r="F493" s="2" t="inlineStr">
        <is>
          <t>NOTICE</t>
        </is>
      </c>
      <c r="G493" s="2" t="inlineStr">
        <is>
          <t>2025-10-10</t>
        </is>
      </c>
      <c r="H493" s="2" t="inlineStr">
        <is>
          <t>Communication from the Commission – Guidelines on measures to ensure a high level of privacy, safety and security for minors online, pursuant to Article 28(4) of Regulation (EU) 2022/2065</t>
        </is>
      </c>
      <c r="I493" s="2" t="inlineStr">
        <is>
          <t>no</t>
        </is>
      </c>
      <c r="J493" s="2" t="inlineStr">
        <is>
          <t>https://eur-lex.europa.eu/legal-content/EN/TXT/?uri=CELEX:52025XC05519</t>
        </is>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inlineStr">
        <is>
          <t>Guidance is non-binding: restriction counts mostly reflect obligations it restates</t>
        </is>
      </c>
    </row>
    <row r="494">
      <c r="A494" s="2" t="n">
        <v>61</v>
      </c>
      <c r="B494" s="2" t="inlineStr">
        <is>
          <t>NIS 2 Directive</t>
        </is>
      </c>
      <c r="C494" s="2" t="inlineStr">
        <is>
          <t>32022L2555</t>
        </is>
      </c>
      <c r="D494" s="2" t="inlineStr">
        <is>
          <t>52023XC0914(01)</t>
        </is>
      </c>
      <c r="E494" s="2" t="inlineStr">
        <is>
          <t>guidance</t>
        </is>
      </c>
      <c r="F494" s="2" t="inlineStr">
        <is>
          <t>GUIDELINE</t>
        </is>
      </c>
      <c r="G494" s="2" t="inlineStr">
        <is>
          <t>2023-09-14</t>
        </is>
      </c>
      <c r="H494" s="2" t="inlineStr">
        <is>
          <t>Communication from the Commission Commission Guidelines on the application of Article 3(4) of Directive (EU) 2022/2555 (NIS 2 Directive) 2023/C 324/02</t>
        </is>
      </c>
      <c r="I494" s="2" t="inlineStr">
        <is>
          <t>no</t>
        </is>
      </c>
      <c r="J494" s="2" t="inlineStr">
        <is>
          <t>https://eur-lex.europa.eu/legal-content/EN/TXT/?uri=CELEX:52023XC0914(01)</t>
        </is>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inlineStr">
        <is>
          <t>Guidance is non-binding: restriction counts mostly reflect obligations it restates</t>
        </is>
      </c>
    </row>
    <row r="495">
      <c r="A495" s="2" t="n">
        <v>61</v>
      </c>
      <c r="B495" s="2" t="inlineStr">
        <is>
          <t>NIS 2 Directive</t>
        </is>
      </c>
      <c r="C495" s="2" t="inlineStr">
        <is>
          <t>32022L2555</t>
        </is>
      </c>
      <c r="D495" s="2" t="inlineStr">
        <is>
          <t>52023XC0918(01)</t>
        </is>
      </c>
      <c r="E495" s="2" t="inlineStr">
        <is>
          <t>guidance</t>
        </is>
      </c>
      <c r="F495" s="2" t="inlineStr">
        <is>
          <t>GUIDELINE</t>
        </is>
      </c>
      <c r="G495" s="2" t="inlineStr">
        <is>
          <t>2023-09-18</t>
        </is>
      </c>
      <c r="H495" s="2" t="inlineStr">
        <is>
          <t>Communication from the Commission Commission Guidelines on the application of Article 4 (1) and (2) of Directive (EU) 2022/2555 (NIS 2 Directive) 2023/C 328/02</t>
        </is>
      </c>
      <c r="I495" s="2" t="inlineStr">
        <is>
          <t>no</t>
        </is>
      </c>
      <c r="J495" s="2" t="inlineStr">
        <is>
          <t>https://eur-lex.europa.eu/legal-content/EN/TXT/?uri=CELEX:52023XC0918(01)</t>
        </is>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inlineStr">
        <is>
          <t>Guidance is non-binding: restriction counts mostly reflect obligations it restates</t>
        </is>
      </c>
    </row>
    <row r="496">
      <c r="A496" s="2" t="n">
        <v>61</v>
      </c>
      <c r="B496" s="2" t="inlineStr">
        <is>
          <t>NIS 2 Directive</t>
        </is>
      </c>
      <c r="C496" s="2" t="inlineStr">
        <is>
          <t>32022L2555</t>
        </is>
      </c>
      <c r="D496" s="2" t="inlineStr">
        <is>
          <t>32024H1101</t>
        </is>
      </c>
      <c r="E496" s="2" t="inlineStr">
        <is>
          <t>guidance</t>
        </is>
      </c>
      <c r="F496" s="2" t="inlineStr">
        <is>
          <t>RECO</t>
        </is>
      </c>
      <c r="G496" s="2" t="inlineStr">
        <is>
          <t>2024-04-11</t>
        </is>
      </c>
      <c r="H496" s="2" t="inlineStr">
        <is>
          <t>Commission Recommendation (EU) 2024/1101 of 11 April 2024 on a Coordinated Implementation Roadmap for the transition to Post-Quantum Cryptography</t>
        </is>
      </c>
      <c r="I496" s="2" t="inlineStr">
        <is>
          <t>no</t>
        </is>
      </c>
      <c r="J496" s="2" t="inlineStr">
        <is>
          <t>https://eur-lex.europa.eu/legal-content/EN/TXT/?uri=CELEX:32024H1101</t>
        </is>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inlineStr">
        <is>
          <t>Guidance is non-binding: restriction counts mostly reflect obligations it restates</t>
        </is>
      </c>
    </row>
    <row r="497">
      <c r="A497" s="2" t="n">
        <v>61</v>
      </c>
      <c r="B497" s="2" t="inlineStr">
        <is>
          <t>NIS 2 Directive</t>
        </is>
      </c>
      <c r="C497" s="2" t="inlineStr">
        <is>
          <t>32022L2555</t>
        </is>
      </c>
      <c r="D497" s="2" t="inlineStr">
        <is>
          <t>32024R2690</t>
        </is>
      </c>
      <c r="E497" s="2" t="inlineStr">
        <is>
          <t>implementing</t>
        </is>
      </c>
      <c r="F497" s="2" t="inlineStr">
        <is>
          <t>REG_IMPL</t>
        </is>
      </c>
      <c r="G497" s="2" t="inlineStr">
        <is>
          <t>2024-10-17</t>
        </is>
      </c>
      <c r="H497" s="2" t="inlineStr">
        <is>
          <t>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is>
      </c>
      <c r="I497" s="2" t="inlineStr">
        <is>
          <t>no</t>
        </is>
      </c>
      <c r="J497" s="2" t="inlineStr">
        <is>
          <t>https://eur-lex.europa.eu/legal-content/EN/TXT/?uri=CELEX:32024R2690</t>
        </is>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t="inlineStr"/>
    </row>
    <row r="498">
      <c r="A498" s="2" t="n">
        <v>64</v>
      </c>
      <c r="B498" s="2" t="inlineStr">
        <is>
          <t>Artificial Intelligence Act</t>
        </is>
      </c>
      <c r="C498" s="2" t="inlineStr">
        <is>
          <t>32024R1689</t>
        </is>
      </c>
      <c r="D498" s="2" t="inlineStr">
        <is>
          <t>32025R0454</t>
        </is>
      </c>
      <c r="E498" s="2" t="inlineStr">
        <is>
          <t>implementing</t>
        </is>
      </c>
      <c r="F498" s="2" t="inlineStr">
        <is>
          <t>REG_IMPL</t>
        </is>
      </c>
      <c r="G498" s="2" t="inlineStr">
        <is>
          <t>2025-03-07</t>
        </is>
      </c>
      <c r="H498" s="2" t="inlineStr">
        <is>
          <t>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is>
      </c>
      <c r="I498" s="2" t="inlineStr">
        <is>
          <t>no</t>
        </is>
      </c>
      <c r="J498" s="2" t="inlineStr">
        <is>
          <t>https://eur-lex.europa.eu/legal-content/EN/TXT/?uri=CELEX:32025R0454</t>
        </is>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t="inlineStr"/>
    </row>
    <row r="499">
      <c r="A499" s="2" t="n">
        <v>64</v>
      </c>
      <c r="B499" s="2" t="inlineStr">
        <is>
          <t>Artificial Intelligence Act</t>
        </is>
      </c>
      <c r="C499" s="2" t="inlineStr">
        <is>
          <t>32024R1689</t>
        </is>
      </c>
      <c r="D499" s="2" t="inlineStr">
        <is>
          <t>32026R1755</t>
        </is>
      </c>
      <c r="E499" s="2" t="inlineStr">
        <is>
          <t>implementing</t>
        </is>
      </c>
      <c r="F499" s="2" t="inlineStr">
        <is>
          <t>REG_IMPL</t>
        </is>
      </c>
      <c r="G499" s="2" t="inlineStr">
        <is>
          <t>2026-07-20</t>
        </is>
      </c>
      <c r="H499" s="2" t="inlineStr">
        <is>
          <t>Commission Implementing Regulation (EU) 2026/1755 of 20 July 2026 on detailed arrangements for the conduct of certain proceedings by the Commission pursuant to Regulation (EU) 2024/1689 of the European Parliament and of the Council</t>
        </is>
      </c>
      <c r="I499" s="2" t="inlineStr">
        <is>
          <t>no</t>
        </is>
      </c>
      <c r="J499" s="2" t="inlineStr">
        <is>
          <t>https://eur-lex.europa.eu/legal-content/EN/TXT/?uri=CELEX:32026R1755</t>
        </is>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t="inlineStr"/>
    </row>
    <row r="500">
      <c r="A500" s="2" t="n">
        <v>65</v>
      </c>
      <c r="B500" s="2" t="inlineStr">
        <is>
          <t>Machinery Regulation</t>
        </is>
      </c>
      <c r="C500" s="2" t="inlineStr">
        <is>
          <t>32023R1230</t>
        </is>
      </c>
      <c r="D500" s="2" t="inlineStr">
        <is>
          <t>32024R1922</t>
        </is>
      </c>
      <c r="E500" s="2" t="inlineStr">
        <is>
          <t>implementing</t>
        </is>
      </c>
      <c r="F500" s="2" t="inlineStr">
        <is>
          <t>REG_IMPL</t>
        </is>
      </c>
      <c r="G500" s="2" t="inlineStr">
        <is>
          <t>2024-07-12</t>
        </is>
      </c>
      <c r="H500" s="2" t="inlineStr">
        <is>
          <t>Commission Implementing Regulation (EU) 2024/1922 of 12 July 2024 setting out the template for the collection by the Member States of the data and the information referred to in Article 6(5), points (a) to (d), of Regulation (EU) 2023/1230 of the European Parliament and of the Council</t>
        </is>
      </c>
      <c r="I500" s="2" t="inlineStr">
        <is>
          <t>no</t>
        </is>
      </c>
      <c r="J500" s="2" t="inlineStr">
        <is>
          <t>https://eur-lex.europa.eu/legal-content/EN/TXT/?uri=CELEX:32024R1922</t>
        </is>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t="inlineStr"/>
    </row>
    <row r="501">
      <c r="A501" s="2" t="n">
        <v>65</v>
      </c>
      <c r="B501" s="2" t="inlineStr">
        <is>
          <t>Machinery Regulation</t>
        </is>
      </c>
      <c r="C501" s="2" t="inlineStr">
        <is>
          <t>32023R1230</t>
        </is>
      </c>
      <c r="D501" s="2" t="inlineStr">
        <is>
          <t>52024XC06142</t>
        </is>
      </c>
      <c r="E501" s="2" t="inlineStr">
        <is>
          <t>guidance</t>
        </is>
      </c>
      <c r="F501" s="2" t="inlineStr">
        <is>
          <t>NOTICE</t>
        </is>
      </c>
      <c r="G501" s="2" t="inlineStr">
        <is>
          <t>2024-10-14</t>
        </is>
      </c>
      <c r="H501" s="2" t="inlineStr">
        <is>
          <t>Commission Notice – Guidance to the Member States for the collection of the data and the information referred to in Article 6 (5), points (a) to (d), of Regulation (EU) 2023/1230 of the European Parliament and the Council</t>
        </is>
      </c>
      <c r="I501" s="2" t="inlineStr">
        <is>
          <t>no</t>
        </is>
      </c>
      <c r="J501" s="2" t="inlineStr">
        <is>
          <t>https://eur-lex.europa.eu/legal-content/EN/TXT/?uri=CELEX:52024XC06142</t>
        </is>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inlineStr">
        <is>
          <t>Guidance is non-binding: restriction counts mostly reflect obligations it restates</t>
        </is>
      </c>
    </row>
    <row r="502">
      <c r="A502" s="2" t="n">
        <v>66</v>
      </c>
      <c r="B502" s="2" t="inlineStr">
        <is>
          <t>Foreign Subsidies Regulation</t>
        </is>
      </c>
      <c r="C502" s="2" t="inlineStr">
        <is>
          <t>32022R2560</t>
        </is>
      </c>
      <c r="D502" s="2" t="inlineStr">
        <is>
          <t>32023R1441</t>
        </is>
      </c>
      <c r="E502" s="2" t="inlineStr">
        <is>
          <t>implementing</t>
        </is>
      </c>
      <c r="F502" s="2" t="inlineStr">
        <is>
          <t>REG_IMPL</t>
        </is>
      </c>
      <c r="G502" s="2" t="inlineStr">
        <is>
          <t>2023-07-10</t>
        </is>
      </c>
      <c r="H502" s="2" t="inlineStr">
        <is>
          <t>Commission Implementing Regulation (EU) 2023/1441 of 10 July 2023 on detailed arrangements for the conduct of proceedings by the Commission pursuant to Regulation (EU) 2022/2560 of the European Parliament and of the Council on foreign subsidies distorting the internal market</t>
        </is>
      </c>
      <c r="I502" s="2" t="inlineStr">
        <is>
          <t>no</t>
        </is>
      </c>
      <c r="J502" s="2" t="inlineStr">
        <is>
          <t>https://eur-lex.europa.eu/legal-content/EN/TXT/?uri=CELEX:32023R1441</t>
        </is>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t="inlineStr"/>
    </row>
    <row r="503">
      <c r="A503" s="2" t="n">
        <v>66</v>
      </c>
      <c r="B503" s="2" t="inlineStr">
        <is>
          <t>Foreign Subsidies Regulation</t>
        </is>
      </c>
      <c r="C503" s="2" t="inlineStr">
        <is>
          <t>32022R2560</t>
        </is>
      </c>
      <c r="D503" s="2" t="inlineStr">
        <is>
          <t>32023R2414</t>
        </is>
      </c>
      <c r="E503" s="2" t="inlineStr">
        <is>
          <t>implementing</t>
        </is>
      </c>
      <c r="F503" s="2" t="inlineStr">
        <is>
          <t>REG_IMPL</t>
        </is>
      </c>
      <c r="G503" s="2" t="inlineStr">
        <is>
          <t>2023-10-25</t>
        </is>
      </c>
      <c r="H503" s="2" t="inlineStr">
        <is>
          <t>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is>
      </c>
      <c r="I503" s="2" t="inlineStr">
        <is>
          <t>no</t>
        </is>
      </c>
      <c r="J503" s="2" t="inlineStr">
        <is>
          <t>https://eur-lex.europa.eu/legal-content/EN/TXT/?uri=CELEX:32023R2414</t>
        </is>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t="inlineStr"/>
    </row>
    <row r="504">
      <c r="A504" s="2" t="n">
        <v>66</v>
      </c>
      <c r="B504" s="2" t="inlineStr">
        <is>
          <t>Foreign Subsidies Regulation</t>
        </is>
      </c>
      <c r="C504" s="2" t="inlineStr">
        <is>
          <t>32022R2560</t>
        </is>
      </c>
      <c r="D504" s="2" t="inlineStr">
        <is>
          <t>52026XC00224</t>
        </is>
      </c>
      <c r="E504" s="2" t="inlineStr">
        <is>
          <t>guidance</t>
        </is>
      </c>
      <c r="F504" s="2" t="inlineStr">
        <is>
          <t>NOTICE</t>
        </is>
      </c>
      <c r="G504" s="2" t="inlineStr">
        <is>
          <t>2026-01-13</t>
        </is>
      </c>
      <c r="H504" s="2" t="inlineStr">
        <is>
          <t>Communication from the Commission – Guidelines on the application of certain provisions of Regulation (EU) 2022/2560 of the European Parliament and of the Council on foreign subsidies distorting the internal market</t>
        </is>
      </c>
      <c r="I504" s="2" t="inlineStr">
        <is>
          <t>no</t>
        </is>
      </c>
      <c r="J504" s="2" t="inlineStr">
        <is>
          <t>https://eur-lex.europa.eu/legal-content/EN/TXT/?uri=CELEX:52026XC00224</t>
        </is>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inlineStr">
        <is>
          <t>Guidance is non-binding: restriction counts mostly reflect obligations it restates</t>
        </is>
      </c>
    </row>
    <row r="505">
      <c r="A505" s="2" t="n">
        <v>67</v>
      </c>
      <c r="B505" s="2" t="inlineStr">
        <is>
          <t>General Product Safety Regulation</t>
        </is>
      </c>
      <c r="C505" s="2" t="inlineStr">
        <is>
          <t>32023R0988</t>
        </is>
      </c>
      <c r="D505" s="2" t="inlineStr">
        <is>
          <t>32024R1435</t>
        </is>
      </c>
      <c r="E505" s="2" t="inlineStr">
        <is>
          <t>implementing</t>
        </is>
      </c>
      <c r="F505" s="2" t="inlineStr">
        <is>
          <t>REG_IMPL</t>
        </is>
      </c>
      <c r="G505" s="2" t="inlineStr">
        <is>
          <t>2024-05-24</t>
        </is>
      </c>
      <c r="H505" s="2" t="inlineStr">
        <is>
          <t>Commission Implementing Regulation (EU) 2024/1435 of 24 May 2024 laying down rules for the application of Regulation (EU) 2023/988 of the European Parliament and of the Council as regards establishing the template for a recall notice</t>
        </is>
      </c>
      <c r="I505" s="2" t="inlineStr">
        <is>
          <t>no</t>
        </is>
      </c>
      <c r="J505" s="2" t="inlineStr">
        <is>
          <t>https://eur-lex.europa.eu/legal-content/EN/TXT/?uri=CELEX:32024R1435</t>
        </is>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t="inlineStr"/>
    </row>
    <row r="506">
      <c r="A506" s="2" t="n">
        <v>67</v>
      </c>
      <c r="B506" s="2" t="inlineStr">
        <is>
          <t>General Product Safety Regulation</t>
        </is>
      </c>
      <c r="C506" s="2" t="inlineStr">
        <is>
          <t>32023R0988</t>
        </is>
      </c>
      <c r="D506" s="2" t="inlineStr">
        <is>
          <t>32024R1459</t>
        </is>
      </c>
      <c r="E506" s="2" t="inlineStr">
        <is>
          <t>implementing</t>
        </is>
      </c>
      <c r="F506" s="2" t="inlineStr">
        <is>
          <t>REG_IMPL</t>
        </is>
      </c>
      <c r="G506" s="2" t="inlineStr">
        <is>
          <t>2024-05-27</t>
        </is>
      </c>
      <c r="H506" s="2" t="inlineStr">
        <is>
          <t>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is>
      </c>
      <c r="I506" s="2" t="inlineStr">
        <is>
          <t>no</t>
        </is>
      </c>
      <c r="J506" s="2" t="inlineStr">
        <is>
          <t>https://eur-lex.europa.eu/legal-content/EN/TXT/?uri=CELEX:32024R1459</t>
        </is>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t="inlineStr"/>
    </row>
    <row r="507">
      <c r="A507" s="2" t="n">
        <v>67</v>
      </c>
      <c r="B507" s="2" t="inlineStr">
        <is>
          <t>General Product Safety Regulation</t>
        </is>
      </c>
      <c r="C507" s="2" t="inlineStr">
        <is>
          <t>32023R0988</t>
        </is>
      </c>
      <c r="D507" s="2" t="inlineStr">
        <is>
          <t>32024R1740</t>
        </is>
      </c>
      <c r="E507" s="2" t="inlineStr">
        <is>
          <t>implementing</t>
        </is>
      </c>
      <c r="F507" s="2" t="inlineStr">
        <is>
          <t>REG_IMPL</t>
        </is>
      </c>
      <c r="G507" s="2" t="inlineStr">
        <is>
          <t>2024-06-21</t>
        </is>
      </c>
      <c r="H507" s="2" t="inlineStr">
        <is>
          <t>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is>
      </c>
      <c r="I507" s="2" t="inlineStr">
        <is>
          <t>no</t>
        </is>
      </c>
      <c r="J507" s="2" t="inlineStr">
        <is>
          <t>https://eur-lex.europa.eu/legal-content/EN/TXT/?uri=CELEX:32024R1740</t>
        </is>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t="inlineStr"/>
    </row>
    <row r="508">
      <c r="A508" s="2" t="n">
        <v>67</v>
      </c>
      <c r="B508" s="2" t="inlineStr">
        <is>
          <t>General Product Safety Regulation</t>
        </is>
      </c>
      <c r="C508" s="2" t="inlineStr">
        <is>
          <t>32023R0988</t>
        </is>
      </c>
      <c r="D508" s="2" t="inlineStr">
        <is>
          <t>32024R3173</t>
        </is>
      </c>
      <c r="E508" s="2" t="inlineStr">
        <is>
          <t>delegated</t>
        </is>
      </c>
      <c r="F508" s="2" t="inlineStr">
        <is>
          <t>REG_DEL</t>
        </is>
      </c>
      <c r="G508" s="2" t="inlineStr">
        <is>
          <t>2024-08-27</t>
        </is>
      </c>
      <c r="H508" s="2" t="inlineStr">
        <is>
          <t>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is>
      </c>
      <c r="I508" s="2" t="inlineStr">
        <is>
          <t>no</t>
        </is>
      </c>
      <c r="J508" s="2" t="inlineStr">
        <is>
          <t>https://eur-lex.europa.eu/legal-content/EN/TXT/?uri=CELEX:32024R3173</t>
        </is>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t="inlineStr"/>
    </row>
    <row r="509">
      <c r="A509" s="2" t="n">
        <v>67</v>
      </c>
      <c r="B509" s="2" t="inlineStr">
        <is>
          <t>General Product Safety Regulation</t>
        </is>
      </c>
      <c r="C509" s="2" t="inlineStr">
        <is>
          <t>32023R0988</t>
        </is>
      </c>
      <c r="D509" s="2" t="inlineStr">
        <is>
          <t>32024R2639</t>
        </is>
      </c>
      <c r="E509" s="2" t="inlineStr">
        <is>
          <t>implementing</t>
        </is>
      </c>
      <c r="F509" s="2" t="inlineStr">
        <is>
          <t>REG_IMPL</t>
        </is>
      </c>
      <c r="G509" s="2" t="inlineStr">
        <is>
          <t>2024-10-09</t>
        </is>
      </c>
      <c r="H509" s="2" t="inlineStr">
        <is>
          <t>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is>
      </c>
      <c r="I509" s="2" t="inlineStr">
        <is>
          <t>no</t>
        </is>
      </c>
      <c r="J509" s="2" t="inlineStr">
        <is>
          <t>https://eur-lex.europa.eu/legal-content/EN/TXT/?uri=CELEX:32024R2639</t>
        </is>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t="inlineStr"/>
    </row>
    <row r="510">
      <c r="A510" s="2" t="n">
        <v>67</v>
      </c>
      <c r="B510" s="2" t="inlineStr">
        <is>
          <t>General Product Safety Regulation</t>
        </is>
      </c>
      <c r="C510" s="2" t="inlineStr">
        <is>
          <t>32023R0988</t>
        </is>
      </c>
      <c r="D510" s="2" t="inlineStr">
        <is>
          <t>32024R2958</t>
        </is>
      </c>
      <c r="E510" s="2" t="inlineStr">
        <is>
          <t>implementing</t>
        </is>
      </c>
      <c r="F510" s="2" t="inlineStr">
        <is>
          <t>REG_IMPL</t>
        </is>
      </c>
      <c r="G510" s="2" t="inlineStr">
        <is>
          <t>2024-11-29</t>
        </is>
      </c>
      <c r="H510" s="2" t="inlineStr">
        <is>
          <t>Commission Implementing Regulation (EU) 2024/2958 of 29 November 2024 determining the output indicators relevant for Regulation (EU) 2023/988 of the European Parliament and of the Council on general product safety</t>
        </is>
      </c>
      <c r="I510" s="2" t="inlineStr">
        <is>
          <t>no</t>
        </is>
      </c>
      <c r="J510" s="2" t="inlineStr">
        <is>
          <t>https://eur-lex.europa.eu/legal-content/EN/TXT/?uri=CELEX:32024R2958</t>
        </is>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t="inlineStr"/>
    </row>
    <row r="511">
      <c r="A511" s="2" t="n">
        <v>67</v>
      </c>
      <c r="B511" s="2" t="inlineStr">
        <is>
          <t>General Product Safety Regulation</t>
        </is>
      </c>
      <c r="C511" s="2" t="inlineStr">
        <is>
          <t>32023R0988</t>
        </is>
      </c>
      <c r="D511" s="2" t="inlineStr">
        <is>
          <t>52025XC06233</t>
        </is>
      </c>
      <c r="E511" s="2" t="inlineStr">
        <is>
          <t>guidance</t>
        </is>
      </c>
      <c r="F511" s="2" t="inlineStr">
        <is>
          <t>NOTICE</t>
        </is>
      </c>
      <c r="G511" s="2" t="inlineStr">
        <is>
          <t>2025-11-21</t>
        </is>
      </c>
      <c r="H511" s="2" t="inlineStr">
        <is>
          <t>Commission notice – Guidelines on the application of the EU general product safety legislative framework by businesses</t>
        </is>
      </c>
      <c r="I511" s="2" t="inlineStr">
        <is>
          <t>no</t>
        </is>
      </c>
      <c r="J511" s="2" t="inlineStr">
        <is>
          <t>https://eur-lex.europa.eu/legal-content/EN/TXT/?uri=CELEX:52025XC06233</t>
        </is>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inlineStr">
        <is>
          <t>Guidance is non-binding: restriction counts mostly reflect obligations it restates</t>
        </is>
      </c>
    </row>
    <row r="512">
      <c r="A512" s="2" t="n">
        <v>67</v>
      </c>
      <c r="B512" s="2" t="inlineStr">
        <is>
          <t>General Product Safety Regulation</t>
        </is>
      </c>
      <c r="C512" s="2" t="inlineStr">
        <is>
          <t>32023R0988</t>
        </is>
      </c>
      <c r="D512" s="2" t="inlineStr">
        <is>
          <t>52025XC06238</t>
        </is>
      </c>
      <c r="E512" s="2" t="inlineStr">
        <is>
          <t>guidance</t>
        </is>
      </c>
      <c r="F512" s="2" t="inlineStr">
        <is>
          <t>NOTICE</t>
        </is>
      </c>
      <c r="G512" s="2" t="inlineStr">
        <is>
          <t>2025-11-21</t>
        </is>
      </c>
      <c r="H512" s="2" t="inlineStr">
        <is>
          <t>Commission Notice – Guidelines for the practical implementation of the Safety Business Gateway under Article 27(2) of Regulation (EU) 2023/988</t>
        </is>
      </c>
      <c r="I512" s="2" t="inlineStr">
        <is>
          <t>no</t>
        </is>
      </c>
      <c r="J512" s="2" t="inlineStr">
        <is>
          <t>https://eur-lex.europa.eu/legal-content/EN/TXT/?uri=CELEX:52025XC06238</t>
        </is>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inlineStr">
        <is>
          <t>Guidance is non-binding: restriction counts mostly reflect obligations it restates</t>
        </is>
      </c>
    </row>
    <row r="513">
      <c r="A513" s="2" t="n">
        <v>69</v>
      </c>
      <c r="B513" s="2" t="inlineStr">
        <is>
          <t>Vertical Block Exemption Regulation</t>
        </is>
      </c>
      <c r="C513" s="2" t="inlineStr">
        <is>
          <t>32022R0720</t>
        </is>
      </c>
      <c r="D513" s="2" t="inlineStr">
        <is>
          <t>52022XC0630(01)</t>
        </is>
      </c>
      <c r="E513" s="2" t="inlineStr">
        <is>
          <t>guidance</t>
        </is>
      </c>
      <c r="F513" s="2" t="inlineStr">
        <is>
          <t>GUIDELINE</t>
        </is>
      </c>
      <c r="G513" s="2" t="inlineStr">
        <is>
          <t>2022-06-30</t>
        </is>
      </c>
      <c r="H513" s="2" t="inlineStr">
        <is>
          <t>Communication from the Commission COMMISSION NOTICE Guidelines on vertical restraints 2022/C 248/01</t>
        </is>
      </c>
      <c r="I513" s="2" t="inlineStr">
        <is>
          <t>no</t>
        </is>
      </c>
      <c r="J513" s="2" t="inlineStr">
        <is>
          <t>https://eur-lex.europa.eu/legal-content/EN/TXT/?uri=CELEX:52022XC0630(01)</t>
        </is>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inlineStr">
        <is>
          <t>Guidance is non-binding: restriction counts mostly reflect obligations it restates</t>
        </is>
      </c>
    </row>
    <row r="514">
      <c r="A514" s="2" t="n">
        <v>70</v>
      </c>
      <c r="B514" s="2" t="inlineStr">
        <is>
          <t>Digital Decade Policy Programme Decision</t>
        </is>
      </c>
      <c r="C514" s="2" t="inlineStr">
        <is>
          <t>32022D2481</t>
        </is>
      </c>
      <c r="D514" s="2" t="inlineStr">
        <is>
          <t>32023D1353</t>
        </is>
      </c>
      <c r="E514" s="2" t="inlineStr">
        <is>
          <t>implementing</t>
        </is>
      </c>
      <c r="F514" s="2" t="inlineStr">
        <is>
          <t>DEC_IMPL</t>
        </is>
      </c>
      <c r="G514" s="2" t="inlineStr">
        <is>
          <t>2023-06-30</t>
        </is>
      </c>
      <c r="H514" s="2" t="inlineStr">
        <is>
          <t>Commission Implementing Decision (EU) 2023/1353 of 30 June 2023 setting out key performance indicators to measure the progress towards the digital targets established by Article 4(1) of Decision (EU) 2022/2481 of the European Parliament and of the Council</t>
        </is>
      </c>
      <c r="I514" s="2" t="inlineStr">
        <is>
          <t>no</t>
        </is>
      </c>
      <c r="J514" s="2" t="inlineStr">
        <is>
          <t>https://eur-lex.europa.eu/legal-content/EN/TXT/?uri=CELEX:32023D1353</t>
        </is>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t="inlineStr"/>
    </row>
    <row r="515">
      <c r="A515" s="2" t="n">
        <v>70</v>
      </c>
      <c r="B515" s="2" t="inlineStr">
        <is>
          <t>Digital Decade Policy Programme Decision</t>
        </is>
      </c>
      <c r="C515" s="2" t="inlineStr">
        <is>
          <t>32022D2481</t>
        </is>
      </c>
      <c r="D515" s="2" t="inlineStr">
        <is>
          <t>52023XC0630(01)</t>
        </is>
      </c>
      <c r="E515" s="2" t="inlineStr">
        <is>
          <t>guidance</t>
        </is>
      </c>
      <c r="F515" s="2" t="inlineStr">
        <is>
          <t>NOTICE</t>
        </is>
      </c>
      <c r="G515" s="2" t="inlineStr">
        <is>
          <t>2023-06-30</t>
        </is>
      </c>
      <c r="H515" s="2" t="inlineStr">
        <is>
          <t>Communication from the Commission Guidance to the Member States on the preparation of the national Digital Decade strategic roadmaps 2023/C 230/04</t>
        </is>
      </c>
      <c r="I515" s="2" t="inlineStr">
        <is>
          <t>no</t>
        </is>
      </c>
      <c r="J515" s="2" t="inlineStr">
        <is>
          <t>https://eur-lex.europa.eu/legal-content/EN/TXT/?uri=CELEX:52023XC0630(01)</t>
        </is>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inlineStr">
        <is>
          <t>Guidance is non-binding: restriction counts mostly reflect obligations it restates</t>
        </is>
      </c>
    </row>
    <row r="516">
      <c r="A516" s="2" t="n">
        <v>70</v>
      </c>
      <c r="B516" s="2" t="inlineStr">
        <is>
          <t>Digital Decade Policy Programme Decision</t>
        </is>
      </c>
      <c r="C516" s="2" t="inlineStr">
        <is>
          <t>32022D2481</t>
        </is>
      </c>
      <c r="D516" s="2" t="inlineStr">
        <is>
          <t>32024D0458</t>
        </is>
      </c>
      <c r="E516" s="2" t="inlineStr">
        <is>
          <t>implementing</t>
        </is>
      </c>
      <c r="F516" s="2" t="inlineStr">
        <is>
          <t>DEC_IMPL</t>
        </is>
      </c>
      <c r="G516" s="2" t="inlineStr">
        <is>
          <t>2024-02-01</t>
        </is>
      </c>
      <c r="H516" s="2" t="inlineStr">
        <is>
          <t>Commission Implementing Decision (EU) 2024/458 of 1 February 2024 on setting up the European Digital Infrastructure Consortium for the Alliance for Language Technologies (ALT-EDIC)</t>
        </is>
      </c>
      <c r="I516" s="2" t="inlineStr">
        <is>
          <t>no</t>
        </is>
      </c>
      <c r="J516" s="2" t="inlineStr">
        <is>
          <t>https://eur-lex.europa.eu/legal-content/EN/TXT/?uri=CELEX:32024D0458</t>
        </is>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t="inlineStr"/>
    </row>
    <row r="517">
      <c r="A517" s="2" t="n">
        <v>70</v>
      </c>
      <c r="B517" s="2" t="inlineStr">
        <is>
          <t>Digital Decade Policy Programme Decision</t>
        </is>
      </c>
      <c r="C517" s="2" t="inlineStr">
        <is>
          <t>32022D2481</t>
        </is>
      </c>
      <c r="D517" s="2" t="inlineStr">
        <is>
          <t>32024D0459</t>
        </is>
      </c>
      <c r="E517" s="2" t="inlineStr">
        <is>
          <t>implementing</t>
        </is>
      </c>
      <c r="F517" s="2" t="inlineStr">
        <is>
          <t>DEC_IMPL</t>
        </is>
      </c>
      <c r="G517" s="2" t="inlineStr">
        <is>
          <t>2024-02-01</t>
        </is>
      </c>
      <c r="H517" s="2" t="inlineStr">
        <is>
          <t>Commission Implementing Decision (EU) 2024/459 of 1 February 2024 on setting up the European Digital Infrastructure Consortium for Networked Local Digital Twins towards the CitiVERSE (LDT CitiVERSE EDIC)</t>
        </is>
      </c>
      <c r="I517" s="2" t="inlineStr">
        <is>
          <t>no</t>
        </is>
      </c>
      <c r="J517" s="2" t="inlineStr">
        <is>
          <t>https://eur-lex.europa.eu/legal-content/EN/TXT/?uri=CELEX:32024D0459</t>
        </is>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t="inlineStr"/>
    </row>
    <row r="518">
      <c r="A518" s="2" t="n">
        <v>70</v>
      </c>
      <c r="B518" s="2" t="inlineStr">
        <is>
          <t>Digital Decade Policy Programme Decision</t>
        </is>
      </c>
      <c r="C518" s="2" t="inlineStr">
        <is>
          <t>32022D2481</t>
        </is>
      </c>
      <c r="D518" s="2" t="inlineStr">
        <is>
          <t>32024D1432</t>
        </is>
      </c>
      <c r="E518" s="2" t="inlineStr">
        <is>
          <t>implementing</t>
        </is>
      </c>
      <c r="F518" s="2" t="inlineStr">
        <is>
          <t>DEC_IMPL</t>
        </is>
      </c>
      <c r="G518" s="2" t="inlineStr">
        <is>
          <t>2024-05-21</t>
        </is>
      </c>
      <c r="H518" s="2" t="inlineStr">
        <is>
          <t>Commission Implementing Decision (EU) 2024/1432 of 21 May 2024 setting up the European Digital Infrastructure Consortium for European Blockchain Partnership and European Blockchain Service Infrastructure (EUROPEUM-EDIC)</t>
        </is>
      </c>
      <c r="I518" s="2" t="inlineStr">
        <is>
          <t>no</t>
        </is>
      </c>
      <c r="J518" s="2" t="inlineStr">
        <is>
          <t>https://eur-lex.europa.eu/legal-content/EN/TXT/?uri=CELEX:32024D1432</t>
        </is>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t="inlineStr"/>
    </row>
    <row r="519">
      <c r="A519" s="2" t="n">
        <v>70</v>
      </c>
      <c r="B519" s="2" t="inlineStr">
        <is>
          <t>Digital Decade Policy Programme Decision</t>
        </is>
      </c>
      <c r="C519" s="2" t="inlineStr">
        <is>
          <t>32022D2481</t>
        </is>
      </c>
      <c r="D519" s="2" t="inlineStr">
        <is>
          <t>32025D2170</t>
        </is>
      </c>
      <c r="E519" s="2" t="inlineStr">
        <is>
          <t>implementing</t>
        </is>
      </c>
      <c r="F519" s="2" t="inlineStr">
        <is>
          <t>DEC_IMPL</t>
        </is>
      </c>
      <c r="G519" s="2" t="inlineStr">
        <is>
          <t>2025-10-29</t>
        </is>
      </c>
      <c r="H519" s="2" t="inlineStr">
        <is>
          <t>Commission Implementing Decision (EU) 2025/2170 of 29 October 2025 setting up the European Digital Infrastructure Consortium for Digital Commons (DC-EDIC)</t>
        </is>
      </c>
      <c r="I519" s="2" t="inlineStr">
        <is>
          <t>no</t>
        </is>
      </c>
      <c r="J519" s="2" t="inlineStr">
        <is>
          <t>https://eur-lex.europa.eu/legal-content/EN/TXT/?uri=CELEX:32025D2170</t>
        </is>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t="inlineStr"/>
    </row>
    <row r="520">
      <c r="A520" s="2" t="n">
        <v>70</v>
      </c>
      <c r="B520" s="2" t="inlineStr">
        <is>
          <t>Digital Decade Policy Programme Decision</t>
        </is>
      </c>
      <c r="C520" s="2" t="inlineStr">
        <is>
          <t>32022D2481</t>
        </is>
      </c>
      <c r="D520" s="2" t="inlineStr">
        <is>
          <t>32025D2414</t>
        </is>
      </c>
      <c r="E520" s="2" t="inlineStr">
        <is>
          <t>implementing</t>
        </is>
      </c>
      <c r="F520" s="2" t="inlineStr">
        <is>
          <t>DEC_IMPL</t>
        </is>
      </c>
      <c r="G520" s="2" t="inlineStr">
        <is>
          <t>2025-12-02</t>
        </is>
      </c>
      <c r="H520" s="2" t="inlineStr">
        <is>
          <t>Commission Implementing Decision (EU) 2025/2414 of 2 December 2025 setting up the European Digital Infrastructure Consortium for Innovative Massive Public Administration interConnected Transformation Services (IMPACTS-EDIC)</t>
        </is>
      </c>
      <c r="I520" s="2" t="inlineStr">
        <is>
          <t>no</t>
        </is>
      </c>
      <c r="J520" s="2" t="inlineStr">
        <is>
          <t>https://eur-lex.europa.eu/legal-content/EN/TXT/?uri=CELEX:32025D2414</t>
        </is>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t="inlineStr"/>
    </row>
    <row r="521">
      <c r="A521" s="2" t="n">
        <v>70</v>
      </c>
      <c r="B521" s="2" t="inlineStr">
        <is>
          <t>Digital Decade Policy Programme Decision</t>
        </is>
      </c>
      <c r="C521" s="2" t="inlineStr">
        <is>
          <t>32022D2481</t>
        </is>
      </c>
      <c r="D521" s="2" t="inlineStr">
        <is>
          <t>32026D1416</t>
        </is>
      </c>
      <c r="E521" s="2" t="inlineStr">
        <is>
          <t>implementing</t>
        </is>
      </c>
      <c r="F521" s="2" t="inlineStr">
        <is>
          <t>DEC_IMPL</t>
        </is>
      </c>
      <c r="G521" s="2" t="inlineStr">
        <is>
          <t>2026-06-30</t>
        </is>
      </c>
      <c r="H521" s="2" t="inlineStr">
        <is>
          <t>Commission Implementing Decision (EU) 2026/1416 of 30 June 2026 setting up the European Digital Infrastructure Consortium for Cybersecurity Skills Coalition (CSC-EDIC)</t>
        </is>
      </c>
      <c r="I521" s="2" t="inlineStr">
        <is>
          <t>no</t>
        </is>
      </c>
      <c r="J521" s="2" t="inlineStr">
        <is>
          <t>https://eur-lex.europa.eu/legal-content/EN/TXT/?uri=CELEX:32026D1416</t>
        </is>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t="inlineStr"/>
    </row>
    <row r="522">
      <c r="A522" s="2" t="n">
        <v>70</v>
      </c>
      <c r="B522" s="2" t="inlineStr">
        <is>
          <t>Digital Decade Policy Programme Decision</t>
        </is>
      </c>
      <c r="C522" s="2" t="inlineStr">
        <is>
          <t>32022D2481</t>
        </is>
      </c>
      <c r="D522" s="2" t="inlineStr">
        <is>
          <t>32026D1978</t>
        </is>
      </c>
      <c r="E522" s="2" t="inlineStr">
        <is>
          <t>implementing</t>
        </is>
      </c>
      <c r="F522" s="2" t="inlineStr">
        <is>
          <t>DEC_IMPL</t>
        </is>
      </c>
      <c r="G522" s="2" t="inlineStr">
        <is>
          <t>2026-09-08</t>
        </is>
      </c>
      <c r="H522" s="2" t="inlineStr">
        <is>
          <t>Commission Implementing Decision (EU) 2026/1978 of 8 September 2026 setting up the European Digital Infrastructure Consortium for Agri-Food (EDIC for Agri-Food)</t>
        </is>
      </c>
      <c r="I522" s="2" t="inlineStr">
        <is>
          <t>no</t>
        </is>
      </c>
      <c r="J522" s="2" t="inlineStr">
        <is>
          <t>https://eur-lex.europa.eu/legal-content/EN/TXT/?uri=CELEX:32026D1978</t>
        </is>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t="inlineStr"/>
    </row>
    <row r="523">
      <c r="A523" s="2" t="n">
        <v>71</v>
      </c>
      <c r="B523" s="2" t="inlineStr">
        <is>
          <t>Political Advertising Regulation</t>
        </is>
      </c>
      <c r="C523" s="2" t="inlineStr">
        <is>
          <t>32024R0900</t>
        </is>
      </c>
      <c r="D523" s="2" t="inlineStr">
        <is>
          <t>32025R1410</t>
        </is>
      </c>
      <c r="E523" s="2" t="inlineStr">
        <is>
          <t>implementing</t>
        </is>
      </c>
      <c r="F523" s="2" t="inlineStr">
        <is>
          <t>REG_IMPL</t>
        </is>
      </c>
      <c r="G523" s="2" t="inlineStr">
        <is>
          <t>2025-07-09</t>
        </is>
      </c>
      <c r="H523" s="2" t="inlineStr">
        <is>
          <t>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is>
      </c>
      <c r="I523" s="2" t="inlineStr">
        <is>
          <t>no</t>
        </is>
      </c>
      <c r="J523" s="2" t="inlineStr">
        <is>
          <t>https://eur-lex.europa.eu/legal-content/EN/TXT/?uri=CELEX:32025R1410</t>
        </is>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t="inlineStr"/>
    </row>
    <row r="524">
      <c r="A524" s="2" t="n">
        <v>71</v>
      </c>
      <c r="B524" s="2" t="inlineStr">
        <is>
          <t>Political Advertising Regulation</t>
        </is>
      </c>
      <c r="C524" s="2" t="inlineStr">
        <is>
          <t>32024R0900</t>
        </is>
      </c>
      <c r="D524" s="2" t="inlineStr">
        <is>
          <t>52025XC05514</t>
        </is>
      </c>
      <c r="E524" s="2" t="inlineStr">
        <is>
          <t>guidance</t>
        </is>
      </c>
      <c r="F524" s="2" t="inlineStr">
        <is>
          <t>NOTICE</t>
        </is>
      </c>
      <c r="G524" s="2" t="inlineStr">
        <is>
          <t>2025-10-10</t>
        </is>
      </c>
      <c r="H524" s="2" t="inlineStr">
        <is>
          <t>Communication from the Commission – Guidelines to support the implementation of Regulation (EU) 2024/900 on the transparency and targeting of political advertising</t>
        </is>
      </c>
      <c r="I524" s="2" t="inlineStr">
        <is>
          <t>no</t>
        </is>
      </c>
      <c r="J524" s="2" t="inlineStr">
        <is>
          <t>https://eur-lex.europa.eu/legal-content/EN/TXT/?uri=CELEX:52025XC05514</t>
        </is>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inlineStr">
        <is>
          <t>Guidance is non-binding: restriction counts mostly reflect obligations it restates</t>
        </is>
      </c>
    </row>
    <row r="525">
      <c r="A525" s="2" t="n">
        <v>71</v>
      </c>
      <c r="B525" s="2" t="inlineStr">
        <is>
          <t>Political Advertising Regulation</t>
        </is>
      </c>
      <c r="C525" s="2" t="inlineStr">
        <is>
          <t>32024R0900</t>
        </is>
      </c>
      <c r="D525" s="2" t="inlineStr">
        <is>
          <t>32026R0818</t>
        </is>
      </c>
      <c r="E525" s="2" t="inlineStr">
        <is>
          <t>implementing</t>
        </is>
      </c>
      <c r="F525" s="2" t="inlineStr">
        <is>
          <t>REG_IMPL</t>
        </is>
      </c>
      <c r="G525" s="2" t="inlineStr">
        <is>
          <t>2026-04-09</t>
        </is>
      </c>
      <c r="H525" s="2" t="inlineStr">
        <is>
          <t>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is>
      </c>
      <c r="I525" s="2" t="inlineStr">
        <is>
          <t>no</t>
        </is>
      </c>
      <c r="J525" s="2" t="inlineStr">
        <is>
          <t>https://eur-lex.europa.eu/legal-content/EN/TXT/?uri=CELEX:32026R0818</t>
        </is>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t="inlineStr"/>
    </row>
    <row r="526">
      <c r="A526" s="2" t="n">
        <v>72</v>
      </c>
      <c r="B526" s="2" t="inlineStr">
        <is>
          <t>Digitalisation of judicial cooperation Regulation</t>
        </is>
      </c>
      <c r="C526" s="2" t="inlineStr">
        <is>
          <t>32023R2844</t>
        </is>
      </c>
      <c r="D526" s="2" t="inlineStr">
        <is>
          <t>32026R0101</t>
        </is>
      </c>
      <c r="E526" s="2" t="inlineStr">
        <is>
          <t>implementing</t>
        </is>
      </c>
      <c r="F526" s="2" t="inlineStr">
        <is>
          <t>REG_IMPL</t>
        </is>
      </c>
      <c r="G526" s="2" t="inlineStr">
        <is>
          <t>2026-01-15</t>
        </is>
      </c>
      <c r="H526" s="2" t="inlineStr">
        <is>
          <t>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is>
      </c>
      <c r="I526" s="2" t="inlineStr">
        <is>
          <t>no</t>
        </is>
      </c>
      <c r="J526" s="2" t="inlineStr">
        <is>
          <t>https://eur-lex.europa.eu/legal-content/EN/TXT/?uri=CELEX:32026R0101</t>
        </is>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t="inlineStr"/>
    </row>
    <row r="527">
      <c r="A527" s="2" t="n">
        <v>72</v>
      </c>
      <c r="B527" s="2" t="inlineStr">
        <is>
          <t>Digitalisation of judicial cooperation Regulation</t>
        </is>
      </c>
      <c r="C527" s="2" t="inlineStr">
        <is>
          <t>32023R2844</t>
        </is>
      </c>
      <c r="D527" s="2" t="inlineStr">
        <is>
          <t>32026R0102</t>
        </is>
      </c>
      <c r="E527" s="2" t="inlineStr">
        <is>
          <t>implementing</t>
        </is>
      </c>
      <c r="F527" s="2" t="inlineStr">
        <is>
          <t>REG_IMPL</t>
        </is>
      </c>
      <c r="G527" s="2" t="inlineStr">
        <is>
          <t>2026-01-15</t>
        </is>
      </c>
      <c r="H527" s="2" t="inlineStr">
        <is>
          <t>Commission Implementing Regulation (EU) 2026/102 of 15 January 2026 on setting out the technical specifications for the European electronic access point, as referenced in Regulation (EU) 2023/2844 of the European Parliament and of the Council</t>
        </is>
      </c>
      <c r="I527" s="2" t="inlineStr">
        <is>
          <t>no</t>
        </is>
      </c>
      <c r="J527" s="2" t="inlineStr">
        <is>
          <t>https://eur-lex.europa.eu/legal-content/EN/TXT/?uri=CELEX:32026R0102</t>
        </is>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t="inlineStr"/>
    </row>
    <row r="528">
      <c r="A528" s="2" t="n">
        <v>74</v>
      </c>
      <c r="B528" s="2" t="inlineStr">
        <is>
          <t>European Chips Act</t>
        </is>
      </c>
      <c r="C528" s="2" t="inlineStr">
        <is>
          <t>32023R1781</t>
        </is>
      </c>
      <c r="D528" s="2" t="inlineStr">
        <is>
          <t>52024XC04911</t>
        </is>
      </c>
      <c r="E528" s="2" t="inlineStr">
        <is>
          <t>guidance</t>
        </is>
      </c>
      <c r="F528" s="2" t="inlineStr">
        <is>
          <t>COMMUNIC</t>
        </is>
      </c>
      <c r="G528" s="2" t="inlineStr">
        <is>
          <t>2024-08-20</t>
        </is>
      </c>
      <c r="H528" s="2" t="inlineStr">
        <is>
          <t>Communication from the Commission on the Guidance on the application for an undertaking to obtain the status of integrated production facility and open EU foundry pursuant to Article 15 of the Chips Act Regulation (EU) 2023/1781</t>
        </is>
      </c>
      <c r="I528" s="2" t="inlineStr">
        <is>
          <t>no</t>
        </is>
      </c>
      <c r="J528" s="2" t="inlineStr">
        <is>
          <t>https://eur-lex.europa.eu/legal-content/EN/TXT/?uri=CELEX:52024XC04911</t>
        </is>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inlineStr">
        <is>
          <t>Guidance is non-binding: restriction counts mostly reflect obligations it restates</t>
        </is>
      </c>
    </row>
    <row r="529">
      <c r="A529" s="2" t="n">
        <v>75</v>
      </c>
      <c r="B529" s="2" t="inlineStr">
        <is>
          <t>Union Secure Connectivity Programme</t>
        </is>
      </c>
      <c r="C529" s="2" t="inlineStr">
        <is>
          <t>32023R0588</t>
        </is>
      </c>
      <c r="D529" s="2" t="inlineStr">
        <is>
          <t>32023D1053</t>
        </is>
      </c>
      <c r="E529" s="2" t="inlineStr">
        <is>
          <t>implementing</t>
        </is>
      </c>
      <c r="F529" s="2" t="inlineStr">
        <is>
          <t>DEC_IMPL</t>
        </is>
      </c>
      <c r="G529" s="2" t="inlineStr">
        <is>
          <t>2023-05-30</t>
        </is>
      </c>
      <c r="H529" s="2" t="inlineStr">
        <is>
          <t>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is>
      </c>
      <c r="I529" s="2" t="inlineStr">
        <is>
          <t>no</t>
        </is>
      </c>
      <c r="J529" s="2" t="inlineStr">
        <is>
          <t>https://eur-lex.europa.eu/legal-content/EN/TXT/?uri=CELEX:32023D1053</t>
        </is>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t="inlineStr"/>
    </row>
    <row r="530">
      <c r="A530" s="2" t="n">
        <v>75</v>
      </c>
      <c r="B530" s="2" t="inlineStr">
        <is>
          <t>Union Secure Connectivity Programme</t>
        </is>
      </c>
      <c r="C530" s="2" t="inlineStr">
        <is>
          <t>32023R0588</t>
        </is>
      </c>
      <c r="D530" s="2" t="inlineStr">
        <is>
          <t>32024D1067</t>
        </is>
      </c>
      <c r="E530" s="2" t="inlineStr">
        <is>
          <t>implementing</t>
        </is>
      </c>
      <c r="F530" s="2" t="inlineStr">
        <is>
          <t>DEC_IMPL</t>
        </is>
      </c>
      <c r="G530" s="2" t="inlineStr">
        <is>
          <t>2024-04-12</t>
        </is>
      </c>
      <c r="H530" s="2" t="inlineStr">
        <is>
          <t>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is>
      </c>
      <c r="I530" s="2" t="inlineStr">
        <is>
          <t>no</t>
        </is>
      </c>
      <c r="J530" s="2" t="inlineStr">
        <is>
          <t>https://eur-lex.europa.eu/legal-content/EN/TXT/?uri=CELEX:32024D1067</t>
        </is>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t="inlineStr"/>
    </row>
    <row r="531">
      <c r="A531" s="2" t="n">
        <v>76</v>
      </c>
      <c r="B531" s="2" t="inlineStr">
        <is>
          <t>Data Act</t>
        </is>
      </c>
      <c r="C531" s="2" t="inlineStr">
        <is>
          <t>32023R2854</t>
        </is>
      </c>
      <c r="D531" s="2" t="inlineStr">
        <is>
          <t>52025XC05026</t>
        </is>
      </c>
      <c r="E531" s="2" t="inlineStr">
        <is>
          <t>guidance</t>
        </is>
      </c>
      <c r="F531" s="2" t="inlineStr">
        <is>
          <t>NOTICE</t>
        </is>
      </c>
      <c r="G531" s="2" t="inlineStr">
        <is>
          <t>2025-09-15</t>
        </is>
      </c>
      <c r="H531" s="2" t="inlineStr">
        <is>
          <t>Communication from the Commission – Guidance on vehicle data, accompanying Regulation (EU) 2023/2854 of the European Parliament and of the Council (Data Act)</t>
        </is>
      </c>
      <c r="I531" s="2" t="inlineStr">
        <is>
          <t>no</t>
        </is>
      </c>
      <c r="J531" s="2" t="inlineStr">
        <is>
          <t>https://eur-lex.europa.eu/legal-content/EN/TXT/?uri=CELEX:52025XC05026</t>
        </is>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inlineStr">
        <is>
          <t>Guidance is non-binding: restriction counts mostly reflect obligations it restates</t>
        </is>
      </c>
    </row>
    <row r="532">
      <c r="A532" s="2" t="n">
        <v>80</v>
      </c>
      <c r="B532" s="2" t="inlineStr">
        <is>
          <t>Ecodesign for Sustainable Products Regulation</t>
        </is>
      </c>
      <c r="C532" s="2" t="inlineStr">
        <is>
          <t>32024R1781</t>
        </is>
      </c>
      <c r="D532" s="2" t="inlineStr">
        <is>
          <t>32026R0002</t>
        </is>
      </c>
      <c r="E532" s="2" t="inlineStr">
        <is>
          <t>implementing</t>
        </is>
      </c>
      <c r="F532" s="2" t="inlineStr">
        <is>
          <t>REG_IMPL</t>
        </is>
      </c>
      <c r="G532" s="2" t="inlineStr">
        <is>
          <t>2026-02-09</t>
        </is>
      </c>
      <c r="H532" s="2" t="inlineStr">
        <is>
          <t>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is>
      </c>
      <c r="I532" s="2" t="inlineStr">
        <is>
          <t>no</t>
        </is>
      </c>
      <c r="J532" s="2" t="inlineStr">
        <is>
          <t>https://eur-lex.europa.eu/legal-content/EN/TXT/?uri=CELEX:32026R0002</t>
        </is>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t="inlineStr"/>
    </row>
    <row r="533">
      <c r="A533" s="2" t="n">
        <v>80</v>
      </c>
      <c r="B533" s="2" t="inlineStr">
        <is>
          <t>Ecodesign for Sustainable Products Regulation</t>
        </is>
      </c>
      <c r="C533" s="2" t="inlineStr">
        <is>
          <t>32024R1781</t>
        </is>
      </c>
      <c r="D533" s="2" t="inlineStr">
        <is>
          <t>32026R0296</t>
        </is>
      </c>
      <c r="E533" s="2" t="inlineStr">
        <is>
          <t>delegated</t>
        </is>
      </c>
      <c r="F533" s="2" t="inlineStr">
        <is>
          <t>REG_DEL</t>
        </is>
      </c>
      <c r="G533" s="2" t="inlineStr">
        <is>
          <t>2026-02-09</t>
        </is>
      </c>
      <c r="H533" s="2" t="inlineStr">
        <is>
          <t>Commission Delegated Regulation (EU) 2026/296 of 9 February 2026 supplementing Regulation (EU) 2024/1781 of the European Parliament and of the Council by setting out derogations from the prohibition of destruction of unsold consumer products</t>
        </is>
      </c>
      <c r="I533" s="2" t="inlineStr">
        <is>
          <t>no</t>
        </is>
      </c>
      <c r="J533" s="2" t="inlineStr">
        <is>
          <t>https://eur-lex.europa.eu/legal-content/EN/TXT/?uri=CELEX:32026R0296</t>
        </is>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t="inlineStr"/>
    </row>
    <row r="534">
      <c r="A534" s="2" t="n">
        <v>80</v>
      </c>
      <c r="B534" s="2" t="inlineStr">
        <is>
          <t>Ecodesign for Sustainable Products Regulation</t>
        </is>
      </c>
      <c r="C534" s="2" t="inlineStr">
        <is>
          <t>32024R1781</t>
        </is>
      </c>
      <c r="D534" s="2" t="inlineStr">
        <is>
          <t>32026R1778</t>
        </is>
      </c>
      <c r="E534" s="2" t="inlineStr">
        <is>
          <t>implementing</t>
        </is>
      </c>
      <c r="F534" s="2" t="inlineStr">
        <is>
          <t>REG_IMPL</t>
        </is>
      </c>
      <c r="G534" s="2" t="inlineStr">
        <is>
          <t>2026-07-16</t>
        </is>
      </c>
      <c r="H534" s="2" t="inlineStr">
        <is>
          <t>Commission Implementing Regulation (EU) 2026/1778 of 16 July 2026 laying down the implementation arrangements for the digital product passport registry set up under Regulation (EU) 2024/1781 of the European Parliament and of the Council</t>
        </is>
      </c>
      <c r="I534" s="2" t="inlineStr">
        <is>
          <t>no</t>
        </is>
      </c>
      <c r="J534" s="2" t="inlineStr">
        <is>
          <t>https://eur-lex.europa.eu/legal-content/EN/TXT/?uri=CELEX:32026R1778</t>
        </is>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t="inlineStr"/>
    </row>
    <row r="535">
      <c r="A535" s="2" t="n">
        <v>81</v>
      </c>
      <c r="B535" s="2" t="inlineStr">
        <is>
          <t>European Health Data Space</t>
        </is>
      </c>
      <c r="C535" s="2" t="inlineStr">
        <is>
          <t>32025R0327</t>
        </is>
      </c>
      <c r="D535" s="2" t="inlineStr">
        <is>
          <t>32026R0771</t>
        </is>
      </c>
      <c r="E535" s="2" t="inlineStr">
        <is>
          <t>implementing</t>
        </is>
      </c>
      <c r="F535" s="2" t="inlineStr">
        <is>
          <t>REG_IMPL</t>
        </is>
      </c>
      <c r="G535" s="2" t="inlineStr">
        <is>
          <t>2026-04-07</t>
        </is>
      </c>
      <c r="H535" s="2" t="inlineStr">
        <is>
          <t>Commission Implementing Regulation (EU) 2026/771 of 7 April 2026 laying down the necessary measures for the establishment and operation of the European Health Data Space Board</t>
        </is>
      </c>
      <c r="I535" s="2" t="inlineStr">
        <is>
          <t>no</t>
        </is>
      </c>
      <c r="J535" s="2" t="inlineStr">
        <is>
          <t>https://eur-lex.europa.eu/legal-content/EN/TXT/?uri=CELEX:32026R0771</t>
        </is>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t="inlineStr"/>
    </row>
    <row r="536">
      <c r="A536" s="2" t="n">
        <v>81</v>
      </c>
      <c r="B536" s="2" t="inlineStr">
        <is>
          <t>European Health Data Space</t>
        </is>
      </c>
      <c r="C536" s="2" t="inlineStr">
        <is>
          <t>32025R0327</t>
        </is>
      </c>
      <c r="D536" s="2" t="inlineStr">
        <is>
          <t>32026R2083</t>
        </is>
      </c>
      <c r="E536" s="2" t="inlineStr">
        <is>
          <t>implementing</t>
        </is>
      </c>
      <c r="F536" s="2" t="inlineStr">
        <is>
          <t>REG_IMPL</t>
        </is>
      </c>
      <c r="G536" s="2" t="inlineStr">
        <is>
          <t>2026-09-18</t>
        </is>
      </c>
      <c r="H536" s="2" t="inlineStr">
        <is>
          <t>Commission Implementing Regulation (EU) 2026/2083 of 18 September 2026 on MyHealth@EU</t>
        </is>
      </c>
      <c r="I536" s="2" t="inlineStr">
        <is>
          <t>no</t>
        </is>
      </c>
      <c r="J536" s="2" t="inlineStr">
        <is>
          <t>https://eur-lex.europa.eu/legal-content/EN/TXT/?uri=CELEX:32026R2083</t>
        </is>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t="inlineStr"/>
    </row>
    <row r="537">
      <c r="A537" s="2" t="n">
        <v>81</v>
      </c>
      <c r="B537" s="2" t="inlineStr">
        <is>
          <t>European Health Data Space</t>
        </is>
      </c>
      <c r="C537" s="2" t="inlineStr">
        <is>
          <t>32025R0327</t>
        </is>
      </c>
      <c r="D537" s="2" t="inlineStr">
        <is>
          <t>32026R2098</t>
        </is>
      </c>
      <c r="E537" s="2" t="inlineStr">
        <is>
          <t>implementing</t>
        </is>
      </c>
      <c r="F537" s="2" t="inlineStr">
        <is>
          <t>REG_IMPL</t>
        </is>
      </c>
      <c r="G537" s="2" t="inlineStr">
        <is>
          <t>2026-09-18</t>
        </is>
      </c>
      <c r="H537" s="2" t="inlineStr">
        <is>
          <t>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is>
      </c>
      <c r="I537" s="2" t="inlineStr">
        <is>
          <t>no</t>
        </is>
      </c>
      <c r="J537" s="2" t="inlineStr">
        <is>
          <t>https://eur-lex.europa.eu/legal-content/EN/TXT/?uri=CELEX:32026R2098</t>
        </is>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t="inlineStr"/>
    </row>
    <row r="538">
      <c r="A538" s="2" t="n">
        <v>81</v>
      </c>
      <c r="B538" s="2" t="inlineStr">
        <is>
          <t>European Health Data Space</t>
        </is>
      </c>
      <c r="C538" s="2" t="inlineStr">
        <is>
          <t>32025R0327</t>
        </is>
      </c>
      <c r="D538" s="2" t="inlineStr">
        <is>
          <t>32026R2099</t>
        </is>
      </c>
      <c r="E538" s="2" t="inlineStr">
        <is>
          <t>implementing</t>
        </is>
      </c>
      <c r="F538" s="2" t="inlineStr">
        <is>
          <t>REG_IMPL</t>
        </is>
      </c>
      <c r="G538" s="2" t="inlineStr">
        <is>
          <t>2026-09-21</t>
        </is>
      </c>
      <c r="H538" s="2" t="inlineStr">
        <is>
          <t>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is>
      </c>
      <c r="I538" s="2" t="inlineStr">
        <is>
          <t>no</t>
        </is>
      </c>
      <c r="J538" s="2" t="inlineStr">
        <is>
          <t>https://eur-lex.europa.eu/legal-content/EN/TXT/?uri=CELEX:32026R2099</t>
        </is>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t="inlineStr"/>
    </row>
    <row r="539">
      <c r="A539" s="2" t="n">
        <v>83</v>
      </c>
      <c r="B539" s="2" t="inlineStr">
        <is>
          <t>Cyber Resilience Act</t>
        </is>
      </c>
      <c r="C539" s="2" t="inlineStr">
        <is>
          <t>32024R2847</t>
        </is>
      </c>
      <c r="D539" s="2" t="inlineStr">
        <is>
          <t>32025R1535</t>
        </is>
      </c>
      <c r="E539" s="2" t="inlineStr">
        <is>
          <t>delegated</t>
        </is>
      </c>
      <c r="F539" s="2" t="inlineStr">
        <is>
          <t>REG_DEL</t>
        </is>
      </c>
      <c r="G539" s="2" t="inlineStr">
        <is>
          <t>2025-07-29</t>
        </is>
      </c>
      <c r="H539" s="2" t="inlineStr">
        <is>
          <t>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is>
      </c>
      <c r="I539" s="2" t="inlineStr">
        <is>
          <t>no</t>
        </is>
      </c>
      <c r="J539" s="2" t="inlineStr">
        <is>
          <t>https://eur-lex.europa.eu/legal-content/EN/TXT/?uri=CELEX:32025R1535</t>
        </is>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t="inlineStr"/>
    </row>
    <row r="540">
      <c r="A540" s="2" t="n">
        <v>83</v>
      </c>
      <c r="B540" s="2" t="inlineStr">
        <is>
          <t>Cyber Resilience Act</t>
        </is>
      </c>
      <c r="C540" s="2" t="inlineStr">
        <is>
          <t>32024R2847</t>
        </is>
      </c>
      <c r="D540" s="2" t="inlineStr">
        <is>
          <t>32025R2392</t>
        </is>
      </c>
      <c r="E540" s="2" t="inlineStr">
        <is>
          <t>implementing</t>
        </is>
      </c>
      <c r="F540" s="2" t="inlineStr">
        <is>
          <t>REG_IMPL</t>
        </is>
      </c>
      <c r="G540" s="2" t="inlineStr">
        <is>
          <t>2025-11-28</t>
        </is>
      </c>
      <c r="H540" s="2" t="inlineStr">
        <is>
          <t>Commission Implementing Regulation (EU) 2025/2392 of 28 November 2025 on the technical description of the categories of important and critical products with digital elements pursuant to Regulation (EU) 2024/2847 of the European Parliament and of the Council</t>
        </is>
      </c>
      <c r="I540" s="2" t="inlineStr">
        <is>
          <t>no</t>
        </is>
      </c>
      <c r="J540" s="2" t="inlineStr">
        <is>
          <t>https://eur-lex.europa.eu/legal-content/EN/TXT/?uri=CELEX:32025R2392</t>
        </is>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t="inlineStr"/>
    </row>
    <row r="541">
      <c r="A541" s="2" t="n">
        <v>83</v>
      </c>
      <c r="B541" s="2" t="inlineStr">
        <is>
          <t>Cyber Resilience Act</t>
        </is>
      </c>
      <c r="C541" s="2" t="inlineStr">
        <is>
          <t>32024R2847</t>
        </is>
      </c>
      <c r="D541" s="2" t="inlineStr">
        <is>
          <t>32026R0881</t>
        </is>
      </c>
      <c r="E541" s="2" t="inlineStr">
        <is>
          <t>delegated</t>
        </is>
      </c>
      <c r="F541" s="2" t="inlineStr">
        <is>
          <t>REG_DEL</t>
        </is>
      </c>
      <c r="G541" s="2" t="inlineStr">
        <is>
          <t>2025-12-11</t>
        </is>
      </c>
      <c r="H541" s="2" t="inlineStr">
        <is>
          <t>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is>
      </c>
      <c r="I541" s="2" t="inlineStr">
        <is>
          <t>no</t>
        </is>
      </c>
      <c r="J541" s="2" t="inlineStr">
        <is>
          <t>https://eur-lex.europa.eu/legal-content/EN/TXT/?uri=CELEX:32026R0881</t>
        </is>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t="inlineStr"/>
    </row>
    <row r="542">
      <c r="A542" s="2" t="n">
        <v>84</v>
      </c>
      <c r="B542" s="2" t="inlineStr">
        <is>
          <t>European Media Freedom Act</t>
        </is>
      </c>
      <c r="C542" s="2" t="inlineStr">
        <is>
          <t>32024R1083</t>
        </is>
      </c>
      <c r="D542" s="2" t="inlineStr">
        <is>
          <t>52026XC00901</t>
        </is>
      </c>
      <c r="E542" s="2" t="inlineStr">
        <is>
          <t>guidance</t>
        </is>
      </c>
      <c r="F542" s="2" t="inlineStr">
        <is>
          <t>NOTICE</t>
        </is>
      </c>
      <c r="G542" s="2" t="inlineStr">
        <is>
          <t>2026-02-11</t>
        </is>
      </c>
      <c r="H542" s="2" t="inlineStr">
        <is>
          <t>Communication from the Commission – Commission guidelines on the implementation of the declaration functionality for media service providers pursuant to Article 18 (1) of Regulation (EU) 2024/1083 (European Media Freedom Act)</t>
        </is>
      </c>
      <c r="I542" s="2" t="inlineStr">
        <is>
          <t>no</t>
        </is>
      </c>
      <c r="J542" s="2" t="inlineStr">
        <is>
          <t>https://eur-lex.europa.eu/legal-content/EN/TXT/?uri=CELEX:52026XC00901</t>
        </is>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inlineStr">
        <is>
          <t>Guidance is non-binding: restriction counts mostly reflect obligations it restates</t>
        </is>
      </c>
    </row>
    <row r="543">
      <c r="A543" s="2" t="n">
        <v>88</v>
      </c>
      <c r="B543" s="2" t="inlineStr">
        <is>
          <t>Interoperable Europe Act</t>
        </is>
      </c>
      <c r="C543" s="2" t="inlineStr">
        <is>
          <t>32024R0903</t>
        </is>
      </c>
      <c r="D543" s="2" t="inlineStr">
        <is>
          <t>32025R1420</t>
        </is>
      </c>
      <c r="E543" s="2" t="inlineStr">
        <is>
          <t>implementing</t>
        </is>
      </c>
      <c r="F543" s="2" t="inlineStr">
        <is>
          <t>REG_IMPL</t>
        </is>
      </c>
      <c r="G543" s="2" t="inlineStr">
        <is>
          <t>2025-07-17</t>
        </is>
      </c>
      <c r="H543" s="2" t="inlineStr">
        <is>
          <t>Commission Implementing Regulation (EU) 2025/1420 of 17 July 2025 laying down rules for the application of Regulation (EU) 2024/903 of the European Parliament and of the Council, as regards the establishment and the operation of the interoperability regulatory sandboxes</t>
        </is>
      </c>
      <c r="I543" s="2" t="inlineStr">
        <is>
          <t>no</t>
        </is>
      </c>
      <c r="J543" s="2" t="inlineStr">
        <is>
          <t>https://eur-lex.europa.eu/legal-content/EN/TXT/?uri=CELEX:32025R1420</t>
        </is>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t="inlineStr"/>
    </row>
    <row r="544">
      <c r="A544" s="2" t="n">
        <v>92</v>
      </c>
      <c r="B544" s="2" t="inlineStr">
        <is>
          <t>Critical Raw Materials Act</t>
        </is>
      </c>
      <c r="C544" s="2" t="inlineStr">
        <is>
          <t>32024R1252</t>
        </is>
      </c>
      <c r="D544" s="2" t="inlineStr">
        <is>
          <t>32025R2194</t>
        </is>
      </c>
      <c r="E544" s="2" t="inlineStr">
        <is>
          <t>implementing</t>
        </is>
      </c>
      <c r="F544" s="2" t="inlineStr">
        <is>
          <t>REG_IMPL</t>
        </is>
      </c>
      <c r="G544" s="2" t="inlineStr">
        <is>
          <t>2025-10-28</t>
        </is>
      </c>
      <c r="H544" s="2" t="inlineStr">
        <is>
          <t>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is>
      </c>
      <c r="I544" s="2" t="inlineStr">
        <is>
          <t>no</t>
        </is>
      </c>
      <c r="J544" s="2" t="inlineStr">
        <is>
          <t>https://eur-lex.europa.eu/legal-content/EN/TXT/?uri=CELEX:32025R2194</t>
        </is>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t="inlineStr"/>
    </row>
    <row r="545">
      <c r="A545" s="2" t="n">
        <v>92</v>
      </c>
      <c r="B545" s="2" t="inlineStr">
        <is>
          <t>Critical Raw Materials Act</t>
        </is>
      </c>
      <c r="C545" s="2" t="inlineStr">
        <is>
          <t>32024R1252</t>
        </is>
      </c>
      <c r="D545" s="2" t="inlineStr">
        <is>
          <t>32026R1116</t>
        </is>
      </c>
      <c r="E545" s="2" t="inlineStr">
        <is>
          <t>implementing</t>
        </is>
      </c>
      <c r="F545" s="2" t="inlineStr">
        <is>
          <t>REG_IMPL</t>
        </is>
      </c>
      <c r="G545" s="2" t="inlineStr">
        <is>
          <t>2026-05-26</t>
        </is>
      </c>
      <c r="H545" s="2" t="inlineStr">
        <is>
          <t>Commission Implementing Regulation (EU) 2026/1116 of 26 May 2026 listing the products, components and waste streams considered as having a relevant critical raw materials recovery potential under Regulation (EU) 2024/1252</t>
        </is>
      </c>
      <c r="I545" s="2" t="inlineStr">
        <is>
          <t>no</t>
        </is>
      </c>
      <c r="J545" s="2" t="inlineStr">
        <is>
          <t>https://eur-lex.europa.eu/legal-content/EN/TXT/?uri=CELEX:32026R1116</t>
        </is>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t="inlineStr"/>
    </row>
    <row r="546">
      <c r="A546" s="2" t="n">
        <v>93</v>
      </c>
      <c r="B546" s="2" t="inlineStr">
        <is>
          <t>Net-Zero Industry Act</t>
        </is>
      </c>
      <c r="C546" s="2" t="inlineStr">
        <is>
          <t>32024R1735</t>
        </is>
      </c>
      <c r="D546" s="2" t="inlineStr">
        <is>
          <t>32025R1477</t>
        </is>
      </c>
      <c r="E546" s="2" t="inlineStr">
        <is>
          <t>delegated</t>
        </is>
      </c>
      <c r="F546" s="2" t="inlineStr">
        <is>
          <t>REG_DEL</t>
        </is>
      </c>
      <c r="G546" s="2" t="inlineStr">
        <is>
          <t>2025-05-21</t>
        </is>
      </c>
      <c r="H546" s="2" t="inlineStr">
        <is>
          <t>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is>
      </c>
      <c r="I546" s="2" t="inlineStr">
        <is>
          <t>no</t>
        </is>
      </c>
      <c r="J546" s="2" t="inlineStr">
        <is>
          <t>https://eur-lex.europa.eu/legal-content/EN/TXT/?uri=CELEX:32025R1477</t>
        </is>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t="inlineStr"/>
    </row>
    <row r="547">
      <c r="A547" s="2" t="n">
        <v>93</v>
      </c>
      <c r="B547" s="2" t="inlineStr">
        <is>
          <t>Net-Zero Industry Act</t>
        </is>
      </c>
      <c r="C547" s="2" t="inlineStr">
        <is>
          <t>32024R1735</t>
        </is>
      </c>
      <c r="D547" s="2" t="inlineStr">
        <is>
          <t>32025D1100</t>
        </is>
      </c>
      <c r="E547" s="2" t="inlineStr">
        <is>
          <t>implementing</t>
        </is>
      </c>
      <c r="F547" s="2" t="inlineStr">
        <is>
          <t>DEC_IMPL</t>
        </is>
      </c>
      <c r="G547" s="2" t="inlineStr">
        <is>
          <t>2025-05-23</t>
        </is>
      </c>
      <c r="H547" s="2" t="inlineStr">
        <is>
          <t>Commission Implementing Decision (EU) 2025/1100 of 23 May 2025 adopting guidelines for the implementation of certain selection criteria for net-zero strategic projects laid down in Article 13 of Regulation (EU) 2024/1735 of the European Parliament and of the Council</t>
        </is>
      </c>
      <c r="I547" s="2" t="inlineStr">
        <is>
          <t>no</t>
        </is>
      </c>
      <c r="J547" s="2" t="inlineStr">
        <is>
          <t>https://eur-lex.europa.eu/legal-content/EN/TXT/?uri=CELEX:32025D1100</t>
        </is>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t="inlineStr"/>
    </row>
    <row r="548">
      <c r="A548" s="2" t="n">
        <v>93</v>
      </c>
      <c r="B548" s="2" t="inlineStr">
        <is>
          <t>Net-Zero Industry Act</t>
        </is>
      </c>
      <c r="C548" s="2" t="inlineStr">
        <is>
          <t>32024R1735</t>
        </is>
      </c>
      <c r="D548" s="2" t="inlineStr">
        <is>
          <t>32025R1176</t>
        </is>
      </c>
      <c r="E548" s="2" t="inlineStr">
        <is>
          <t>implementing</t>
        </is>
      </c>
      <c r="F548" s="2" t="inlineStr">
        <is>
          <t>REG_IMPL</t>
        </is>
      </c>
      <c r="G548" s="2" t="inlineStr">
        <is>
          <t>2025-05-23</t>
        </is>
      </c>
      <c r="H548" s="2" t="inlineStr">
        <is>
          <t>Commission Implementing Regulation (EU) 2025/1176 of 23 May 2025 specifying the pre-qualification and award criteria for auctions for the deployment of energy from renewable sources</t>
        </is>
      </c>
      <c r="I548" s="2" t="inlineStr">
        <is>
          <t>no</t>
        </is>
      </c>
      <c r="J548" s="2" t="inlineStr">
        <is>
          <t>https://eur-lex.europa.eu/legal-content/EN/TXT/?uri=CELEX:32025R1176</t>
        </is>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t="inlineStr"/>
    </row>
    <row r="549">
      <c r="A549" s="2" t="n">
        <v>93</v>
      </c>
      <c r="B549" s="2" t="inlineStr">
        <is>
          <t>Net-Zero Industry Act</t>
        </is>
      </c>
      <c r="C549" s="2" t="inlineStr">
        <is>
          <t>32024R1735</t>
        </is>
      </c>
      <c r="D549" s="2" t="inlineStr">
        <is>
          <t>32025R1178</t>
        </is>
      </c>
      <c r="E549" s="2" t="inlineStr">
        <is>
          <t>implementing</t>
        </is>
      </c>
      <c r="F549" s="2" t="inlineStr">
        <is>
          <t>REG_IMPL</t>
        </is>
      </c>
      <c r="G549" s="2" t="inlineStr">
        <is>
          <t>2025-05-23</t>
        </is>
      </c>
      <c r="H549" s="2" t="inlineStr">
        <is>
          <t>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is>
      </c>
      <c r="I549" s="2" t="inlineStr">
        <is>
          <t>no</t>
        </is>
      </c>
      <c r="J549" s="2" t="inlineStr">
        <is>
          <t>https://eur-lex.europa.eu/legal-content/EN/TXT/?uri=CELEX:32025R1178</t>
        </is>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t="inlineStr"/>
    </row>
    <row r="550">
      <c r="A550" s="2" t="n">
        <v>93</v>
      </c>
      <c r="B550" s="2" t="inlineStr">
        <is>
          <t>Net-Zero Industry Act</t>
        </is>
      </c>
      <c r="C550" s="2" t="inlineStr">
        <is>
          <t>32024R1735</t>
        </is>
      </c>
      <c r="D550" s="2" t="inlineStr">
        <is>
          <t>32025R1463</t>
        </is>
      </c>
      <c r="E550" s="2" t="inlineStr">
        <is>
          <t>delegated</t>
        </is>
      </c>
      <c r="F550" s="2" t="inlineStr">
        <is>
          <t>REG_DEL</t>
        </is>
      </c>
      <c r="G550" s="2" t="inlineStr">
        <is>
          <t>2025-05-23</t>
        </is>
      </c>
      <c r="H550" s="2" t="inlineStr">
        <is>
          <t>Commission Delegated Regulation (EU) 2025/1463 of 23 May 2025 amending Regulation (EU) 2024/1735 of the European Parliament and of the Council as regards the identification of sub-categories within net-zero technologies and the list of specific components used for those technologies</t>
        </is>
      </c>
      <c r="I550" s="2" t="inlineStr">
        <is>
          <t>no</t>
        </is>
      </c>
      <c r="J550" s="2" t="inlineStr">
        <is>
          <t>https://eur-lex.europa.eu/legal-content/EN/TXT/?uri=CELEX:32025R1463</t>
        </is>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t="inlineStr"/>
    </row>
    <row r="551">
      <c r="A551" s="2" t="n">
        <v>93</v>
      </c>
      <c r="B551" s="2" t="inlineStr">
        <is>
          <t>Net-Zero Industry Act</t>
        </is>
      </c>
      <c r="C551" s="2" t="inlineStr">
        <is>
          <t>32024R1735</t>
        </is>
      </c>
      <c r="D551" s="2" t="inlineStr">
        <is>
          <t>52026XC00123</t>
        </is>
      </c>
      <c r="E551" s="2" t="inlineStr">
        <is>
          <t>guidance</t>
        </is>
      </c>
      <c r="F551" s="2" t="inlineStr">
        <is>
          <t>NOTICE</t>
        </is>
      </c>
      <c r="G551" s="2" t="inlineStr">
        <is>
          <t>2026-01-07</t>
        </is>
      </c>
      <c r="H551" s="2" t="inlineStr">
        <is>
          <t>Communication from the Commission – Guidance on the implementation of Article 28 of Regulation (EU) 2024/1735 establishing a framework of measures for strengthening Europe’s net-zero technology manufacturing ecosystem and amending Regulation (EU) 2018/1724 (NZIA)</t>
        </is>
      </c>
      <c r="I551" s="2" t="inlineStr">
        <is>
          <t>no</t>
        </is>
      </c>
      <c r="J551" s="2" t="inlineStr">
        <is>
          <t>https://eur-lex.europa.eu/legal-content/EN/TXT/?uri=CELEX:52026XC00123</t>
        </is>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inlineStr">
        <is>
          <t>Guidance is non-binding: restriction counts mostly reflect obligations it restates</t>
        </is>
      </c>
    </row>
    <row r="552">
      <c r="A552" s="2" t="n">
        <v>93</v>
      </c>
      <c r="B552" s="2" t="inlineStr">
        <is>
          <t>Net-Zero Industry Act</t>
        </is>
      </c>
      <c r="C552" s="2" t="inlineStr">
        <is>
          <t>32024R1735</t>
        </is>
      </c>
      <c r="D552" s="2" t="inlineStr">
        <is>
          <t>32026R0718</t>
        </is>
      </c>
      <c r="E552" s="2" t="inlineStr">
        <is>
          <t>implementing</t>
        </is>
      </c>
      <c r="F552" s="2" t="inlineStr">
        <is>
          <t>REG_IMPL</t>
        </is>
      </c>
      <c r="G552" s="2" t="inlineStr">
        <is>
          <t>2026-03-20</t>
        </is>
      </c>
      <c r="H552" s="2" t="inlineStr">
        <is>
          <t>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is>
      </c>
      <c r="I552" s="2" t="inlineStr">
        <is>
          <t>no</t>
        </is>
      </c>
      <c r="J552" s="2" t="inlineStr">
        <is>
          <t>https://eur-lex.europa.eu/legal-content/EN/TXT/?uri=CELEX:32026R0718</t>
        </is>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t="inlineStr"/>
    </row>
    <row r="553">
      <c r="A553" s="2" t="n">
        <v>93</v>
      </c>
      <c r="B553" s="2" t="inlineStr">
        <is>
          <t>Net-Zero Industry Act</t>
        </is>
      </c>
      <c r="C553" s="2" t="inlineStr">
        <is>
          <t>32024R1735</t>
        </is>
      </c>
      <c r="D553" s="2" t="inlineStr">
        <is>
          <t>52026XC04113</t>
        </is>
      </c>
      <c r="E553" s="2" t="inlineStr">
        <is>
          <t>guidance</t>
        </is>
      </c>
      <c r="F553" s="2" t="inlineStr">
        <is>
          <t>NOTICE</t>
        </is>
      </c>
      <c r="G553" s="2" t="inlineStr">
        <is>
          <t>2026-07-29</t>
        </is>
      </c>
      <c r="H553" s="2" t="inlineStr">
        <is>
          <t>Communication from the Commission – Guidance on Article 26 of Regulation (EU) 2024/1735 on establishing a framework of measures for strengthening Europe’s net-zero zero technology manufacturing ecosystem and amending Regulation (EU) 2018/1724</t>
        </is>
      </c>
      <c r="I553" s="2" t="inlineStr">
        <is>
          <t>no</t>
        </is>
      </c>
      <c r="J553" s="2" t="inlineStr">
        <is>
          <t>https://eur-lex.europa.eu/legal-content/EN/TXT/?uri=CELEX:52026XC04113</t>
        </is>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inlineStr">
        <is>
          <t>Guidance is non-binding: restriction counts mostly reflect obligations it restates</t>
        </is>
      </c>
    </row>
    <row r="554">
      <c r="A554" s="2" t="n">
        <v>93</v>
      </c>
      <c r="B554" s="2" t="inlineStr">
        <is>
          <t>Net-Zero Industry Act</t>
        </is>
      </c>
      <c r="C554" s="2" t="inlineStr">
        <is>
          <t>32024R1735</t>
        </is>
      </c>
      <c r="D554" s="2" t="inlineStr">
        <is>
          <t>52026XC04623</t>
        </is>
      </c>
      <c r="E554" s="2" t="inlineStr">
        <is>
          <t>guidance</t>
        </is>
      </c>
      <c r="F554" s="2" t="inlineStr">
        <is>
          <t>NOTICE</t>
        </is>
      </c>
      <c r="G554" s="2" t="inlineStr">
        <is>
          <t>2026-08-31</t>
        </is>
      </c>
      <c r="H554" s="2" t="inlineStr">
        <is>
          <t>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is>
      </c>
      <c r="I554" s="2" t="inlineStr">
        <is>
          <t>no</t>
        </is>
      </c>
      <c r="J554" s="2" t="inlineStr">
        <is>
          <t>https://eur-lex.europa.eu/legal-content/EN/TXT/?uri=CELEX:52026XC04623</t>
        </is>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inlineStr">
        <is>
          <t>Guidance is non-binding: restriction counts mostly reflect obligations it restates</t>
        </is>
      </c>
    </row>
    <row r="555">
      <c r="A555" s="2" t="n">
        <v>94</v>
      </c>
      <c r="B555" s="2" t="inlineStr">
        <is>
          <t>Right to Repair Directive</t>
        </is>
      </c>
      <c r="C555" s="2" t="inlineStr">
        <is>
          <t>32024L1799</t>
        </is>
      </c>
      <c r="D555" s="2" t="inlineStr">
        <is>
          <t>32026L0074</t>
        </is>
      </c>
      <c r="E555" s="2" t="inlineStr">
        <is>
          <t>delegated</t>
        </is>
      </c>
      <c r="F555" s="2" t="inlineStr">
        <is>
          <t>DIR_DEL</t>
        </is>
      </c>
      <c r="G555" s="2" t="inlineStr">
        <is>
          <t>2026-01-12</t>
        </is>
      </c>
      <c r="H555" s="2" t="inlineStr">
        <is>
          <t>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is>
      </c>
      <c r="I555" s="2" t="inlineStr">
        <is>
          <t>no</t>
        </is>
      </c>
      <c r="J555" s="2" t="inlineStr">
        <is>
          <t>https://eur-lex.europa.eu/legal-content/EN/TXT/?uri=CELEX:32026L0074</t>
        </is>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t="inlineStr"/>
    </row>
    <row r="556">
      <c r="A556" s="2" t="n">
        <v>95</v>
      </c>
      <c r="B556" s="2" t="inlineStr">
        <is>
          <t>Cyber Solidarity Act</t>
        </is>
      </c>
      <c r="C556" s="2" t="inlineStr">
        <is>
          <t>32025R0038</t>
        </is>
      </c>
      <c r="D556" s="2" t="inlineStr">
        <is>
          <t>32026D1354</t>
        </is>
      </c>
      <c r="E556" s="2" t="inlineStr">
        <is>
          <t>implementing</t>
        </is>
      </c>
      <c r="F556" s="2" t="inlineStr">
        <is>
          <t>DEC_IMPL</t>
        </is>
      </c>
      <c r="G556" s="2" t="inlineStr">
        <is>
          <t>2026-06-15</t>
        </is>
      </c>
      <c r="H556" s="2" t="inlineStr">
        <is>
          <t>Council Implementing Decision (EU) 2026/1354 of 15 June 2026 authorising the provision of support from the EU Cybersecurity Reserve to Ukraine</t>
        </is>
      </c>
      <c r="I556" s="2" t="inlineStr">
        <is>
          <t>yes</t>
        </is>
      </c>
      <c r="J556" s="2" t="inlineStr">
        <is>
          <t>https://eur-lex.europa.eu/legal-content/EN/TXT/?uri=CELEX:32026D1354</t>
        </is>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t="inlineStr"/>
    </row>
    <row r="557">
      <c r="A557" s="2" t="n">
        <v>95</v>
      </c>
      <c r="B557" s="2" t="inlineStr">
        <is>
          <t>Cyber Solidarity Act</t>
        </is>
      </c>
      <c r="C557" s="2" t="inlineStr">
        <is>
          <t>32025R0038</t>
        </is>
      </c>
      <c r="D557" s="2" t="inlineStr">
        <is>
          <t>32026D1725</t>
        </is>
      </c>
      <c r="E557" s="2" t="inlineStr">
        <is>
          <t>implementing</t>
        </is>
      </c>
      <c r="F557" s="2" t="inlineStr">
        <is>
          <t>DEC_IMPL</t>
        </is>
      </c>
      <c r="G557" s="2" t="inlineStr">
        <is>
          <t>2026-07-10</t>
        </is>
      </c>
      <c r="H557" s="2" t="inlineStr">
        <is>
          <t>Council Implementing Decision (EU) 2026/1725 of 10 July 2026 authorising the provision of support from the EU Cybersecurity Reserve to the Republic of Moldova (Text with EEA relevance)</t>
        </is>
      </c>
      <c r="I557" s="2" t="inlineStr">
        <is>
          <t>yes</t>
        </is>
      </c>
      <c r="J557" s="2" t="inlineStr">
        <is>
          <t>https://eur-lex.europa.eu/legal-content/EN/TXT/?uri=CELEX:32026D1725</t>
        </is>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t="inlineStr"/>
    </row>
    <row r="558">
      <c r="A558" s="2" t="n">
        <v>97</v>
      </c>
      <c r="B558" s="2" t="inlineStr">
        <is>
          <t>Strategic Technologies for Europe Platform (STEP)</t>
        </is>
      </c>
      <c r="C558" s="2" t="inlineStr">
        <is>
          <t>32024R0795</t>
        </is>
      </c>
      <c r="D558" s="2" t="inlineStr">
        <is>
          <t>52024XC03209</t>
        </is>
      </c>
      <c r="E558" s="2" t="inlineStr">
        <is>
          <t>guidance</t>
        </is>
      </c>
      <c r="F558" s="2" t="inlineStr">
        <is>
          <t>NOTICE</t>
        </is>
      </c>
      <c r="G558" s="2" t="inlineStr">
        <is>
          <t>2024-05-13</t>
        </is>
      </c>
      <c r="H558" s="2" t="inlineStr">
        <is>
          <t>Communication from the Commission – Guidance Note concerning certain provisions of Regulation (EU) 2024/795 establishing the Strategic Technologies for Europe Platform (STEP)</t>
        </is>
      </c>
      <c r="I558" s="2" t="inlineStr">
        <is>
          <t>no</t>
        </is>
      </c>
      <c r="J558" s="2" t="inlineStr">
        <is>
          <t>https://eur-lex.europa.eu/legal-content/EN/TXT/?uri=CELEX:52024XC03209</t>
        </is>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inlineStr">
        <is>
          <t>Guidance is non-binding: restriction counts mostly reflect obligations it restates</t>
        </is>
      </c>
    </row>
    <row r="559">
      <c r="A559" s="2" t="n">
        <v>97</v>
      </c>
      <c r="B559" s="2" t="inlineStr">
        <is>
          <t>Strategic Technologies for Europe Platform (STEP)</t>
        </is>
      </c>
      <c r="C559" s="2" t="inlineStr">
        <is>
          <t>32024R0795</t>
        </is>
      </c>
      <c r="D559" s="2" t="inlineStr">
        <is>
          <t>52025XC06798</t>
        </is>
      </c>
      <c r="E559" s="2" t="inlineStr">
        <is>
          <t>guidance</t>
        </is>
      </c>
      <c r="F559" s="2" t="inlineStr">
        <is>
          <t>NOTICE</t>
        </is>
      </c>
      <c r="G559" s="2" t="inlineStr">
        <is>
          <t>2025-12-23</t>
        </is>
      </c>
      <c r="H559" s="2" t="inlineStr">
        <is>
          <t>Communication from the Commission – Second Guidance Note on the Strategic Technologies for Europe Platform (STEP) clarifying elements of Regulation (EU) 2024/795 and Commission Communication C/2024/3209</t>
        </is>
      </c>
      <c r="I559" s="2" t="inlineStr">
        <is>
          <t>no</t>
        </is>
      </c>
      <c r="J559" s="2" t="inlineStr">
        <is>
          <t>https://eur-lex.europa.eu/legal-content/EN/TXT/?uri=CELEX:52025XC06798</t>
        </is>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inlineStr">
        <is>
          <t>Guidance is non-binding: restriction counts mostly reflect obligations it restates</t>
        </is>
      </c>
    </row>
    <row r="560">
      <c r="A560" s="2" t="n">
        <v>108</v>
      </c>
      <c r="B560" s="2" t="inlineStr">
        <is>
          <t>European Standardisation Regulation</t>
        </is>
      </c>
      <c r="C560" s="2" t="inlineStr">
        <is>
          <t>32012R1025</t>
        </is>
      </c>
      <c r="D560" s="2" t="inlineStr">
        <is>
          <t>32014D0188</t>
        </is>
      </c>
      <c r="E560" s="2" t="inlineStr">
        <is>
          <t>implementing</t>
        </is>
      </c>
      <c r="F560" s="2" t="inlineStr">
        <is>
          <t>DEC_IMPL</t>
        </is>
      </c>
      <c r="G560" s="2" t="inlineStr">
        <is>
          <t>2014-04-03</t>
        </is>
      </c>
      <c r="H560" s="2" t="inlineStr">
        <is>
          <t>(2014/188/EU): Commission Implementing Decision of 3 April 2014 on the identification of ICT technical specifications eligible for referencing in public procurement (notified under document C(2014) 2120)</t>
        </is>
      </c>
      <c r="I560" s="2" t="inlineStr">
        <is>
          <t>no</t>
        </is>
      </c>
      <c r="J560" s="2" t="inlineStr">
        <is>
          <t>https://eur-lex.europa.eu/legal-content/EN/TXT/?uri=CELEX:32014D0188</t>
        </is>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t="inlineStr"/>
    </row>
    <row r="561">
      <c r="A561" s="2" t="n">
        <v>108</v>
      </c>
      <c r="B561" s="2" t="inlineStr">
        <is>
          <t>European Standardisation Regulation</t>
        </is>
      </c>
      <c r="C561" s="2" t="inlineStr">
        <is>
          <t>32012R1025</t>
        </is>
      </c>
      <c r="D561" s="2" t="inlineStr">
        <is>
          <t>32014D0714</t>
        </is>
      </c>
      <c r="E561" s="2" t="inlineStr">
        <is>
          <t>implementing</t>
        </is>
      </c>
      <c r="F561" s="2" t="inlineStr">
        <is>
          <t>DEC_IMPL</t>
        </is>
      </c>
      <c r="G561" s="2" t="inlineStr">
        <is>
          <t>2014-10-13</t>
        </is>
      </c>
      <c r="H561" s="2" t="inlineStr">
        <is>
          <t>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is>
      </c>
      <c r="I561" s="2" t="inlineStr">
        <is>
          <t>no</t>
        </is>
      </c>
      <c r="J561" s="2" t="inlineStr">
        <is>
          <t>https://eur-lex.europa.eu/legal-content/EN/TXT/?uri=CELEX:32014D0714</t>
        </is>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t="inlineStr"/>
    </row>
    <row r="562">
      <c r="A562" s="2" t="n">
        <v>108</v>
      </c>
      <c r="B562" s="2" t="inlineStr">
        <is>
          <t>European Standardisation Regulation</t>
        </is>
      </c>
      <c r="C562" s="2" t="inlineStr">
        <is>
          <t>32012R1025</t>
        </is>
      </c>
      <c r="D562" s="2" t="inlineStr">
        <is>
          <t>32014D0771</t>
        </is>
      </c>
      <c r="E562" s="2" t="inlineStr">
        <is>
          <t>implementing</t>
        </is>
      </c>
      <c r="F562" s="2" t="inlineStr">
        <is>
          <t>DEC_IMPL</t>
        </is>
      </c>
      <c r="G562" s="2" t="inlineStr">
        <is>
          <t>2014-10-31</t>
        </is>
      </c>
      <c r="H562" s="2" t="inlineStr">
        <is>
          <t>2014/771/EU: Commission Implementing Decision of 31 October 2014 on the identification of Universal Business Language version 2.1 for referencing in public procurement  Text with EEA relevance</t>
        </is>
      </c>
      <c r="I562" s="2" t="inlineStr">
        <is>
          <t>no</t>
        </is>
      </c>
      <c r="J562" s="2" t="inlineStr">
        <is>
          <t>https://eur-lex.europa.eu/legal-content/EN/TXT/?uri=CELEX:32014D0771</t>
        </is>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t="inlineStr"/>
    </row>
    <row r="563">
      <c r="A563" s="2" t="n">
        <v>108</v>
      </c>
      <c r="B563" s="2" t="inlineStr">
        <is>
          <t>European Standardisation Regulation</t>
        </is>
      </c>
      <c r="C563" s="2" t="inlineStr">
        <is>
          <t>32012R1025</t>
        </is>
      </c>
      <c r="D563" s="2" t="inlineStr">
        <is>
          <t>32015D1143</t>
        </is>
      </c>
      <c r="E563" s="2" t="inlineStr">
        <is>
          <t>implementing</t>
        </is>
      </c>
      <c r="F563" s="2" t="inlineStr">
        <is>
          <t>DEC_IMPL</t>
        </is>
      </c>
      <c r="G563" s="2" t="inlineStr">
        <is>
          <t>2015-07-13</t>
        </is>
      </c>
      <c r="H563" s="2" t="inlineStr">
        <is>
          <t>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is>
      </c>
      <c r="I563" s="2" t="inlineStr">
        <is>
          <t>no</t>
        </is>
      </c>
      <c r="J563" s="2" t="inlineStr">
        <is>
          <t>https://eur-lex.europa.eu/legal-content/EN/TXT/?uri=CELEX:32015D1143</t>
        </is>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t="inlineStr"/>
    </row>
    <row r="564">
      <c r="A564" s="2" t="n">
        <v>108</v>
      </c>
      <c r="B564" s="2" t="inlineStr">
        <is>
          <t>European Standardisation Regulation</t>
        </is>
      </c>
      <c r="C564" s="2" t="inlineStr">
        <is>
          <t>32012R1025</t>
        </is>
      </c>
      <c r="D564" s="2" t="inlineStr">
        <is>
          <t>32015D1194</t>
        </is>
      </c>
      <c r="E564" s="2" t="inlineStr">
        <is>
          <t>implementing</t>
        </is>
      </c>
      <c r="F564" s="2" t="inlineStr">
        <is>
          <t>DEC_IMPL</t>
        </is>
      </c>
      <c r="G564" s="2" t="inlineStr">
        <is>
          <t>2015-07-20</t>
        </is>
      </c>
      <c r="H564" s="2" t="inlineStr">
        <is>
          <t>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is>
      </c>
      <c r="I564" s="2" t="inlineStr">
        <is>
          <t>no</t>
        </is>
      </c>
      <c r="J564" s="2" t="inlineStr">
        <is>
          <t>https://eur-lex.europa.eu/legal-content/EN/TXT/?uri=CELEX:32015D1194</t>
        </is>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t="inlineStr"/>
    </row>
    <row r="565">
      <c r="A565" s="2" t="n">
        <v>108</v>
      </c>
      <c r="B565" s="2" t="inlineStr">
        <is>
          <t>European Standardisation Regulation</t>
        </is>
      </c>
      <c r="C565" s="2" t="inlineStr">
        <is>
          <t>32012R1025</t>
        </is>
      </c>
      <c r="D565" s="2" t="inlineStr">
        <is>
          <t>32015D2181</t>
        </is>
      </c>
      <c r="E565" s="2" t="inlineStr">
        <is>
          <t>implementing</t>
        </is>
      </c>
      <c r="F565" s="2" t="inlineStr">
        <is>
          <t>DEC_IMPL</t>
        </is>
      </c>
      <c r="G565" s="2" t="inlineStr">
        <is>
          <t>2015-11-24</t>
        </is>
      </c>
      <c r="H565" s="2" t="inlineStr">
        <is>
          <t>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is>
      </c>
      <c r="I565" s="2" t="inlineStr">
        <is>
          <t>no</t>
        </is>
      </c>
      <c r="J565" s="2" t="inlineStr">
        <is>
          <t>https://eur-lex.europa.eu/legal-content/EN/TXT/?uri=CELEX:32015D2181</t>
        </is>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t="inlineStr"/>
    </row>
    <row r="566">
      <c r="A566" s="2" t="n">
        <v>108</v>
      </c>
      <c r="B566" s="2" t="inlineStr">
        <is>
          <t>European Standardisation Regulation</t>
        </is>
      </c>
      <c r="C566" s="2" t="inlineStr">
        <is>
          <t>32012R1025</t>
        </is>
      </c>
      <c r="D566" s="2" t="inlineStr">
        <is>
          <t>32016D0120</t>
        </is>
      </c>
      <c r="E566" s="2" t="inlineStr">
        <is>
          <t>implementing</t>
        </is>
      </c>
      <c r="F566" s="2" t="inlineStr">
        <is>
          <t>DEC_IMPL</t>
        </is>
      </c>
      <c r="G566" s="2" t="inlineStr">
        <is>
          <t>2016-01-28</t>
        </is>
      </c>
      <c r="H566" s="2" t="inlineStr">
        <is>
          <t>Commission Implementing Decision (EU) 2016/120 of 28 January 2016 on the identification of the extensible Business Reporting Language 2.1 for referencing in public procurement (Text with EEA relevance)</t>
        </is>
      </c>
      <c r="I566" s="2" t="inlineStr">
        <is>
          <t>no</t>
        </is>
      </c>
      <c r="J566" s="2" t="inlineStr">
        <is>
          <t>https://eur-lex.europa.eu/legal-content/EN/TXT/?uri=CELEX:32016D0120</t>
        </is>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t="inlineStr"/>
    </row>
    <row r="567">
      <c r="A567" s="2" t="n">
        <v>108</v>
      </c>
      <c r="B567" s="2" t="inlineStr">
        <is>
          <t>European Standardisation Regulation</t>
        </is>
      </c>
      <c r="C567" s="2" t="inlineStr">
        <is>
          <t>32012R1025</t>
        </is>
      </c>
      <c r="D567" s="2" t="inlineStr">
        <is>
          <t>32016D0209</t>
        </is>
      </c>
      <c r="E567" s="2" t="inlineStr">
        <is>
          <t>implementing</t>
        </is>
      </c>
      <c r="F567" s="2" t="inlineStr">
        <is>
          <t>DEC_IMPL</t>
        </is>
      </c>
      <c r="G567" s="2" t="inlineStr">
        <is>
          <t>2016-02-12</t>
        </is>
      </c>
      <c r="H567" s="2" t="inlineStr">
        <is>
          <t>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is>
      </c>
      <c r="I567" s="2" t="inlineStr">
        <is>
          <t>no</t>
        </is>
      </c>
      <c r="J567" s="2" t="inlineStr">
        <is>
          <t>https://eur-lex.europa.eu/legal-content/EN/TXT/?uri=CELEX:32016D0209</t>
        </is>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t="inlineStr"/>
    </row>
    <row r="568">
      <c r="A568" s="2" t="n">
        <v>108</v>
      </c>
      <c r="B568" s="2" t="inlineStr">
        <is>
          <t>European Standardisation Regulation</t>
        </is>
      </c>
      <c r="C568" s="2" t="inlineStr">
        <is>
          <t>32012R1025</t>
        </is>
      </c>
      <c r="D568" s="2" t="inlineStr">
        <is>
          <t>32016D1765</t>
        </is>
      </c>
      <c r="E568" s="2" t="inlineStr">
        <is>
          <t>implementing</t>
        </is>
      </c>
      <c r="F568" s="2" t="inlineStr">
        <is>
          <t>DEC_IMPL</t>
        </is>
      </c>
      <c r="G568" s="2" t="inlineStr">
        <is>
          <t>2016-10-03</t>
        </is>
      </c>
      <c r="H568" s="2" t="inlineStr">
        <is>
          <t>Commission Implementing Decision (EU) 2016/1765 of 3 October 2016 on the identification of ICT Technical Specifications for referencing in public procurement (Text with EEA relevance)</t>
        </is>
      </c>
      <c r="I568" s="2" t="inlineStr">
        <is>
          <t>no</t>
        </is>
      </c>
      <c r="J568" s="2" t="inlineStr">
        <is>
          <t>https://eur-lex.europa.eu/legal-content/EN/TXT/?uri=CELEX:32016D1765</t>
        </is>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t="inlineStr"/>
    </row>
    <row r="569">
      <c r="A569" s="2" t="n">
        <v>108</v>
      </c>
      <c r="B569" s="2" t="inlineStr">
        <is>
          <t>European Standardisation Regulation</t>
        </is>
      </c>
      <c r="C569" s="2" t="inlineStr">
        <is>
          <t>32012R1025</t>
        </is>
      </c>
      <c r="D569" s="2" t="inlineStr">
        <is>
          <t>32017D0168</t>
        </is>
      </c>
      <c r="E569" s="2" t="inlineStr">
        <is>
          <t>implementing</t>
        </is>
      </c>
      <c r="F569" s="2" t="inlineStr">
        <is>
          <t>DEC_IMPL</t>
        </is>
      </c>
      <c r="G569" s="2" t="inlineStr">
        <is>
          <t>2017-01-31</t>
        </is>
      </c>
      <c r="H569" s="2" t="inlineStr">
        <is>
          <t>Commission Implementing Decision (EU) 2017/168 of 31 January 2017 on the identification of ‘Internet Engineering Task Force’ Technical Specifications for referencing in public procurement (Text with EEA relevance. )</t>
        </is>
      </c>
      <c r="I569" s="2" t="inlineStr">
        <is>
          <t>no</t>
        </is>
      </c>
      <c r="J569" s="2" t="inlineStr">
        <is>
          <t>https://eur-lex.europa.eu/legal-content/EN/TXT/?uri=CELEX:32017D0168</t>
        </is>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t="inlineStr"/>
    </row>
    <row r="570">
      <c r="A570" s="2" t="n">
        <v>108</v>
      </c>
      <c r="B570" s="2" t="inlineStr">
        <is>
          <t>European Standardisation Regulation</t>
        </is>
      </c>
      <c r="C570" s="2" t="inlineStr">
        <is>
          <t>32012R1025</t>
        </is>
      </c>
      <c r="D570" s="2" t="inlineStr">
        <is>
          <t>32017D1357</t>
        </is>
      </c>
      <c r="E570" s="2" t="inlineStr">
        <is>
          <t>implementing</t>
        </is>
      </c>
      <c r="F570" s="2" t="inlineStr">
        <is>
          <t>DEC_IMPL</t>
        </is>
      </c>
      <c r="G570" s="2" t="inlineStr">
        <is>
          <t>2017-07-19</t>
        </is>
      </c>
      <c r="H570" s="2" t="inlineStr">
        <is>
          <t>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is>
      </c>
      <c r="I570" s="2" t="inlineStr">
        <is>
          <t>no</t>
        </is>
      </c>
      <c r="J570" s="2" t="inlineStr">
        <is>
          <t>https://eur-lex.europa.eu/legal-content/EN/TXT/?uri=CELEX:32017D1357</t>
        </is>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t="inlineStr"/>
    </row>
    <row r="571">
      <c r="A571" s="2" t="n">
        <v>108</v>
      </c>
      <c r="B571" s="2" t="inlineStr">
        <is>
          <t>European Standardisation Regulation</t>
        </is>
      </c>
      <c r="C571" s="2" t="inlineStr">
        <is>
          <t>32012R1025</t>
        </is>
      </c>
      <c r="D571" s="2" t="inlineStr">
        <is>
          <t>32017D1358</t>
        </is>
      </c>
      <c r="E571" s="2" t="inlineStr">
        <is>
          <t>implementing</t>
        </is>
      </c>
      <c r="F571" s="2" t="inlineStr">
        <is>
          <t>DEC_IMPL</t>
        </is>
      </c>
      <c r="G571" s="2" t="inlineStr">
        <is>
          <t>2017-07-20</t>
        </is>
      </c>
      <c r="H571" s="2" t="inlineStr">
        <is>
          <t>Commission Implementing Decision (EU) 2017/1358 of 20 July 2017 on the identification of ICT Technical Specifications for referencing in public procurement (Text with EEA relevance. )</t>
        </is>
      </c>
      <c r="I571" s="2" t="inlineStr">
        <is>
          <t>no</t>
        </is>
      </c>
      <c r="J571" s="2" t="inlineStr">
        <is>
          <t>https://eur-lex.europa.eu/legal-content/EN/TXT/?uri=CELEX:32017D1358</t>
        </is>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t="inlineStr"/>
    </row>
    <row r="572">
      <c r="A572" s="2" t="n">
        <v>108</v>
      </c>
      <c r="B572" s="2" t="inlineStr">
        <is>
          <t>European Standardisation Regulation</t>
        </is>
      </c>
      <c r="C572" s="2" t="inlineStr">
        <is>
          <t>32012R1025</t>
        </is>
      </c>
      <c r="D572" s="2" t="inlineStr">
        <is>
          <t>32017D2288</t>
        </is>
      </c>
      <c r="E572" s="2" t="inlineStr">
        <is>
          <t>implementing</t>
        </is>
      </c>
      <c r="F572" s="2" t="inlineStr">
        <is>
          <t>DEC_IMPL</t>
        </is>
      </c>
      <c r="G572" s="2" t="inlineStr">
        <is>
          <t>2017-12-11</t>
        </is>
      </c>
      <c r="H572" s="2" t="inlineStr">
        <is>
          <t>Commission Implementing Decision (EU) 2017/2288 of 11 December 2017 on the identification of ICT Technical Specifications for referencing in public procurement (Text with EEA relevance. )</t>
        </is>
      </c>
      <c r="I572" s="2" t="inlineStr">
        <is>
          <t>no</t>
        </is>
      </c>
      <c r="J572" s="2" t="inlineStr">
        <is>
          <t>https://eur-lex.europa.eu/legal-content/EN/TXT/?uri=CELEX:32017D2288</t>
        </is>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t="inlineStr"/>
    </row>
    <row r="573">
      <c r="A573" s="2" t="n">
        <v>108</v>
      </c>
      <c r="B573" s="2" t="inlineStr">
        <is>
          <t>European Standardisation Regulation</t>
        </is>
      </c>
      <c r="C573" s="2" t="inlineStr">
        <is>
          <t>32012R1025</t>
        </is>
      </c>
      <c r="D573" s="2" t="inlineStr">
        <is>
          <t>32018D2048</t>
        </is>
      </c>
      <c r="E573" s="2" t="inlineStr">
        <is>
          <t>implementing</t>
        </is>
      </c>
      <c r="F573" s="2" t="inlineStr">
        <is>
          <t>DEC_IMPL</t>
        </is>
      </c>
      <c r="G573" s="2" t="inlineStr">
        <is>
          <t>2018-12-20</t>
        </is>
      </c>
      <c r="H573" s="2" t="inlineStr">
        <is>
          <t>Commission Implementing Decision (EU) 2018/2048 of 20 December 2018 on the harmonised standard for websites and mobile applications drafted in support of Directive (EU) 2016/2102 of the European Parliament and of the Council</t>
        </is>
      </c>
      <c r="I573" s="2" t="inlineStr">
        <is>
          <t>no</t>
        </is>
      </c>
      <c r="J573" s="2" t="inlineStr">
        <is>
          <t>https://eur-lex.europa.eu/legal-content/EN/TXT/?uri=CELEX:32018D2048</t>
        </is>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t="inlineStr"/>
    </row>
    <row r="574">
      <c r="A574" s="2" t="n">
        <v>108</v>
      </c>
      <c r="B574" s="2" t="inlineStr">
        <is>
          <t>European Standardisation Regulation</t>
        </is>
      </c>
      <c r="C574" s="2" t="inlineStr">
        <is>
          <t>32012R1025</t>
        </is>
      </c>
      <c r="D574" s="2" t="inlineStr">
        <is>
          <t>32019D0436</t>
        </is>
      </c>
      <c r="E574" s="2" t="inlineStr">
        <is>
          <t>implementing</t>
        </is>
      </c>
      <c r="F574" s="2" t="inlineStr">
        <is>
          <t>DEC_IMPL</t>
        </is>
      </c>
      <c r="G574" s="2" t="inlineStr">
        <is>
          <t>2019-03-18</t>
        </is>
      </c>
      <c r="H574" s="2" t="inlineStr">
        <is>
          <t>Commission Implementing Decision (EU) 2019/436 of 18 March 2019 on the harmonised standards for machinery drafted in support of Directive 2006/42/EC of the European Parliament and of the Council</t>
        </is>
      </c>
      <c r="I574" s="2" t="inlineStr">
        <is>
          <t>no</t>
        </is>
      </c>
      <c r="J574" s="2" t="inlineStr">
        <is>
          <t>https://eur-lex.europa.eu/legal-content/EN/TXT/?uri=CELEX:32019D0436</t>
        </is>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t="inlineStr"/>
    </row>
    <row r="575">
      <c r="A575" s="2" t="n">
        <v>108</v>
      </c>
      <c r="B575" s="2" t="inlineStr">
        <is>
          <t>European Standardisation Regulation</t>
        </is>
      </c>
      <c r="C575" s="2" t="inlineStr">
        <is>
          <t>32012R1025</t>
        </is>
      </c>
      <c r="D575" s="2" t="inlineStr">
        <is>
          <t>32019D0919</t>
        </is>
      </c>
      <c r="E575" s="2" t="inlineStr">
        <is>
          <t>implementing</t>
        </is>
      </c>
      <c r="F575" s="2" t="inlineStr">
        <is>
          <t>DEC_IMPL</t>
        </is>
      </c>
      <c r="G575" s="2" t="inlineStr">
        <is>
          <t>2019-06-04</t>
        </is>
      </c>
      <c r="H575" s="2" t="inlineStr">
        <is>
          <t>Commission Implementing Decision (EU) 2019/919 of 4 June 2019 on the harmonised standards for recreational craft and personal watercraft drafted in support of Directive 2013/53/EU of the European Parliament and of the Council</t>
        </is>
      </c>
      <c r="I575" s="2" t="inlineStr">
        <is>
          <t>no</t>
        </is>
      </c>
      <c r="J575" s="2" t="inlineStr">
        <is>
          <t>https://eur-lex.europa.eu/legal-content/EN/TXT/?uri=CELEX:32019D0919</t>
        </is>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t="inlineStr"/>
    </row>
    <row r="576">
      <c r="A576" s="2" t="n">
        <v>108</v>
      </c>
      <c r="B576" s="2" t="inlineStr">
        <is>
          <t>European Standardisation Regulation</t>
        </is>
      </c>
      <c r="C576" s="2" t="inlineStr">
        <is>
          <t>32012R1025</t>
        </is>
      </c>
      <c r="D576" s="2" t="inlineStr">
        <is>
          <t>32019D1202</t>
        </is>
      </c>
      <c r="E576" s="2" t="inlineStr">
        <is>
          <t>implementing</t>
        </is>
      </c>
      <c r="F576" s="2" t="inlineStr">
        <is>
          <t>DEC_IMPL</t>
        </is>
      </c>
      <c r="G576" s="2" t="inlineStr">
        <is>
          <t>2019-07-12</t>
        </is>
      </c>
      <c r="H576" s="2" t="inlineStr">
        <is>
          <t>Commission Implementing Decision (EU) 2019/1202 of 12 July 2019 on the harmonised standards for equipment and protective systems intended for use in potentially explosive atmospheres drafted in support of Directive 2014/34/EU of the European Parliament and of the Council</t>
        </is>
      </c>
      <c r="I576" s="2" t="inlineStr">
        <is>
          <t>no</t>
        </is>
      </c>
      <c r="J576" s="2" t="inlineStr">
        <is>
          <t>https://eur-lex.europa.eu/legal-content/EN/TXT/?uri=CELEX:32019D1202</t>
        </is>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t="inlineStr"/>
    </row>
    <row r="577">
      <c r="A577" s="2" t="n">
        <v>108</v>
      </c>
      <c r="B577" s="2" t="inlineStr">
        <is>
          <t>European Standardisation Regulation</t>
        </is>
      </c>
      <c r="C577" s="2" t="inlineStr">
        <is>
          <t>32012R1025</t>
        </is>
      </c>
      <c r="D577" s="2" t="inlineStr">
        <is>
          <t>32019D1217</t>
        </is>
      </c>
      <c r="E577" s="2" t="inlineStr">
        <is>
          <t>implementing</t>
        </is>
      </c>
      <c r="F577" s="2" t="inlineStr">
        <is>
          <t>DEC_IMPL</t>
        </is>
      </c>
      <c r="G577" s="2" t="inlineStr">
        <is>
          <t>2019-07-17</t>
        </is>
      </c>
      <c r="H577" s="2" t="inlineStr">
        <is>
          <t>Commission Implementing Decision (EU) 2019/1217 of 17 July 2019 on the harmonised standards for personal flotation devices — lifejackets drafted in support of Council Directive 89/686/EEC (Text with EEA relevance.)</t>
        </is>
      </c>
      <c r="I577" s="2" t="inlineStr">
        <is>
          <t>no</t>
        </is>
      </c>
      <c r="J577" s="2" t="inlineStr">
        <is>
          <t>https://eur-lex.europa.eu/legal-content/EN/TXT/?uri=CELEX:32019D1217</t>
        </is>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t="inlineStr"/>
    </row>
    <row r="578">
      <c r="A578" s="2" t="n">
        <v>108</v>
      </c>
      <c r="B578" s="2" t="inlineStr">
        <is>
          <t>European Standardisation Regulation</t>
        </is>
      </c>
      <c r="C578" s="2" t="inlineStr">
        <is>
          <t>32012R1025</t>
        </is>
      </c>
      <c r="D578" s="2" t="inlineStr">
        <is>
          <t>32019D1254</t>
        </is>
      </c>
      <c r="E578" s="2" t="inlineStr">
        <is>
          <t>implementing</t>
        </is>
      </c>
      <c r="F578" s="2" t="inlineStr">
        <is>
          <t>DEC_IMPL</t>
        </is>
      </c>
      <c r="G578" s="2" t="inlineStr">
        <is>
          <t>2019-07-22</t>
        </is>
      </c>
      <c r="H578" s="2" t="inlineStr">
        <is>
          <t>Commission Implementing Decision (EU) 2019/1254 of 22 July 2019 on harmonised standards on the safety of toys drafted in support of Directive 2009/48/EC of the European Parliament and of the Council</t>
        </is>
      </c>
      <c r="I578" s="2" t="inlineStr">
        <is>
          <t>no</t>
        </is>
      </c>
      <c r="J578" s="2" t="inlineStr">
        <is>
          <t>https://eur-lex.europa.eu/legal-content/EN/TXT/?uri=CELEX:32019D1254</t>
        </is>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t="inlineStr"/>
    </row>
    <row r="579">
      <c r="A579" s="2" t="n">
        <v>108</v>
      </c>
      <c r="B579" s="2" t="inlineStr">
        <is>
          <t>European Standardisation Regulation</t>
        </is>
      </c>
      <c r="C579" s="2" t="inlineStr">
        <is>
          <t>32012R1025</t>
        </is>
      </c>
      <c r="D579" s="2" t="inlineStr">
        <is>
          <t>32019D1326</t>
        </is>
      </c>
      <c r="E579" s="2" t="inlineStr">
        <is>
          <t>implementing</t>
        </is>
      </c>
      <c r="F579" s="2" t="inlineStr">
        <is>
          <t>DEC_IMPL</t>
        </is>
      </c>
      <c r="G579" s="2" t="inlineStr">
        <is>
          <t>2019-08-05</t>
        </is>
      </c>
      <c r="H579" s="2" t="inlineStr">
        <is>
          <t>Commission Implementing Decision (EU) 2019/1326 of 5 August 2019 on the harmonised standards for electromagnetic compatibility drafted in support of Directive 2014/30/EU of the European Parliament and of the Council</t>
        </is>
      </c>
      <c r="I579" s="2" t="inlineStr">
        <is>
          <t>no</t>
        </is>
      </c>
      <c r="J579" s="2" t="inlineStr">
        <is>
          <t>https://eur-lex.europa.eu/legal-content/EN/TXT/?uri=CELEX:32019D1326</t>
        </is>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t="inlineStr"/>
    </row>
    <row r="580">
      <c r="A580" s="2" t="n">
        <v>108</v>
      </c>
      <c r="B580" s="2" t="inlineStr">
        <is>
          <t>European Standardisation Regulation</t>
        </is>
      </c>
      <c r="C580" s="2" t="inlineStr">
        <is>
          <t>32012R1025</t>
        </is>
      </c>
      <c r="D580" s="2" t="inlineStr">
        <is>
          <t>32019D1616</t>
        </is>
      </c>
      <c r="E580" s="2" t="inlineStr">
        <is>
          <t>implementing</t>
        </is>
      </c>
      <c r="F580" s="2" t="inlineStr">
        <is>
          <t>DEC_IMPL</t>
        </is>
      </c>
      <c r="G580" s="2" t="inlineStr">
        <is>
          <t>2019-09-27</t>
        </is>
      </c>
      <c r="H580" s="2" t="inlineStr">
        <is>
          <t>Commission Implementing Decision (EU) 2019/1616 of 27 September 2019 on the harmonised standards for pressure equipment drafted in support of Directive 2014/68/EU of the European Parliament and of the Council</t>
        </is>
      </c>
      <c r="I580" s="2" t="inlineStr">
        <is>
          <t>no</t>
        </is>
      </c>
      <c r="J580" s="2" t="inlineStr">
        <is>
          <t>https://eur-lex.europa.eu/legal-content/EN/TXT/?uri=CELEX:32019D1616</t>
        </is>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t="inlineStr"/>
    </row>
    <row r="581">
      <c r="A581" s="2" t="n">
        <v>108</v>
      </c>
      <c r="B581" s="2" t="inlineStr">
        <is>
          <t>European Standardisation Regulation</t>
        </is>
      </c>
      <c r="C581" s="2" t="inlineStr">
        <is>
          <t>32012R1025</t>
        </is>
      </c>
      <c r="D581" s="2" t="inlineStr">
        <is>
          <t>32019D1680</t>
        </is>
      </c>
      <c r="E581" s="2" t="inlineStr">
        <is>
          <t>implementing</t>
        </is>
      </c>
      <c r="F581" s="2" t="inlineStr">
        <is>
          <t>DEC_IMPL</t>
        </is>
      </c>
      <c r="G581" s="2" t="inlineStr">
        <is>
          <t>2019-10-07</t>
        </is>
      </c>
      <c r="H581" s="2" t="inlineStr">
        <is>
          <t>Commission Implementing Decision (EU) 2019/1680 of 7 October 2019 correcting the Czech language version of Implementing Decision (EU) 2019/436 on the harmonised standards for machinery drafted in support of Directive 2006/42/EC of the European Parliament and of the Council</t>
        </is>
      </c>
      <c r="I581" s="2" t="inlineStr">
        <is>
          <t>no</t>
        </is>
      </c>
      <c r="J581" s="2" t="inlineStr">
        <is>
          <t>https://eur-lex.europa.eu/legal-content/EN/TXT/?uri=CELEX:32019D1680</t>
        </is>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t="inlineStr"/>
    </row>
    <row r="582">
      <c r="A582" s="2" t="n">
        <v>108</v>
      </c>
      <c r="B582" s="2" t="inlineStr">
        <is>
          <t>European Standardisation Regulation</t>
        </is>
      </c>
      <c r="C582" s="2" t="inlineStr">
        <is>
          <t>32012R1025</t>
        </is>
      </c>
      <c r="D582" s="2" t="inlineStr">
        <is>
          <t>32019D1728</t>
        </is>
      </c>
      <c r="E582" s="2" t="inlineStr">
        <is>
          <t>implementing</t>
        </is>
      </c>
      <c r="F582" s="2" t="inlineStr">
        <is>
          <t>DEC_IMPL</t>
        </is>
      </c>
      <c r="G582" s="2" t="inlineStr">
        <is>
          <t>2019-10-15</t>
        </is>
      </c>
      <c r="H582" s="2" t="inlineStr">
        <is>
          <t>Commission Implementing Decision (EU) 2019/1728 of 15 October 2019 on harmonised standards for toys drafted in support of Directive 2009/48/EC of the European Parliament and of the Council</t>
        </is>
      </c>
      <c r="I582" s="2" t="inlineStr">
        <is>
          <t>no</t>
        </is>
      </c>
      <c r="J582" s="2" t="inlineStr">
        <is>
          <t>https://eur-lex.europa.eu/legal-content/EN/TXT/?uri=CELEX:32019D1728</t>
        </is>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t="inlineStr"/>
    </row>
    <row r="583">
      <c r="A583" s="2" t="n">
        <v>108</v>
      </c>
      <c r="B583" s="2" t="inlineStr">
        <is>
          <t>European Standardisation Regulation</t>
        </is>
      </c>
      <c r="C583" s="2" t="inlineStr">
        <is>
          <t>32012R1025</t>
        </is>
      </c>
      <c r="D583" s="2" t="inlineStr">
        <is>
          <t>32019D1729</t>
        </is>
      </c>
      <c r="E583" s="2" t="inlineStr">
        <is>
          <t>implementing</t>
        </is>
      </c>
      <c r="F583" s="2" t="inlineStr">
        <is>
          <t>DEC_IMPL</t>
        </is>
      </c>
      <c r="G583" s="2" t="inlineStr">
        <is>
          <t>2019-10-15</t>
        </is>
      </c>
      <c r="H583" s="2" t="inlineStr">
        <is>
          <t>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is>
      </c>
      <c r="I583" s="2" t="inlineStr">
        <is>
          <t>no</t>
        </is>
      </c>
      <c r="J583" s="2" t="inlineStr">
        <is>
          <t>https://eur-lex.europa.eu/legal-content/EN/TXT/?uri=CELEX:32019D1729</t>
        </is>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t="inlineStr"/>
    </row>
    <row r="584">
      <c r="A584" s="2" t="n">
        <v>108</v>
      </c>
      <c r="B584" s="2" t="inlineStr">
        <is>
          <t>European Standardisation Regulation</t>
        </is>
      </c>
      <c r="C584" s="2" t="inlineStr">
        <is>
          <t>32012R1025</t>
        </is>
      </c>
      <c r="D584" s="2" t="inlineStr">
        <is>
          <t>32019D1863</t>
        </is>
      </c>
      <c r="E584" s="2" t="inlineStr">
        <is>
          <t>implementing</t>
        </is>
      </c>
      <c r="F584" s="2" t="inlineStr">
        <is>
          <t>DEC_IMPL</t>
        </is>
      </c>
      <c r="G584" s="2" t="inlineStr">
        <is>
          <t>2019-11-06</t>
        </is>
      </c>
      <c r="H584" s="2" t="inlineStr">
        <is>
          <t>Commission Implementing Decision (EU) 2019/1863 of 6 November 2019 amending and correcting Implementing Decision (EU) 2019/436 as regards the withdrawal of references of harmonised standards for machinery from the Official Journal of the European Union (Text with EEA relevance)</t>
        </is>
      </c>
      <c r="I584" s="2" t="inlineStr">
        <is>
          <t>no</t>
        </is>
      </c>
      <c r="J584" s="2" t="inlineStr">
        <is>
          <t>https://eur-lex.europa.eu/legal-content/EN/TXT/?uri=CELEX:32019D1863</t>
        </is>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t="inlineStr"/>
    </row>
    <row r="585">
      <c r="A585" s="2" t="n">
        <v>108</v>
      </c>
      <c r="B585" s="2" t="inlineStr">
        <is>
          <t>European Standardisation Regulation</t>
        </is>
      </c>
      <c r="C585" s="2" t="inlineStr">
        <is>
          <t>32012R1025</t>
        </is>
      </c>
      <c r="D585" s="2" t="inlineStr">
        <is>
          <t>32019D1923</t>
        </is>
      </c>
      <c r="E585" s="2" t="inlineStr">
        <is>
          <t>implementing</t>
        </is>
      </c>
      <c r="F585" s="2" t="inlineStr">
        <is>
          <t>DEC_IMPL</t>
        </is>
      </c>
      <c r="G585" s="2" t="inlineStr">
        <is>
          <t>2019-11-18</t>
        </is>
      </c>
      <c r="H585" s="2" t="inlineStr">
        <is>
          <t>Commission Implementing Decision (EU) 2019/1923 of 18 November 2019 on the harmonised standards for cableway installations drafted in support of Regulation (EU) 2016/424 of the European Parliament and of the Council</t>
        </is>
      </c>
      <c r="I585" s="2" t="inlineStr">
        <is>
          <t>no</t>
        </is>
      </c>
      <c r="J585" s="2" t="inlineStr">
        <is>
          <t>https://eur-lex.europa.eu/legal-content/EN/TXT/?uri=CELEX:32019D1923</t>
        </is>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t="inlineStr"/>
    </row>
    <row r="586">
      <c r="A586" s="2" t="n">
        <v>108</v>
      </c>
      <c r="B586" s="2" t="inlineStr">
        <is>
          <t>European Standardisation Regulation</t>
        </is>
      </c>
      <c r="C586" s="2" t="inlineStr">
        <is>
          <t>32012R1025</t>
        </is>
      </c>
      <c r="D586" s="2" t="inlineStr">
        <is>
          <t>32019D1956</t>
        </is>
      </c>
      <c r="E586" s="2" t="inlineStr">
        <is>
          <t>implementing</t>
        </is>
      </c>
      <c r="F586" s="2" t="inlineStr">
        <is>
          <t>DEC_IMPL</t>
        </is>
      </c>
      <c r="G586" s="2" t="inlineStr">
        <is>
          <t>2019-11-26</t>
        </is>
      </c>
      <c r="H586" s="2" t="inlineStr">
        <is>
          <t>Commission Implementing Decision (EU) 2019/1956 of 26 November 2019 on the harmonised standards for electrical equipment designed for use within certain voltage limits and drafted in support of Directive 2014/35/EU of the European Parliament and of the Council</t>
        </is>
      </c>
      <c r="I586" s="2" t="inlineStr">
        <is>
          <t>no</t>
        </is>
      </c>
      <c r="J586" s="2" t="inlineStr">
        <is>
          <t>https://eur-lex.europa.eu/legal-content/EN/TXT/?uri=CELEX:32019D1956</t>
        </is>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t="inlineStr"/>
    </row>
    <row r="587">
      <c r="A587" s="2" t="n">
        <v>108</v>
      </c>
      <c r="B587" s="2" t="inlineStr">
        <is>
          <t>European Standardisation Regulation</t>
        </is>
      </c>
      <c r="C587" s="2" t="inlineStr">
        <is>
          <t>32012R1025</t>
        </is>
      </c>
      <c r="D587" s="2" t="inlineStr">
        <is>
          <t>32020D0050</t>
        </is>
      </c>
      <c r="E587" s="2" t="inlineStr">
        <is>
          <t>implementing</t>
        </is>
      </c>
      <c r="F587" s="2" t="inlineStr">
        <is>
          <t>DEC_IMPL</t>
        </is>
      </c>
      <c r="G587" s="2" t="inlineStr">
        <is>
          <t>2020-01-21</t>
        </is>
      </c>
      <c r="H587" s="2" t="inlineStr">
        <is>
          <t>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is>
      </c>
      <c r="I587" s="2" t="inlineStr">
        <is>
          <t>no</t>
        </is>
      </c>
      <c r="J587" s="2" t="inlineStr">
        <is>
          <t>https://eur-lex.europa.eu/legal-content/EN/TXT/?uri=CELEX:32020D0050</t>
        </is>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t="inlineStr"/>
    </row>
    <row r="588">
      <c r="A588" s="2" t="n">
        <v>108</v>
      </c>
      <c r="B588" s="2" t="inlineStr">
        <is>
          <t>European Standardisation Regulation</t>
        </is>
      </c>
      <c r="C588" s="2" t="inlineStr">
        <is>
          <t>32012R1025</t>
        </is>
      </c>
      <c r="D588" s="2" t="inlineStr">
        <is>
          <t>32020D0167</t>
        </is>
      </c>
      <c r="E588" s="2" t="inlineStr">
        <is>
          <t>implementing</t>
        </is>
      </c>
      <c r="F588" s="2" t="inlineStr">
        <is>
          <t>DEC_IMPL</t>
        </is>
      </c>
      <c r="G588" s="2" t="inlineStr">
        <is>
          <t>2020-02-05</t>
        </is>
      </c>
      <c r="H588" s="2" t="inlineStr">
        <is>
          <t>Commission Implementing Decision (EU) 2020/167 of 5 February 2020 on the harmonised standards for radio equipment drafted in support of Directive 2014/53/EU of the European Parliament and of the Council</t>
        </is>
      </c>
      <c r="I588" s="2" t="inlineStr">
        <is>
          <t>no</t>
        </is>
      </c>
      <c r="J588" s="2" t="inlineStr">
        <is>
          <t>https://eur-lex.europa.eu/legal-content/EN/TXT/?uri=CELEX:32020D0167</t>
        </is>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t="inlineStr"/>
    </row>
    <row r="589">
      <c r="A589" s="2" t="n">
        <v>108</v>
      </c>
      <c r="B589" s="2" t="inlineStr">
        <is>
          <t>European Standardisation Regulation</t>
        </is>
      </c>
      <c r="C589" s="2" t="inlineStr">
        <is>
          <t>32012R1025</t>
        </is>
      </c>
      <c r="D589" s="2" t="inlineStr">
        <is>
          <t>32020D0260</t>
        </is>
      </c>
      <c r="E589" s="2" t="inlineStr">
        <is>
          <t>implementing</t>
        </is>
      </c>
      <c r="F589" s="2" t="inlineStr">
        <is>
          <t>DEC_IMPL</t>
        </is>
      </c>
      <c r="G589" s="2" t="inlineStr">
        <is>
          <t>2020-02-25</t>
        </is>
      </c>
      <c r="H589" s="2" t="inlineStr">
        <is>
          <t>Commission Implementing Decision (EU) 2020/260 of 25 February 2020 amending Implementing Decision (EU) 2019/1202 as regards explosion prevention and protection</t>
        </is>
      </c>
      <c r="I589" s="2" t="inlineStr">
        <is>
          <t>no</t>
        </is>
      </c>
      <c r="J589" s="2" t="inlineStr">
        <is>
          <t>https://eur-lex.europa.eu/legal-content/EN/TXT/?uri=CELEX:32020D0260</t>
        </is>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t="inlineStr"/>
    </row>
    <row r="590">
      <c r="A590" s="2" t="n">
        <v>108</v>
      </c>
      <c r="B590" s="2" t="inlineStr">
        <is>
          <t>European Standardisation Regulation</t>
        </is>
      </c>
      <c r="C590" s="2" t="inlineStr">
        <is>
          <t>32012R1025</t>
        </is>
      </c>
      <c r="D590" s="2" t="inlineStr">
        <is>
          <t>32020D0437</t>
        </is>
      </c>
      <c r="E590" s="2" t="inlineStr">
        <is>
          <t>implementing</t>
        </is>
      </c>
      <c r="F590" s="2" t="inlineStr">
        <is>
          <t>DEC_IMPL</t>
        </is>
      </c>
      <c r="G590" s="2" t="inlineStr">
        <is>
          <t>2020-03-24</t>
        </is>
      </c>
      <c r="H590" s="2" t="inlineStr">
        <is>
          <t>Commission Implementing Decision (EU) 2020/437 of 24 March 2020 on the harmonised standards for medical devices drafted in support of Council Directive 93/42/EEC</t>
        </is>
      </c>
      <c r="I590" s="2" t="inlineStr">
        <is>
          <t>no</t>
        </is>
      </c>
      <c r="J590" s="2" t="inlineStr">
        <is>
          <t>https://eur-lex.europa.eu/legal-content/EN/TXT/?uri=CELEX:32020D0437</t>
        </is>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t="inlineStr"/>
    </row>
    <row r="591">
      <c r="A591" s="2" t="n">
        <v>108</v>
      </c>
      <c r="B591" s="2" t="inlineStr">
        <is>
          <t>European Standardisation Regulation</t>
        </is>
      </c>
      <c r="C591" s="2" t="inlineStr">
        <is>
          <t>32012R1025</t>
        </is>
      </c>
      <c r="D591" s="2" t="inlineStr">
        <is>
          <t>32020D0438</t>
        </is>
      </c>
      <c r="E591" s="2" t="inlineStr">
        <is>
          <t>implementing</t>
        </is>
      </c>
      <c r="F591" s="2" t="inlineStr">
        <is>
          <t>DEC_IMPL</t>
        </is>
      </c>
      <c r="G591" s="2" t="inlineStr">
        <is>
          <t>2020-03-24</t>
        </is>
      </c>
      <c r="H591" s="2" t="inlineStr">
        <is>
          <t>Commission Implementing Decision (EU) 2020/438 of 24 March 2020 on the harmonised standards for active implantable medical devices drafted in support of Council Directive 90/385/EEC</t>
        </is>
      </c>
      <c r="I591" s="2" t="inlineStr">
        <is>
          <t>no</t>
        </is>
      </c>
      <c r="J591" s="2" t="inlineStr">
        <is>
          <t>https://eur-lex.europa.eu/legal-content/EN/TXT/?uri=CELEX:32020D0438</t>
        </is>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t="inlineStr"/>
    </row>
    <row r="592">
      <c r="A592" s="2" t="n">
        <v>108</v>
      </c>
      <c r="B592" s="2" t="inlineStr">
        <is>
          <t>European Standardisation Regulation</t>
        </is>
      </c>
      <c r="C592" s="2" t="inlineStr">
        <is>
          <t>32012R1025</t>
        </is>
      </c>
      <c r="D592" s="2" t="inlineStr">
        <is>
          <t>32020D0439</t>
        </is>
      </c>
      <c r="E592" s="2" t="inlineStr">
        <is>
          <t>implementing</t>
        </is>
      </c>
      <c r="F592" s="2" t="inlineStr">
        <is>
          <t>DEC_IMPL</t>
        </is>
      </c>
      <c r="G592" s="2" t="inlineStr">
        <is>
          <t>2020-03-24</t>
        </is>
      </c>
      <c r="H592" s="2" t="inlineStr">
        <is>
          <t>Commission Implementing Decision (EU) 2020/439 of 24 March 2020 on the harmonised standards for in vitro diagnostic medical devices drafted in support of Directive 98/79/EC of the European Parliament and of the Council</t>
        </is>
      </c>
      <c r="I592" s="2" t="inlineStr">
        <is>
          <t>no</t>
        </is>
      </c>
      <c r="J592" s="2" t="inlineStr">
        <is>
          <t>https://eur-lex.europa.eu/legal-content/EN/TXT/?uri=CELEX:32020D0439</t>
        </is>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t="inlineStr"/>
    </row>
    <row r="593">
      <c r="A593" s="2" t="n">
        <v>108</v>
      </c>
      <c r="B593" s="2" t="inlineStr">
        <is>
          <t>European Standardisation Regulation</t>
        </is>
      </c>
      <c r="C593" s="2" t="inlineStr">
        <is>
          <t>32012R1025</t>
        </is>
      </c>
      <c r="D593" s="2" t="inlineStr">
        <is>
          <t>32020D0453</t>
        </is>
      </c>
      <c r="E593" s="2" t="inlineStr">
        <is>
          <t>implementing</t>
        </is>
      </c>
      <c r="F593" s="2" t="inlineStr">
        <is>
          <t>DEC_IMPL</t>
        </is>
      </c>
      <c r="G593" s="2" t="inlineStr">
        <is>
          <t>2020-03-27</t>
        </is>
      </c>
      <c r="H593" s="2" t="inlineStr">
        <is>
          <t>Commission Implementing Decision (EU) 2020/453 of 27 March 2020 on the harmonised standards for railway products drafted in support of Directive 2008/57/EC of the European Parliament and of the Council on the interoperability of the rail system within the Community</t>
        </is>
      </c>
      <c r="I593" s="2" t="inlineStr">
        <is>
          <t>no</t>
        </is>
      </c>
      <c r="J593" s="2" t="inlineStr">
        <is>
          <t>https://eur-lex.europa.eu/legal-content/EN/TXT/?uri=CELEX:32020D0453</t>
        </is>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t="inlineStr"/>
    </row>
    <row r="594">
      <c r="A594" s="2" t="n">
        <v>108</v>
      </c>
      <c r="B594" s="2" t="inlineStr">
        <is>
          <t>European Standardisation Regulation</t>
        </is>
      </c>
      <c r="C594" s="2" t="inlineStr">
        <is>
          <t>32012R1025</t>
        </is>
      </c>
      <c r="D594" s="2" t="inlineStr">
        <is>
          <t>32020D0480</t>
        </is>
      </c>
      <c r="E594" s="2" t="inlineStr">
        <is>
          <t>implementing</t>
        </is>
      </c>
      <c r="F594" s="2" t="inlineStr">
        <is>
          <t>DEC_IMPL</t>
        </is>
      </c>
      <c r="G594" s="2" t="inlineStr">
        <is>
          <t>2020-04-01</t>
        </is>
      </c>
      <c r="H594" s="2" t="inlineStr">
        <is>
          <t>Commission Implementing Decision (EU) 2020/480 of 1 April 2020 amending Implementing Decision (EU) 2019/436 on harmonised standards for machinery drafted in support of Directive 2006/42/EC of the European Parliament and of the Council</t>
        </is>
      </c>
      <c r="I594" s="2" t="inlineStr">
        <is>
          <t>no</t>
        </is>
      </c>
      <c r="J594" s="2" t="inlineStr">
        <is>
          <t>https://eur-lex.europa.eu/legal-content/EN/TXT/?uri=CELEX:32020D0480</t>
        </is>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t="inlineStr"/>
    </row>
    <row r="595">
      <c r="A595" s="2" t="n">
        <v>108</v>
      </c>
      <c r="B595" s="2" t="inlineStr">
        <is>
          <t>European Standardisation Regulation</t>
        </is>
      </c>
      <c r="C595" s="2" t="inlineStr">
        <is>
          <t>32012R1025</t>
        </is>
      </c>
      <c r="D595" s="2" t="inlineStr">
        <is>
          <t>32020D0542</t>
        </is>
      </c>
      <c r="E595" s="2" t="inlineStr">
        <is>
          <t>implementing</t>
        </is>
      </c>
      <c r="F595" s="2" t="inlineStr">
        <is>
          <t>DEC_IMPL</t>
        </is>
      </c>
      <c r="G595" s="2" t="inlineStr">
        <is>
          <t>2020-04-16</t>
        </is>
      </c>
      <c r="H595" s="2" t="inlineStr">
        <is>
          <t>Commission Implementing Decision (EU) 2020/542 of 16 April 2020 amending Implementing Decision (EU) 2019/1616 as regards safety devices for protection against excessive pressure, welded steel tubes for pressure purposes, unfired pressure vessels and metallic industrial piping</t>
        </is>
      </c>
      <c r="I595" s="2" t="inlineStr">
        <is>
          <t>no</t>
        </is>
      </c>
      <c r="J595" s="2" t="inlineStr">
        <is>
          <t>https://eur-lex.europa.eu/legal-content/EN/TXT/?uri=CELEX:32020D0542</t>
        </is>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t="inlineStr"/>
    </row>
    <row r="596">
      <c r="A596" s="2" t="n">
        <v>108</v>
      </c>
      <c r="B596" s="2" t="inlineStr">
        <is>
          <t>European Standardisation Regulation</t>
        </is>
      </c>
      <c r="C596" s="2" t="inlineStr">
        <is>
          <t>32012R1025</t>
        </is>
      </c>
      <c r="D596" s="2" t="inlineStr">
        <is>
          <t>32020D0553</t>
        </is>
      </c>
      <c r="E596" s="2" t="inlineStr">
        <is>
          <t>implementing</t>
        </is>
      </c>
      <c r="F596" s="2" t="inlineStr">
        <is>
          <t>DEC_IMPL</t>
        </is>
      </c>
      <c r="G596" s="2" t="inlineStr">
        <is>
          <t>2020-04-21</t>
        </is>
      </c>
      <c r="H596" s="2" t="inlineStr">
        <is>
          <t>Commission Implementing Decision (EU) 2020/553 of 21 April 2020 amending Implementing Decision (EU) 2020/167 as regards harmonised standards for certain international mobile telecommunications cellular networks equipment</t>
        </is>
      </c>
      <c r="I596" s="2" t="inlineStr">
        <is>
          <t>no</t>
        </is>
      </c>
      <c r="J596" s="2" t="inlineStr">
        <is>
          <t>https://eur-lex.europa.eu/legal-content/EN/TXT/?uri=CELEX:32020D0553</t>
        </is>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t="inlineStr"/>
    </row>
    <row r="597">
      <c r="A597" s="2" t="n">
        <v>108</v>
      </c>
      <c r="B597" s="2" t="inlineStr">
        <is>
          <t>European Standardisation Regulation</t>
        </is>
      </c>
      <c r="C597" s="2" t="inlineStr">
        <is>
          <t>32012R1025</t>
        </is>
      </c>
      <c r="D597" s="2" t="inlineStr">
        <is>
          <t>32020D0659</t>
        </is>
      </c>
      <c r="E597" s="2" t="inlineStr">
        <is>
          <t>implementing</t>
        </is>
      </c>
      <c r="F597" s="2" t="inlineStr">
        <is>
          <t>DEC_IMPL</t>
        </is>
      </c>
      <c r="G597" s="2" t="inlineStr">
        <is>
          <t>2020-05-15</t>
        </is>
      </c>
      <c r="H597" s="2" t="inlineStr">
        <is>
          <t>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is>
      </c>
      <c r="I597" s="2" t="inlineStr">
        <is>
          <t>no</t>
        </is>
      </c>
      <c r="J597" s="2" t="inlineStr">
        <is>
          <t>https://eur-lex.europa.eu/legal-content/EN/TXT/?uri=CELEX:32020D0659</t>
        </is>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t="inlineStr"/>
    </row>
    <row r="598">
      <c r="A598" s="2" t="n">
        <v>108</v>
      </c>
      <c r="B598" s="2" t="inlineStr">
        <is>
          <t>European Standardisation Regulation</t>
        </is>
      </c>
      <c r="C598" s="2" t="inlineStr">
        <is>
          <t>32012R1025</t>
        </is>
      </c>
      <c r="D598" s="2" t="inlineStr">
        <is>
          <t>32020D0660</t>
        </is>
      </c>
      <c r="E598" s="2" t="inlineStr">
        <is>
          <t>implementing</t>
        </is>
      </c>
      <c r="F598" s="2" t="inlineStr">
        <is>
          <t>DEC_IMPL</t>
        </is>
      </c>
      <c r="G598" s="2" t="inlineStr">
        <is>
          <t>2020-05-15</t>
        </is>
      </c>
      <c r="H598" s="2" t="inlineStr">
        <is>
          <t>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is>
      </c>
      <c r="I598" s="2" t="inlineStr">
        <is>
          <t>no</t>
        </is>
      </c>
      <c r="J598" s="2" t="inlineStr">
        <is>
          <t>https://eur-lex.europa.eu/legal-content/EN/TXT/?uri=CELEX:32020D0660</t>
        </is>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t="inlineStr"/>
    </row>
    <row r="599">
      <c r="A599" s="2" t="n">
        <v>108</v>
      </c>
      <c r="B599" s="2" t="inlineStr">
        <is>
          <t>European Standardisation Regulation</t>
        </is>
      </c>
      <c r="C599" s="2" t="inlineStr">
        <is>
          <t>32012R1025</t>
        </is>
      </c>
      <c r="D599" s="2" t="inlineStr">
        <is>
          <t>32020D0668</t>
        </is>
      </c>
      <c r="E599" s="2" t="inlineStr">
        <is>
          <t>implementing</t>
        </is>
      </c>
      <c r="F599" s="2" t="inlineStr">
        <is>
          <t>DEC_IMPL</t>
        </is>
      </c>
      <c r="G599" s="2" t="inlineStr">
        <is>
          <t>2020-05-18</t>
        </is>
      </c>
      <c r="H599" s="2" t="inlineStr">
        <is>
          <t>Commission Implementing Decision (EU) 2020/668 of 18 May 2020 on the harmonised standards for personal protective equipment drafted in support of Regulation (EU) 2016/425 of the European Parliament and of the Council</t>
        </is>
      </c>
      <c r="I599" s="2" t="inlineStr">
        <is>
          <t>no</t>
        </is>
      </c>
      <c r="J599" s="2" t="inlineStr">
        <is>
          <t>https://eur-lex.europa.eu/legal-content/EN/TXT/?uri=CELEX:32020D0668</t>
        </is>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t="inlineStr"/>
    </row>
    <row r="600">
      <c r="A600" s="2" t="n">
        <v>108</v>
      </c>
      <c r="B600" s="2" t="inlineStr">
        <is>
          <t>European Standardisation Regulation</t>
        </is>
      </c>
      <c r="C600" s="2" t="inlineStr">
        <is>
          <t>32012R1025</t>
        </is>
      </c>
      <c r="D600" s="2" t="inlineStr">
        <is>
          <t>32020D1146</t>
        </is>
      </c>
      <c r="E600" s="2" t="inlineStr">
        <is>
          <t>implementing</t>
        </is>
      </c>
      <c r="F600" s="2" t="inlineStr">
        <is>
          <t>DEC_IMPL</t>
        </is>
      </c>
      <c r="G600" s="2" t="inlineStr">
        <is>
          <t>2020-07-31</t>
        </is>
      </c>
      <c r="H600" s="2" t="inlineStr">
        <is>
          <t>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is>
      </c>
      <c r="I600" s="2" t="inlineStr">
        <is>
          <t>no</t>
        </is>
      </c>
      <c r="J600" s="2" t="inlineStr">
        <is>
          <t>https://eur-lex.europa.eu/legal-content/EN/TXT/?uri=CELEX:32020D1146</t>
        </is>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t="inlineStr"/>
    </row>
    <row r="601">
      <c r="A601" s="2" t="n">
        <v>108</v>
      </c>
      <c r="B601" s="2" t="inlineStr">
        <is>
          <t>European Standardisation Regulation</t>
        </is>
      </c>
      <c r="C601" s="2" t="inlineStr">
        <is>
          <t>32012R1025</t>
        </is>
      </c>
      <c r="D601" s="2" t="inlineStr">
        <is>
          <t>32020D1562</t>
        </is>
      </c>
      <c r="E601" s="2" t="inlineStr">
        <is>
          <t>implementing</t>
        </is>
      </c>
      <c r="F601" s="2" t="inlineStr">
        <is>
          <t>DEC_IMPL</t>
        </is>
      </c>
      <c r="G601" s="2" t="inlineStr">
        <is>
          <t>2020-10-26</t>
        </is>
      </c>
      <c r="H601" s="2" t="inlineStr">
        <is>
          <t>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is>
      </c>
      <c r="I601" s="2" t="inlineStr">
        <is>
          <t>no</t>
        </is>
      </c>
      <c r="J601" s="2" t="inlineStr">
        <is>
          <t>https://eur-lex.europa.eu/legal-content/EN/TXT/?uri=CELEX:32020D1562</t>
        </is>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t="inlineStr"/>
    </row>
    <row r="602">
      <c r="A602" s="2" t="n">
        <v>108</v>
      </c>
      <c r="B602" s="2" t="inlineStr">
        <is>
          <t>European Standardisation Regulation</t>
        </is>
      </c>
      <c r="C602" s="2" t="inlineStr">
        <is>
          <t>32012R1025</t>
        </is>
      </c>
      <c r="D602" s="2" t="inlineStr">
        <is>
          <t>32020D1630</t>
        </is>
      </c>
      <c r="E602" s="2" t="inlineStr">
        <is>
          <t>implementing</t>
        </is>
      </c>
      <c r="F602" s="2" t="inlineStr">
        <is>
          <t>DEC_IMPL</t>
        </is>
      </c>
      <c r="G602" s="2" t="inlineStr">
        <is>
          <t>2020-11-03</t>
        </is>
      </c>
      <c r="H602" s="2" t="inlineStr">
        <is>
          <t>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is>
      </c>
      <c r="I602" s="2" t="inlineStr">
        <is>
          <t>no</t>
        </is>
      </c>
      <c r="J602" s="2" t="inlineStr">
        <is>
          <t>https://eur-lex.europa.eu/legal-content/EN/TXT/?uri=CELEX:32020D1630</t>
        </is>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t="inlineStr"/>
    </row>
    <row r="603">
      <c r="A603" s="2" t="n">
        <v>108</v>
      </c>
      <c r="B603" s="2" t="inlineStr">
        <is>
          <t>European Standardisation Regulation</t>
        </is>
      </c>
      <c r="C603" s="2" t="inlineStr">
        <is>
          <t>32012R1025</t>
        </is>
      </c>
      <c r="D603" s="2" t="inlineStr">
        <is>
          <t>32020D1779</t>
        </is>
      </c>
      <c r="E603" s="2" t="inlineStr">
        <is>
          <t>implementing</t>
        </is>
      </c>
      <c r="F603" s="2" t="inlineStr">
        <is>
          <t>DEC_IMPL</t>
        </is>
      </c>
      <c r="G603" s="2" t="inlineStr">
        <is>
          <t>2020-11-27</t>
        </is>
      </c>
      <c r="H603" s="2" t="inlineStr">
        <is>
          <t>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is>
      </c>
      <c r="I603" s="2" t="inlineStr">
        <is>
          <t>no</t>
        </is>
      </c>
      <c r="J603" s="2" t="inlineStr">
        <is>
          <t>https://eur-lex.europa.eu/legal-content/EN/TXT/?uri=CELEX:32020D1779</t>
        </is>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t="inlineStr"/>
    </row>
    <row r="604">
      <c r="A604" s="2" t="n">
        <v>108</v>
      </c>
      <c r="B604" s="2" t="inlineStr">
        <is>
          <t>European Standardisation Regulation</t>
        </is>
      </c>
      <c r="C604" s="2" t="inlineStr">
        <is>
          <t>32012R1025</t>
        </is>
      </c>
      <c r="D604" s="2" t="inlineStr">
        <is>
          <t>32020D1835</t>
        </is>
      </c>
      <c r="E604" s="2" t="inlineStr">
        <is>
          <t>implementing</t>
        </is>
      </c>
      <c r="F604" s="2" t="inlineStr">
        <is>
          <t>DEC_IMPL</t>
        </is>
      </c>
      <c r="G604" s="2" t="inlineStr">
        <is>
          <t>2020-12-03</t>
        </is>
      </c>
      <c r="H604" s="2" t="inlineStr">
        <is>
          <t>Commission Implementing Decision (EU) 2020/1835 of 3 December 2020 on the harmonised standards for accreditation and conformity assessment (Text with EEA relevance)</t>
        </is>
      </c>
      <c r="I604" s="2" t="inlineStr">
        <is>
          <t>no</t>
        </is>
      </c>
      <c r="J604" s="2" t="inlineStr">
        <is>
          <t>https://eur-lex.europa.eu/legal-content/EN/TXT/?uri=CELEX:32020D1835</t>
        </is>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t="inlineStr"/>
    </row>
    <row r="605">
      <c r="A605" s="2" t="n">
        <v>108</v>
      </c>
      <c r="B605" s="2" t="inlineStr">
        <is>
          <t>European Standardisation Regulation</t>
        </is>
      </c>
      <c r="C605" s="2" t="inlineStr">
        <is>
          <t>32012R1025</t>
        </is>
      </c>
      <c r="D605" s="2" t="inlineStr">
        <is>
          <t>32021D0076</t>
        </is>
      </c>
      <c r="E605" s="2" t="inlineStr">
        <is>
          <t>implementing</t>
        </is>
      </c>
      <c r="F605" s="2" t="inlineStr">
        <is>
          <t>DEC_IMPL</t>
        </is>
      </c>
      <c r="G605" s="2" t="inlineStr">
        <is>
          <t>2021-01-26</t>
        </is>
      </c>
      <c r="H605" s="2" t="inlineStr">
        <is>
          <t>Commission Implementing Decision (EU) 2021/76 of 26 January 2021 on harmonised standards for lifts and safety components for lifts drafted in support of Directive 2014/33/EU of the European Parliament and of the Council (Text with EEA relevance)</t>
        </is>
      </c>
      <c r="I605" s="2" t="inlineStr">
        <is>
          <t>no</t>
        </is>
      </c>
      <c r="J605" s="2" t="inlineStr">
        <is>
          <t>https://eur-lex.europa.eu/legal-content/EN/TXT/?uri=CELEX:32021D0076</t>
        </is>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t="inlineStr"/>
    </row>
    <row r="606">
      <c r="A606" s="2" t="n">
        <v>108</v>
      </c>
      <c r="B606" s="2" t="inlineStr">
        <is>
          <t>European Standardisation Regulation</t>
        </is>
      </c>
      <c r="C606" s="2" t="inlineStr">
        <is>
          <t>32012R1025</t>
        </is>
      </c>
      <c r="D606" s="2" t="inlineStr">
        <is>
          <t>32021D0117</t>
        </is>
      </c>
      <c r="E606" s="2" t="inlineStr">
        <is>
          <t>implementing</t>
        </is>
      </c>
      <c r="F606" s="2" t="inlineStr">
        <is>
          <t>DEC_IMPL</t>
        </is>
      </c>
      <c r="G606" s="2" t="inlineStr">
        <is>
          <t>2021-02-01</t>
        </is>
      </c>
      <c r="H606" s="2" t="inlineStr">
        <is>
          <t>Commission Implementing Decision (EU) 2021/117 of 1 February 2021 amending Implementing Decision (EU) 2019/919 as regards harmonised standards for small craft, regarding ventilation of petrol engine and/or petrol tank compartments and electric fans</t>
        </is>
      </c>
      <c r="I606" s="2" t="inlineStr">
        <is>
          <t>no</t>
        </is>
      </c>
      <c r="J606" s="2" t="inlineStr">
        <is>
          <t>https://eur-lex.europa.eu/legal-content/EN/TXT/?uri=CELEX:32021D0117</t>
        </is>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t="inlineStr"/>
    </row>
    <row r="607">
      <c r="A607" s="2" t="n">
        <v>108</v>
      </c>
      <c r="B607" s="2" t="inlineStr">
        <is>
          <t>European Standardisation Regulation</t>
        </is>
      </c>
      <c r="C607" s="2" t="inlineStr">
        <is>
          <t>32012R1025</t>
        </is>
      </c>
      <c r="D607" s="2" t="inlineStr">
        <is>
          <t>32021D0157</t>
        </is>
      </c>
      <c r="E607" s="2" t="inlineStr">
        <is>
          <t>implementing</t>
        </is>
      </c>
      <c r="F607" s="2" t="inlineStr">
        <is>
          <t>DEC_IMPL</t>
        </is>
      </c>
      <c r="G607" s="2" t="inlineStr">
        <is>
          <t>2021-02-09</t>
        </is>
      </c>
      <c r="H607" s="2" t="inlineStr">
        <is>
          <t>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is>
      </c>
      <c r="I607" s="2" t="inlineStr">
        <is>
          <t>no</t>
        </is>
      </c>
      <c r="J607" s="2" t="inlineStr">
        <is>
          <t>https://eur-lex.europa.eu/legal-content/EN/TXT/?uri=CELEX:32021D0157</t>
        </is>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t="inlineStr"/>
    </row>
    <row r="608">
      <c r="A608" s="2" t="n">
        <v>108</v>
      </c>
      <c r="B608" s="2" t="inlineStr">
        <is>
          <t>European Standardisation Regulation</t>
        </is>
      </c>
      <c r="C608" s="2" t="inlineStr">
        <is>
          <t>32012R1025</t>
        </is>
      </c>
      <c r="D608" s="2" t="inlineStr">
        <is>
          <t>32021D0377</t>
        </is>
      </c>
      <c r="E608" s="2" t="inlineStr">
        <is>
          <t>implementing</t>
        </is>
      </c>
      <c r="F608" s="2" t="inlineStr">
        <is>
          <t>DEC_IMPL</t>
        </is>
      </c>
      <c r="G608" s="2" t="inlineStr">
        <is>
          <t>2021-03-02</t>
        </is>
      </c>
      <c r="H608" s="2" t="inlineStr">
        <is>
          <t>Commission Implementing Decision (EU) 2021/377 of 2 March 2021 amending Implementing Decision (EU) 2019/436 on harmonised standards for machinery drafted in support of Directive 2006/42/EC of the European Parliament and of the Council (Text with EEA relevance)</t>
        </is>
      </c>
      <c r="I608" s="2" t="inlineStr">
        <is>
          <t>no</t>
        </is>
      </c>
      <c r="J608" s="2" t="inlineStr">
        <is>
          <t>https://eur-lex.europa.eu/legal-content/EN/TXT/?uri=CELEX:32021D0377</t>
        </is>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t="inlineStr"/>
    </row>
    <row r="609">
      <c r="A609" s="2" t="n">
        <v>108</v>
      </c>
      <c r="B609" s="2" t="inlineStr">
        <is>
          <t>European Standardisation Regulation</t>
        </is>
      </c>
      <c r="C609" s="2" t="inlineStr">
        <is>
          <t>32012R1025</t>
        </is>
      </c>
      <c r="D609" s="2" t="inlineStr">
        <is>
          <t>32021D0395</t>
        </is>
      </c>
      <c r="E609" s="2" t="inlineStr">
        <is>
          <t>implementing</t>
        </is>
      </c>
      <c r="F609" s="2" t="inlineStr">
        <is>
          <t>DEC_IMPL</t>
        </is>
      </c>
      <c r="G609" s="2" t="inlineStr">
        <is>
          <t>2021-03-04</t>
        </is>
      </c>
      <c r="H609" s="2" t="inlineStr">
        <is>
          <t>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is>
      </c>
      <c r="I609" s="2" t="inlineStr">
        <is>
          <t>no</t>
        </is>
      </c>
      <c r="J609" s="2" t="inlineStr">
        <is>
          <t>https://eur-lex.europa.eu/legal-content/EN/TXT/?uri=CELEX:32021D0395</t>
        </is>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t="inlineStr"/>
    </row>
    <row r="610">
      <c r="A610" s="2" t="n">
        <v>108</v>
      </c>
      <c r="B610" s="2" t="inlineStr">
        <is>
          <t>European Standardisation Regulation</t>
        </is>
      </c>
      <c r="C610" s="2" t="inlineStr">
        <is>
          <t>32012R1025</t>
        </is>
      </c>
      <c r="D610" s="2" t="inlineStr">
        <is>
          <t>32021D0455</t>
        </is>
      </c>
      <c r="E610" s="2" t="inlineStr">
        <is>
          <t>implementing</t>
        </is>
      </c>
      <c r="F610" s="2" t="inlineStr">
        <is>
          <t>DEC_IMPL</t>
        </is>
      </c>
      <c r="G610" s="2" t="inlineStr">
        <is>
          <t>2021-03-15</t>
        </is>
      </c>
      <c r="H610" s="2" t="inlineStr">
        <is>
          <t>Commission Implementing Decision (EU) 2021/455 of 15 March 2021 amending Implementing Decision (EU) 2019/1326 as regards harmonised standards for electromagnetic compatibility of control circuit devices and switching elements, and multimedia equipment</t>
        </is>
      </c>
      <c r="I610" s="2" t="inlineStr">
        <is>
          <t>no</t>
        </is>
      </c>
      <c r="J610" s="2" t="inlineStr">
        <is>
          <t>https://eur-lex.europa.eu/legal-content/EN/TXT/?uri=CELEX:32021D0455</t>
        </is>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t="inlineStr"/>
    </row>
    <row r="611">
      <c r="A611" s="2" t="n">
        <v>108</v>
      </c>
      <c r="B611" s="2" t="inlineStr">
        <is>
          <t>European Standardisation Regulation</t>
        </is>
      </c>
      <c r="C611" s="2" t="inlineStr">
        <is>
          <t>32012R1025</t>
        </is>
      </c>
      <c r="D611" s="2" t="inlineStr">
        <is>
          <t>32021D0609</t>
        </is>
      </c>
      <c r="E611" s="2" t="inlineStr">
        <is>
          <t>implementing</t>
        </is>
      </c>
      <c r="F611" s="2" t="inlineStr">
        <is>
          <t>DEC_IMPL</t>
        </is>
      </c>
      <c r="G611" s="2" t="inlineStr">
        <is>
          <t>2021-04-14</t>
        </is>
      </c>
      <c r="H611" s="2" t="inlineStr">
        <is>
          <t>Commission Implementing Decision (EU) 2021/609 of 14 April 2021 amending Implementing Decision (EU) 2020/439 as regards harmonised standards on packaging for terminally sterilised medical devices and sterilisation of health care products</t>
        </is>
      </c>
      <c r="I611" s="2" t="inlineStr">
        <is>
          <t>no</t>
        </is>
      </c>
      <c r="J611" s="2" t="inlineStr">
        <is>
          <t>https://eur-lex.europa.eu/legal-content/EN/TXT/?uri=CELEX:32021D0609</t>
        </is>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t="inlineStr"/>
    </row>
    <row r="612">
      <c r="A612" s="2" t="n">
        <v>108</v>
      </c>
      <c r="B612" s="2" t="inlineStr">
        <is>
          <t>European Standardisation Regulation</t>
        </is>
      </c>
      <c r="C612" s="2" t="inlineStr">
        <is>
          <t>32012R1025</t>
        </is>
      </c>
      <c r="D612" s="2" t="inlineStr">
        <is>
          <t>32021D0610</t>
        </is>
      </c>
      <c r="E612" s="2" t="inlineStr">
        <is>
          <t>implementing</t>
        </is>
      </c>
      <c r="F612" s="2" t="inlineStr">
        <is>
          <t>DEC_IMPL</t>
        </is>
      </c>
      <c r="G612" s="2" t="inlineStr">
        <is>
          <t>2021-04-14</t>
        </is>
      </c>
      <c r="H612" s="2" t="inlineStr">
        <is>
          <t>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is>
      </c>
      <c r="I612" s="2" t="inlineStr">
        <is>
          <t>no</t>
        </is>
      </c>
      <c r="J612" s="2" t="inlineStr">
        <is>
          <t>https://eur-lex.europa.eu/legal-content/EN/TXT/?uri=CELEX:32021D0610</t>
        </is>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t="inlineStr"/>
    </row>
    <row r="613">
      <c r="A613" s="2" t="n">
        <v>108</v>
      </c>
      <c r="B613" s="2" t="inlineStr">
        <is>
          <t>European Standardisation Regulation</t>
        </is>
      </c>
      <c r="C613" s="2" t="inlineStr">
        <is>
          <t>32012R1025</t>
        </is>
      </c>
      <c r="D613" s="2" t="inlineStr">
        <is>
          <t>32021D0611</t>
        </is>
      </c>
      <c r="E613" s="2" t="inlineStr">
        <is>
          <t>implementing</t>
        </is>
      </c>
      <c r="F613" s="2" t="inlineStr">
        <is>
          <t>DEC_IMPL</t>
        </is>
      </c>
      <c r="G613" s="2" t="inlineStr">
        <is>
          <t>2021-04-14</t>
        </is>
      </c>
      <c r="H613" s="2" t="inlineStr">
        <is>
          <t>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is>
      </c>
      <c r="I613" s="2" t="inlineStr">
        <is>
          <t>no</t>
        </is>
      </c>
      <c r="J613" s="2" t="inlineStr">
        <is>
          <t>https://eur-lex.europa.eu/legal-content/EN/TXT/?uri=CELEX:32021D0611</t>
        </is>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t="inlineStr"/>
    </row>
    <row r="614">
      <c r="A614" s="2" t="n">
        <v>108</v>
      </c>
      <c r="B614" s="2" t="inlineStr">
        <is>
          <t>European Standardisation Regulation</t>
        </is>
      </c>
      <c r="C614" s="2" t="inlineStr">
        <is>
          <t>32012R1025</t>
        </is>
      </c>
      <c r="D614" s="2" t="inlineStr">
        <is>
          <t>32021D0845</t>
        </is>
      </c>
      <c r="E614" s="2" t="inlineStr">
        <is>
          <t>implementing</t>
        </is>
      </c>
      <c r="F614" s="2" t="inlineStr">
        <is>
          <t>DEC_IMPL</t>
        </is>
      </c>
      <c r="G614" s="2" t="inlineStr">
        <is>
          <t>2021-05-26</t>
        </is>
      </c>
      <c r="H614" s="2" t="inlineStr">
        <is>
          <t>Commission Implementing Decision (EU) 2021/845 of 26 May 2021 amending Implementing Decision (EU) 2019/1202 as regards determination of the spontaneous ignition behaviour of dust accumulations</t>
        </is>
      </c>
      <c r="I614" s="2" t="inlineStr">
        <is>
          <t>no</t>
        </is>
      </c>
      <c r="J614" s="2" t="inlineStr">
        <is>
          <t>https://eur-lex.europa.eu/legal-content/EN/TXT/?uri=CELEX:32021D0845</t>
        </is>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t="inlineStr"/>
    </row>
    <row r="615">
      <c r="A615" s="2" t="n">
        <v>108</v>
      </c>
      <c r="B615" s="2" t="inlineStr">
        <is>
          <t>European Standardisation Regulation</t>
        </is>
      </c>
      <c r="C615" s="2" t="inlineStr">
        <is>
          <t>32012R1025</t>
        </is>
      </c>
      <c r="D615" s="2" t="inlineStr">
        <is>
          <t>32021D0867</t>
        </is>
      </c>
      <c r="E615" s="2" t="inlineStr">
        <is>
          <t>implementing</t>
        </is>
      </c>
      <c r="F615" s="2" t="inlineStr">
        <is>
          <t>DEC_IMPL</t>
        </is>
      </c>
      <c r="G615" s="2" t="inlineStr">
        <is>
          <t>2021-05-28</t>
        </is>
      </c>
      <c r="H615" s="2" t="inlineStr">
        <is>
          <t>Commission Implementing Decision (EU) 2021/867 of 28 May 2021 on harmonised standards for toys drafted in support of Directive 2009/48/EC of the European Parliament and of the Council</t>
        </is>
      </c>
      <c r="I615" s="2" t="inlineStr">
        <is>
          <t>no</t>
        </is>
      </c>
      <c r="J615" s="2" t="inlineStr">
        <is>
          <t>https://eur-lex.europa.eu/legal-content/EN/TXT/?uri=CELEX:32021D0867</t>
        </is>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t="inlineStr"/>
    </row>
    <row r="616">
      <c r="A616" s="2" t="n">
        <v>108</v>
      </c>
      <c r="B616" s="2" t="inlineStr">
        <is>
          <t>European Standardisation Regulation</t>
        </is>
      </c>
      <c r="C616" s="2" t="inlineStr">
        <is>
          <t>32012R1025</t>
        </is>
      </c>
      <c r="D616" s="2" t="inlineStr">
        <is>
          <t>32021D0913</t>
        </is>
      </c>
      <c r="E616" s="2" t="inlineStr">
        <is>
          <t>implementing</t>
        </is>
      </c>
      <c r="F616" s="2" t="inlineStr">
        <is>
          <t>DEC_IMPL</t>
        </is>
      </c>
      <c r="G616" s="2" t="inlineStr">
        <is>
          <t>2021-06-03</t>
        </is>
      </c>
      <c r="H616" s="2" t="inlineStr">
        <is>
          <t>Commission Implementing Decision (EU) 2021/913 of 3 June 2021 on the harmonised standards for household dishwashers drafted in support of Regulation (EU) 2019/2022 and Delegated Regulation (EU) 2019/2017</t>
        </is>
      </c>
      <c r="I616" s="2" t="inlineStr">
        <is>
          <t>no</t>
        </is>
      </c>
      <c r="J616" s="2" t="inlineStr">
        <is>
          <t>https://eur-lex.europa.eu/legal-content/EN/TXT/?uri=CELEX:32021D0913</t>
        </is>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t="inlineStr"/>
    </row>
    <row r="617">
      <c r="A617" s="2" t="n">
        <v>108</v>
      </c>
      <c r="B617" s="2" t="inlineStr">
        <is>
          <t>European Standardisation Regulation</t>
        </is>
      </c>
      <c r="C617" s="2" t="inlineStr">
        <is>
          <t>32012R1025</t>
        </is>
      </c>
      <c r="D617" s="2" t="inlineStr">
        <is>
          <t>32021D0936</t>
        </is>
      </c>
      <c r="E617" s="2" t="inlineStr">
        <is>
          <t>implementing</t>
        </is>
      </c>
      <c r="F617" s="2" t="inlineStr">
        <is>
          <t>DEC_IMPL</t>
        </is>
      </c>
      <c r="G617" s="2" t="inlineStr">
        <is>
          <t>2021-06-03</t>
        </is>
      </c>
      <c r="H617" s="2" t="inlineStr">
        <is>
          <t>Commission Implementing Decision (EU) 2021/936 of 3 June 2021 on the harmonised standards for household washing machines and household washer-dryers drafted in support of Regulation (EU) 2019/2023 and Delegated Regulation (EU) 2019/2014</t>
        </is>
      </c>
      <c r="I617" s="2" t="inlineStr">
        <is>
          <t>no</t>
        </is>
      </c>
      <c r="J617" s="2" t="inlineStr">
        <is>
          <t>https://eur-lex.europa.eu/legal-content/EN/TXT/?uri=CELEX:32021D0936</t>
        </is>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t="inlineStr"/>
    </row>
    <row r="618">
      <c r="A618" s="2" t="n">
        <v>108</v>
      </c>
      <c r="B618" s="2" t="inlineStr">
        <is>
          <t>European Standardisation Regulation</t>
        </is>
      </c>
      <c r="C618" s="2" t="inlineStr">
        <is>
          <t>32012R1025</t>
        </is>
      </c>
      <c r="D618" s="2" t="inlineStr">
        <is>
          <t>32021D1015</t>
        </is>
      </c>
      <c r="E618" s="2" t="inlineStr">
        <is>
          <t>implementing</t>
        </is>
      </c>
      <c r="F618" s="2" t="inlineStr">
        <is>
          <t>DEC_IMPL</t>
        </is>
      </c>
      <c r="G618" s="2" t="inlineStr">
        <is>
          <t>2021-06-17</t>
        </is>
      </c>
      <c r="H618" s="2" t="inlineStr">
        <is>
          <t>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is>
      </c>
      <c r="I618" s="2" t="inlineStr">
        <is>
          <t>no</t>
        </is>
      </c>
      <c r="J618" s="2" t="inlineStr">
        <is>
          <t>https://eur-lex.europa.eu/legal-content/EN/TXT/?uri=CELEX:32021D1015</t>
        </is>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t="inlineStr"/>
    </row>
    <row r="619">
      <c r="A619" s="2" t="n">
        <v>108</v>
      </c>
      <c r="B619" s="2" t="inlineStr">
        <is>
          <t>European Standardisation Regulation</t>
        </is>
      </c>
      <c r="C619" s="2" t="inlineStr">
        <is>
          <t>32012R1025</t>
        </is>
      </c>
      <c r="D619" s="2" t="inlineStr">
        <is>
          <t>32021D1182</t>
        </is>
      </c>
      <c r="E619" s="2" t="inlineStr">
        <is>
          <t>implementing</t>
        </is>
      </c>
      <c r="F619" s="2" t="inlineStr">
        <is>
          <t>DEC_IMPL</t>
        </is>
      </c>
      <c r="G619" s="2" t="inlineStr">
        <is>
          <t>2021-07-16</t>
        </is>
      </c>
      <c r="H619" s="2" t="inlineStr">
        <is>
          <t>Commission Implementing Decision (EU) 2021/1182 of 16 July 2021 on the harmonised standards for medical devices drafted in support of Regulation (EU) 2017/745 of the European Parliament and of the Council</t>
        </is>
      </c>
      <c r="I619" s="2" t="inlineStr">
        <is>
          <t>no</t>
        </is>
      </c>
      <c r="J619" s="2" t="inlineStr">
        <is>
          <t>https://eur-lex.europa.eu/legal-content/EN/TXT/?uri=CELEX:32021D1182</t>
        </is>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t="inlineStr"/>
    </row>
    <row r="620">
      <c r="A620" s="2" t="n">
        <v>108</v>
      </c>
      <c r="B620" s="2" t="inlineStr">
        <is>
          <t>European Standardisation Regulation</t>
        </is>
      </c>
      <c r="C620" s="2" t="inlineStr">
        <is>
          <t>32012R1025</t>
        </is>
      </c>
      <c r="D620" s="2" t="inlineStr">
        <is>
          <t>32021D1201</t>
        </is>
      </c>
      <c r="E620" s="2" t="inlineStr">
        <is>
          <t>implementing</t>
        </is>
      </c>
      <c r="F620" s="2" t="inlineStr">
        <is>
          <t>DEC_IMPL</t>
        </is>
      </c>
      <c r="G620" s="2" t="inlineStr">
        <is>
          <t>2021-07-16</t>
        </is>
      </c>
      <c r="H620" s="2" t="inlineStr">
        <is>
          <t>Commission Implementing Decision (EU) 2021/1201 of 16 July 2021 amending Implementing Decision (EU) 2020/668 as regards harmonised standards on hearing protectors</t>
        </is>
      </c>
      <c r="I620" s="2" t="inlineStr">
        <is>
          <t>no</t>
        </is>
      </c>
      <c r="J620" s="2" t="inlineStr">
        <is>
          <t>https://eur-lex.europa.eu/legal-content/EN/TXT/?uri=CELEX:32021D1201</t>
        </is>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t="inlineStr"/>
    </row>
    <row r="621">
      <c r="A621" s="2" t="n">
        <v>108</v>
      </c>
      <c r="B621" s="2" t="inlineStr">
        <is>
          <t>European Standardisation Regulation</t>
        </is>
      </c>
      <c r="C621" s="2" t="inlineStr">
        <is>
          <t>32012R1025</t>
        </is>
      </c>
      <c r="D621" s="2" t="inlineStr">
        <is>
          <t>32021D1195</t>
        </is>
      </c>
      <c r="E621" s="2" t="inlineStr">
        <is>
          <t>implementing</t>
        </is>
      </c>
      <c r="F621" s="2" t="inlineStr">
        <is>
          <t>DEC_IMPL</t>
        </is>
      </c>
      <c r="G621" s="2" t="inlineStr">
        <is>
          <t>2021-07-19</t>
        </is>
      </c>
      <c r="H621" s="2" t="inlineStr">
        <is>
          <t>Commission Implementing Decision (EU) 2021/1195 of 19 July 2021 on the harmonised standards for in vitro diagnostic medical devices drafted in support of Regulation (EU) 2017/746 of the European Parliament and of the Council</t>
        </is>
      </c>
      <c r="I621" s="2" t="inlineStr">
        <is>
          <t>no</t>
        </is>
      </c>
      <c r="J621" s="2" t="inlineStr">
        <is>
          <t>https://eur-lex.europa.eu/legal-content/EN/TXT/?uri=CELEX:32021D1195</t>
        </is>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t="inlineStr"/>
    </row>
    <row r="622">
      <c r="A622" s="2" t="n">
        <v>108</v>
      </c>
      <c r="B622" s="2" t="inlineStr">
        <is>
          <t>European Standardisation Regulation</t>
        </is>
      </c>
      <c r="C622" s="2" t="inlineStr">
        <is>
          <t>32012R1025</t>
        </is>
      </c>
      <c r="D622" s="2" t="inlineStr">
        <is>
          <t>32021D1196</t>
        </is>
      </c>
      <c r="E622" s="2" t="inlineStr">
        <is>
          <t>implementing</t>
        </is>
      </c>
      <c r="F622" s="2" t="inlineStr">
        <is>
          <t>DEC_IMPL</t>
        </is>
      </c>
      <c r="G622" s="2" t="inlineStr">
        <is>
          <t>2021-07-19</t>
        </is>
      </c>
      <c r="H622" s="2" t="inlineStr">
        <is>
          <t>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is>
      </c>
      <c r="I622" s="2" t="inlineStr">
        <is>
          <t>no</t>
        </is>
      </c>
      <c r="J622" s="2" t="inlineStr">
        <is>
          <t>https://eur-lex.europa.eu/legal-content/EN/TXT/?uri=CELEX:32021D1196</t>
        </is>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t="inlineStr"/>
    </row>
    <row r="623">
      <c r="A623" s="2" t="n">
        <v>108</v>
      </c>
      <c r="B623" s="2" t="inlineStr">
        <is>
          <t>European Standardisation Regulation</t>
        </is>
      </c>
      <c r="C623" s="2" t="inlineStr">
        <is>
          <t>32012R1025</t>
        </is>
      </c>
      <c r="D623" s="2" t="inlineStr">
        <is>
          <t>32021D1220</t>
        </is>
      </c>
      <c r="E623" s="2" t="inlineStr">
        <is>
          <t>implementing</t>
        </is>
      </c>
      <c r="F623" s="2" t="inlineStr">
        <is>
          <t>DEC_IMPL</t>
        </is>
      </c>
      <c r="G623" s="2" t="inlineStr">
        <is>
          <t>2021-07-26</t>
        </is>
      </c>
      <c r="H623" s="2" t="inlineStr">
        <is>
          <t>Commission Implementing Decision (EU) 2021/1220 of 26 July 2021 amending Implementing Decision (EU) 2021/76 as regards harmonised standards on safety rules for the construction and installation of firefighters lifts and behaviour of lifts in the event of fire (Text with EEA relevance)</t>
        </is>
      </c>
      <c r="I623" s="2" t="inlineStr">
        <is>
          <t>no</t>
        </is>
      </c>
      <c r="J623" s="2" t="inlineStr">
        <is>
          <t>https://eur-lex.europa.eu/legal-content/EN/TXT/?uri=CELEX:32021D1220</t>
        </is>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t="inlineStr"/>
    </row>
    <row r="624">
      <c r="A624" s="2" t="n">
        <v>108</v>
      </c>
      <c r="B624" s="2" t="inlineStr">
        <is>
          <t>European Standardisation Regulation</t>
        </is>
      </c>
      <c r="C624" s="2" t="inlineStr">
        <is>
          <t>32012R1025</t>
        </is>
      </c>
      <c r="D624" s="2" t="inlineStr">
        <is>
          <t>32021D1339</t>
        </is>
      </c>
      <c r="E624" s="2" t="inlineStr">
        <is>
          <t>implementing</t>
        </is>
      </c>
      <c r="F624" s="2" t="inlineStr">
        <is>
          <t>DEC_IMPL</t>
        </is>
      </c>
      <c r="G624" s="2" t="inlineStr">
        <is>
          <t>2021-08-11</t>
        </is>
      </c>
      <c r="H624" s="2" t="inlineStr">
        <is>
          <t>Commission Implementing Decision (EU) 2021/1339 of 11 August 2021 amending Implementing Decision (EU) 2018/2048 as regards the harmonised standard for websites and mobile applications (Text with EEA relevance)</t>
        </is>
      </c>
      <c r="I624" s="2" t="inlineStr">
        <is>
          <t>no</t>
        </is>
      </c>
      <c r="J624" s="2" t="inlineStr">
        <is>
          <t>https://eur-lex.europa.eu/legal-content/EN/TXT/?uri=CELEX:32021D1339</t>
        </is>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t="inlineStr"/>
    </row>
    <row r="625">
      <c r="A625" s="2" t="n">
        <v>108</v>
      </c>
      <c r="B625" s="2" t="inlineStr">
        <is>
          <t>European Standardisation Regulation</t>
        </is>
      </c>
      <c r="C625" s="2" t="inlineStr">
        <is>
          <t>32012R1025</t>
        </is>
      </c>
      <c r="D625" s="2" t="inlineStr">
        <is>
          <t>32021D1402</t>
        </is>
      </c>
      <c r="E625" s="2" t="inlineStr">
        <is>
          <t>implementing</t>
        </is>
      </c>
      <c r="F625" s="2" t="inlineStr">
        <is>
          <t>DEC_IMPL</t>
        </is>
      </c>
      <c r="G625" s="2" t="inlineStr">
        <is>
          <t>2021-08-25</t>
        </is>
      </c>
      <c r="H625" s="2" t="inlineStr">
        <is>
          <t>Commission Implementing Decision (EU) 2021/1402 of 25 August 2021 on harmonised standards for gas meters and other measuring instruments drafted in support of Directive 2014/32/EU of the European Parliament and of the Council (Text with EEA relevance)</t>
        </is>
      </c>
      <c r="I625" s="2" t="inlineStr">
        <is>
          <t>no</t>
        </is>
      </c>
      <c r="J625" s="2" t="inlineStr">
        <is>
          <t>https://eur-lex.europa.eu/legal-content/EN/TXT/?uri=CELEX:32021D1402</t>
        </is>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t="inlineStr"/>
    </row>
    <row r="626">
      <c r="A626" s="2" t="n">
        <v>108</v>
      </c>
      <c r="B626" s="2" t="inlineStr">
        <is>
          <t>European Standardisation Regulation</t>
        </is>
      </c>
      <c r="C626" s="2" t="inlineStr">
        <is>
          <t>32012R1025</t>
        </is>
      </c>
      <c r="D626" s="2" t="inlineStr">
        <is>
          <t>32021D1403</t>
        </is>
      </c>
      <c r="E626" s="2" t="inlineStr">
        <is>
          <t>implementing</t>
        </is>
      </c>
      <c r="F626" s="2" t="inlineStr">
        <is>
          <t>DEC_IMPL</t>
        </is>
      </c>
      <c r="G626" s="2" t="inlineStr">
        <is>
          <t>2021-08-25</t>
        </is>
      </c>
      <c r="H626" s="2" t="inlineStr">
        <is>
          <t>Commission Implementing Decision (EU) 2021/1403 of 25 August 2021 amending Implementing Decision (EU) 2019/1202 as regards harmonised standards for light offshore cranes</t>
        </is>
      </c>
      <c r="I626" s="2" t="inlineStr">
        <is>
          <t>no</t>
        </is>
      </c>
      <c r="J626" s="2" t="inlineStr">
        <is>
          <t>https://eur-lex.europa.eu/legal-content/EN/TXT/?uri=CELEX:32021D1403</t>
        </is>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t="inlineStr"/>
    </row>
    <row r="627">
      <c r="A627" s="2" t="n">
        <v>108</v>
      </c>
      <c r="B627" s="2" t="inlineStr">
        <is>
          <t>European Standardisation Regulation</t>
        </is>
      </c>
      <c r="C627" s="2" t="inlineStr">
        <is>
          <t>32012R1025</t>
        </is>
      </c>
      <c r="D627" s="2" t="inlineStr">
        <is>
          <t>32021D1407</t>
        </is>
      </c>
      <c r="E627" s="2" t="inlineStr">
        <is>
          <t>implementing</t>
        </is>
      </c>
      <c r="F627" s="2" t="inlineStr">
        <is>
          <t>DEC_IMPL</t>
        </is>
      </c>
      <c r="G627" s="2" t="inlineStr">
        <is>
          <t>2021-08-26</t>
        </is>
      </c>
      <c r="H627" s="2" t="inlineStr">
        <is>
          <t>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is>
      </c>
      <c r="I627" s="2" t="inlineStr">
        <is>
          <t>no</t>
        </is>
      </c>
      <c r="J627" s="2" t="inlineStr">
        <is>
          <t>https://eur-lex.europa.eu/legal-content/EN/TXT/?uri=CELEX:32021D1407</t>
        </is>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t="inlineStr"/>
    </row>
    <row r="628">
      <c r="A628" s="2" t="n">
        <v>108</v>
      </c>
      <c r="B628" s="2" t="inlineStr">
        <is>
          <t>European Standardisation Regulation</t>
        </is>
      </c>
      <c r="C628" s="2" t="inlineStr">
        <is>
          <t>32012R1025</t>
        </is>
      </c>
      <c r="D628" s="2" t="inlineStr">
        <is>
          <t>32021D1801</t>
        </is>
      </c>
      <c r="E628" s="2" t="inlineStr">
        <is>
          <t>implementing</t>
        </is>
      </c>
      <c r="F628" s="2" t="inlineStr">
        <is>
          <t>DEC_IMPL</t>
        </is>
      </c>
      <c r="G628" s="2" t="inlineStr">
        <is>
          <t>2021-10-11</t>
        </is>
      </c>
      <c r="H628" s="2" t="inlineStr">
        <is>
          <t>Commission Implementing Decision (EU) 2021/1801 of 11 October 2021 amending Implementing Decision (EU) 2019/1616 as regards harmonised standards for metallic industrial piping, bolting of flanges and their joints and stainless steel steam boilers</t>
        </is>
      </c>
      <c r="I628" s="2" t="inlineStr">
        <is>
          <t>no</t>
        </is>
      </c>
      <c r="J628" s="2" t="inlineStr">
        <is>
          <t>https://eur-lex.europa.eu/legal-content/EN/TXT/?uri=CELEX:32021D1801</t>
        </is>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t="inlineStr"/>
    </row>
    <row r="629">
      <c r="A629" s="2" t="n">
        <v>108</v>
      </c>
      <c r="B629" s="2" t="inlineStr">
        <is>
          <t>European Standardisation Regulation</t>
        </is>
      </c>
      <c r="C629" s="2" t="inlineStr">
        <is>
          <t>32012R1025</t>
        </is>
      </c>
      <c r="D629" s="2" t="inlineStr">
        <is>
          <t>32021D1813</t>
        </is>
      </c>
      <c r="E629" s="2" t="inlineStr">
        <is>
          <t>implementing</t>
        </is>
      </c>
      <c r="F629" s="2" t="inlineStr">
        <is>
          <t>DEC_IMPL</t>
        </is>
      </c>
      <c r="G629" s="2" t="inlineStr">
        <is>
          <t>2021-10-14</t>
        </is>
      </c>
      <c r="H629" s="2" t="inlineStr">
        <is>
          <t>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is>
      </c>
      <c r="I629" s="2" t="inlineStr">
        <is>
          <t>no</t>
        </is>
      </c>
      <c r="J629" s="2" t="inlineStr">
        <is>
          <t>https://eur-lex.europa.eu/legal-content/EN/TXT/?uri=CELEX:32021D1813</t>
        </is>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t="inlineStr"/>
    </row>
    <row r="630">
      <c r="A630" s="2" t="n">
        <v>108</v>
      </c>
      <c r="B630" s="2" t="inlineStr">
        <is>
          <t>European Standardisation Regulation</t>
        </is>
      </c>
      <c r="C630" s="2" t="inlineStr">
        <is>
          <t>32012R1025</t>
        </is>
      </c>
      <c r="D630" s="2" t="inlineStr">
        <is>
          <t>32021D1827</t>
        </is>
      </c>
      <c r="E630" s="2" t="inlineStr">
        <is>
          <t>implementing</t>
        </is>
      </c>
      <c r="F630" s="2" t="inlineStr">
        <is>
          <t>DEC_IMPL</t>
        </is>
      </c>
      <c r="G630" s="2" t="inlineStr">
        <is>
          <t>2021-10-18</t>
        </is>
      </c>
      <c r="H630" s="2" t="inlineStr">
        <is>
          <t>Commission Implementing Decision (EU) 2021/1827 of 18 October 2021 on standards for postal services and the improvement of quality of service in support of Directive 97/67/EC of the European Parliament and of the Council (Text with EEA relevance)</t>
        </is>
      </c>
      <c r="I630" s="2" t="inlineStr">
        <is>
          <t>no</t>
        </is>
      </c>
      <c r="J630" s="2" t="inlineStr">
        <is>
          <t>https://eur-lex.europa.eu/legal-content/EN/TXT/?uri=CELEX:32021D1827</t>
        </is>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t="inlineStr"/>
    </row>
    <row r="631">
      <c r="A631" s="2" t="n">
        <v>108</v>
      </c>
      <c r="B631" s="2" t="inlineStr">
        <is>
          <t>European Standardisation Regulation</t>
        </is>
      </c>
      <c r="C631" s="2" t="inlineStr">
        <is>
          <t>32012R1025</t>
        </is>
      </c>
      <c r="D631" s="2" t="inlineStr">
        <is>
          <t>32021D1992</t>
        </is>
      </c>
      <c r="E631" s="2" t="inlineStr">
        <is>
          <t>implementing</t>
        </is>
      </c>
      <c r="F631" s="2" t="inlineStr">
        <is>
          <t>DEC_IMPL</t>
        </is>
      </c>
      <c r="G631" s="2" t="inlineStr">
        <is>
          <t>2021-11-15</t>
        </is>
      </c>
      <c r="H631" s="2" t="inlineStr">
        <is>
          <t>Commission Implementing Decision (EU) 2021/1992 of 15 November 2021 on harmonised standards for toys drafted in support of Directive 2009/48/EC of the European Parliament and of the Council</t>
        </is>
      </c>
      <c r="I631" s="2" t="inlineStr">
        <is>
          <t>no</t>
        </is>
      </c>
      <c r="J631" s="2" t="inlineStr">
        <is>
          <t>https://eur-lex.europa.eu/legal-content/EN/TXT/?uri=CELEX:32021D1992</t>
        </is>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t="inlineStr"/>
    </row>
    <row r="632">
      <c r="A632" s="2" t="n">
        <v>108</v>
      </c>
      <c r="B632" s="2" t="inlineStr">
        <is>
          <t>European Standardisation Regulation</t>
        </is>
      </c>
      <c r="C632" s="2" t="inlineStr">
        <is>
          <t>32012R1025</t>
        </is>
      </c>
      <c r="D632" s="2" t="inlineStr">
        <is>
          <t>32021D2173</t>
        </is>
      </c>
      <c r="E632" s="2" t="inlineStr">
        <is>
          <t>implementing</t>
        </is>
      </c>
      <c r="F632" s="2" t="inlineStr">
        <is>
          <t>DEC_IMPL</t>
        </is>
      </c>
      <c r="G632" s="2" t="inlineStr">
        <is>
          <t>2021-12-08</t>
        </is>
      </c>
      <c r="H632" s="2" t="inlineStr">
        <is>
          <t>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is>
      </c>
      <c r="I632" s="2" t="inlineStr">
        <is>
          <t>no</t>
        </is>
      </c>
      <c r="J632" s="2" t="inlineStr">
        <is>
          <t>https://eur-lex.europa.eu/legal-content/EN/TXT/?uri=CELEX:32021D2173</t>
        </is>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t="inlineStr"/>
    </row>
    <row r="633">
      <c r="A633" s="2" t="n">
        <v>108</v>
      </c>
      <c r="B633" s="2" t="inlineStr">
        <is>
          <t>European Standardisation Regulation</t>
        </is>
      </c>
      <c r="C633" s="2" t="inlineStr">
        <is>
          <t>32012R1025</t>
        </is>
      </c>
      <c r="D633" s="2" t="inlineStr">
        <is>
          <t>32021D2272</t>
        </is>
      </c>
      <c r="E633" s="2" t="inlineStr">
        <is>
          <t>implementing</t>
        </is>
      </c>
      <c r="F633" s="2" t="inlineStr">
        <is>
          <t>DEC_IMPL</t>
        </is>
      </c>
      <c r="G633" s="2" t="inlineStr">
        <is>
          <t>2021-12-20</t>
        </is>
      </c>
      <c r="H633" s="2" t="inlineStr">
        <is>
          <t>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is>
      </c>
      <c r="I633" s="2" t="inlineStr">
        <is>
          <t>no</t>
        </is>
      </c>
      <c r="J633" s="2" t="inlineStr">
        <is>
          <t>https://eur-lex.europa.eu/legal-content/EN/TXT/?uri=CELEX:32021D2272</t>
        </is>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t="inlineStr"/>
    </row>
    <row r="634">
      <c r="A634" s="2" t="n">
        <v>108</v>
      </c>
      <c r="B634" s="2" t="inlineStr">
        <is>
          <t>European Standardisation Regulation</t>
        </is>
      </c>
      <c r="C634" s="2" t="inlineStr">
        <is>
          <t>32012R1025</t>
        </is>
      </c>
      <c r="D634" s="2" t="inlineStr">
        <is>
          <t>32021D2273</t>
        </is>
      </c>
      <c r="E634" s="2" t="inlineStr">
        <is>
          <t>implementing</t>
        </is>
      </c>
      <c r="F634" s="2" t="inlineStr">
        <is>
          <t>DEC_IMPL</t>
        </is>
      </c>
      <c r="G634" s="2" t="inlineStr">
        <is>
          <t>2021-12-20</t>
        </is>
      </c>
      <c r="H634" s="2" t="inlineStr">
        <is>
          <t>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is>
      </c>
      <c r="I634" s="2" t="inlineStr">
        <is>
          <t>no</t>
        </is>
      </c>
      <c r="J634" s="2" t="inlineStr">
        <is>
          <t>https://eur-lex.europa.eu/legal-content/EN/TXT/?uri=CELEX:32021D2273</t>
        </is>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t="inlineStr"/>
    </row>
    <row r="635">
      <c r="A635" s="2" t="n">
        <v>108</v>
      </c>
      <c r="B635" s="2" t="inlineStr">
        <is>
          <t>European Standardisation Regulation</t>
        </is>
      </c>
      <c r="C635" s="2" t="inlineStr">
        <is>
          <t>32012R1025</t>
        </is>
      </c>
      <c r="D635" s="2" t="inlineStr">
        <is>
          <t>32022D0006</t>
        </is>
      </c>
      <c r="E635" s="2" t="inlineStr">
        <is>
          <t>implementing</t>
        </is>
      </c>
      <c r="F635" s="2" t="inlineStr">
        <is>
          <t>DEC_IMPL</t>
        </is>
      </c>
      <c r="G635" s="2" t="inlineStr">
        <is>
          <t>2022-01-04</t>
        </is>
      </c>
      <c r="H635" s="2" t="inlineStr">
        <is>
          <t>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is>
      </c>
      <c r="I635" s="2" t="inlineStr">
        <is>
          <t>no</t>
        </is>
      </c>
      <c r="J635" s="2" t="inlineStr">
        <is>
          <t>https://eur-lex.europa.eu/legal-content/EN/TXT/?uri=CELEX:32022D0006</t>
        </is>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t="inlineStr"/>
    </row>
    <row r="636">
      <c r="A636" s="2" t="n">
        <v>108</v>
      </c>
      <c r="B636" s="2" t="inlineStr">
        <is>
          <t>European Standardisation Regulation</t>
        </is>
      </c>
      <c r="C636" s="2" t="inlineStr">
        <is>
          <t>32012R1025</t>
        </is>
      </c>
      <c r="D636" s="2" t="inlineStr">
        <is>
          <t>32022D0015</t>
        </is>
      </c>
      <c r="E636" s="2" t="inlineStr">
        <is>
          <t>implementing</t>
        </is>
      </c>
      <c r="F636" s="2" t="inlineStr">
        <is>
          <t>DEC_IMPL</t>
        </is>
      </c>
      <c r="G636" s="2" t="inlineStr">
        <is>
          <t>2022-01-06</t>
        </is>
      </c>
      <c r="H636" s="2" t="inlineStr">
        <is>
          <t>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is>
      </c>
      <c r="I636" s="2" t="inlineStr">
        <is>
          <t>no</t>
        </is>
      </c>
      <c r="J636" s="2" t="inlineStr">
        <is>
          <t>https://eur-lex.europa.eu/legal-content/EN/TXT/?uri=CELEX:32022D0015</t>
        </is>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t="inlineStr"/>
    </row>
    <row r="637">
      <c r="A637" s="2" t="n">
        <v>108</v>
      </c>
      <c r="B637" s="2" t="inlineStr">
        <is>
          <t>European Standardisation Regulation</t>
        </is>
      </c>
      <c r="C637" s="2" t="inlineStr">
        <is>
          <t>32012R1025</t>
        </is>
      </c>
      <c r="D637" s="2" t="inlineStr">
        <is>
          <t>32022D0404</t>
        </is>
      </c>
      <c r="E637" s="2" t="inlineStr">
        <is>
          <t>implementing</t>
        </is>
      </c>
      <c r="F637" s="2" t="inlineStr">
        <is>
          <t>DEC_IMPL</t>
        </is>
      </c>
      <c r="G637" s="2" t="inlineStr">
        <is>
          <t>2022-03-03</t>
        </is>
      </c>
      <c r="H637" s="2" t="inlineStr">
        <is>
          <t>Commission Implementing Decision (EU) 2022/404 of 3 March 2022 amending Implementing Decision (EU) 2019/919 as regards harmonised standards for steering gear – cable over pulley systems (Text with EEA relevance)</t>
        </is>
      </c>
      <c r="I637" s="2" t="inlineStr">
        <is>
          <t>no</t>
        </is>
      </c>
      <c r="J637" s="2" t="inlineStr">
        <is>
          <t>https://eur-lex.europa.eu/legal-content/EN/TXT/?uri=CELEX:32022D0404</t>
        </is>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t="inlineStr"/>
    </row>
    <row r="638">
      <c r="A638" s="2" t="n">
        <v>108</v>
      </c>
      <c r="B638" s="2" t="inlineStr">
        <is>
          <t>European Standardisation Regulation</t>
        </is>
      </c>
      <c r="C638" s="2" t="inlineStr">
        <is>
          <t>32012R1025</t>
        </is>
      </c>
      <c r="D638" s="2" t="inlineStr">
        <is>
          <t>32022D0405</t>
        </is>
      </c>
      <c r="E638" s="2" t="inlineStr">
        <is>
          <t>implementing</t>
        </is>
      </c>
      <c r="F638" s="2" t="inlineStr">
        <is>
          <t>DEC_IMPL</t>
        </is>
      </c>
      <c r="G638" s="2" t="inlineStr">
        <is>
          <t>2022-03-03</t>
        </is>
      </c>
      <c r="H638" s="2" t="inlineStr">
        <is>
          <t>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is>
      </c>
      <c r="I638" s="2" t="inlineStr">
        <is>
          <t>no</t>
        </is>
      </c>
      <c r="J638" s="2" t="inlineStr">
        <is>
          <t>https://eur-lex.europa.eu/legal-content/EN/TXT/?uri=CELEX:32022D0405</t>
        </is>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t="inlineStr"/>
    </row>
    <row r="639">
      <c r="A639" s="2" t="n">
        <v>108</v>
      </c>
      <c r="B639" s="2" t="inlineStr">
        <is>
          <t>European Standardisation Regulation</t>
        </is>
      </c>
      <c r="C639" s="2" t="inlineStr">
        <is>
          <t>32012R1025</t>
        </is>
      </c>
      <c r="D639" s="2" t="inlineStr">
        <is>
          <t>32022D0406</t>
        </is>
      </c>
      <c r="E639" s="2" t="inlineStr">
        <is>
          <t>implementing</t>
        </is>
      </c>
      <c r="F639" s="2" t="inlineStr">
        <is>
          <t>DEC_IMPL</t>
        </is>
      </c>
      <c r="G639" s="2" t="inlineStr">
        <is>
          <t>2022-03-03</t>
        </is>
      </c>
      <c r="H639" s="2" t="inlineStr">
        <is>
          <t>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is>
      </c>
      <c r="I639" s="2" t="inlineStr">
        <is>
          <t>no</t>
        </is>
      </c>
      <c r="J639" s="2" t="inlineStr">
        <is>
          <t>https://eur-lex.europa.eu/legal-content/EN/TXT/?uri=CELEX:32022D0406</t>
        </is>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t="inlineStr"/>
    </row>
    <row r="640">
      <c r="A640" s="2" t="n">
        <v>108</v>
      </c>
      <c r="B640" s="2" t="inlineStr">
        <is>
          <t>European Standardisation Regulation</t>
        </is>
      </c>
      <c r="C640" s="2" t="inlineStr">
        <is>
          <t>32012R1025</t>
        </is>
      </c>
      <c r="D640" s="2" t="inlineStr">
        <is>
          <t>32022D0498</t>
        </is>
      </c>
      <c r="E640" s="2" t="inlineStr">
        <is>
          <t>implementing</t>
        </is>
      </c>
      <c r="F640" s="2" t="inlineStr">
        <is>
          <t>DEC_IMPL</t>
        </is>
      </c>
      <c r="G640" s="2" t="inlineStr">
        <is>
          <t>2022-03-22</t>
        </is>
      </c>
      <c r="H640" s="2" t="inlineStr">
        <is>
          <t>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is>
      </c>
      <c r="I640" s="2" t="inlineStr">
        <is>
          <t>no</t>
        </is>
      </c>
      <c r="J640" s="2" t="inlineStr">
        <is>
          <t>https://eur-lex.europa.eu/legal-content/EN/TXT/?uri=CELEX:32022D0498</t>
        </is>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t="inlineStr"/>
    </row>
    <row r="641">
      <c r="A641" s="2" t="n">
        <v>108</v>
      </c>
      <c r="B641" s="2" t="inlineStr">
        <is>
          <t>European Standardisation Regulation</t>
        </is>
      </c>
      <c r="C641" s="2" t="inlineStr">
        <is>
          <t>32012R1025</t>
        </is>
      </c>
      <c r="D641" s="2" t="inlineStr">
        <is>
          <t>32022D0621</t>
        </is>
      </c>
      <c r="E641" s="2" t="inlineStr">
        <is>
          <t>implementing</t>
        </is>
      </c>
      <c r="F641" s="2" t="inlineStr">
        <is>
          <t>DEC_IMPL</t>
        </is>
      </c>
      <c r="G641" s="2" t="inlineStr">
        <is>
          <t>2022-04-07</t>
        </is>
      </c>
      <c r="H641" s="2" t="inlineStr">
        <is>
          <t>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is>
      </c>
      <c r="I641" s="2" t="inlineStr">
        <is>
          <t>no</t>
        </is>
      </c>
      <c r="J641" s="2" t="inlineStr">
        <is>
          <t>https://eur-lex.europa.eu/legal-content/EN/TXT/?uri=CELEX:32022D0621</t>
        </is>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t="inlineStr"/>
    </row>
    <row r="642">
      <c r="A642" s="2" t="n">
        <v>108</v>
      </c>
      <c r="B642" s="2" t="inlineStr">
        <is>
          <t>European Standardisation Regulation</t>
        </is>
      </c>
      <c r="C642" s="2" t="inlineStr">
        <is>
          <t>32012R1025</t>
        </is>
      </c>
      <c r="D642" s="2" t="inlineStr">
        <is>
          <t>32022D0622</t>
        </is>
      </c>
      <c r="E642" s="2" t="inlineStr">
        <is>
          <t>implementing</t>
        </is>
      </c>
      <c r="F642" s="2" t="inlineStr">
        <is>
          <t>DEC_IMPL</t>
        </is>
      </c>
      <c r="G642" s="2" t="inlineStr">
        <is>
          <t>2022-04-07</t>
        </is>
      </c>
      <c r="H642" s="2" t="inlineStr">
        <is>
          <t>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is>
      </c>
      <c r="I642" s="2" t="inlineStr">
        <is>
          <t>no</t>
        </is>
      </c>
      <c r="J642" s="2" t="inlineStr">
        <is>
          <t>https://eur-lex.europa.eu/legal-content/EN/TXT/?uri=CELEX:32022D0622</t>
        </is>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t="inlineStr"/>
    </row>
    <row r="643">
      <c r="A643" s="2" t="n">
        <v>108</v>
      </c>
      <c r="B643" s="2" t="inlineStr">
        <is>
          <t>European Standardisation Regulation</t>
        </is>
      </c>
      <c r="C643" s="2" t="inlineStr">
        <is>
          <t>32012R1025</t>
        </is>
      </c>
      <c r="D643" s="2" t="inlineStr">
        <is>
          <t>32022D0713</t>
        </is>
      </c>
      <c r="E643" s="2" t="inlineStr">
        <is>
          <t>implementing</t>
        </is>
      </c>
      <c r="F643" s="2" t="inlineStr">
        <is>
          <t>DEC_IMPL</t>
        </is>
      </c>
      <c r="G643" s="2" t="inlineStr">
        <is>
          <t>2022-05-04</t>
        </is>
      </c>
      <c r="H643" s="2" t="inlineStr">
        <is>
          <t>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is>
      </c>
      <c r="I643" s="2" t="inlineStr">
        <is>
          <t>no</t>
        </is>
      </c>
      <c r="J643" s="2" t="inlineStr">
        <is>
          <t>https://eur-lex.europa.eu/legal-content/EN/TXT/?uri=CELEX:32022D0713</t>
        </is>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t="inlineStr"/>
    </row>
    <row r="644">
      <c r="A644" s="2" t="n">
        <v>108</v>
      </c>
      <c r="B644" s="2" t="inlineStr">
        <is>
          <t>European Standardisation Regulation</t>
        </is>
      </c>
      <c r="C644" s="2" t="inlineStr">
        <is>
          <t>32012R1025</t>
        </is>
      </c>
      <c r="D644" s="2" t="inlineStr">
        <is>
          <t>32022D0729</t>
        </is>
      </c>
      <c r="E644" s="2" t="inlineStr">
        <is>
          <t>implementing</t>
        </is>
      </c>
      <c r="F644" s="2" t="inlineStr">
        <is>
          <t>DEC_IMPL</t>
        </is>
      </c>
      <c r="G644" s="2" t="inlineStr">
        <is>
          <t>2022-05-11</t>
        </is>
      </c>
      <c r="H644" s="2" t="inlineStr">
        <is>
          <t>Commission Implementing Decision (EU) 2022/729 of 11 May 2022 amending Implementing Decision (EU) 2021/1195 as regards harmonised standards for quality management systems and for application of risk management to medical devices</t>
        </is>
      </c>
      <c r="I644" s="2" t="inlineStr">
        <is>
          <t>no</t>
        </is>
      </c>
      <c r="J644" s="2" t="inlineStr">
        <is>
          <t>https://eur-lex.europa.eu/legal-content/EN/TXT/?uri=CELEX:32022D0729</t>
        </is>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t="inlineStr"/>
    </row>
    <row r="645">
      <c r="A645" s="2" t="n">
        <v>108</v>
      </c>
      <c r="B645" s="2" t="inlineStr">
        <is>
          <t>European Standardisation Regulation</t>
        </is>
      </c>
      <c r="C645" s="2" t="inlineStr">
        <is>
          <t>32012R1025</t>
        </is>
      </c>
      <c r="D645" s="2" t="inlineStr">
        <is>
          <t>32022D0757</t>
        </is>
      </c>
      <c r="E645" s="2" t="inlineStr">
        <is>
          <t>implementing</t>
        </is>
      </c>
      <c r="F645" s="2" t="inlineStr">
        <is>
          <t>DEC_IMPL</t>
        </is>
      </c>
      <c r="G645" s="2" t="inlineStr">
        <is>
          <t>2022-05-11</t>
        </is>
      </c>
      <c r="H645" s="2" t="inlineStr">
        <is>
          <t>Commission Implementing Decision (EU) 2022/757 of 11 May 2022 amending Implementing Decision (EU) 2021/1182 as regards harmonised standards for quality management systems, sterilisation and application of risk management to medical devices</t>
        </is>
      </c>
      <c r="I645" s="2" t="inlineStr">
        <is>
          <t>no</t>
        </is>
      </c>
      <c r="J645" s="2" t="inlineStr">
        <is>
          <t>https://eur-lex.europa.eu/legal-content/EN/TXT/?uri=CELEX:32022D0757</t>
        </is>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t="inlineStr"/>
    </row>
    <row r="646">
      <c r="A646" s="2" t="n">
        <v>108</v>
      </c>
      <c r="B646" s="2" t="inlineStr">
        <is>
          <t>European Standardisation Regulation</t>
        </is>
      </c>
      <c r="C646" s="2" t="inlineStr">
        <is>
          <t>32012R1025</t>
        </is>
      </c>
      <c r="D646" s="2" t="inlineStr">
        <is>
          <t>32022D0784</t>
        </is>
      </c>
      <c r="E646" s="2" t="inlineStr">
        <is>
          <t>implementing</t>
        </is>
      </c>
      <c r="F646" s="2" t="inlineStr">
        <is>
          <t>DEC_IMPL</t>
        </is>
      </c>
      <c r="G646" s="2" t="inlineStr">
        <is>
          <t>2022-05-17</t>
        </is>
      </c>
      <c r="H646" s="2" t="inlineStr">
        <is>
          <t>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is>
      </c>
      <c r="I646" s="2" t="inlineStr">
        <is>
          <t>no</t>
        </is>
      </c>
      <c r="J646" s="2" t="inlineStr">
        <is>
          <t>https://eur-lex.europa.eu/legal-content/EN/TXT/?uri=CELEX:32022D0784</t>
        </is>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t="inlineStr"/>
    </row>
    <row r="647">
      <c r="A647" s="2" t="n">
        <v>108</v>
      </c>
      <c r="B647" s="2" t="inlineStr">
        <is>
          <t>European Standardisation Regulation</t>
        </is>
      </c>
      <c r="C647" s="2" t="inlineStr">
        <is>
          <t>32012R1025</t>
        </is>
      </c>
      <c r="D647" s="2" t="inlineStr">
        <is>
          <t>32022D0910</t>
        </is>
      </c>
      <c r="E647" s="2" t="inlineStr">
        <is>
          <t>implementing</t>
        </is>
      </c>
      <c r="F647" s="2" t="inlineStr">
        <is>
          <t>DEC_IMPL</t>
        </is>
      </c>
      <c r="G647" s="2" t="inlineStr">
        <is>
          <t>2022-06-09</t>
        </is>
      </c>
      <c r="H647" s="2" t="inlineStr">
        <is>
          <t>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is>
      </c>
      <c r="I647" s="2" t="inlineStr">
        <is>
          <t>no</t>
        </is>
      </c>
      <c r="J647" s="2" t="inlineStr">
        <is>
          <t>https://eur-lex.europa.eu/legal-content/EN/TXT/?uri=CELEX:32022D0910</t>
        </is>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t="inlineStr"/>
    </row>
    <row r="648">
      <c r="A648" s="2" t="n">
        <v>108</v>
      </c>
      <c r="B648" s="2" t="inlineStr">
        <is>
          <t>European Standardisation Regulation</t>
        </is>
      </c>
      <c r="C648" s="2" t="inlineStr">
        <is>
          <t>32012R1025</t>
        </is>
      </c>
      <c r="D648" s="2" t="inlineStr">
        <is>
          <t>32022D1029</t>
        </is>
      </c>
      <c r="E648" s="2" t="inlineStr">
        <is>
          <t>implementing</t>
        </is>
      </c>
      <c r="F648" s="2" t="inlineStr">
        <is>
          <t>DEC_IMPL</t>
        </is>
      </c>
      <c r="G648" s="2" t="inlineStr">
        <is>
          <t>2022-06-28</t>
        </is>
      </c>
      <c r="H648" s="2" t="inlineStr">
        <is>
          <t>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is>
      </c>
      <c r="I648" s="2" t="inlineStr">
        <is>
          <t>no</t>
        </is>
      </c>
      <c r="J648" s="2" t="inlineStr">
        <is>
          <t>https://eur-lex.europa.eu/legal-content/EN/TXT/?uri=CELEX:32022D1029</t>
        </is>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t="inlineStr"/>
    </row>
    <row r="649">
      <c r="A649" s="2" t="n">
        <v>108</v>
      </c>
      <c r="B649" s="2" t="inlineStr">
        <is>
          <t>European Standardisation Regulation</t>
        </is>
      </c>
      <c r="C649" s="2" t="inlineStr">
        <is>
          <t>32012R1025</t>
        </is>
      </c>
      <c r="D649" s="2" t="inlineStr">
        <is>
          <t>32022D1199</t>
        </is>
      </c>
      <c r="E649" s="2" t="inlineStr">
        <is>
          <t>implementing</t>
        </is>
      </c>
      <c r="F649" s="2" t="inlineStr">
        <is>
          <t>DEC_IMPL</t>
        </is>
      </c>
      <c r="G649" s="2" t="inlineStr">
        <is>
          <t>2022-07-11</t>
        </is>
      </c>
      <c r="H649" s="2" t="inlineStr">
        <is>
          <t>Commission Implementing Decision (EU) 2022/1199 of 11 July 2022 amending Implementing Decision (EU) 2021/76 as regards harmonised standards for lifts with inclined travel path and correcting that Decision as regards harmonised standards for steel wire ropes (Text with EEA relevance)</t>
        </is>
      </c>
      <c r="I649" s="2" t="inlineStr">
        <is>
          <t>no</t>
        </is>
      </c>
      <c r="J649" s="2" t="inlineStr">
        <is>
          <t>https://eur-lex.europa.eu/legal-content/EN/TXT/?uri=CELEX:32022D1199</t>
        </is>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t="inlineStr"/>
    </row>
    <row r="650">
      <c r="A650" s="2" t="n">
        <v>108</v>
      </c>
      <c r="B650" s="2" t="inlineStr">
        <is>
          <t>European Standardisation Regulation</t>
        </is>
      </c>
      <c r="C650" s="2" t="inlineStr">
        <is>
          <t>32012R1025</t>
        </is>
      </c>
      <c r="D650" s="2" t="inlineStr">
        <is>
          <t>32022D1668</t>
        </is>
      </c>
      <c r="E650" s="2" t="inlineStr">
        <is>
          <t>implementing</t>
        </is>
      </c>
      <c r="F650" s="2" t="inlineStr">
        <is>
          <t>DEC_IMPL</t>
        </is>
      </c>
      <c r="G650" s="2" t="inlineStr">
        <is>
          <t>2022-09-28</t>
        </is>
      </c>
      <c r="H650" s="2" t="inlineStr">
        <is>
          <t>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is>
      </c>
      <c r="I650" s="2" t="inlineStr">
        <is>
          <t>no</t>
        </is>
      </c>
      <c r="J650" s="2" t="inlineStr">
        <is>
          <t>https://eur-lex.europa.eu/legal-content/EN/TXT/?uri=CELEX:32022D1668</t>
        </is>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t="inlineStr"/>
    </row>
    <row r="651">
      <c r="A651" s="2" t="n">
        <v>108</v>
      </c>
      <c r="B651" s="2" t="inlineStr">
        <is>
          <t>European Standardisation Regulation</t>
        </is>
      </c>
      <c r="C651" s="2" t="inlineStr">
        <is>
          <t>32012R1025</t>
        </is>
      </c>
      <c r="D651" s="2" t="inlineStr">
        <is>
          <t>32022D1844</t>
        </is>
      </c>
      <c r="E651" s="2" t="inlineStr">
        <is>
          <t>implementing</t>
        </is>
      </c>
      <c r="F651" s="2" t="inlineStr">
        <is>
          <t>DEC_IMPL</t>
        </is>
      </c>
      <c r="G651" s="2" t="inlineStr">
        <is>
          <t>2022-09-28</t>
        </is>
      </c>
      <c r="H651" s="2" t="inlineStr">
        <is>
          <t>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is>
      </c>
      <c r="I651" s="2" t="inlineStr">
        <is>
          <t>no</t>
        </is>
      </c>
      <c r="J651" s="2" t="inlineStr">
        <is>
          <t>https://eur-lex.europa.eu/legal-content/EN/TXT/?uri=CELEX:32022D1844</t>
        </is>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t="inlineStr"/>
    </row>
    <row r="652">
      <c r="A652" s="2" t="n">
        <v>108</v>
      </c>
      <c r="B652" s="2" t="inlineStr">
        <is>
          <t>European Standardisation Regulation</t>
        </is>
      </c>
      <c r="C652" s="2" t="inlineStr">
        <is>
          <t>32012R1025</t>
        </is>
      </c>
      <c r="D652" s="2" t="inlineStr">
        <is>
          <t>32022D1914</t>
        </is>
      </c>
      <c r="E652" s="2" t="inlineStr">
        <is>
          <t>implementing</t>
        </is>
      </c>
      <c r="F652" s="2" t="inlineStr">
        <is>
          <t>DEC_IMPL</t>
        </is>
      </c>
      <c r="G652" s="2" t="inlineStr">
        <is>
          <t>2022-10-06</t>
        </is>
      </c>
      <c r="H652" s="2" t="inlineStr">
        <is>
          <t>Commission Implementing Decision (EU) 2022/1914 of 6 October 2022 amending Implementing Decision (EU) 2020/668 as regards harmonised standards on personal flotation devices – buoyancy aids, lifejackets and accessories (Text with EEA relevance)</t>
        </is>
      </c>
      <c r="I652" s="2" t="inlineStr">
        <is>
          <t>no</t>
        </is>
      </c>
      <c r="J652" s="2" t="inlineStr">
        <is>
          <t>https://eur-lex.europa.eu/legal-content/EN/TXT/?uri=CELEX:32022D1914</t>
        </is>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t="inlineStr"/>
    </row>
    <row r="653">
      <c r="A653" s="2" t="n">
        <v>108</v>
      </c>
      <c r="B653" s="2" t="inlineStr">
        <is>
          <t>European Standardisation Regulation</t>
        </is>
      </c>
      <c r="C653" s="2" t="inlineStr">
        <is>
          <t>32012R1025</t>
        </is>
      </c>
      <c r="D653" s="2" t="inlineStr">
        <is>
          <t>32022D1954</t>
        </is>
      </c>
      <c r="E653" s="2" t="inlineStr">
        <is>
          <t>implementing</t>
        </is>
      </c>
      <c r="F653" s="2" t="inlineStr">
        <is>
          <t>DEC_IMPL</t>
        </is>
      </c>
      <c r="G653" s="2" t="inlineStr">
        <is>
          <t>2022-10-12</t>
        </is>
      </c>
      <c r="H653" s="2" t="inlineStr">
        <is>
          <t>Commission Implementing Decision (EU) 2022/1954 of 12 October 2022 on harmonised standards for recreational craft and personal watercraft drafted in support of Directive 2013/53/EU of the European Parliament and of the Council (Text with EEA relevance)</t>
        </is>
      </c>
      <c r="I653" s="2" t="inlineStr">
        <is>
          <t>no</t>
        </is>
      </c>
      <c r="J653" s="2" t="inlineStr">
        <is>
          <t>https://eur-lex.europa.eu/legal-content/EN/TXT/?uri=CELEX:32022D1954</t>
        </is>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t="inlineStr"/>
    </row>
    <row r="654">
      <c r="A654" s="2" t="n">
        <v>108</v>
      </c>
      <c r="B654" s="2" t="inlineStr">
        <is>
          <t>European Standardisation Regulation</t>
        </is>
      </c>
      <c r="C654" s="2" t="inlineStr">
        <is>
          <t>32012R1025</t>
        </is>
      </c>
      <c r="D654" s="2" t="inlineStr">
        <is>
          <t>32022D2191</t>
        </is>
      </c>
      <c r="E654" s="2" t="inlineStr">
        <is>
          <t>implementing</t>
        </is>
      </c>
      <c r="F654" s="2" t="inlineStr">
        <is>
          <t>DEC_IMPL</t>
        </is>
      </c>
      <c r="G654" s="2" t="inlineStr">
        <is>
          <t>2022-11-08</t>
        </is>
      </c>
      <c r="H654" s="2" t="inlineStr">
        <is>
          <t>Commission Implementing Decision (EU) 2022/2191 of 8 November 2022 on the harmonised standards for radio equipment drafted in support of Directive 2014/53/EU of the European Parliament and of the Council (Text with EEA relevance)</t>
        </is>
      </c>
      <c r="I654" s="2" t="inlineStr">
        <is>
          <t>no</t>
        </is>
      </c>
      <c r="J654" s="2" t="inlineStr">
        <is>
          <t>https://eur-lex.europa.eu/legal-content/EN/TXT/?uri=CELEX:32022D2191</t>
        </is>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t="inlineStr"/>
    </row>
    <row r="655">
      <c r="A655" s="2" t="n">
        <v>108</v>
      </c>
      <c r="B655" s="2" t="inlineStr">
        <is>
          <t>European Standardisation Regulation</t>
        </is>
      </c>
      <c r="C655" s="2" t="inlineStr">
        <is>
          <t>32012R1025</t>
        </is>
      </c>
      <c r="D655" s="2" t="inlineStr">
        <is>
          <t>32022D2414</t>
        </is>
      </c>
      <c r="E655" s="2" t="inlineStr">
        <is>
          <t>implementing</t>
        </is>
      </c>
      <c r="F655" s="2" t="inlineStr">
        <is>
          <t>DEC_IMPL</t>
        </is>
      </c>
      <c r="G655" s="2" t="inlineStr">
        <is>
          <t>2022-12-06</t>
        </is>
      </c>
      <c r="H655" s="2" t="inlineStr">
        <is>
          <t>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is>
      </c>
      <c r="I655" s="2" t="inlineStr">
        <is>
          <t>no</t>
        </is>
      </c>
      <c r="J655" s="2" t="inlineStr">
        <is>
          <t>https://eur-lex.europa.eu/legal-content/EN/TXT/?uri=CELEX:32022D2414</t>
        </is>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t="inlineStr"/>
    </row>
    <row r="656">
      <c r="A656" s="2" t="n">
        <v>108</v>
      </c>
      <c r="B656" s="2" t="inlineStr">
        <is>
          <t>European Standardisation Regulation</t>
        </is>
      </c>
      <c r="C656" s="2" t="inlineStr">
        <is>
          <t>32012R1025</t>
        </is>
      </c>
      <c r="D656" s="2" t="inlineStr">
        <is>
          <t>32023D0098</t>
        </is>
      </c>
      <c r="E656" s="2" t="inlineStr">
        <is>
          <t>implementing</t>
        </is>
      </c>
      <c r="F656" s="2" t="inlineStr">
        <is>
          <t>DEC_IMPL</t>
        </is>
      </c>
      <c r="G656" s="2" t="inlineStr">
        <is>
          <t>2023-01-09</t>
        </is>
      </c>
      <c r="H656" s="2" t="inlineStr">
        <is>
          <t>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is>
      </c>
      <c r="I656" s="2" t="inlineStr">
        <is>
          <t>no</t>
        </is>
      </c>
      <c r="J656" s="2" t="inlineStr">
        <is>
          <t>https://eur-lex.europa.eu/legal-content/EN/TXT/?uri=CELEX:32023D0098</t>
        </is>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t="inlineStr"/>
    </row>
    <row r="657">
      <c r="A657" s="2" t="n">
        <v>108</v>
      </c>
      <c r="B657" s="2" t="inlineStr">
        <is>
          <t>European Standardisation Regulation</t>
        </is>
      </c>
      <c r="C657" s="2" t="inlineStr">
        <is>
          <t>32012R1025</t>
        </is>
      </c>
      <c r="D657" s="2" t="inlineStr">
        <is>
          <t>32023D0600</t>
        </is>
      </c>
      <c r="E657" s="2" t="inlineStr">
        <is>
          <t>implementing</t>
        </is>
      </c>
      <c r="F657" s="2" t="inlineStr">
        <is>
          <t>DEC_IMPL</t>
        </is>
      </c>
      <c r="G657" s="2" t="inlineStr">
        <is>
          <t>2023-03-13</t>
        </is>
      </c>
      <c r="H657" s="2" t="inlineStr">
        <is>
          <t>Commission Implementing Decision (EU) 2023/600 of 13 March 2023 amending Implementing Decision (EU) 2019/1956 as regards harmonised standards for room heaters, aquarium luminaires, circuit-breakers and tumble dryers (Text with EEA relevance)</t>
        </is>
      </c>
      <c r="I657" s="2" t="inlineStr">
        <is>
          <t>no</t>
        </is>
      </c>
      <c r="J657" s="2" t="inlineStr">
        <is>
          <t>https://eur-lex.europa.eu/legal-content/EN/TXT/?uri=CELEX:32023D0600</t>
        </is>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t="inlineStr"/>
    </row>
    <row r="658">
      <c r="A658" s="2" t="n">
        <v>108</v>
      </c>
      <c r="B658" s="2" t="inlineStr">
        <is>
          <t>European Standardisation Regulation</t>
        </is>
      </c>
      <c r="C658" s="2" t="inlineStr">
        <is>
          <t>32012R1025</t>
        </is>
      </c>
      <c r="D658" s="2" t="inlineStr">
        <is>
          <t>32023D0601</t>
        </is>
      </c>
      <c r="E658" s="2" t="inlineStr">
        <is>
          <t>implementing</t>
        </is>
      </c>
      <c r="F658" s="2" t="inlineStr">
        <is>
          <t>DEC_IMPL</t>
        </is>
      </c>
      <c r="G658" s="2" t="inlineStr">
        <is>
          <t>2023-03-13</t>
        </is>
      </c>
      <c r="H658" s="2" t="inlineStr">
        <is>
          <t>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is>
      </c>
      <c r="I658" s="2" t="inlineStr">
        <is>
          <t>no</t>
        </is>
      </c>
      <c r="J658" s="2" t="inlineStr">
        <is>
          <t>https://eur-lex.europa.eu/legal-content/EN/TXT/?uri=CELEX:32023D0601</t>
        </is>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t="inlineStr"/>
    </row>
    <row r="659">
      <c r="A659" s="2" t="n">
        <v>108</v>
      </c>
      <c r="B659" s="2" t="inlineStr">
        <is>
          <t>European Standardisation Regulation</t>
        </is>
      </c>
      <c r="C659" s="2" t="inlineStr">
        <is>
          <t>32012R1025</t>
        </is>
      </c>
      <c r="D659" s="2" t="inlineStr">
        <is>
          <t>32023D0740</t>
        </is>
      </c>
      <c r="E659" s="2" t="inlineStr">
        <is>
          <t>implementing</t>
        </is>
      </c>
      <c r="F659" s="2" t="inlineStr">
        <is>
          <t>DEC_IMPL</t>
        </is>
      </c>
      <c r="G659" s="2" t="inlineStr">
        <is>
          <t>2023-04-04</t>
        </is>
      </c>
      <c r="H659" s="2" t="inlineStr">
        <is>
          <t>Commission Implementing Decision (EU) 2023/740 of 4 April 2023 on harmonised standards for toys drafted in support of Directive 2009/48/EC of the European Parliament and of the Council</t>
        </is>
      </c>
      <c r="I659" s="2" t="inlineStr">
        <is>
          <t>no</t>
        </is>
      </c>
      <c r="J659" s="2" t="inlineStr">
        <is>
          <t>https://eur-lex.europa.eu/legal-content/EN/TXT/?uri=CELEX:32023D0740</t>
        </is>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t="inlineStr"/>
    </row>
    <row r="660">
      <c r="A660" s="2" t="n">
        <v>108</v>
      </c>
      <c r="B660" s="2" t="inlineStr">
        <is>
          <t>European Standardisation Regulation</t>
        </is>
      </c>
      <c r="C660" s="2" t="inlineStr">
        <is>
          <t>32012R1025</t>
        </is>
      </c>
      <c r="D660" s="2" t="inlineStr">
        <is>
          <t>32023D0941</t>
        </is>
      </c>
      <c r="E660" s="2" t="inlineStr">
        <is>
          <t>implementing</t>
        </is>
      </c>
      <c r="F660" s="2" t="inlineStr">
        <is>
          <t>DEC_IMPL</t>
        </is>
      </c>
      <c r="G660" s="2" t="inlineStr">
        <is>
          <t>2023-05-02</t>
        </is>
      </c>
      <c r="H660" s="2" t="inlineStr">
        <is>
          <t>Commission Implementing Decision (EU) 2023/941 of 2 May 2023 on harmonised standards for personal protective equipment drafted in support of Regulation (EU) 2016/425 of the European Parliament and of the Council (Text with EEA relevance)</t>
        </is>
      </c>
      <c r="I660" s="2" t="inlineStr">
        <is>
          <t>no</t>
        </is>
      </c>
      <c r="J660" s="2" t="inlineStr">
        <is>
          <t>https://eur-lex.europa.eu/legal-content/EN/TXT/?uri=CELEX:32023D0941</t>
        </is>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t="inlineStr"/>
    </row>
    <row r="661">
      <c r="A661" s="2" t="n">
        <v>108</v>
      </c>
      <c r="B661" s="2" t="inlineStr">
        <is>
          <t>European Standardisation Regulation</t>
        </is>
      </c>
      <c r="C661" s="2" t="inlineStr">
        <is>
          <t>32012R1025</t>
        </is>
      </c>
      <c r="D661" s="2" t="inlineStr">
        <is>
          <t>32023D1060</t>
        </is>
      </c>
      <c r="E661" s="2" t="inlineStr">
        <is>
          <t>implementing</t>
        </is>
      </c>
      <c r="F661" s="2" t="inlineStr">
        <is>
          <t>DEC_IMPL</t>
        </is>
      </c>
      <c r="G661" s="2" t="inlineStr">
        <is>
          <t>2023-05-30</t>
        </is>
      </c>
      <c r="H661" s="2" t="inlineStr">
        <is>
          <t>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is>
      </c>
      <c r="I661" s="2" t="inlineStr">
        <is>
          <t>no</t>
        </is>
      </c>
      <c r="J661" s="2" t="inlineStr">
        <is>
          <t>https://eur-lex.europa.eu/legal-content/EN/TXT/?uri=CELEX:32023D1060</t>
        </is>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t="inlineStr"/>
    </row>
    <row r="662">
      <c r="A662" s="2" t="n">
        <v>108</v>
      </c>
      <c r="B662" s="2" t="inlineStr">
        <is>
          <t>European Standardisation Regulation</t>
        </is>
      </c>
      <c r="C662" s="2" t="inlineStr">
        <is>
          <t>32012R1025</t>
        </is>
      </c>
      <c r="D662" s="2" t="inlineStr">
        <is>
          <t>32023D1410</t>
        </is>
      </c>
      <c r="E662" s="2" t="inlineStr">
        <is>
          <t>implementing</t>
        </is>
      </c>
      <c r="F662" s="2" t="inlineStr">
        <is>
          <t>DEC_IMPL</t>
        </is>
      </c>
      <c r="G662" s="2" t="inlineStr">
        <is>
          <t>2023-07-04</t>
        </is>
      </c>
      <c r="H662" s="2" t="inlineStr">
        <is>
          <t>Commission Implementing Decision (EU) 2023/1410 of 4 July 2023 amending Implementing Decision (EU) 2021/1182 as regards harmonised standards for sterilization of health care products and biological evaluation of medical devices</t>
        </is>
      </c>
      <c r="I662" s="2" t="inlineStr">
        <is>
          <t>no</t>
        </is>
      </c>
      <c r="J662" s="2" t="inlineStr">
        <is>
          <t>https://eur-lex.europa.eu/legal-content/EN/TXT/?uri=CELEX:32023D1410</t>
        </is>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t="inlineStr"/>
    </row>
    <row r="663">
      <c r="A663" s="2" t="n">
        <v>108</v>
      </c>
      <c r="B663" s="2" t="inlineStr">
        <is>
          <t>European Standardisation Regulation</t>
        </is>
      </c>
      <c r="C663" s="2" t="inlineStr">
        <is>
          <t>32012R1025</t>
        </is>
      </c>
      <c r="D663" s="2" t="inlineStr">
        <is>
          <t>32023D1411</t>
        </is>
      </c>
      <c r="E663" s="2" t="inlineStr">
        <is>
          <t>implementing</t>
        </is>
      </c>
      <c r="F663" s="2" t="inlineStr">
        <is>
          <t>DEC_IMPL</t>
        </is>
      </c>
      <c r="G663" s="2" t="inlineStr">
        <is>
          <t>2023-07-04</t>
        </is>
      </c>
      <c r="H663" s="2" t="inlineStr">
        <is>
          <t>Commission Implementing Decision (EU) 2023/1411 of 4 July 2023 amending Implementing Decision (EU) 2021/1195 as regards a harmonised standard for sterilization of health care products</t>
        </is>
      </c>
      <c r="I663" s="2" t="inlineStr">
        <is>
          <t>no</t>
        </is>
      </c>
      <c r="J663" s="2" t="inlineStr">
        <is>
          <t>https://eur-lex.europa.eu/legal-content/EN/TXT/?uri=CELEX:32023D1411</t>
        </is>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t="inlineStr"/>
    </row>
    <row r="664">
      <c r="A664" s="2" t="n">
        <v>108</v>
      </c>
      <c r="B664" s="2" t="inlineStr">
        <is>
          <t>European Standardisation Regulation</t>
        </is>
      </c>
      <c r="C664" s="2" t="inlineStr">
        <is>
          <t>32012R1025</t>
        </is>
      </c>
      <c r="D664" s="2" t="inlineStr">
        <is>
          <t>32023D1586</t>
        </is>
      </c>
      <c r="E664" s="2" t="inlineStr">
        <is>
          <t>implementing</t>
        </is>
      </c>
      <c r="F664" s="2" t="inlineStr">
        <is>
          <t>DEC_IMPL</t>
        </is>
      </c>
      <c r="G664" s="2" t="inlineStr">
        <is>
          <t>2023-07-26</t>
        </is>
      </c>
      <c r="H664" s="2" t="inlineStr">
        <is>
          <t>Commission Implementing Decision (EU) 2023/1586 of 26 July 2023 on harmonised standards for machinery drafted in support of Directive 2006/42/EC of the European Parliament and of the Council</t>
        </is>
      </c>
      <c r="I664" s="2" t="inlineStr">
        <is>
          <t>no</t>
        </is>
      </c>
      <c r="J664" s="2" t="inlineStr">
        <is>
          <t>https://eur-lex.europa.eu/legal-content/EN/TXT/?uri=CELEX:32023D1586</t>
        </is>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t="inlineStr"/>
    </row>
    <row r="665">
      <c r="A665" s="2" t="n">
        <v>108</v>
      </c>
      <c r="B665" s="2" t="inlineStr">
        <is>
          <t>European Standardisation Regulation</t>
        </is>
      </c>
      <c r="C665" s="2" t="inlineStr">
        <is>
          <t>32012R1025</t>
        </is>
      </c>
      <c r="D665" s="2" t="inlineStr">
        <is>
          <t>32023D1587</t>
        </is>
      </c>
      <c r="E665" s="2" t="inlineStr">
        <is>
          <t>implementing</t>
        </is>
      </c>
      <c r="F665" s="2" t="inlineStr">
        <is>
          <t>DEC_IMPL</t>
        </is>
      </c>
      <c r="G665" s="2" t="inlineStr">
        <is>
          <t>2023-08-01</t>
        </is>
      </c>
      <c r="H665" s="2" t="inlineStr">
        <is>
          <t>Commission Implementing Decision (EU) 2023/1587 of 1 August 2023 amending Implementing Decision (EU) 2022/1668 as regards harmonised standards on performance requirements and test methods for electrical equipment for the detection and measurement of oxygen (Text with EEA relevance)</t>
        </is>
      </c>
      <c r="I665" s="2" t="inlineStr">
        <is>
          <t>no</t>
        </is>
      </c>
      <c r="J665" s="2" t="inlineStr">
        <is>
          <t>https://eur-lex.europa.eu/legal-content/EN/TXT/?uri=CELEX:32023D1587</t>
        </is>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t="inlineStr"/>
    </row>
    <row r="666">
      <c r="A666" s="2" t="n">
        <v>108</v>
      </c>
      <c r="B666" s="2" t="inlineStr">
        <is>
          <t>European Standardisation Regulation</t>
        </is>
      </c>
      <c r="C666" s="2" t="inlineStr">
        <is>
          <t>32012R1025</t>
        </is>
      </c>
      <c r="D666" s="2" t="inlineStr">
        <is>
          <t>32023D1646</t>
        </is>
      </c>
      <c r="E666" s="2" t="inlineStr">
        <is>
          <t>implementing</t>
        </is>
      </c>
      <c r="F666" s="2" t="inlineStr">
        <is>
          <t>DEC_IMPL</t>
        </is>
      </c>
      <c r="G666" s="2" t="inlineStr">
        <is>
          <t>2023-08-17</t>
        </is>
      </c>
      <c r="H666" s="2" t="inlineStr">
        <is>
          <t>Commission Implementing Decision (EU) 2023/1646 of 17 August 2023 amending Implementing Decision (EU) 2021/76 as regards harmonised standards on safety rules for the construction and installation of lifts (Text with EEA relevance)</t>
        </is>
      </c>
      <c r="I666" s="2" t="inlineStr">
        <is>
          <t>no</t>
        </is>
      </c>
      <c r="J666" s="2" t="inlineStr">
        <is>
          <t>https://eur-lex.europa.eu/legal-content/EN/TXT/?uri=CELEX:32023D1646</t>
        </is>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t="inlineStr"/>
    </row>
    <row r="667">
      <c r="A667" s="2" t="n">
        <v>108</v>
      </c>
      <c r="B667" s="2" t="inlineStr">
        <is>
          <t>European Standardisation Regulation</t>
        </is>
      </c>
      <c r="C667" s="2" t="inlineStr">
        <is>
          <t>32012R1025</t>
        </is>
      </c>
      <c r="D667" s="2" t="inlineStr">
        <is>
          <t>32023D1759</t>
        </is>
      </c>
      <c r="E667" s="2" t="inlineStr">
        <is>
          <t>implementing</t>
        </is>
      </c>
      <c r="F667" s="2" t="inlineStr">
        <is>
          <t>DEC_IMPL</t>
        </is>
      </c>
      <c r="G667" s="2" t="inlineStr">
        <is>
          <t>2023-09-11</t>
        </is>
      </c>
      <c r="H667" s="2" t="inlineStr">
        <is>
          <t>Commission Implementing Decision (EU) 2023/1759 of 11 September 2023 on the harmonised standards for household dishwashers drafted in support of Regulation (EU) 2019/2022 and Delegated Regulation (EU) 2019/2017</t>
        </is>
      </c>
      <c r="I667" s="2" t="inlineStr">
        <is>
          <t>no</t>
        </is>
      </c>
      <c r="J667" s="2" t="inlineStr">
        <is>
          <t>https://eur-lex.europa.eu/legal-content/EN/TXT/?uri=CELEX:32023D1759</t>
        </is>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t="inlineStr"/>
    </row>
    <row r="668">
      <c r="A668" s="2" t="n">
        <v>108</v>
      </c>
      <c r="B668" s="2" t="inlineStr">
        <is>
          <t>European Standardisation Regulation</t>
        </is>
      </c>
      <c r="C668" s="2" t="inlineStr">
        <is>
          <t>32012R1025</t>
        </is>
      </c>
      <c r="D668" s="2" t="inlineStr">
        <is>
          <t>32023D2392</t>
        </is>
      </c>
      <c r="E668" s="2" t="inlineStr">
        <is>
          <t>implementing</t>
        </is>
      </c>
      <c r="F668" s="2" t="inlineStr">
        <is>
          <t>DEC_IMPL</t>
        </is>
      </c>
      <c r="G668" s="2" t="inlineStr">
        <is>
          <t>2023-10-03</t>
        </is>
      </c>
      <c r="H668" s="2" t="inlineStr">
        <is>
          <t>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is>
      </c>
      <c r="I668" s="2" t="inlineStr">
        <is>
          <t>no</t>
        </is>
      </c>
      <c r="J668" s="2" t="inlineStr">
        <is>
          <t>https://eur-lex.europa.eu/legal-content/EN/TXT/?uri=CELEX:32023D2392</t>
        </is>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t="inlineStr"/>
    </row>
    <row r="669">
      <c r="A669" s="2" t="n">
        <v>108</v>
      </c>
      <c r="B669" s="2" t="inlineStr">
        <is>
          <t>European Standardisation Regulation</t>
        </is>
      </c>
      <c r="C669" s="2" t="inlineStr">
        <is>
          <t>32012R1025</t>
        </is>
      </c>
      <c r="D669" s="2" t="inlineStr">
        <is>
          <t>32023D2584</t>
        </is>
      </c>
      <c r="E669" s="2" t="inlineStr">
        <is>
          <t>implementing</t>
        </is>
      </c>
      <c r="F669" s="2" t="inlineStr">
        <is>
          <t>DEC_IMPL</t>
        </is>
      </c>
      <c r="G669" s="2" t="inlineStr">
        <is>
          <t>2023-11-15</t>
        </is>
      </c>
      <c r="H669" s="2" t="inlineStr">
        <is>
          <t>Commission Implementing Decision (EU) 2023/2584 of 15 November 2023 on harmonised standards for the interoperability of the rail systems drafted in support of Directive (EU) 2016/797 of the European Parliament and of the Council</t>
        </is>
      </c>
      <c r="I669" s="2" t="inlineStr">
        <is>
          <t>no</t>
        </is>
      </c>
      <c r="J669" s="2" t="inlineStr">
        <is>
          <t>https://eur-lex.europa.eu/legal-content/EN/TXT/?uri=CELEX:32023D2584</t>
        </is>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t="inlineStr"/>
    </row>
    <row r="670">
      <c r="A670" s="2" t="n">
        <v>108</v>
      </c>
      <c r="B670" s="2" t="inlineStr">
        <is>
          <t>European Standardisation Regulation</t>
        </is>
      </c>
      <c r="C670" s="2" t="inlineStr">
        <is>
          <t>32012R1025</t>
        </is>
      </c>
      <c r="D670" s="2" t="inlineStr">
        <is>
          <t>32023D2669</t>
        </is>
      </c>
      <c r="E670" s="2" t="inlineStr">
        <is>
          <t>implementing</t>
        </is>
      </c>
      <c r="F670" s="2" t="inlineStr">
        <is>
          <t>DEC_IMPL</t>
        </is>
      </c>
      <c r="G670" s="2" t="inlineStr">
        <is>
          <t>2023-11-27</t>
        </is>
      </c>
      <c r="H670" s="2" t="inlineStr">
        <is>
          <t>Commission Implementing Decision (EU) 2023/2669 of 27 November 2023 amending Implementing Decision (EU) 2022/2191 as regards harmonised standards for wireless communication devices used next to the ear or in close proximity to the human body</t>
        </is>
      </c>
      <c r="I670" s="2" t="inlineStr">
        <is>
          <t>no</t>
        </is>
      </c>
      <c r="J670" s="2" t="inlineStr">
        <is>
          <t>https://eur-lex.europa.eu/legal-content/EN/TXT/?uri=CELEX:32023D2669</t>
        </is>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t="inlineStr"/>
    </row>
    <row r="671">
      <c r="A671" s="2" t="n">
        <v>108</v>
      </c>
      <c r="B671" s="2" t="inlineStr">
        <is>
          <t>European Standardisation Regulation</t>
        </is>
      </c>
      <c r="C671" s="2" t="inlineStr">
        <is>
          <t>32012R1025</t>
        </is>
      </c>
      <c r="D671" s="2" t="inlineStr">
        <is>
          <t>32023D2723</t>
        </is>
      </c>
      <c r="E671" s="2" t="inlineStr">
        <is>
          <t>implementing</t>
        </is>
      </c>
      <c r="F671" s="2" t="inlineStr">
        <is>
          <t>DEC_IMPL</t>
        </is>
      </c>
      <c r="G671" s="2" t="inlineStr">
        <is>
          <t>2023-12-06</t>
        </is>
      </c>
      <c r="H671" s="2" t="inlineStr">
        <is>
          <t>Commission Implementing Decision (EU) 2023/2723 of 6 December 2023 on harmonised standards for electrical equipment drafted in support of Directive 2014/35/EU of the European Parliament and of the Council</t>
        </is>
      </c>
      <c r="I671" s="2" t="inlineStr">
        <is>
          <t>no</t>
        </is>
      </c>
      <c r="J671" s="2" t="inlineStr">
        <is>
          <t>https://eur-lex.europa.eu/legal-content/EN/TXT/?uri=CELEX:32023D2723</t>
        </is>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t="inlineStr"/>
    </row>
    <row r="672">
      <c r="A672" s="2" t="n">
        <v>108</v>
      </c>
      <c r="B672" s="2" t="inlineStr">
        <is>
          <t>European Standardisation Regulation</t>
        </is>
      </c>
      <c r="C672" s="2" t="inlineStr">
        <is>
          <t>32012R1025</t>
        </is>
      </c>
      <c r="D672" s="2" t="inlineStr">
        <is>
          <t>32023D2752</t>
        </is>
      </c>
      <c r="E672" s="2" t="inlineStr">
        <is>
          <t>implementing</t>
        </is>
      </c>
      <c r="F672" s="2" t="inlineStr">
        <is>
          <t>DEC_IMPL</t>
        </is>
      </c>
      <c r="G672" s="2" t="inlineStr">
        <is>
          <t>2023-12-07</t>
        </is>
      </c>
      <c r="H672" s="2" t="inlineStr">
        <is>
          <t>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is>
      </c>
      <c r="I672" s="2" t="inlineStr">
        <is>
          <t>no</t>
        </is>
      </c>
      <c r="J672" s="2" t="inlineStr">
        <is>
          <t>https://eur-lex.europa.eu/legal-content/EN/TXT/?uri=CELEX:32023D2752</t>
        </is>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t="inlineStr"/>
    </row>
    <row r="673">
      <c r="A673" s="2" t="n">
        <v>108</v>
      </c>
      <c r="B673" s="2" t="inlineStr">
        <is>
          <t>European Standardisation Regulation</t>
        </is>
      </c>
      <c r="C673" s="2" t="inlineStr">
        <is>
          <t>32012R1025</t>
        </is>
      </c>
      <c r="D673" s="2" t="inlineStr">
        <is>
          <t>32024D0201</t>
        </is>
      </c>
      <c r="E673" s="2" t="inlineStr">
        <is>
          <t>implementing</t>
        </is>
      </c>
      <c r="F673" s="2" t="inlineStr">
        <is>
          <t>DEC_IMPL</t>
        </is>
      </c>
      <c r="G673" s="2" t="inlineStr">
        <is>
          <t>2024-01-10</t>
        </is>
      </c>
      <c r="H673" s="2" t="inlineStr">
        <is>
          <t>Commission Implementing Decision (EU) 2024/201 of 10 January 2024 amending Implementing Decision (EU) 2022/1954 as regards harmonised standards for remote mechanical steering systems, permanently installed fuel systems and remote hydraulic steering systems</t>
        </is>
      </c>
      <c r="I673" s="2" t="inlineStr">
        <is>
          <t>no</t>
        </is>
      </c>
      <c r="J673" s="2" t="inlineStr">
        <is>
          <t>https://eur-lex.europa.eu/legal-content/EN/TXT/?uri=CELEX:32024D0201</t>
        </is>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t="inlineStr"/>
    </row>
    <row r="674">
      <c r="A674" s="2" t="n">
        <v>108</v>
      </c>
      <c r="B674" s="2" t="inlineStr">
        <is>
          <t>European Standardisation Regulation</t>
        </is>
      </c>
      <c r="C674" s="2" t="inlineStr">
        <is>
          <t>32012R1025</t>
        </is>
      </c>
      <c r="D674" s="2" t="inlineStr">
        <is>
          <t>32024D0224</t>
        </is>
      </c>
      <c r="E674" s="2" t="inlineStr">
        <is>
          <t>implementing</t>
        </is>
      </c>
      <c r="F674" s="2" t="inlineStr">
        <is>
          <t>DEC_IMPL</t>
        </is>
      </c>
      <c r="G674" s="2" t="inlineStr">
        <is>
          <t>2024-01-10</t>
        </is>
      </c>
      <c r="H674" s="2" t="inlineStr">
        <is>
          <t>Commission Implementing Decision (EU) 2024/224 of 10 January 2024 on the harmonised standards for appliances burning gaseous fuels drafted in support of Regulation (EU) 2016/426 of the European Parliament and of the Council</t>
        </is>
      </c>
      <c r="I674" s="2" t="inlineStr">
        <is>
          <t>no</t>
        </is>
      </c>
      <c r="J674" s="2" t="inlineStr">
        <is>
          <t>https://eur-lex.europa.eu/legal-content/EN/TXT/?uri=CELEX:32024D0224</t>
        </is>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t="inlineStr"/>
    </row>
    <row r="675">
      <c r="A675" s="2" t="n">
        <v>108</v>
      </c>
      <c r="B675" s="2" t="inlineStr">
        <is>
          <t>European Standardisation Regulation</t>
        </is>
      </c>
      <c r="C675" s="2" t="inlineStr">
        <is>
          <t>32012R1025</t>
        </is>
      </c>
      <c r="D675" s="2" t="inlineStr">
        <is>
          <t>32024D0354</t>
        </is>
      </c>
      <c r="E675" s="2" t="inlineStr">
        <is>
          <t>implementing</t>
        </is>
      </c>
      <c r="F675" s="2" t="inlineStr">
        <is>
          <t>DEC_IMPL</t>
        </is>
      </c>
      <c r="G675" s="2" t="inlineStr">
        <is>
          <t>2024-01-19</t>
        </is>
      </c>
      <c r="H675" s="2" t="inlineStr">
        <is>
          <t>Commission Implementing Decision (EU) 2024/354 of 19 January 2024 on harmonised standards for cableway installations drafted in support of Regulation (EU) 2016/424 of the European Parliament and the Council</t>
        </is>
      </c>
      <c r="I675" s="2" t="inlineStr">
        <is>
          <t>no</t>
        </is>
      </c>
      <c r="J675" s="2" t="inlineStr">
        <is>
          <t>https://eur-lex.europa.eu/legal-content/EN/TXT/?uri=CELEX:32024D0354</t>
        </is>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t="inlineStr"/>
    </row>
    <row r="676">
      <c r="A676" s="2" t="n">
        <v>108</v>
      </c>
      <c r="B676" s="2" t="inlineStr">
        <is>
          <t>European Standardisation Regulation</t>
        </is>
      </c>
      <c r="C676" s="2" t="inlineStr">
        <is>
          <t>32012R1025</t>
        </is>
      </c>
      <c r="D676" s="2" t="inlineStr">
        <is>
          <t>32024D0373</t>
        </is>
      </c>
      <c r="E676" s="2" t="inlineStr">
        <is>
          <t>implementing</t>
        </is>
      </c>
      <c r="F676" s="2" t="inlineStr">
        <is>
          <t>DEC_IMPL</t>
        </is>
      </c>
      <c r="G676" s="2" t="inlineStr">
        <is>
          <t>2024-01-24</t>
        </is>
      </c>
      <c r="H676" s="2" t="inlineStr">
        <is>
          <t>Commission Implementing Decision (EU) 2024/373 of 24 January 2024 on the harmonised standards for inspection of pesticide application equipment in use drafted in support of Directive 2009/128/EC of the European Parliament and of the Council</t>
        </is>
      </c>
      <c r="I676" s="2" t="inlineStr">
        <is>
          <t>no</t>
        </is>
      </c>
      <c r="J676" s="2" t="inlineStr">
        <is>
          <t>https://eur-lex.europa.eu/legal-content/EN/TXT/?uri=CELEX:32024D0373</t>
        </is>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t="inlineStr"/>
    </row>
    <row r="677">
      <c r="A677" s="2" t="n">
        <v>108</v>
      </c>
      <c r="B677" s="2" t="inlineStr">
        <is>
          <t>European Standardisation Regulation</t>
        </is>
      </c>
      <c r="C677" s="2" t="inlineStr">
        <is>
          <t>32012R1025</t>
        </is>
      </c>
      <c r="D677" s="2" t="inlineStr">
        <is>
          <t>32024D0564</t>
        </is>
      </c>
      <c r="E677" s="2" t="inlineStr">
        <is>
          <t>implementing</t>
        </is>
      </c>
      <c r="F677" s="2" t="inlineStr">
        <is>
          <t>DEC_IMPL</t>
        </is>
      </c>
      <c r="G677" s="2" t="inlineStr">
        <is>
          <t>2024-02-14</t>
        </is>
      </c>
      <c r="H677" s="2" t="inlineStr">
        <is>
          <t>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is>
      </c>
      <c r="I677" s="2" t="inlineStr">
        <is>
          <t>no</t>
        </is>
      </c>
      <c r="J677" s="2" t="inlineStr">
        <is>
          <t>https://eur-lex.europa.eu/legal-content/EN/TXT/?uri=CELEX:32024D0564</t>
        </is>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t="inlineStr"/>
    </row>
    <row r="678">
      <c r="A678" s="2" t="n">
        <v>108</v>
      </c>
      <c r="B678" s="2" t="inlineStr">
        <is>
          <t>European Standardisation Regulation</t>
        </is>
      </c>
      <c r="C678" s="2" t="inlineStr">
        <is>
          <t>32012R1025</t>
        </is>
      </c>
      <c r="D678" s="2" t="inlineStr">
        <is>
          <t>32024D0581</t>
        </is>
      </c>
      <c r="E678" s="2" t="inlineStr">
        <is>
          <t>implementing</t>
        </is>
      </c>
      <c r="F678" s="2" t="inlineStr">
        <is>
          <t>DEC_IMPL</t>
        </is>
      </c>
      <c r="G678" s="2" t="inlineStr">
        <is>
          <t>2024-02-16</t>
        </is>
      </c>
      <c r="H678" s="2" t="inlineStr">
        <is>
          <t>Commission Implementing Decision (EU) 2024/581 of 16 February 2024 on the harmonised standard for accreditation of medical laboratories drafted in support of Regulation (EC) No 765/2008 of the European Parliament and of the Council</t>
        </is>
      </c>
      <c r="I678" s="2" t="inlineStr">
        <is>
          <t>no</t>
        </is>
      </c>
      <c r="J678" s="2" t="inlineStr">
        <is>
          <t>https://eur-lex.europa.eu/legal-content/EN/TXT/?uri=CELEX:32024D0581</t>
        </is>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t="inlineStr"/>
    </row>
    <row r="679">
      <c r="A679" s="2" t="n">
        <v>108</v>
      </c>
      <c r="B679" s="2" t="inlineStr">
        <is>
          <t>European Standardisation Regulation</t>
        </is>
      </c>
      <c r="C679" s="2" t="inlineStr">
        <is>
          <t>32012R1025</t>
        </is>
      </c>
      <c r="D679" s="2" t="inlineStr">
        <is>
          <t>32024D0815</t>
        </is>
      </c>
      <c r="E679" s="2" t="inlineStr">
        <is>
          <t>implementing</t>
        </is>
      </c>
      <c r="F679" s="2" t="inlineStr">
        <is>
          <t>DEC_IMPL</t>
        </is>
      </c>
      <c r="G679" s="2" t="inlineStr">
        <is>
          <t>2024-03-06</t>
        </is>
      </c>
      <c r="H679" s="2" t="inlineStr">
        <is>
          <t>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is>
      </c>
      <c r="I679" s="2" t="inlineStr">
        <is>
          <t>no</t>
        </is>
      </c>
      <c r="J679" s="2" t="inlineStr">
        <is>
          <t>https://eur-lex.europa.eu/legal-content/EN/TXT/?uri=CELEX:32024D0815</t>
        </is>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t="inlineStr"/>
    </row>
    <row r="680">
      <c r="A680" s="2" t="n">
        <v>108</v>
      </c>
      <c r="B680" s="2" t="inlineStr">
        <is>
          <t>European Standardisation Regulation</t>
        </is>
      </c>
      <c r="C680" s="2" t="inlineStr">
        <is>
          <t>32012R1025</t>
        </is>
      </c>
      <c r="D680" s="2" t="inlineStr">
        <is>
          <t>32024D0817</t>
        </is>
      </c>
      <c r="E680" s="2" t="inlineStr">
        <is>
          <t>implementing</t>
        </is>
      </c>
      <c r="F680" s="2" t="inlineStr">
        <is>
          <t>DEC_IMPL</t>
        </is>
      </c>
      <c r="G680" s="2" t="inlineStr">
        <is>
          <t>2024-03-06</t>
        </is>
      </c>
      <c r="H680" s="2" t="inlineStr">
        <is>
          <t>Commission Implementing Decision (EU) 2024/817 of 6 March 2024 amending Implementing Decision (EU) 2021/1195 as regards harmonised standards for sterilisation of health care products and packaging for terminally sterilised medical devices</t>
        </is>
      </c>
      <c r="I680" s="2" t="inlineStr">
        <is>
          <t>no</t>
        </is>
      </c>
      <c r="J680" s="2" t="inlineStr">
        <is>
          <t>https://eur-lex.europa.eu/legal-content/EN/TXT/?uri=CELEX:32024D0817</t>
        </is>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t="inlineStr"/>
    </row>
    <row r="681">
      <c r="A681" s="2" t="n">
        <v>108</v>
      </c>
      <c r="B681" s="2" t="inlineStr">
        <is>
          <t>European Standardisation Regulation</t>
        </is>
      </c>
      <c r="C681" s="2" t="inlineStr">
        <is>
          <t>32012R1025</t>
        </is>
      </c>
      <c r="D681" s="2" t="inlineStr">
        <is>
          <t>32024D1198</t>
        </is>
      </c>
      <c r="E681" s="2" t="inlineStr">
        <is>
          <t>implementing</t>
        </is>
      </c>
      <c r="F681" s="2" t="inlineStr">
        <is>
          <t>DEC_IMPL</t>
        </is>
      </c>
      <c r="G681" s="2" t="inlineStr">
        <is>
          <t>2024-04-19</t>
        </is>
      </c>
      <c r="H681" s="2" t="inlineStr">
        <is>
          <t>Commission Implementing Decision (EU) 2024/1198 of 19 April 2024 amending Implementing Decision (EU) 2023/2723 as regards harmonised standards for boxes and enclosures for electrical accessories, conduit systems buried underground and low-voltage switchgear and controlgear</t>
        </is>
      </c>
      <c r="I681" s="2" t="inlineStr">
        <is>
          <t>no</t>
        </is>
      </c>
      <c r="J681" s="2" t="inlineStr">
        <is>
          <t>https://eur-lex.europa.eu/legal-content/EN/TXT/?uri=CELEX:32024D1198</t>
        </is>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t="inlineStr"/>
    </row>
    <row r="682">
      <c r="A682" s="2" t="n">
        <v>108</v>
      </c>
      <c r="B682" s="2" t="inlineStr">
        <is>
          <t>European Standardisation Regulation</t>
        </is>
      </c>
      <c r="C682" s="2" t="inlineStr">
        <is>
          <t>32012R1025</t>
        </is>
      </c>
      <c r="D682" s="2" t="inlineStr">
        <is>
          <t>32024D1197</t>
        </is>
      </c>
      <c r="E682" s="2" t="inlineStr">
        <is>
          <t>implementing</t>
        </is>
      </c>
      <c r="F682" s="2" t="inlineStr">
        <is>
          <t>DEC_IMPL</t>
        </is>
      </c>
      <c r="G682" s="2" t="inlineStr">
        <is>
          <t>2024-04-23</t>
        </is>
      </c>
      <c r="H682" s="2" t="inlineStr">
        <is>
          <t>Commission Implementing Decision (EU) 2024/1197 of 23 April 2024 amending Implementing Decision (EU) 2022/1954 as regards harmonised standards for electrical systems – alternating and direct current installations, and bilge-pumping systems</t>
        </is>
      </c>
      <c r="I682" s="2" t="inlineStr">
        <is>
          <t>no</t>
        </is>
      </c>
      <c r="J682" s="2" t="inlineStr">
        <is>
          <t>https://eur-lex.europa.eu/legal-content/EN/TXT/?uri=CELEX:32024D1197</t>
        </is>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t="inlineStr"/>
    </row>
    <row r="683">
      <c r="A683" s="2" t="n">
        <v>108</v>
      </c>
      <c r="B683" s="2" t="inlineStr">
        <is>
          <t>European Standardisation Regulation</t>
        </is>
      </c>
      <c r="C683" s="2" t="inlineStr">
        <is>
          <t>32012R1025</t>
        </is>
      </c>
      <c r="D683" s="2" t="inlineStr">
        <is>
          <t>32024D1329</t>
        </is>
      </c>
      <c r="E683" s="2" t="inlineStr">
        <is>
          <t>implementing</t>
        </is>
      </c>
      <c r="F683" s="2" t="inlineStr">
        <is>
          <t>DEC_IMPL</t>
        </is>
      </c>
      <c r="G683" s="2" t="inlineStr">
        <is>
          <t>2024-05-13</t>
        </is>
      </c>
      <c r="H683" s="2" t="inlineStr">
        <is>
          <t>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is>
      </c>
      <c r="I683" s="2" t="inlineStr">
        <is>
          <t>no</t>
        </is>
      </c>
      <c r="J683" s="2" t="inlineStr">
        <is>
          <t>https://eur-lex.europa.eu/legal-content/EN/TXT/?uri=CELEX:32024D1329</t>
        </is>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t="inlineStr"/>
    </row>
    <row r="684">
      <c r="A684" s="2" t="n">
        <v>108</v>
      </c>
      <c r="B684" s="2" t="inlineStr">
        <is>
          <t>European Standardisation Regulation</t>
        </is>
      </c>
      <c r="C684" s="2" t="inlineStr">
        <is>
          <t>32012R1025</t>
        </is>
      </c>
      <c r="D684" s="2" t="inlineStr">
        <is>
          <t>32024D1589</t>
        </is>
      </c>
      <c r="E684" s="2" t="inlineStr">
        <is>
          <t>implementing</t>
        </is>
      </c>
      <c r="F684" s="2" t="inlineStr">
        <is>
          <t>DEC_IMPL</t>
        </is>
      </c>
      <c r="G684" s="2" t="inlineStr">
        <is>
          <t>2024-06-04</t>
        </is>
      </c>
      <c r="H684" s="2" t="inlineStr">
        <is>
          <t>Commission Implementing Decision (EU) 2024/1589 of 4 June 2024 on the harmonised standards for condensing units for refrigeration drafted in support of Commission Regulation (EU) 2015/1095</t>
        </is>
      </c>
      <c r="I684" s="2" t="inlineStr">
        <is>
          <t>no</t>
        </is>
      </c>
      <c r="J684" s="2" t="inlineStr">
        <is>
          <t>https://eur-lex.europa.eu/legal-content/EN/TXT/?uri=CELEX:32024D1589</t>
        </is>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t="inlineStr"/>
    </row>
    <row r="685">
      <c r="A685" s="2" t="n">
        <v>108</v>
      </c>
      <c r="B685" s="2" t="inlineStr">
        <is>
          <t>European Standardisation Regulation</t>
        </is>
      </c>
      <c r="C685" s="2" t="inlineStr">
        <is>
          <t>32012R1025</t>
        </is>
      </c>
      <c r="D685" s="2" t="inlineStr">
        <is>
          <t>32024D2103</t>
        </is>
      </c>
      <c r="E685" s="2" t="inlineStr">
        <is>
          <t>implementing</t>
        </is>
      </c>
      <c r="F685" s="2" t="inlineStr">
        <is>
          <t>DEC_IMPL</t>
        </is>
      </c>
      <c r="G685" s="2" t="inlineStr">
        <is>
          <t>2024-07-30</t>
        </is>
      </c>
      <c r="H685" s="2" t="inlineStr">
        <is>
          <t>Commission Implementing Decision (EU) 2024/2103 of 30 July 2024 on harmonised standard for direct remote identification for unmanned aircraft drafted in support of Delegated Regulation (EU) 2019/945</t>
        </is>
      </c>
      <c r="I685" s="2" t="inlineStr">
        <is>
          <t>no</t>
        </is>
      </c>
      <c r="J685" s="2" t="inlineStr">
        <is>
          <t>https://eur-lex.europa.eu/legal-content/EN/TXT/?uri=CELEX:32024D2103</t>
        </is>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t="inlineStr"/>
    </row>
    <row r="686">
      <c r="A686" s="2" t="n">
        <v>108</v>
      </c>
      <c r="B686" s="2" t="inlineStr">
        <is>
          <t>European Standardisation Regulation</t>
        </is>
      </c>
      <c r="C686" s="2" t="inlineStr">
        <is>
          <t>32012R1025</t>
        </is>
      </c>
      <c r="D686" s="2" t="inlineStr">
        <is>
          <t>32024D2387</t>
        </is>
      </c>
      <c r="E686" s="2" t="inlineStr">
        <is>
          <t>implementing</t>
        </is>
      </c>
      <c r="F686" s="2" t="inlineStr">
        <is>
          <t>DEC_IMPL</t>
        </is>
      </c>
      <c r="G686" s="2" t="inlineStr">
        <is>
          <t>2024-09-09</t>
        </is>
      </c>
      <c r="H686" s="2" t="inlineStr">
        <is>
          <t>Commission Implementing Decision (EU) 2024/2387 of 9 September 2024 on the harmonised standards for EU fertilising products drafted in support of Regulation (EU) 2019/1009 of the European Parliament and the Council</t>
        </is>
      </c>
      <c r="I686" s="2" t="inlineStr">
        <is>
          <t>no</t>
        </is>
      </c>
      <c r="J686" s="2" t="inlineStr">
        <is>
          <t>https://eur-lex.europa.eu/legal-content/EN/TXT/?uri=CELEX:32024D2387</t>
        </is>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t="inlineStr"/>
    </row>
    <row r="687">
      <c r="A687" s="2" t="n">
        <v>108</v>
      </c>
      <c r="B687" s="2" t="inlineStr">
        <is>
          <t>European Standardisation Regulation</t>
        </is>
      </c>
      <c r="C687" s="2" t="inlineStr">
        <is>
          <t>32012R1025</t>
        </is>
      </c>
      <c r="D687" s="2" t="inlineStr">
        <is>
          <t>32024D2397</t>
        </is>
      </c>
      <c r="E687" s="2" t="inlineStr">
        <is>
          <t>implementing</t>
        </is>
      </c>
      <c r="F687" s="2" t="inlineStr">
        <is>
          <t>DEC_IMPL</t>
        </is>
      </c>
      <c r="G687" s="2" t="inlineStr">
        <is>
          <t>2024-09-11</t>
        </is>
      </c>
      <c r="H687" s="2" t="inlineStr">
        <is>
          <t>Commission Implementing Decision (EU) 2024/2397 of 11 September 2024 on a harmonised standard for refrigerating appliances with a direct sales function drafted in support of Delegated Regulation (EU) 2019/2018 and Regulation (EU) 2019/2024</t>
        </is>
      </c>
      <c r="I687" s="2" t="inlineStr">
        <is>
          <t>no</t>
        </is>
      </c>
      <c r="J687" s="2" t="inlineStr">
        <is>
          <t>https://eur-lex.europa.eu/legal-content/EN/TXT/?uri=CELEX:32024D2397</t>
        </is>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t="inlineStr"/>
    </row>
    <row r="688">
      <c r="A688" s="2" t="n">
        <v>108</v>
      </c>
      <c r="B688" s="2" t="inlineStr">
        <is>
          <t>European Standardisation Regulation</t>
        </is>
      </c>
      <c r="C688" s="2" t="inlineStr">
        <is>
          <t>32012R1025</t>
        </is>
      </c>
      <c r="D688" s="2" t="inlineStr">
        <is>
          <t>32024D2406</t>
        </is>
      </c>
      <c r="E688" s="2" t="inlineStr">
        <is>
          <t>implementing</t>
        </is>
      </c>
      <c r="F688" s="2" t="inlineStr">
        <is>
          <t>DEC_IMPL</t>
        </is>
      </c>
      <c r="G688" s="2" t="inlineStr">
        <is>
          <t>2024-09-12</t>
        </is>
      </c>
      <c r="H688" s="2" t="inlineStr">
        <is>
          <t>Commission Implementing Decision (EU) 2024/2406 of 12 September 2024 amending Implementing Decision (EU) 2019/1698 on European standards for certain child care articles, children’s furniture, gymnastic equipment and laser products</t>
        </is>
      </c>
      <c r="I688" s="2" t="inlineStr">
        <is>
          <t>no</t>
        </is>
      </c>
      <c r="J688" s="2" t="inlineStr">
        <is>
          <t>https://eur-lex.europa.eu/legal-content/EN/TXT/?uri=CELEX:32024D2406</t>
        </is>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t="inlineStr"/>
    </row>
    <row r="689">
      <c r="A689" s="2" t="n">
        <v>108</v>
      </c>
      <c r="B689" s="2" t="inlineStr">
        <is>
          <t>European Standardisation Regulation</t>
        </is>
      </c>
      <c r="C689" s="2" t="inlineStr">
        <is>
          <t>32012R1025</t>
        </is>
      </c>
      <c r="D689" s="2" t="inlineStr">
        <is>
          <t>32024D2408</t>
        </is>
      </c>
      <c r="E689" s="2" t="inlineStr">
        <is>
          <t>implementing</t>
        </is>
      </c>
      <c r="F689" s="2" t="inlineStr">
        <is>
          <t>DEC_IMPL</t>
        </is>
      </c>
      <c r="G689" s="2" t="inlineStr">
        <is>
          <t>2024-09-13</t>
        </is>
      </c>
      <c r="H689" s="2" t="inlineStr">
        <is>
          <t>Commission Implementing Decision (EU) 2024/2408 of 13 September 2024 amending Implementing Decision (EU) 2023/1586 as regards harmonised standards for lifting tables, earth-moving machinery, cranes and power operated pedestrian doorsets</t>
        </is>
      </c>
      <c r="I689" s="2" t="inlineStr">
        <is>
          <t>no</t>
        </is>
      </c>
      <c r="J689" s="2" t="inlineStr">
        <is>
          <t>https://eur-lex.europa.eu/legal-content/EN/TXT/?uri=CELEX:32024D2408</t>
        </is>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t="inlineStr"/>
    </row>
    <row r="690">
      <c r="A690" s="2" t="n">
        <v>108</v>
      </c>
      <c r="B690" s="2" t="inlineStr">
        <is>
          <t>European Standardisation Regulation</t>
        </is>
      </c>
      <c r="C690" s="2" t="inlineStr">
        <is>
          <t>32012R1025</t>
        </is>
      </c>
      <c r="D690" s="2" t="inlineStr">
        <is>
          <t>32024D2599</t>
        </is>
      </c>
      <c r="E690" s="2" t="inlineStr">
        <is>
          <t>implementing</t>
        </is>
      </c>
      <c r="F690" s="2" t="inlineStr">
        <is>
          <t>DEC_IMPL</t>
        </is>
      </c>
      <c r="G690" s="2" t="inlineStr">
        <is>
          <t>2024-10-04</t>
        </is>
      </c>
      <c r="H690" s="2" t="inlineStr">
        <is>
          <t>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is>
      </c>
      <c r="I690" s="2" t="inlineStr">
        <is>
          <t>no</t>
        </is>
      </c>
      <c r="J690" s="2" t="inlineStr">
        <is>
          <t>https://eur-lex.europa.eu/legal-content/EN/TXT/?uri=CELEX:32024D2599</t>
        </is>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t="inlineStr"/>
    </row>
    <row r="691">
      <c r="A691" s="2" t="n">
        <v>108</v>
      </c>
      <c r="B691" s="2" t="inlineStr">
        <is>
          <t>European Standardisation Regulation</t>
        </is>
      </c>
      <c r="C691" s="2" t="inlineStr">
        <is>
          <t>32012R1025</t>
        </is>
      </c>
      <c r="D691" s="2" t="inlineStr">
        <is>
          <t>32024D2625</t>
        </is>
      </c>
      <c r="E691" s="2" t="inlineStr">
        <is>
          <t>implementing</t>
        </is>
      </c>
      <c r="F691" s="2" t="inlineStr">
        <is>
          <t>DEC_IMPL</t>
        </is>
      </c>
      <c r="G691" s="2" t="inlineStr">
        <is>
          <t>2024-10-08</t>
        </is>
      </c>
      <c r="H691" s="2" t="inlineStr">
        <is>
          <t>Commission Implementing Decision (EU) 2024/2625 of 8 October 2024 amending Implementing Decision (EU) 2021/1195 as regards harmonised standards for aseptic processing of health care products and clinical performance studies using specimens from human subjects</t>
        </is>
      </c>
      <c r="I691" s="2" t="inlineStr">
        <is>
          <t>no</t>
        </is>
      </c>
      <c r="J691" s="2" t="inlineStr">
        <is>
          <t>https://eur-lex.europa.eu/legal-content/EN/TXT/?uri=CELEX:32024D2625</t>
        </is>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t="inlineStr"/>
    </row>
    <row r="692">
      <c r="A692" s="2" t="n">
        <v>108</v>
      </c>
      <c r="B692" s="2" t="inlineStr">
        <is>
          <t>European Standardisation Regulation</t>
        </is>
      </c>
      <c r="C692" s="2" t="inlineStr">
        <is>
          <t>32012R1025</t>
        </is>
      </c>
      <c r="D692" s="2" t="inlineStr">
        <is>
          <t>32024D2631</t>
        </is>
      </c>
      <c r="E692" s="2" t="inlineStr">
        <is>
          <t>implementing</t>
        </is>
      </c>
      <c r="F692" s="2" t="inlineStr">
        <is>
          <t>DEC_IMPL</t>
        </is>
      </c>
      <c r="G692" s="2" t="inlineStr">
        <is>
          <t>2024-10-08</t>
        </is>
      </c>
      <c r="H692" s="2" t="inlineStr">
        <is>
          <t>Commission Implementing Decision (EU) 2024/2631 of 8 October 2024 amending Implementing Decision (EU) 2021/1182 as regards the harmonised standard for aseptic processing of health care products</t>
        </is>
      </c>
      <c r="I692" s="2" t="inlineStr">
        <is>
          <t>no</t>
        </is>
      </c>
      <c r="J692" s="2" t="inlineStr">
        <is>
          <t>https://eur-lex.europa.eu/legal-content/EN/TXT/?uri=CELEX:32024D2631</t>
        </is>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t="inlineStr"/>
    </row>
    <row r="693">
      <c r="A693" s="2" t="n">
        <v>108</v>
      </c>
      <c r="B693" s="2" t="inlineStr">
        <is>
          <t>European Standardisation Regulation</t>
        </is>
      </c>
      <c r="C693" s="2" t="inlineStr">
        <is>
          <t>32012R1025</t>
        </is>
      </c>
      <c r="D693" s="2" t="inlineStr">
        <is>
          <t>32024D2638</t>
        </is>
      </c>
      <c r="E693" s="2" t="inlineStr">
        <is>
          <t>implementing</t>
        </is>
      </c>
      <c r="F693" s="2" t="inlineStr">
        <is>
          <t>DEC_IMPL</t>
        </is>
      </c>
      <c r="G693" s="2" t="inlineStr">
        <is>
          <t>2024-10-09</t>
        </is>
      </c>
      <c r="H693" s="2" t="inlineStr">
        <is>
          <t>Commission Implementing Decision (EU) 2024/2638 of 9 October 2024 on the harmonised standards drafted in support of Regulation (EU) 2016/2281 laying down ecodesign requirements for air heating products, cooling products, high temperature process chillers and fan coil units</t>
        </is>
      </c>
      <c r="I693" s="2" t="inlineStr">
        <is>
          <t>no</t>
        </is>
      </c>
      <c r="J693" s="2" t="inlineStr">
        <is>
          <t>https://eur-lex.europa.eu/legal-content/EN/TXT/?uri=CELEX:32024D2638</t>
        </is>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t="inlineStr"/>
    </row>
    <row r="694">
      <c r="A694" s="2" t="n">
        <v>108</v>
      </c>
      <c r="B694" s="2" t="inlineStr">
        <is>
          <t>European Standardisation Regulation</t>
        </is>
      </c>
      <c r="C694" s="2" t="inlineStr">
        <is>
          <t>32012R1025</t>
        </is>
      </c>
      <c r="D694" s="2" t="inlineStr">
        <is>
          <t>32024D2764</t>
        </is>
      </c>
      <c r="E694" s="2" t="inlineStr">
        <is>
          <t>implementing</t>
        </is>
      </c>
      <c r="F694" s="2" t="inlineStr">
        <is>
          <t>DEC_IMPL</t>
        </is>
      </c>
      <c r="G694" s="2" t="inlineStr">
        <is>
          <t>2024-10-30</t>
        </is>
      </c>
      <c r="H694" s="2" t="inlineStr">
        <is>
          <t>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is>
      </c>
      <c r="I694" s="2" t="inlineStr">
        <is>
          <t>no</t>
        </is>
      </c>
      <c r="J694" s="2" t="inlineStr">
        <is>
          <t>https://eur-lex.europa.eu/legal-content/EN/TXT/?uri=CELEX:32024D2764</t>
        </is>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t="inlineStr"/>
    </row>
    <row r="695">
      <c r="A695" s="2" t="n">
        <v>108</v>
      </c>
      <c r="B695" s="2" t="inlineStr">
        <is>
          <t>European Standardisation Regulation</t>
        </is>
      </c>
      <c r="C695" s="2" t="inlineStr">
        <is>
          <t>32012R1025</t>
        </is>
      </c>
      <c r="D695" s="2" t="inlineStr">
        <is>
          <t>32024D2909</t>
        </is>
      </c>
      <c r="E695" s="2" t="inlineStr">
        <is>
          <t>implementing</t>
        </is>
      </c>
      <c r="F695" s="2" t="inlineStr">
        <is>
          <t>DEC_IMPL</t>
        </is>
      </c>
      <c r="G695" s="2" t="inlineStr">
        <is>
          <t>2024-11-22</t>
        </is>
      </c>
      <c r="H695" s="2" t="inlineStr">
        <is>
          <t>Commission Implementing Decision (EU) 2024/2909 of 22 November 2024 on the harmonised standards for gas boilers drafted in support of Regulation (EU) No 813/2013 and of Delegated Regulation (EU) No 811/2013</t>
        </is>
      </c>
      <c r="I695" s="2" t="inlineStr">
        <is>
          <t>no</t>
        </is>
      </c>
      <c r="J695" s="2" t="inlineStr">
        <is>
          <t>https://eur-lex.europa.eu/legal-content/EN/TXT/?uri=CELEX:32024D2909</t>
        </is>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t="inlineStr"/>
    </row>
    <row r="696">
      <c r="A696" s="2" t="n">
        <v>108</v>
      </c>
      <c r="B696" s="2" t="inlineStr">
        <is>
          <t>European Standardisation Regulation</t>
        </is>
      </c>
      <c r="C696" s="2" t="inlineStr">
        <is>
          <t>32012R1025</t>
        </is>
      </c>
      <c r="D696" s="2" t="inlineStr">
        <is>
          <t>32024D2944</t>
        </is>
      </c>
      <c r="E696" s="2" t="inlineStr">
        <is>
          <t>implementing</t>
        </is>
      </c>
      <c r="F696" s="2" t="inlineStr">
        <is>
          <t>DEC_IMPL</t>
        </is>
      </c>
      <c r="G696" s="2" t="inlineStr">
        <is>
          <t>2024-11-28</t>
        </is>
      </c>
      <c r="H696" s="2" t="inlineStr">
        <is>
          <t>Commission Implementing Decision (EU) 2024/2944 of 28 November 2024 on the harmonised standards for appliances burning gaseous fuels drafted in support of Regulation (EU) 2016/426 of the European Parliament and of the Council and repealing Commission Implementing Decision (EU) 2024/224</t>
        </is>
      </c>
      <c r="I696" s="2" t="inlineStr">
        <is>
          <t>no</t>
        </is>
      </c>
      <c r="J696" s="2" t="inlineStr">
        <is>
          <t>https://eur-lex.europa.eu/legal-content/EN/TXT/?uri=CELEX:32024D2944</t>
        </is>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t="inlineStr"/>
    </row>
    <row r="697">
      <c r="A697" s="2" t="n">
        <v>108</v>
      </c>
      <c r="B697" s="2" t="inlineStr">
        <is>
          <t>European Standardisation Regulation</t>
        </is>
      </c>
      <c r="C697" s="2" t="inlineStr">
        <is>
          <t>32012R1025</t>
        </is>
      </c>
      <c r="D697" s="2" t="inlineStr">
        <is>
          <t>32025D0072</t>
        </is>
      </c>
      <c r="E697" s="2" t="inlineStr">
        <is>
          <t>implementing</t>
        </is>
      </c>
      <c r="F697" s="2" t="inlineStr">
        <is>
          <t>DEC_IMPL</t>
        </is>
      </c>
      <c r="G697" s="2" t="inlineStr">
        <is>
          <t>2025-01-15</t>
        </is>
      </c>
      <c r="H697" s="2" t="inlineStr">
        <is>
          <t>Commission Implementing Decision (EU) 2025/72 of 15 January 2025 amending Implementing Decision (EU) 2021/936 as regards harmonised standards for household washing machines and household washer-dryers</t>
        </is>
      </c>
      <c r="I697" s="2" t="inlineStr">
        <is>
          <t>no</t>
        </is>
      </c>
      <c r="J697" s="2" t="inlineStr">
        <is>
          <t>https://eur-lex.europa.eu/legal-content/EN/TXT/?uri=CELEX:32025D0072</t>
        </is>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t="inlineStr"/>
    </row>
    <row r="698">
      <c r="A698" s="2" t="n">
        <v>108</v>
      </c>
      <c r="B698" s="2" t="inlineStr">
        <is>
          <t>European Standardisation Regulation</t>
        </is>
      </c>
      <c r="C698" s="2" t="inlineStr">
        <is>
          <t>32012R1025</t>
        </is>
      </c>
      <c r="D698" s="2" t="inlineStr">
        <is>
          <t>32025D0138</t>
        </is>
      </c>
      <c r="E698" s="2" t="inlineStr">
        <is>
          <t>implementing</t>
        </is>
      </c>
      <c r="F698" s="2" t="inlineStr">
        <is>
          <t>DEC_IMPL</t>
        </is>
      </c>
      <c r="G698" s="2" t="inlineStr">
        <is>
          <t>2025-01-28</t>
        </is>
      </c>
      <c r="H698" s="2" t="inlineStr">
        <is>
          <t>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is>
      </c>
      <c r="I698" s="2" t="inlineStr">
        <is>
          <t>no</t>
        </is>
      </c>
      <c r="J698" s="2" t="inlineStr">
        <is>
          <t>https://eur-lex.europa.eu/legal-content/EN/TXT/?uri=CELEX:32025D0138</t>
        </is>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t="inlineStr"/>
    </row>
    <row r="699">
      <c r="A699" s="2" t="n">
        <v>108</v>
      </c>
      <c r="B699" s="2" t="inlineStr">
        <is>
          <t>European Standardisation Regulation</t>
        </is>
      </c>
      <c r="C699" s="2" t="inlineStr">
        <is>
          <t>32012R1025</t>
        </is>
      </c>
      <c r="D699" s="2" t="inlineStr">
        <is>
          <t>32025D0165</t>
        </is>
      </c>
      <c r="E699" s="2" t="inlineStr">
        <is>
          <t>implementing</t>
        </is>
      </c>
      <c r="F699" s="2" t="inlineStr">
        <is>
          <t>DEC_IMPL</t>
        </is>
      </c>
      <c r="G699" s="2" t="inlineStr">
        <is>
          <t>2025-01-30</t>
        </is>
      </c>
      <c r="H699" s="2" t="inlineStr">
        <is>
          <t>Commission Implementing Decision (EU) 2025/165 of 30 January 2025 on the harmonised standards for pressure equipment drafted in support of Directive 2014/68/EU of the European Parliament and of the Council</t>
        </is>
      </c>
      <c r="I699" s="2" t="inlineStr">
        <is>
          <t>no</t>
        </is>
      </c>
      <c r="J699" s="2" t="inlineStr">
        <is>
          <t>https://eur-lex.europa.eu/legal-content/EN/TXT/?uri=CELEX:32025D0165</t>
        </is>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t="inlineStr"/>
    </row>
    <row r="700">
      <c r="A700" s="2" t="n">
        <v>108</v>
      </c>
      <c r="B700" s="2" t="inlineStr">
        <is>
          <t>European Standardisation Regulation</t>
        </is>
      </c>
      <c r="C700" s="2" t="inlineStr">
        <is>
          <t>32012R1025</t>
        </is>
      </c>
      <c r="D700" s="2" t="inlineStr">
        <is>
          <t>32025D0286</t>
        </is>
      </c>
      <c r="E700" s="2" t="inlineStr">
        <is>
          <t>implementing</t>
        </is>
      </c>
      <c r="F700" s="2" t="inlineStr">
        <is>
          <t>DEC_IMPL</t>
        </is>
      </c>
      <c r="G700" s="2" t="inlineStr">
        <is>
          <t>2025-02-13</t>
        </is>
      </c>
      <c r="H700" s="2" t="inlineStr">
        <is>
          <t>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is>
      </c>
      <c r="I700" s="2" t="inlineStr">
        <is>
          <t>no</t>
        </is>
      </c>
      <c r="J700" s="2" t="inlineStr">
        <is>
          <t>https://eur-lex.europa.eu/legal-content/EN/TXT/?uri=CELEX:32025D0286</t>
        </is>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t="inlineStr"/>
    </row>
    <row r="701">
      <c r="A701" s="2" t="n">
        <v>108</v>
      </c>
      <c r="B701" s="2" t="inlineStr">
        <is>
          <t>European Standardisation Regulation</t>
        </is>
      </c>
      <c r="C701" s="2" t="inlineStr">
        <is>
          <t>32012R1025</t>
        </is>
      </c>
      <c r="D701" s="2" t="inlineStr">
        <is>
          <t>32025D0337</t>
        </is>
      </c>
      <c r="E701" s="2" t="inlineStr">
        <is>
          <t>implementing</t>
        </is>
      </c>
      <c r="F701" s="2" t="inlineStr">
        <is>
          <t>DEC_IMPL</t>
        </is>
      </c>
      <c r="G701" s="2" t="inlineStr">
        <is>
          <t>2025-02-20</t>
        </is>
      </c>
      <c r="H701" s="2" t="inlineStr">
        <is>
          <t>Commission Implementing Decision (EU) 2025/337 of 20 February 2025 on the harmonised standards for pyrotechnic articles drafted in support of Directive 2013/29/EU of the European Parliament and of the Council</t>
        </is>
      </c>
      <c r="I701" s="2" t="inlineStr">
        <is>
          <t>no</t>
        </is>
      </c>
      <c r="J701" s="2" t="inlineStr">
        <is>
          <t>https://eur-lex.europa.eu/legal-content/EN/TXT/?uri=CELEX:32025D0337</t>
        </is>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t="inlineStr"/>
    </row>
    <row r="702">
      <c r="A702" s="2" t="n">
        <v>108</v>
      </c>
      <c r="B702" s="2" t="inlineStr">
        <is>
          <t>European Standardisation Regulation</t>
        </is>
      </c>
      <c r="C702" s="2" t="inlineStr">
        <is>
          <t>32012R1025</t>
        </is>
      </c>
      <c r="D702" s="2" t="inlineStr">
        <is>
          <t>32025D0375</t>
        </is>
      </c>
      <c r="E702" s="2" t="inlineStr">
        <is>
          <t>implementing</t>
        </is>
      </c>
      <c r="F702" s="2" t="inlineStr">
        <is>
          <t>DEC_IMPL</t>
        </is>
      </c>
      <c r="G702" s="2" t="inlineStr">
        <is>
          <t>2025-02-26</t>
        </is>
      </c>
      <c r="H702" s="2" t="inlineStr">
        <is>
          <t>Commission Implementing Decision (EU) 2025/375 of 26 February 2025 amending Implementing Decision (EU) 2021/1402 as regards harmonised standards for gas meters and gas volume conversion devices drafted in support of Directive 2014/32/EU of the European Parliament and of the Council</t>
        </is>
      </c>
      <c r="I702" s="2" t="inlineStr">
        <is>
          <t>no</t>
        </is>
      </c>
      <c r="J702" s="2" t="inlineStr">
        <is>
          <t>https://eur-lex.europa.eu/legal-content/EN/TXT/?uri=CELEX:32025D0375</t>
        </is>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t="inlineStr"/>
    </row>
    <row r="703">
      <c r="A703" s="2" t="n">
        <v>108</v>
      </c>
      <c r="B703" s="2" t="inlineStr">
        <is>
          <t>European Standardisation Regulation</t>
        </is>
      </c>
      <c r="C703" s="2" t="inlineStr">
        <is>
          <t>32012R1025</t>
        </is>
      </c>
      <c r="D703" s="2" t="inlineStr">
        <is>
          <t>32025D0424</t>
        </is>
      </c>
      <c r="E703" s="2" t="inlineStr">
        <is>
          <t>implementing</t>
        </is>
      </c>
      <c r="F703" s="2" t="inlineStr">
        <is>
          <t>DEC_IMPL</t>
        </is>
      </c>
      <c r="G703" s="2" t="inlineStr">
        <is>
          <t>2025-03-04</t>
        </is>
      </c>
      <c r="H703" s="2" t="inlineStr">
        <is>
          <t>Commission Implementing Decision (EU) 2025/424 of 4 March 2025 amending Implementing Decision (EU) 2023/2584 as regards an update of the referenced standards and the addition of new referenced standards</t>
        </is>
      </c>
      <c r="I703" s="2" t="inlineStr">
        <is>
          <t>no</t>
        </is>
      </c>
      <c r="J703" s="2" t="inlineStr">
        <is>
          <t>https://eur-lex.europa.eu/legal-content/EN/TXT/?uri=CELEX:32025D0424</t>
        </is>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t="inlineStr"/>
    </row>
    <row r="704">
      <c r="A704" s="2" t="n">
        <v>108</v>
      </c>
      <c r="B704" s="2" t="inlineStr">
        <is>
          <t>European Standardisation Regulation</t>
        </is>
      </c>
      <c r="C704" s="2" t="inlineStr">
        <is>
          <t>32012R1025</t>
        </is>
      </c>
      <c r="D704" s="2" t="inlineStr">
        <is>
          <t>32025D0533</t>
        </is>
      </c>
      <c r="E704" s="2" t="inlineStr">
        <is>
          <t>implementing</t>
        </is>
      </c>
      <c r="F704" s="2" t="inlineStr">
        <is>
          <t>DEC_IMPL</t>
        </is>
      </c>
      <c r="G704" s="2" t="inlineStr">
        <is>
          <t>2025-03-25</t>
        </is>
      </c>
      <c r="H704" s="2" t="inlineStr">
        <is>
          <t>Commission Implementing Decision (EU) 2025/533 of 25 March 2025 on a harmonised standard for refrigerating appliances with a direct sales function drafted in support of Delegated Regulation (EU) 2019/2018 and Regulation (EU) 2019/2024</t>
        </is>
      </c>
      <c r="I704" s="2" t="inlineStr">
        <is>
          <t>no</t>
        </is>
      </c>
      <c r="J704" s="2" t="inlineStr">
        <is>
          <t>https://eur-lex.europa.eu/legal-content/EN/TXT/?uri=CELEX:32025D0533</t>
        </is>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t="inlineStr"/>
    </row>
    <row r="705">
      <c r="A705" s="2" t="n">
        <v>108</v>
      </c>
      <c r="B705" s="2" t="inlineStr">
        <is>
          <t>European Standardisation Regulation</t>
        </is>
      </c>
      <c r="C705" s="2" t="inlineStr">
        <is>
          <t>32012R1025</t>
        </is>
      </c>
      <c r="D705" s="2" t="inlineStr">
        <is>
          <t>32025D0597</t>
        </is>
      </c>
      <c r="E705" s="2" t="inlineStr">
        <is>
          <t>implementing</t>
        </is>
      </c>
      <c r="F705" s="2" t="inlineStr">
        <is>
          <t>DEC_IMPL</t>
        </is>
      </c>
      <c r="G705" s="2" t="inlineStr">
        <is>
          <t>2025-03-28</t>
        </is>
      </c>
      <c r="H705" s="2" t="inlineStr">
        <is>
          <t>Commission Implementing Decision (EU) 2025/597 of 28 March 2025 amending Implementing Decision (EU) 2022/1668 as regards harmonised standard on explosion prevention and protection in underground mines - equipment and protective systems for firedamp drainage</t>
        </is>
      </c>
      <c r="I705" s="2" t="inlineStr">
        <is>
          <t>no</t>
        </is>
      </c>
      <c r="J705" s="2" t="inlineStr">
        <is>
          <t>https://eur-lex.europa.eu/legal-content/EN/TXT/?uri=CELEX:32025D0597</t>
        </is>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t="inlineStr"/>
    </row>
    <row r="706">
      <c r="A706" s="2" t="n">
        <v>108</v>
      </c>
      <c r="B706" s="2" t="inlineStr">
        <is>
          <t>European Standardisation Regulation</t>
        </is>
      </c>
      <c r="C706" s="2" t="inlineStr">
        <is>
          <t>32012R1025</t>
        </is>
      </c>
      <c r="D706" s="2" t="inlineStr">
        <is>
          <t>32025D0679</t>
        </is>
      </c>
      <c r="E706" s="2" t="inlineStr">
        <is>
          <t>implementing</t>
        </is>
      </c>
      <c r="F706" s="2" t="inlineStr">
        <is>
          <t>DEC_IMPL</t>
        </is>
      </c>
      <c r="G706" s="2" t="inlineStr">
        <is>
          <t>2025-04-08</t>
        </is>
      </c>
      <c r="H706" s="2" t="inlineStr">
        <is>
          <t>Commission Implementing Decision (EU) 2025/679 of 8 April 2025 amending Implementing Decision (EU) 2021/1195 as regards harmonised standards for sterilization of medical devices</t>
        </is>
      </c>
      <c r="I706" s="2" t="inlineStr">
        <is>
          <t>no</t>
        </is>
      </c>
      <c r="J706" s="2" t="inlineStr">
        <is>
          <t>https://eur-lex.europa.eu/legal-content/EN/TXT/?uri=CELEX:32025D0679</t>
        </is>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t="inlineStr"/>
    </row>
    <row r="707">
      <c r="A707" s="2" t="n">
        <v>108</v>
      </c>
      <c r="B707" s="2" t="inlineStr">
        <is>
          <t>European Standardisation Regulation</t>
        </is>
      </c>
      <c r="C707" s="2" t="inlineStr">
        <is>
          <t>32012R1025</t>
        </is>
      </c>
      <c r="D707" s="2" t="inlineStr">
        <is>
          <t>32025D0681</t>
        </is>
      </c>
      <c r="E707" s="2" t="inlineStr">
        <is>
          <t>implementing</t>
        </is>
      </c>
      <c r="F707" s="2" t="inlineStr">
        <is>
          <t>DEC_IMPL</t>
        </is>
      </c>
      <c r="G707" s="2" t="inlineStr">
        <is>
          <t>2025-04-08</t>
        </is>
      </c>
      <c r="H707" s="2" t="inlineStr">
        <is>
          <t>Commission Implementing Decision (EU) 2025/681 of 8 April 2025 amending Implementing Decision (EU) 2021/1182 as regards harmonised standards for medical gloves for single use, sterilization of medical devices and patient handling equipment used in ambulances</t>
        </is>
      </c>
      <c r="I707" s="2" t="inlineStr">
        <is>
          <t>no</t>
        </is>
      </c>
      <c r="J707" s="2" t="inlineStr">
        <is>
          <t>https://eur-lex.europa.eu/legal-content/EN/TXT/?uri=CELEX:32025D0681</t>
        </is>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t="inlineStr"/>
    </row>
    <row r="708">
      <c r="A708" s="2" t="n">
        <v>108</v>
      </c>
      <c r="B708" s="2" t="inlineStr">
        <is>
          <t>European Standardisation Regulation</t>
        </is>
      </c>
      <c r="C708" s="2" t="inlineStr">
        <is>
          <t>32012R1025</t>
        </is>
      </c>
      <c r="D708" s="2" t="inlineStr">
        <is>
          <t>32025D0893</t>
        </is>
      </c>
      <c r="E708" s="2" t="inlineStr">
        <is>
          <t>implementing</t>
        </is>
      </c>
      <c r="F708" s="2" t="inlineStr">
        <is>
          <t>DEC_IMPL</t>
        </is>
      </c>
      <c r="G708" s="2" t="inlineStr">
        <is>
          <t>2025-05-14</t>
        </is>
      </c>
      <c r="H708" s="2" t="inlineStr">
        <is>
          <t>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is>
      </c>
      <c r="I708" s="2" t="inlineStr">
        <is>
          <t>no</t>
        </is>
      </c>
      <c r="J708" s="2" t="inlineStr">
        <is>
          <t>https://eur-lex.europa.eu/legal-content/EN/TXT/?uri=CELEX:32025D0893</t>
        </is>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t="inlineStr"/>
    </row>
    <row r="709">
      <c r="A709" s="2" t="n">
        <v>108</v>
      </c>
      <c r="B709" s="2" t="inlineStr">
        <is>
          <t>European Standardisation Regulation</t>
        </is>
      </c>
      <c r="C709" s="2" t="inlineStr">
        <is>
          <t>32012R1025</t>
        </is>
      </c>
      <c r="D709" s="2" t="inlineStr">
        <is>
          <t>32025D0895</t>
        </is>
      </c>
      <c r="E709" s="2" t="inlineStr">
        <is>
          <t>implementing</t>
        </is>
      </c>
      <c r="F709" s="2" t="inlineStr">
        <is>
          <t>DEC_IMPL</t>
        </is>
      </c>
      <c r="G709" s="2" t="inlineStr">
        <is>
          <t>2025-05-14</t>
        </is>
      </c>
      <c r="H709" s="2" t="inlineStr">
        <is>
          <t>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is>
      </c>
      <c r="I709" s="2" t="inlineStr">
        <is>
          <t>no</t>
        </is>
      </c>
      <c r="J709" s="2" t="inlineStr">
        <is>
          <t>https://eur-lex.europa.eu/legal-content/EN/TXT/?uri=CELEX:32025D0895</t>
        </is>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t="inlineStr"/>
    </row>
    <row r="710">
      <c r="A710" s="2" t="n">
        <v>108</v>
      </c>
      <c r="B710" s="2" t="inlineStr">
        <is>
          <t>European Standardisation Regulation</t>
        </is>
      </c>
      <c r="C710" s="2" t="inlineStr">
        <is>
          <t>32012R1025</t>
        </is>
      </c>
      <c r="D710" s="2" t="inlineStr">
        <is>
          <t>32025D1457</t>
        </is>
      </c>
      <c r="E710" s="2" t="inlineStr">
        <is>
          <t>implementing</t>
        </is>
      </c>
      <c r="F710" s="2" t="inlineStr">
        <is>
          <t>DEC_IMPL</t>
        </is>
      </c>
      <c r="G710" s="2" t="inlineStr">
        <is>
          <t>2025-07-16</t>
        </is>
      </c>
      <c r="H710" s="2" t="inlineStr">
        <is>
          <t>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is>
      </c>
      <c r="I710" s="2" t="inlineStr">
        <is>
          <t>no</t>
        </is>
      </c>
      <c r="J710" s="2" t="inlineStr">
        <is>
          <t>https://eur-lex.europa.eu/legal-content/EN/TXT/?uri=CELEX:32025D1457</t>
        </is>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t="inlineStr"/>
    </row>
    <row r="711">
      <c r="A711" s="2" t="n">
        <v>108</v>
      </c>
      <c r="B711" s="2" t="inlineStr">
        <is>
          <t>European Standardisation Regulation</t>
        </is>
      </c>
      <c r="C711" s="2" t="inlineStr">
        <is>
          <t>32012R1025</t>
        </is>
      </c>
      <c r="D711" s="2" t="inlineStr">
        <is>
          <t>32025D1464</t>
        </is>
      </c>
      <c r="E711" s="2" t="inlineStr">
        <is>
          <t>implementing</t>
        </is>
      </c>
      <c r="F711" s="2" t="inlineStr">
        <is>
          <t>DEC_IMPL</t>
        </is>
      </c>
      <c r="G711" s="2" t="inlineStr">
        <is>
          <t>2025-07-17</t>
        </is>
      </c>
      <c r="H711" s="2" t="inlineStr">
        <is>
          <t>Commission Implementing Decision (EU) 2025/1464 of 17 July 2025 on the harmonised standard EN 60335-2-14:2006 on particular requirements for kitchen machines drafted in support of Directive 2014/35/EU of the European Parliament and the Council</t>
        </is>
      </c>
      <c r="I711" s="2" t="inlineStr">
        <is>
          <t>no</t>
        </is>
      </c>
      <c r="J711" s="2" t="inlineStr">
        <is>
          <t>https://eur-lex.europa.eu/legal-content/EN/TXT/?uri=CELEX:32025D1464</t>
        </is>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t="inlineStr"/>
    </row>
    <row r="712">
      <c r="A712" s="2" t="n">
        <v>108</v>
      </c>
      <c r="B712" s="2" t="inlineStr">
        <is>
          <t>European Standardisation Regulation</t>
        </is>
      </c>
      <c r="C712" s="2" t="inlineStr">
        <is>
          <t>32012R1025</t>
        </is>
      </c>
      <c r="D712" s="2" t="inlineStr">
        <is>
          <t>32025D1488</t>
        </is>
      </c>
      <c r="E712" s="2" t="inlineStr">
        <is>
          <t>implementing</t>
        </is>
      </c>
      <c r="F712" s="2" t="inlineStr">
        <is>
          <t>DEC_IMPL</t>
        </is>
      </c>
      <c r="G712" s="2" t="inlineStr">
        <is>
          <t>2025-07-22</t>
        </is>
      </c>
      <c r="H712" s="2" t="inlineStr">
        <is>
          <t>Commission Implementing Decision (EU) 2025/1488 of 22 July 2025 amending Implementing Decision (EU) 2023/2723 as regards harmonised standards for flat flexible cables and charging cables for electric vehicles</t>
        </is>
      </c>
      <c r="I712" s="2" t="inlineStr">
        <is>
          <t>no</t>
        </is>
      </c>
      <c r="J712" s="2" t="inlineStr">
        <is>
          <t>https://eur-lex.europa.eu/legal-content/EN/TXT/?uri=CELEX:32025D1488</t>
        </is>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t="inlineStr"/>
    </row>
    <row r="713">
      <c r="A713" s="2" t="n">
        <v>108</v>
      </c>
      <c r="B713" s="2" t="inlineStr">
        <is>
          <t>European Standardisation Regulation</t>
        </is>
      </c>
      <c r="C713" s="2" t="inlineStr">
        <is>
          <t>32012R1025</t>
        </is>
      </c>
      <c r="D713" s="2" t="inlineStr">
        <is>
          <t>32025D1740</t>
        </is>
      </c>
      <c r="E713" s="2" t="inlineStr">
        <is>
          <t>implementing</t>
        </is>
      </c>
      <c r="F713" s="2" t="inlineStr">
        <is>
          <t>DEC_IMPL</t>
        </is>
      </c>
      <c r="G713" s="2" t="inlineStr">
        <is>
          <t>2025-08-13</t>
        </is>
      </c>
      <c r="H713" s="2" t="inlineStr">
        <is>
          <t>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is>
      </c>
      <c r="I713" s="2" t="inlineStr">
        <is>
          <t>no</t>
        </is>
      </c>
      <c r="J713" s="2" t="inlineStr">
        <is>
          <t>https://eur-lex.europa.eu/legal-content/EN/TXT/?uri=CELEX:32025D1740</t>
        </is>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t="inlineStr"/>
    </row>
    <row r="714">
      <c r="A714" s="2" t="n">
        <v>108</v>
      </c>
      <c r="B714" s="2" t="inlineStr">
        <is>
          <t>European Standardisation Regulation</t>
        </is>
      </c>
      <c r="C714" s="2" t="inlineStr">
        <is>
          <t>32012R1025</t>
        </is>
      </c>
      <c r="D714" s="2" t="inlineStr">
        <is>
          <t>32025D1741</t>
        </is>
      </c>
      <c r="E714" s="2" t="inlineStr">
        <is>
          <t>implementing</t>
        </is>
      </c>
      <c r="F714" s="2" t="inlineStr">
        <is>
          <t>DEC_IMPL</t>
        </is>
      </c>
      <c r="G714" s="2" t="inlineStr">
        <is>
          <t>2025-08-13</t>
        </is>
      </c>
      <c r="H714" s="2" t="inlineStr">
        <is>
          <t>Commission Implementing Decision (EU) 2025/1741 of 13 August 2025 amending Implementing Decision (EU) 2022/2191 as regards harmonised standards for wireless digital video links, satellite earth stations and systems, base stations and short range devices</t>
        </is>
      </c>
      <c r="I714" s="2" t="inlineStr">
        <is>
          <t>no</t>
        </is>
      </c>
      <c r="J714" s="2" t="inlineStr">
        <is>
          <t>https://eur-lex.europa.eu/legal-content/EN/TXT/?uri=CELEX:32025D1741</t>
        </is>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t="inlineStr"/>
    </row>
    <row r="715">
      <c r="A715" s="2" t="n">
        <v>108</v>
      </c>
      <c r="B715" s="2" t="inlineStr">
        <is>
          <t>European Standardisation Regulation</t>
        </is>
      </c>
      <c r="C715" s="2" t="inlineStr">
        <is>
          <t>32012R1025</t>
        </is>
      </c>
      <c r="D715" s="2" t="inlineStr">
        <is>
          <t>32025D1793</t>
        </is>
      </c>
      <c r="E715" s="2" t="inlineStr">
        <is>
          <t>implementing</t>
        </is>
      </c>
      <c r="F715" s="2" t="inlineStr">
        <is>
          <t>DEC_IMPL</t>
        </is>
      </c>
      <c r="G715" s="2" t="inlineStr">
        <is>
          <t>2025-09-10</t>
        </is>
      </c>
      <c r="H715" s="2" t="inlineStr">
        <is>
          <t>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is>
      </c>
      <c r="I715" s="2" t="inlineStr">
        <is>
          <t>no</t>
        </is>
      </c>
      <c r="J715" s="2" t="inlineStr">
        <is>
          <t>https://eur-lex.europa.eu/legal-content/EN/TXT/?uri=CELEX:32025D1793</t>
        </is>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t="inlineStr"/>
    </row>
    <row r="716">
      <c r="A716" s="2" t="n">
        <v>108</v>
      </c>
      <c r="B716" s="2" t="inlineStr">
        <is>
          <t>European Standardisation Regulation</t>
        </is>
      </c>
      <c r="C716" s="2" t="inlineStr">
        <is>
          <t>32012R1025</t>
        </is>
      </c>
      <c r="D716" s="2" t="inlineStr">
        <is>
          <t>32025D1810</t>
        </is>
      </c>
      <c r="E716" s="2" t="inlineStr">
        <is>
          <t>implementing</t>
        </is>
      </c>
      <c r="F716" s="2" t="inlineStr">
        <is>
          <t>DEC_IMPL</t>
        </is>
      </c>
      <c r="G716" s="2" t="inlineStr">
        <is>
          <t>2025-09-11</t>
        </is>
      </c>
      <c r="H716" s="2" t="inlineStr">
        <is>
          <t>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is>
      </c>
      <c r="I716" s="2" t="inlineStr">
        <is>
          <t>no</t>
        </is>
      </c>
      <c r="J716" s="2" t="inlineStr">
        <is>
          <t>https://eur-lex.europa.eu/legal-content/EN/TXT/?uri=CELEX:32025D1810</t>
        </is>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t="inlineStr"/>
    </row>
    <row r="717">
      <c r="A717" s="2" t="n">
        <v>108</v>
      </c>
      <c r="B717" s="2" t="inlineStr">
        <is>
          <t>European Standardisation Regulation</t>
        </is>
      </c>
      <c r="C717" s="2" t="inlineStr">
        <is>
          <t>32012R1025</t>
        </is>
      </c>
      <c r="D717" s="2" t="inlineStr">
        <is>
          <t>32025D1939</t>
        </is>
      </c>
      <c r="E717" s="2" t="inlineStr">
        <is>
          <t>implementing</t>
        </is>
      </c>
      <c r="F717" s="2" t="inlineStr">
        <is>
          <t>DEC_IMPL</t>
        </is>
      </c>
      <c r="G717" s="2" t="inlineStr">
        <is>
          <t>2025-09-24</t>
        </is>
      </c>
      <c r="H717" s="2" t="inlineStr">
        <is>
          <t>Commission Implementing Decision (EU) 2025/1939 of 24 September 2025 amending Implementing Decision (EU) 2021/1402 as regards harmonised standards for thermal energy meters drafted in support of Directive 2014/32/EU of the European Parliament and of the Council</t>
        </is>
      </c>
      <c r="I717" s="2" t="inlineStr">
        <is>
          <t>no</t>
        </is>
      </c>
      <c r="J717" s="2" t="inlineStr">
        <is>
          <t>https://eur-lex.europa.eu/legal-content/EN/TXT/?uri=CELEX:32025D1939</t>
        </is>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t="inlineStr"/>
    </row>
    <row r="718">
      <c r="A718" s="2" t="n">
        <v>108</v>
      </c>
      <c r="B718" s="2" t="inlineStr">
        <is>
          <t>European Standardisation Regulation</t>
        </is>
      </c>
      <c r="C718" s="2" t="inlineStr">
        <is>
          <t>32012R1025</t>
        </is>
      </c>
      <c r="D718" s="2" t="inlineStr">
        <is>
          <t>32025D2026</t>
        </is>
      </c>
      <c r="E718" s="2" t="inlineStr">
        <is>
          <t>implementing</t>
        </is>
      </c>
      <c r="F718" s="2" t="inlineStr">
        <is>
          <t>DEC_IMPL</t>
        </is>
      </c>
      <c r="G718" s="2" t="inlineStr">
        <is>
          <t>2025-10-09</t>
        </is>
      </c>
      <c r="H718" s="2" t="inlineStr">
        <is>
          <t>Commission Implementing Decision (EU) 2025/2026 of 9 October 2025 amending Implementing Decision (EU) 2024/2387 as regards a reference to the harmonised standard EN 17836:2024 Fertilizers – Description of the forms of the physical unit</t>
        </is>
      </c>
      <c r="I718" s="2" t="inlineStr">
        <is>
          <t>no</t>
        </is>
      </c>
      <c r="J718" s="2" t="inlineStr">
        <is>
          <t>https://eur-lex.europa.eu/legal-content/EN/TXT/?uri=CELEX:32025D2026</t>
        </is>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t="inlineStr"/>
    </row>
    <row r="719">
      <c r="A719" s="2" t="n">
        <v>108</v>
      </c>
      <c r="B719" s="2" t="inlineStr">
        <is>
          <t>European Standardisation Regulation</t>
        </is>
      </c>
      <c r="C719" s="2" t="inlineStr">
        <is>
          <t>32012R1025</t>
        </is>
      </c>
      <c r="D719" s="2" t="inlineStr">
        <is>
          <t>32025D2078</t>
        </is>
      </c>
      <c r="E719" s="2" t="inlineStr">
        <is>
          <t>implementing</t>
        </is>
      </c>
      <c r="F719" s="2" t="inlineStr">
        <is>
          <t>DEC_IMPL</t>
        </is>
      </c>
      <c r="G719" s="2" t="inlineStr">
        <is>
          <t>2025-10-17</t>
        </is>
      </c>
      <c r="H719" s="2" t="inlineStr">
        <is>
          <t>Commission Implementing Decision (EU) 2025/2078 of 17 October 2025 amending Implementing Decision (EU) 2021/1182 as regards harmonised standards for surgical clothing and drapes, medical face masks and sterilizers for medical purposes</t>
        </is>
      </c>
      <c r="I719" s="2" t="inlineStr">
        <is>
          <t>no</t>
        </is>
      </c>
      <c r="J719" s="2" t="inlineStr">
        <is>
          <t>https://eur-lex.europa.eu/legal-content/EN/TXT/?uri=CELEX:32025D2078</t>
        </is>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t="inlineStr"/>
    </row>
    <row r="720">
      <c r="A720" s="2" t="n">
        <v>108</v>
      </c>
      <c r="B720" s="2" t="inlineStr">
        <is>
          <t>European Standardisation Regulation</t>
        </is>
      </c>
      <c r="C720" s="2" t="inlineStr">
        <is>
          <t>32012R1025</t>
        </is>
      </c>
      <c r="D720" s="2" t="inlineStr">
        <is>
          <t>32025D2383</t>
        </is>
      </c>
      <c r="E720" s="2" t="inlineStr">
        <is>
          <t>implementing</t>
        </is>
      </c>
      <c r="F720" s="2" t="inlineStr">
        <is>
          <t>DEC_IMPL</t>
        </is>
      </c>
      <c r="G720" s="2" t="inlineStr">
        <is>
          <t>2025-11-25</t>
        </is>
      </c>
      <c r="H720" s="2" t="inlineStr">
        <is>
          <t>Commission Implementing Decision (EU) 2025/2383 of 25 November 2025 amending Implementing Decision (EU) 2021/76 as regards the harmonised standard on safety rules for the construction and installation of lifts regarding the evacuation of persons with disabilities using lifts</t>
        </is>
      </c>
      <c r="I720" s="2" t="inlineStr">
        <is>
          <t>no</t>
        </is>
      </c>
      <c r="J720" s="2" t="inlineStr">
        <is>
          <t>https://eur-lex.europa.eu/legal-content/EN/TXT/?uri=CELEX:32025D2383</t>
        </is>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t="inlineStr"/>
    </row>
    <row r="721">
      <c r="A721" s="2" t="n">
        <v>108</v>
      </c>
      <c r="B721" s="2" t="inlineStr">
        <is>
          <t>European Standardisation Regulation</t>
        </is>
      </c>
      <c r="C721" s="2" t="inlineStr">
        <is>
          <t>32012R1025</t>
        </is>
      </c>
      <c r="D721" s="2" t="inlineStr">
        <is>
          <t>32025D2499</t>
        </is>
      </c>
      <c r="E721" s="2" t="inlineStr">
        <is>
          <t>implementing</t>
        </is>
      </c>
      <c r="F721" s="2" t="inlineStr">
        <is>
          <t>DEC_IMPL</t>
        </is>
      </c>
      <c r="G721" s="2" t="inlineStr">
        <is>
          <t>2025-12-09</t>
        </is>
      </c>
      <c r="H721" s="2" t="inlineStr">
        <is>
          <t>Commission Implementing Decision (EU) 2025/2499 of 9 December 2025 amending Implementing Decision (EU) 2022/2191 as regards harmonised standards for short range devices and mobile communication on board aircraft systems</t>
        </is>
      </c>
      <c r="I721" s="2" t="inlineStr">
        <is>
          <t>no</t>
        </is>
      </c>
      <c r="J721" s="2" t="inlineStr">
        <is>
          <t>https://eur-lex.europa.eu/legal-content/EN/TXT/?uri=CELEX:32025D2499</t>
        </is>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t="inlineStr"/>
    </row>
    <row r="722">
      <c r="A722" s="2" t="n">
        <v>108</v>
      </c>
      <c r="B722" s="2" t="inlineStr">
        <is>
          <t>European Standardisation Regulation</t>
        </is>
      </c>
      <c r="C722" s="2" t="inlineStr">
        <is>
          <t>32012R1025</t>
        </is>
      </c>
      <c r="D722" s="2" t="inlineStr">
        <is>
          <t>32025D2519</t>
        </is>
      </c>
      <c r="E722" s="2" t="inlineStr">
        <is>
          <t>implementing</t>
        </is>
      </c>
      <c r="F722" s="2" t="inlineStr">
        <is>
          <t>DEC_IMPL</t>
        </is>
      </c>
      <c r="G722" s="2" t="inlineStr">
        <is>
          <t>2025-12-15</t>
        </is>
      </c>
      <c r="H722" s="2" t="inlineStr">
        <is>
          <t>Commission Implementing Decision (EU) 2025/2519 of 15 December 2025 amending Implementing Decision (EU) 2023/740 as regards harmonised standards for olfactory board games, cosmetic kits and gustative games and on migration of certain elements from toys</t>
        </is>
      </c>
      <c r="I722" s="2" t="inlineStr">
        <is>
          <t>no</t>
        </is>
      </c>
      <c r="J722" s="2" t="inlineStr">
        <is>
          <t>https://eur-lex.europa.eu/legal-content/EN/TXT/?uri=CELEX:32025D2519</t>
        </is>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t="inlineStr"/>
    </row>
    <row r="723">
      <c r="A723" s="2" t="n">
        <v>108</v>
      </c>
      <c r="B723" s="2" t="inlineStr">
        <is>
          <t>European Standardisation Regulation</t>
        </is>
      </c>
      <c r="C723" s="2" t="inlineStr">
        <is>
          <t>32012R1025</t>
        </is>
      </c>
      <c r="D723" s="2" t="inlineStr">
        <is>
          <t>32026D0079</t>
        </is>
      </c>
      <c r="E723" s="2" t="inlineStr">
        <is>
          <t>implementing</t>
        </is>
      </c>
      <c r="F723" s="2" t="inlineStr">
        <is>
          <t>DEC_IMPL</t>
        </is>
      </c>
      <c r="G723" s="2" t="inlineStr">
        <is>
          <t>2026-01-12</t>
        </is>
      </c>
      <c r="H723" s="2" t="inlineStr">
        <is>
          <t>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is>
      </c>
      <c r="I723" s="2" t="inlineStr">
        <is>
          <t>no</t>
        </is>
      </c>
      <c r="J723" s="2" t="inlineStr">
        <is>
          <t>https://eur-lex.europa.eu/legal-content/EN/TXT/?uri=CELEX:32026D0079</t>
        </is>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t="inlineStr"/>
    </row>
    <row r="724">
      <c r="A724" s="2" t="n">
        <v>108</v>
      </c>
      <c r="B724" s="2" t="inlineStr">
        <is>
          <t>European Standardisation Regulation</t>
        </is>
      </c>
      <c r="C724" s="2" t="inlineStr">
        <is>
          <t>32012R1025</t>
        </is>
      </c>
      <c r="D724" s="2" t="inlineStr">
        <is>
          <t>32026D0082</t>
        </is>
      </c>
      <c r="E724" s="2" t="inlineStr">
        <is>
          <t>implementing</t>
        </is>
      </c>
      <c r="F724" s="2" t="inlineStr">
        <is>
          <t>DEC_IMPL</t>
        </is>
      </c>
      <c r="G724" s="2" t="inlineStr">
        <is>
          <t>2026-01-13</t>
        </is>
      </c>
      <c r="H724" s="2" t="inlineStr">
        <is>
          <t>Commission Implementing Decision (EU) 2026/82 of 13 January 2026 amending Implementing Decision (EU) 2022/1668 as regards harmonised standard on general purpose offshore cranes</t>
        </is>
      </c>
      <c r="I724" s="2" t="inlineStr">
        <is>
          <t>no</t>
        </is>
      </c>
      <c r="J724" s="2" t="inlineStr">
        <is>
          <t>https://eur-lex.europa.eu/legal-content/EN/TXT/?uri=CELEX:32026D0082</t>
        </is>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t="inlineStr"/>
    </row>
    <row r="725">
      <c r="A725" s="2" t="n">
        <v>108</v>
      </c>
      <c r="B725" s="2" t="inlineStr">
        <is>
          <t>European Standardisation Regulation</t>
        </is>
      </c>
      <c r="C725" s="2" t="inlineStr">
        <is>
          <t>32012R1025</t>
        </is>
      </c>
      <c r="D725" s="2" t="inlineStr">
        <is>
          <t>32026D0151</t>
        </is>
      </c>
      <c r="E725" s="2" t="inlineStr">
        <is>
          <t>implementing</t>
        </is>
      </c>
      <c r="F725" s="2" t="inlineStr">
        <is>
          <t>DEC_IMPL</t>
        </is>
      </c>
      <c r="G725" s="2" t="inlineStr">
        <is>
          <t>2026-01-23</t>
        </is>
      </c>
      <c r="H725" s="2" t="inlineStr">
        <is>
          <t>Commission Implementing Decision (EU) 2026/151 of 23 January 2026 on the harmonised standard for blast cabinets drafted in support of Regulation (EU) 2015/1095</t>
        </is>
      </c>
      <c r="I725" s="2" t="inlineStr">
        <is>
          <t>no</t>
        </is>
      </c>
      <c r="J725" s="2" t="inlineStr">
        <is>
          <t>https://eur-lex.europa.eu/legal-content/EN/TXT/?uri=CELEX:32026D0151</t>
        </is>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t="inlineStr"/>
    </row>
    <row r="726">
      <c r="A726" s="2" t="n">
        <v>108</v>
      </c>
      <c r="B726" s="2" t="inlineStr">
        <is>
          <t>European Standardisation Regulation</t>
        </is>
      </c>
      <c r="C726" s="2" t="inlineStr">
        <is>
          <t>32012R1025</t>
        </is>
      </c>
      <c r="D726" s="2" t="inlineStr">
        <is>
          <t>32026D0153</t>
        </is>
      </c>
      <c r="E726" s="2" t="inlineStr">
        <is>
          <t>implementing</t>
        </is>
      </c>
      <c r="F726" s="2" t="inlineStr">
        <is>
          <t>DEC_IMPL</t>
        </is>
      </c>
      <c r="G726" s="2" t="inlineStr">
        <is>
          <t>2026-01-23</t>
        </is>
      </c>
      <c r="H726" s="2" t="inlineStr">
        <is>
          <t>Commission Implementing Decision (EU) 2026/153 of 23 January 2026 on the harmonised standards for welding equipment drafted in support of Commission Regulation (EU) 2019/1784</t>
        </is>
      </c>
      <c r="I726" s="2" t="inlineStr">
        <is>
          <t>no</t>
        </is>
      </c>
      <c r="J726" s="2" t="inlineStr">
        <is>
          <t>https://eur-lex.europa.eu/legal-content/EN/TXT/?uri=CELEX:32026D0153</t>
        </is>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t="inlineStr"/>
    </row>
    <row r="727">
      <c r="A727" s="2" t="n">
        <v>108</v>
      </c>
      <c r="B727" s="2" t="inlineStr">
        <is>
          <t>European Standardisation Regulation</t>
        </is>
      </c>
      <c r="C727" s="2" t="inlineStr">
        <is>
          <t>32012R1025</t>
        </is>
      </c>
      <c r="D727" s="2" t="inlineStr">
        <is>
          <t>32026D0193</t>
        </is>
      </c>
      <c r="E727" s="2" t="inlineStr">
        <is>
          <t>implementing</t>
        </is>
      </c>
      <c r="F727" s="2" t="inlineStr">
        <is>
          <t>DEC_IMPL</t>
        </is>
      </c>
      <c r="G727" s="2" t="inlineStr">
        <is>
          <t>2026-01-28</t>
        </is>
      </c>
      <c r="H727" s="2" t="inlineStr">
        <is>
          <t>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is>
      </c>
      <c r="I727" s="2" t="inlineStr">
        <is>
          <t>no</t>
        </is>
      </c>
      <c r="J727" s="2" t="inlineStr">
        <is>
          <t>https://eur-lex.europa.eu/legal-content/EN/TXT/?uri=CELEX:32026D0193</t>
        </is>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t="inlineStr"/>
    </row>
    <row r="728">
      <c r="A728" s="2" t="n">
        <v>108</v>
      </c>
      <c r="B728" s="2" t="inlineStr">
        <is>
          <t>European Standardisation Regulation</t>
        </is>
      </c>
      <c r="C728" s="2" t="inlineStr">
        <is>
          <t>32012R1025</t>
        </is>
      </c>
      <c r="D728" s="2" t="inlineStr">
        <is>
          <t>32026D0197</t>
        </is>
      </c>
      <c r="E728" s="2" t="inlineStr">
        <is>
          <t>implementing</t>
        </is>
      </c>
      <c r="F728" s="2" t="inlineStr">
        <is>
          <t>DEC_IMPL</t>
        </is>
      </c>
      <c r="G728" s="2" t="inlineStr">
        <is>
          <t>2026-01-28</t>
        </is>
      </c>
      <c r="H728" s="2" t="inlineStr">
        <is>
          <t>Commission Implementing Decision (EU) 2026/197 of 28 January 2026 amending Implementing Decision (EU) 2021/1195 as regards harmonised standards for sterilization of health care products and information supplied by the manufacturer (labelling)</t>
        </is>
      </c>
      <c r="I728" s="2" t="inlineStr">
        <is>
          <t>no</t>
        </is>
      </c>
      <c r="J728" s="2" t="inlineStr">
        <is>
          <t>https://eur-lex.europa.eu/legal-content/EN/TXT/?uri=CELEX:32026D0197</t>
        </is>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t="inlineStr"/>
    </row>
    <row r="729">
      <c r="A729" s="2" t="n">
        <v>108</v>
      </c>
      <c r="B729" s="2" t="inlineStr">
        <is>
          <t>European Standardisation Regulation</t>
        </is>
      </c>
      <c r="C729" s="2" t="inlineStr">
        <is>
          <t>32012R1025</t>
        </is>
      </c>
      <c r="D729" s="2" t="inlineStr">
        <is>
          <t>32026D0375</t>
        </is>
      </c>
      <c r="E729" s="2" t="inlineStr">
        <is>
          <t>implementing</t>
        </is>
      </c>
      <c r="F729" s="2" t="inlineStr">
        <is>
          <t>DEC_IMPL</t>
        </is>
      </c>
      <c r="G729" s="2" t="inlineStr">
        <is>
          <t>2026-02-20</t>
        </is>
      </c>
      <c r="H729" s="2" t="inlineStr">
        <is>
          <t>Commission Implementing Decision (EU) 2026/375 of 20 February 2026 on harmonised standards drafted in support of Regulation (EC) No 765/2008 of the European Parliament and of the Council setting out the requirements for accreditation</t>
        </is>
      </c>
      <c r="I729" s="2" t="inlineStr">
        <is>
          <t>no</t>
        </is>
      </c>
      <c r="J729" s="2" t="inlineStr">
        <is>
          <t>https://eur-lex.europa.eu/legal-content/EN/TXT/?uri=CELEX:32026D0375</t>
        </is>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t="inlineStr"/>
    </row>
    <row r="730">
      <c r="A730" s="2" t="n">
        <v>108</v>
      </c>
      <c r="B730" s="2" t="inlineStr">
        <is>
          <t>European Standardisation Regulation</t>
        </is>
      </c>
      <c r="C730" s="2" t="inlineStr">
        <is>
          <t>32012R1025</t>
        </is>
      </c>
      <c r="D730" s="2" t="inlineStr">
        <is>
          <t>32026D0546</t>
        </is>
      </c>
      <c r="E730" s="2" t="inlineStr">
        <is>
          <t>implementing</t>
        </is>
      </c>
      <c r="F730" s="2" t="inlineStr">
        <is>
          <t>DEC_IMPL</t>
        </is>
      </c>
      <c r="G730" s="2" t="inlineStr">
        <is>
          <t>2026-03-12</t>
        </is>
      </c>
      <c r="H730" s="2" t="inlineStr">
        <is>
          <t>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is>
      </c>
      <c r="I730" s="2" t="inlineStr">
        <is>
          <t>no</t>
        </is>
      </c>
      <c r="J730" s="2" t="inlineStr">
        <is>
          <t>https://eur-lex.europa.eu/legal-content/EN/TXT/?uri=CELEX:32026D0546</t>
        </is>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t="inlineStr"/>
    </row>
    <row r="731">
      <c r="A731" s="2" t="n">
        <v>108</v>
      </c>
      <c r="B731" s="2" t="inlineStr">
        <is>
          <t>European Standardisation Regulation</t>
        </is>
      </c>
      <c r="C731" s="2" t="inlineStr">
        <is>
          <t>32012R1025</t>
        </is>
      </c>
      <c r="D731" s="2" t="inlineStr">
        <is>
          <t>32026D0550</t>
        </is>
      </c>
      <c r="E731" s="2" t="inlineStr">
        <is>
          <t>implementing</t>
        </is>
      </c>
      <c r="F731" s="2" t="inlineStr">
        <is>
          <t>DEC_IMPL</t>
        </is>
      </c>
      <c r="G731" s="2" t="inlineStr">
        <is>
          <t>2026-03-12</t>
        </is>
      </c>
      <c r="H731" s="2" t="inlineStr">
        <is>
          <t>Commission Implementing Decision (EU) 2026/550 of 12 March 2026 amending Implementing Decision (EU) 2022/1954 as regards harmonised standards on power measurements and declarations for electric marine propulsion and on protection from falling overboard and means of reboarding</t>
        </is>
      </c>
      <c r="I731" s="2" t="inlineStr">
        <is>
          <t>no</t>
        </is>
      </c>
      <c r="J731" s="2" t="inlineStr">
        <is>
          <t>https://eur-lex.europa.eu/legal-content/EN/TXT/?uri=CELEX:32026D0550</t>
        </is>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t="inlineStr"/>
    </row>
    <row r="732">
      <c r="A732" s="2" t="n">
        <v>108</v>
      </c>
      <c r="B732" s="2" t="inlineStr">
        <is>
          <t>European Standardisation Regulation</t>
        </is>
      </c>
      <c r="C732" s="2" t="inlineStr">
        <is>
          <t>32012R1025</t>
        </is>
      </c>
      <c r="D732" s="2" t="inlineStr">
        <is>
          <t>32026D0760</t>
        </is>
      </c>
      <c r="E732" s="2" t="inlineStr">
        <is>
          <t>implementing</t>
        </is>
      </c>
      <c r="F732" s="2" t="inlineStr">
        <is>
          <t>DEC_IMPL</t>
        </is>
      </c>
      <c r="G732" s="2" t="inlineStr">
        <is>
          <t>2026-04-01</t>
        </is>
      </c>
      <c r="H732" s="2" t="inlineStr">
        <is>
          <t>Commission Implementing Decision (EU) 2026/760 of 1 April 2026 amending Implementing Decision (EU) 2021/1182 as regards harmonised standards for sterilizers for medical purposes – small steam sterilizers, stainless steel steam boilers and electroacoustics – hearing aids</t>
        </is>
      </c>
      <c r="I732" s="2" t="inlineStr">
        <is>
          <t>no</t>
        </is>
      </c>
      <c r="J732" s="2" t="inlineStr">
        <is>
          <t>https://eur-lex.europa.eu/legal-content/EN/TXT/?uri=CELEX:32026D0760</t>
        </is>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t="inlineStr"/>
    </row>
    <row r="733">
      <c r="A733" s="2" t="n">
        <v>108</v>
      </c>
      <c r="B733" s="2" t="inlineStr">
        <is>
          <t>European Standardisation Regulation</t>
        </is>
      </c>
      <c r="C733" s="2" t="inlineStr">
        <is>
          <t>32012R1025</t>
        </is>
      </c>
      <c r="D733" s="2" t="inlineStr">
        <is>
          <t>32026D0803</t>
        </is>
      </c>
      <c r="E733" s="2" t="inlineStr">
        <is>
          <t>implementing</t>
        </is>
      </c>
      <c r="F733" s="2" t="inlineStr">
        <is>
          <t>DEC_IMPL</t>
        </is>
      </c>
      <c r="G733" s="2" t="inlineStr">
        <is>
          <t>2026-04-10</t>
        </is>
      </c>
      <c r="H733" s="2" t="inlineStr">
        <is>
          <t>Commission Implementing Decision (EU) 2026/803 of 10 April 2026 amending Implementing Decision (EU) 2023/2584 as regards an update of the referenced standards and the addition of new referenced standards</t>
        </is>
      </c>
      <c r="I733" s="2" t="inlineStr">
        <is>
          <t>no</t>
        </is>
      </c>
      <c r="J733" s="2" t="inlineStr">
        <is>
          <t>https://eur-lex.europa.eu/legal-content/EN/TXT/?uri=CELEX:32026D0803</t>
        </is>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t="inlineStr"/>
    </row>
    <row r="734">
      <c r="A734" s="2" t="n">
        <v>108</v>
      </c>
      <c r="B734" s="2" t="inlineStr">
        <is>
          <t>European Standardisation Regulation</t>
        </is>
      </c>
      <c r="C734" s="2" t="inlineStr">
        <is>
          <t>32012R1025</t>
        </is>
      </c>
      <c r="D734" s="2" t="inlineStr">
        <is>
          <t>32026D0901</t>
        </is>
      </c>
      <c r="E734" s="2" t="inlineStr">
        <is>
          <t>implementing</t>
        </is>
      </c>
      <c r="F734" s="2" t="inlineStr">
        <is>
          <t>DEC_IMPL</t>
        </is>
      </c>
      <c r="G734" s="2" t="inlineStr">
        <is>
          <t>2026-04-17</t>
        </is>
      </c>
      <c r="H734" s="2" t="inlineStr">
        <is>
          <t>Commission Implementing Decision (EU) 2026/901 of 17 April 2026 on European standards for products drafted in support of Regulation (EU) 2023/988 of the European Parliament and of the Council, and repealing Commission Implementing Decision (EU) 2019/1698</t>
        </is>
      </c>
      <c r="I734" s="2" t="inlineStr">
        <is>
          <t>no</t>
        </is>
      </c>
      <c r="J734" s="2" t="inlineStr">
        <is>
          <t>https://eur-lex.europa.eu/legal-content/EN/TXT/?uri=CELEX:32026D0901</t>
        </is>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t="inlineStr"/>
    </row>
    <row r="735">
      <c r="A735" s="2" t="n">
        <v>108</v>
      </c>
      <c r="B735" s="2" t="inlineStr">
        <is>
          <t>European Standardisation Regulation</t>
        </is>
      </c>
      <c r="C735" s="2" t="inlineStr">
        <is>
          <t>32012R1025</t>
        </is>
      </c>
      <c r="D735" s="2" t="inlineStr">
        <is>
          <t>32026D0989</t>
        </is>
      </c>
      <c r="E735" s="2" t="inlineStr">
        <is>
          <t>implementing</t>
        </is>
      </c>
      <c r="F735" s="2" t="inlineStr">
        <is>
          <t>DEC_IMPL</t>
        </is>
      </c>
      <c r="G735" s="2" t="inlineStr">
        <is>
          <t>2026-05-04</t>
        </is>
      </c>
      <c r="H735" s="2" t="inlineStr">
        <is>
          <t>Commission Implementing Decision (EU) 2026/989 of 4 May 2026 amending Implementing Decision (EU) 2022/1668 as regards the harmonised standard on overfill prevention devices for static tanks for liquid fuels – Part 1: overfill prevention devices with closure device</t>
        </is>
      </c>
      <c r="I735" s="2" t="inlineStr">
        <is>
          <t>no</t>
        </is>
      </c>
      <c r="J735" s="2" t="inlineStr">
        <is>
          <t>https://eur-lex.europa.eu/legal-content/EN/TXT/?uri=CELEX:32026D0989</t>
        </is>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t="inlineStr"/>
    </row>
    <row r="736">
      <c r="A736" s="2" t="n">
        <v>108</v>
      </c>
      <c r="B736" s="2" t="inlineStr">
        <is>
          <t>European Standardisation Regulation</t>
        </is>
      </c>
      <c r="C736" s="2" t="inlineStr">
        <is>
          <t>32012R1025</t>
        </is>
      </c>
      <c r="D736" s="2" t="inlineStr">
        <is>
          <t>32026D1231</t>
        </is>
      </c>
      <c r="E736" s="2" t="inlineStr">
        <is>
          <t>implementing</t>
        </is>
      </c>
      <c r="F736" s="2" t="inlineStr">
        <is>
          <t>DEC_IMPL</t>
        </is>
      </c>
      <c r="G736" s="2" t="inlineStr">
        <is>
          <t>2026-06-11</t>
        </is>
      </c>
      <c r="H736" s="2" t="inlineStr">
        <is>
          <t>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is>
      </c>
      <c r="I736" s="2" t="inlineStr">
        <is>
          <t>no</t>
        </is>
      </c>
      <c r="J736" s="2" t="inlineStr">
        <is>
          <t>https://eur-lex.europa.eu/legal-content/EN/TXT/?uri=CELEX:32026D1231</t>
        </is>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t="inlineStr"/>
    </row>
    <row r="737">
      <c r="A737" s="2" t="n">
        <v>108</v>
      </c>
      <c r="B737" s="2" t="inlineStr">
        <is>
          <t>European Standardisation Regulation</t>
        </is>
      </c>
      <c r="C737" s="2" t="inlineStr">
        <is>
          <t>32012R1025</t>
        </is>
      </c>
      <c r="D737" s="2" t="inlineStr">
        <is>
          <t>32026D1279</t>
        </is>
      </c>
      <c r="E737" s="2" t="inlineStr">
        <is>
          <t>implementing</t>
        </is>
      </c>
      <c r="F737" s="2" t="inlineStr">
        <is>
          <t>DEC_IMPL</t>
        </is>
      </c>
      <c r="G737" s="2" t="inlineStr">
        <is>
          <t>2026-06-12</t>
        </is>
      </c>
      <c r="H737" s="2" t="inlineStr">
        <is>
          <t>Commission Implementing Decision (EU) 2026/1279 of 12 June 2026 on harmonised standards for personal protective equipment drafted in support of Regulation (EU) 2016/425 of the European Parliament and of the Council and repealing Commission Implementing Decision (EU) 2023/941</t>
        </is>
      </c>
      <c r="I737" s="2" t="inlineStr">
        <is>
          <t>no</t>
        </is>
      </c>
      <c r="J737" s="2" t="inlineStr">
        <is>
          <t>https://eur-lex.europa.eu/legal-content/EN/TXT/?uri=CELEX:32026D1279</t>
        </is>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t="inlineStr"/>
    </row>
    <row r="738">
      <c r="A738" s="2" t="n">
        <v>108</v>
      </c>
      <c r="B738" s="2" t="inlineStr">
        <is>
          <t>European Standardisation Regulation</t>
        </is>
      </c>
      <c r="C738" s="2" t="inlineStr">
        <is>
          <t>32012R1025</t>
        </is>
      </c>
      <c r="D738" s="2" t="inlineStr">
        <is>
          <t>32026D1313</t>
        </is>
      </c>
      <c r="E738" s="2" t="inlineStr">
        <is>
          <t>implementing</t>
        </is>
      </c>
      <c r="F738" s="2" t="inlineStr">
        <is>
          <t>DEC_IMPL</t>
        </is>
      </c>
      <c r="G738" s="2" t="inlineStr">
        <is>
          <t>2026-06-15</t>
        </is>
      </c>
      <c r="H738" s="2" t="inlineStr">
        <is>
          <t>Commission Implementing Decision (EU) 2026/1313 of 15 June 2026 amending Implementing Decision (EU) 2021/1195 as regards the harmonised standard for symbols to be used with information to be supplied by the manufacturer</t>
        </is>
      </c>
      <c r="I738" s="2" t="inlineStr">
        <is>
          <t>no</t>
        </is>
      </c>
      <c r="J738" s="2" t="inlineStr">
        <is>
          <t>https://eur-lex.europa.eu/legal-content/EN/TXT/?uri=CELEX:32026D1313</t>
        </is>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t="inlineStr"/>
    </row>
    <row r="739">
      <c r="A739" s="2" t="n">
        <v>108</v>
      </c>
      <c r="B739" s="2" t="inlineStr">
        <is>
          <t>European Standardisation Regulation</t>
        </is>
      </c>
      <c r="C739" s="2" t="inlineStr">
        <is>
          <t>32012R1025</t>
        </is>
      </c>
      <c r="D739" s="2" t="inlineStr">
        <is>
          <t>32026D1736</t>
        </is>
      </c>
      <c r="E739" s="2" t="inlineStr">
        <is>
          <t>implementing</t>
        </is>
      </c>
      <c r="F739" s="2" t="inlineStr">
        <is>
          <t>DEC_IMPL</t>
        </is>
      </c>
      <c r="G739" s="2" t="inlineStr">
        <is>
          <t>2026-07-14</t>
        </is>
      </c>
      <c r="H739" s="2" t="inlineStr">
        <is>
          <t>Commission Implementing Decision (EU) 2026/1736 of 14 July 2026 on harmonised standards for digital product passports drafted in support of Regulation (EU) 2024/1781 of the European Parliament and of the Council</t>
        </is>
      </c>
      <c r="I739" s="2" t="inlineStr">
        <is>
          <t>no</t>
        </is>
      </c>
      <c r="J739" s="2" t="inlineStr">
        <is>
          <t>https://eur-lex.europa.eu/legal-content/EN/TXT/?uri=CELEX:32026D1736</t>
        </is>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t="inlineStr"/>
    </row>
    <row r="740">
      <c r="A740" s="2" t="n">
        <v>108</v>
      </c>
      <c r="B740" s="2" t="inlineStr">
        <is>
          <t>European Standardisation Regulation</t>
        </is>
      </c>
      <c r="C740" s="2" t="inlineStr">
        <is>
          <t>32012R1025</t>
        </is>
      </c>
      <c r="D740" s="2" t="inlineStr">
        <is>
          <t>32026D1717</t>
        </is>
      </c>
      <c r="E740" s="2" t="inlineStr">
        <is>
          <t>implementing</t>
        </is>
      </c>
      <c r="F740" s="2" t="inlineStr">
        <is>
          <t>DEC_IMPL</t>
        </is>
      </c>
      <c r="G740" s="2" t="inlineStr">
        <is>
          <t>2026-07-20</t>
        </is>
      </c>
      <c r="H740" s="2" t="inlineStr">
        <is>
          <t>Commission Implementing Decision (EU) 2026/1717 of 20 July 2026 on the harmonised standards for gas water heaters drafted in support of Regulation (EU) No 814/2013</t>
        </is>
      </c>
      <c r="I740" s="2" t="inlineStr">
        <is>
          <t>no</t>
        </is>
      </c>
      <c r="J740" s="2" t="inlineStr">
        <is>
          <t>https://eur-lex.europa.eu/legal-content/EN/TXT/?uri=CELEX:32026D1717</t>
        </is>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t="inlineStr"/>
    </row>
    <row r="741">
      <c r="A741" s="2" t="n">
        <v>108</v>
      </c>
      <c r="B741" s="2" t="inlineStr">
        <is>
          <t>European Standardisation Regulation</t>
        </is>
      </c>
      <c r="C741" s="2" t="inlineStr">
        <is>
          <t>32012R1025</t>
        </is>
      </c>
      <c r="D741" s="2" t="inlineStr">
        <is>
          <t>32026D1750</t>
        </is>
      </c>
      <c r="E741" s="2" t="inlineStr">
        <is>
          <t>implementing</t>
        </is>
      </c>
      <c r="F741" s="2" t="inlineStr">
        <is>
          <t>DEC_IMPL</t>
        </is>
      </c>
      <c r="G741" s="2" t="inlineStr">
        <is>
          <t>2026-07-20</t>
        </is>
      </c>
      <c r="H741" s="2" t="inlineStr">
        <is>
          <t>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is>
      </c>
      <c r="I741" s="2" t="inlineStr">
        <is>
          <t>no</t>
        </is>
      </c>
      <c r="J741" s="2" t="inlineStr">
        <is>
          <t>https://eur-lex.europa.eu/legal-content/EN/TXT/?uri=CELEX:32026D1750</t>
        </is>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t="inlineStr"/>
    </row>
    <row r="742">
      <c r="A742" s="2" t="n">
        <v>108</v>
      </c>
      <c r="B742" s="2" t="inlineStr">
        <is>
          <t>European Standardisation Regulation</t>
        </is>
      </c>
      <c r="C742" s="2" t="inlineStr">
        <is>
          <t>32012R1025</t>
        </is>
      </c>
      <c r="D742" s="2" t="inlineStr">
        <is>
          <t>32026D1967</t>
        </is>
      </c>
      <c r="E742" s="2" t="inlineStr">
        <is>
          <t>implementing</t>
        </is>
      </c>
      <c r="F742" s="2" t="inlineStr">
        <is>
          <t>DEC_IMPL</t>
        </is>
      </c>
      <c r="G742" s="2" t="inlineStr">
        <is>
          <t>2026-09-03</t>
        </is>
      </c>
      <c r="H742" s="2" t="inlineStr">
        <is>
          <t>Commission Implementing Decision (EU) 2026/1967 of 3 September 2026 amending Implementing Decision (EU) 2022/1668 as regards the harmonised standard on explosive atmospheres – Part 28: protection of equipment and transmission systems using optical radiation</t>
        </is>
      </c>
      <c r="I742" s="2" t="inlineStr">
        <is>
          <t>no</t>
        </is>
      </c>
      <c r="J742" s="2" t="inlineStr">
        <is>
          <t>https://eur-lex.europa.eu/legal-content/EN/TXT/?uri=CELEX:32026D1967</t>
        </is>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t="inlineStr"/>
    </row>
    <row r="743">
      <c r="A743" s="2" t="n">
        <v>108</v>
      </c>
      <c r="B743" s="2" t="inlineStr">
        <is>
          <t>European Standardisation Regulation</t>
        </is>
      </c>
      <c r="C743" s="2" t="inlineStr">
        <is>
          <t>32012R1025</t>
        </is>
      </c>
      <c r="D743" s="2" t="inlineStr">
        <is>
          <t>32026D1971</t>
        </is>
      </c>
      <c r="E743" s="2" t="inlineStr">
        <is>
          <t>implementing</t>
        </is>
      </c>
      <c r="F743" s="2" t="inlineStr">
        <is>
          <t>DEC_IMPL</t>
        </is>
      </c>
      <c r="G743" s="2" t="inlineStr">
        <is>
          <t>2026-09-03</t>
        </is>
      </c>
      <c r="H743" s="2" t="inlineStr">
        <is>
          <t>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is>
      </c>
      <c r="I743" s="2" t="inlineStr">
        <is>
          <t>no</t>
        </is>
      </c>
      <c r="J743" s="2" t="inlineStr">
        <is>
          <t>https://eur-lex.europa.eu/legal-content/EN/TXT/?uri=CELEX:32026D1971</t>
        </is>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t="inlineStr"/>
    </row>
    <row r="744">
      <c r="A744" s="2" t="n">
        <v>108</v>
      </c>
      <c r="B744" s="2" t="inlineStr">
        <is>
          <t>European Standardisation Regulation</t>
        </is>
      </c>
      <c r="C744" s="2" t="inlineStr">
        <is>
          <t>32012R1025</t>
        </is>
      </c>
      <c r="D744" s="2" t="inlineStr">
        <is>
          <t>32026D2003</t>
        </is>
      </c>
      <c r="E744" s="2" t="inlineStr">
        <is>
          <t>implementing</t>
        </is>
      </c>
      <c r="F744" s="2" t="inlineStr">
        <is>
          <t>DEC_IMPL</t>
        </is>
      </c>
      <c r="G744" s="2" t="inlineStr">
        <is>
          <t>2026-09-04</t>
        </is>
      </c>
      <c r="H744" s="2" t="inlineStr">
        <is>
          <t>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is>
      </c>
      <c r="I744" s="2" t="inlineStr">
        <is>
          <t>no</t>
        </is>
      </c>
      <c r="J744" s="2" t="inlineStr">
        <is>
          <t>https://eur-lex.europa.eu/legal-content/EN/TXT/?uri=CELEX:32026D2003</t>
        </is>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t="inlineStr"/>
    </row>
    <row r="745">
      <c r="A745" s="2" t="n">
        <v>108</v>
      </c>
      <c r="B745" s="2" t="inlineStr">
        <is>
          <t>European Standardisation Regulation</t>
        </is>
      </c>
      <c r="C745" s="2" t="inlineStr">
        <is>
          <t>32012R1025</t>
        </is>
      </c>
      <c r="D745" s="2" t="inlineStr">
        <is>
          <t>32026D2015</t>
        </is>
      </c>
      <c r="E745" s="2" t="inlineStr">
        <is>
          <t>implementing</t>
        </is>
      </c>
      <c r="F745" s="2" t="inlineStr">
        <is>
          <t>DEC_IMPL</t>
        </is>
      </c>
      <c r="G745" s="2" t="inlineStr">
        <is>
          <t>2026-09-04</t>
        </is>
      </c>
      <c r="H745" s="2" t="inlineStr">
        <is>
          <t>Commission Implementing Decision (EU) 2026/2015 of 4 September 2026 amending and repealing Commission Implementing Decision (EU) 2023/1586 as regards harmonised standards for machinery drafted in support of Directive 2006/42/EC of the European Parliament and of the Council</t>
        </is>
      </c>
      <c r="I745" s="2" t="inlineStr">
        <is>
          <t>no</t>
        </is>
      </c>
      <c r="J745" s="2" t="inlineStr">
        <is>
          <t>https://eur-lex.europa.eu/legal-content/EN/TXT/?uri=CELEX:32026D2015</t>
        </is>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t="inlineStr"/>
    </row>
    <row r="746">
      <c r="A746" s="2" t="n">
        <v>108</v>
      </c>
      <c r="B746" s="2" t="inlineStr">
        <is>
          <t>European Standardisation Regulation</t>
        </is>
      </c>
      <c r="C746" s="2" t="inlineStr">
        <is>
          <t>32012R1025</t>
        </is>
      </c>
      <c r="D746" s="2" t="inlineStr">
        <is>
          <t>32026D2032</t>
        </is>
      </c>
      <c r="E746" s="2" t="inlineStr">
        <is>
          <t>implementing</t>
        </is>
      </c>
      <c r="F746" s="2" t="inlineStr">
        <is>
          <t>DEC_IMPL</t>
        </is>
      </c>
      <c r="G746" s="2" t="inlineStr">
        <is>
          <t>2026-09-11</t>
        </is>
      </c>
      <c r="H746" s="2" t="inlineStr">
        <is>
          <t>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is>
      </c>
      <c r="I746" s="2" t="inlineStr">
        <is>
          <t>no</t>
        </is>
      </c>
      <c r="J746" s="2" t="inlineStr">
        <is>
          <t>https://eur-lex.europa.eu/legal-content/EN/TXT/?uri=CELEX:32026D2032</t>
        </is>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t="inlineStr"/>
    </row>
    <row r="747">
      <c r="A747" s="2" t="n">
        <v>108</v>
      </c>
      <c r="B747" s="2" t="inlineStr">
        <is>
          <t>European Standardisation Regulation</t>
        </is>
      </c>
      <c r="C747" s="2" t="inlineStr">
        <is>
          <t>32012R1025</t>
        </is>
      </c>
      <c r="D747" s="2" t="inlineStr">
        <is>
          <t>32026D2048</t>
        </is>
      </c>
      <c r="E747" s="2" t="inlineStr">
        <is>
          <t>implementing</t>
        </is>
      </c>
      <c r="F747" s="2" t="inlineStr">
        <is>
          <t>DEC_IMPL</t>
        </is>
      </c>
      <c r="G747" s="2" t="inlineStr">
        <is>
          <t>2026-09-14</t>
        </is>
      </c>
      <c r="H747" s="2" t="inlineStr">
        <is>
          <t>Commission Implementing Decision (EU) 2026/2048 of 14 September 2026 on the harmonised standard for batteries drafted in support of Regulation (EU) 2023/1542</t>
        </is>
      </c>
      <c r="I747" s="2" t="inlineStr">
        <is>
          <t>no</t>
        </is>
      </c>
      <c r="J747" s="2" t="inlineStr">
        <is>
          <t>https://eur-lex.europa.eu/legal-content/EN/TXT/?uri=CELEX:32026D2048</t>
        </is>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t="inlineStr"/>
    </row>
    <row r="748">
      <c r="A748" s="2" t="n">
        <v>108</v>
      </c>
      <c r="B748" s="2" t="inlineStr">
        <is>
          <t>European Standardisation Regulation</t>
        </is>
      </c>
      <c r="C748" s="2" t="inlineStr">
        <is>
          <t>32012R1025</t>
        </is>
      </c>
      <c r="D748" s="2" t="inlineStr">
        <is>
          <t>32026D2211</t>
        </is>
      </c>
      <c r="E748" s="2" t="inlineStr">
        <is>
          <t>implementing</t>
        </is>
      </c>
      <c r="F748" s="2" t="inlineStr">
        <is>
          <t>DEC_IMPL</t>
        </is>
      </c>
      <c r="G748" s="2" t="inlineStr">
        <is>
          <t>2026-10-01</t>
        </is>
      </c>
      <c r="H748" s="2" t="inlineStr">
        <is>
          <t>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is>
      </c>
      <c r="I748" s="2" t="inlineStr">
        <is>
          <t>no</t>
        </is>
      </c>
      <c r="J748" s="2" t="inlineStr">
        <is>
          <t>https://eur-lex.europa.eu/legal-content/EN/TXT/?uri=CELEX:32026D2211</t>
        </is>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t="inlineStr"/>
    </row>
    <row r="749">
      <c r="A749" s="2" t="n">
        <v>110</v>
      </c>
      <c r="B749" s="2" t="inlineStr">
        <is>
          <t>Radio Equipment Directive</t>
        </is>
      </c>
      <c r="C749" s="2" t="inlineStr">
        <is>
          <t>32014L0053</t>
        </is>
      </c>
      <c r="D749" s="2" t="inlineStr">
        <is>
          <t>32017R1354</t>
        </is>
      </c>
      <c r="E749" s="2" t="inlineStr">
        <is>
          <t>implementing</t>
        </is>
      </c>
      <c r="F749" s="2" t="inlineStr">
        <is>
          <t>REG_IMPL</t>
        </is>
      </c>
      <c r="G749" s="2" t="inlineStr">
        <is>
          <t>2017-07-20</t>
        </is>
      </c>
      <c r="H749" s="2" t="inlineStr">
        <is>
          <t>Commission Implementing Regulation (EU) 2017/1354 of 20 July 2017 specifying how to present the information provided for in Article 10(10) of Directive 2014/53/EU of the European Parliament and of the Council (Text with EEA relevance. )</t>
        </is>
      </c>
      <c r="I749" s="2" t="inlineStr">
        <is>
          <t>no</t>
        </is>
      </c>
      <c r="J749" s="2" t="inlineStr">
        <is>
          <t>https://eur-lex.europa.eu/legal-content/EN/TXT/?uri=CELEX:32017R1354</t>
        </is>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t="inlineStr"/>
    </row>
    <row r="750">
      <c r="A750" s="2" t="n">
        <v>110</v>
      </c>
      <c r="B750" s="2" t="inlineStr">
        <is>
          <t>Radio Equipment Directive</t>
        </is>
      </c>
      <c r="C750" s="2" t="inlineStr">
        <is>
          <t>32014L0053</t>
        </is>
      </c>
      <c r="D750" s="2" t="inlineStr">
        <is>
          <t>32019R0320</t>
        </is>
      </c>
      <c r="E750" s="2" t="inlineStr">
        <is>
          <t>delegated</t>
        </is>
      </c>
      <c r="F750" s="2" t="inlineStr">
        <is>
          <t>REG_DEL</t>
        </is>
      </c>
      <c r="G750" s="2" t="inlineStr">
        <is>
          <t>2018-12-12</t>
        </is>
      </c>
      <c r="H750" s="2" t="inlineStr">
        <is>
          <t>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is>
      </c>
      <c r="I750" s="2" t="inlineStr">
        <is>
          <t>no</t>
        </is>
      </c>
      <c r="J750" s="2" t="inlineStr">
        <is>
          <t>https://eur-lex.europa.eu/legal-content/EN/TXT/?uri=CELEX:32019R0320</t>
        </is>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t="inlineStr"/>
    </row>
    <row r="751">
      <c r="A751" s="2" t="n">
        <v>110</v>
      </c>
      <c r="B751" s="2" t="inlineStr">
        <is>
          <t>Radio Equipment Directive</t>
        </is>
      </c>
      <c r="C751" s="2" t="inlineStr">
        <is>
          <t>32014L0053</t>
        </is>
      </c>
      <c r="D751" s="2" t="inlineStr">
        <is>
          <t>32022R0030</t>
        </is>
      </c>
      <c r="E751" s="2" t="inlineStr">
        <is>
          <t>delegated</t>
        </is>
      </c>
      <c r="F751" s="2" t="inlineStr">
        <is>
          <t>REG_DEL</t>
        </is>
      </c>
      <c r="G751" s="2" t="inlineStr">
        <is>
          <t>2021-10-29</t>
        </is>
      </c>
      <c r="H751" s="2" t="inlineStr">
        <is>
          <t>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is>
      </c>
      <c r="I751" s="2" t="inlineStr">
        <is>
          <t>no</t>
        </is>
      </c>
      <c r="J751" s="2" t="inlineStr">
        <is>
          <t>https://eur-lex.europa.eu/legal-content/EN/TXT/?uri=CELEX:32022R0030</t>
        </is>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t="inlineStr"/>
    </row>
    <row r="752">
      <c r="A752" s="2" t="n">
        <v>110</v>
      </c>
      <c r="B752" s="2" t="inlineStr">
        <is>
          <t>Radio Equipment Directive</t>
        </is>
      </c>
      <c r="C752" s="2" t="inlineStr">
        <is>
          <t>32014L0053</t>
        </is>
      </c>
      <c r="D752" s="2" t="inlineStr">
        <is>
          <t>32023R1717</t>
        </is>
      </c>
      <c r="E752" s="2" t="inlineStr">
        <is>
          <t>delegated</t>
        </is>
      </c>
      <c r="F752" s="2" t="inlineStr">
        <is>
          <t>REG_DEL</t>
        </is>
      </c>
      <c r="G752" s="2" t="inlineStr">
        <is>
          <t>2023-06-27</t>
        </is>
      </c>
      <c r="H752" s="2" t="inlineStr">
        <is>
          <t>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is>
      </c>
      <c r="I752" s="2" t="inlineStr">
        <is>
          <t>no</t>
        </is>
      </c>
      <c r="J752" s="2" t="inlineStr">
        <is>
          <t>https://eur-lex.europa.eu/legal-content/EN/TXT/?uri=CELEX:32023R1717</t>
        </is>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t="inlineStr"/>
    </row>
    <row r="753">
      <c r="A753" s="2" t="n">
        <v>110</v>
      </c>
      <c r="B753" s="2" t="inlineStr">
        <is>
          <t>Radio Equipment Directive</t>
        </is>
      </c>
      <c r="C753" s="2" t="inlineStr">
        <is>
          <t>32014L0053</t>
        </is>
      </c>
      <c r="D753" s="2" t="inlineStr">
        <is>
          <t>32023R2444</t>
        </is>
      </c>
      <c r="E753" s="2" t="inlineStr">
        <is>
          <t>delegated</t>
        </is>
      </c>
      <c r="F753" s="2" t="inlineStr">
        <is>
          <t>REG_DEL</t>
        </is>
      </c>
      <c r="G753" s="2" t="inlineStr">
        <is>
          <t>2023-07-20</t>
        </is>
      </c>
      <c r="H753" s="2" t="inlineStr">
        <is>
          <t>Commission Delegated Regulation (EU) 2023/2444 of 20 July 2023 amending Delegated Regulation (EU) 2022/30 as regards the date of application of the essential requirements for radio equipment and correcting that Regulation</t>
        </is>
      </c>
      <c r="I753" s="2" t="inlineStr">
        <is>
          <t>no</t>
        </is>
      </c>
      <c r="J753" s="2" t="inlineStr">
        <is>
          <t>https://eur-lex.europa.eu/legal-content/EN/TXT/?uri=CELEX:32023R2444</t>
        </is>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t="inlineStr"/>
    </row>
    <row r="754">
      <c r="A754" s="2" t="n">
        <v>110</v>
      </c>
      <c r="B754" s="2" t="inlineStr">
        <is>
          <t>Radio Equipment Directive</t>
        </is>
      </c>
      <c r="C754" s="2" t="inlineStr">
        <is>
          <t>32014L0053</t>
        </is>
      </c>
      <c r="D754" s="2" t="inlineStr">
        <is>
          <t>32025D1760</t>
        </is>
      </c>
      <c r="E754" s="2" t="inlineStr">
        <is>
          <t>implementing</t>
        </is>
      </c>
      <c r="F754" s="2" t="inlineStr">
        <is>
          <t>DEC_IMPL</t>
        </is>
      </c>
      <c r="G754" s="2" t="inlineStr">
        <is>
          <t>2025-08-19</t>
        </is>
      </c>
      <c r="H754" s="2" t="inlineStr">
        <is>
          <t>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is>
      </c>
      <c r="I754" s="2" t="inlineStr">
        <is>
          <t>no</t>
        </is>
      </c>
      <c r="J754" s="2" t="inlineStr">
        <is>
          <t>https://eur-lex.europa.eu/legal-content/EN/TXT/?uri=CELEX:32025D1760</t>
        </is>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t="inlineStr"/>
    </row>
    <row r="755">
      <c r="A755" s="2" t="n">
        <v>110</v>
      </c>
      <c r="B755" s="2" t="inlineStr">
        <is>
          <t>Radio Equipment Directive</t>
        </is>
      </c>
      <c r="C755" s="2" t="inlineStr">
        <is>
          <t>32014L0053</t>
        </is>
      </c>
      <c r="D755" s="2" t="inlineStr">
        <is>
          <t>32026R0339</t>
        </is>
      </c>
      <c r="E755" s="2" t="inlineStr">
        <is>
          <t>delegated</t>
        </is>
      </c>
      <c r="F755" s="2" t="inlineStr">
        <is>
          <t>REG_DEL</t>
        </is>
      </c>
      <c r="G755" s="2" t="inlineStr">
        <is>
          <t>2026-02-16</t>
        </is>
      </c>
      <c r="H755" s="2" t="inlineStr">
        <is>
          <t>Commission Delegated Regulation (EU) 2026/339 of 16 February 2026 repealing Delegated Regulation (EU) 2022/30</t>
        </is>
      </c>
      <c r="I755" s="2" t="inlineStr">
        <is>
          <t>no</t>
        </is>
      </c>
      <c r="J755" s="2" t="inlineStr">
        <is>
          <t>https://eur-lex.europa.eu/legal-content/EN/TXT/?uri=CELEX:32026R0339</t>
        </is>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t="inlineStr"/>
    </row>
    <row r="756">
      <c r="A756" s="2" t="n">
        <v>111</v>
      </c>
      <c r="B756" s="2" t="inlineStr">
        <is>
          <t>E-invoicing Directive</t>
        </is>
      </c>
      <c r="C756" s="2" t="inlineStr">
        <is>
          <t>32014L0055</t>
        </is>
      </c>
      <c r="D756" s="2" t="inlineStr">
        <is>
          <t>32017D1870</t>
        </is>
      </c>
      <c r="E756" s="2" t="inlineStr">
        <is>
          <t>implementing</t>
        </is>
      </c>
      <c r="F756" s="2" t="inlineStr">
        <is>
          <t>DEC_IMPL</t>
        </is>
      </c>
      <c r="G756" s="2" t="inlineStr">
        <is>
          <t>2017-10-16</t>
        </is>
      </c>
      <c r="H756" s="2" t="inlineStr">
        <is>
          <t>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is>
      </c>
      <c r="I756" s="2" t="inlineStr">
        <is>
          <t>no</t>
        </is>
      </c>
      <c r="J756" s="2" t="inlineStr">
        <is>
          <t>https://eur-lex.europa.eu/legal-content/EN/TXT/?uri=CELEX:32017D1870</t>
        </is>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t="inlineStr"/>
    </row>
    <row r="757">
      <c r="A757" s="2" t="n">
        <v>113</v>
      </c>
      <c r="B757" s="2" t="inlineStr">
        <is>
          <t>.eu Top-Level Domain Regulation</t>
        </is>
      </c>
      <c r="C757" s="2" t="inlineStr">
        <is>
          <t>32019R0517</t>
        </is>
      </c>
      <c r="D757" s="2" t="inlineStr">
        <is>
          <t>32020R1083</t>
        </is>
      </c>
      <c r="E757" s="2" t="inlineStr">
        <is>
          <t>delegated</t>
        </is>
      </c>
      <c r="F757" s="2" t="inlineStr">
        <is>
          <t>REG_DEL</t>
        </is>
      </c>
      <c r="G757" s="2" t="inlineStr">
        <is>
          <t>2020-05-14</t>
        </is>
      </c>
      <c r="H757" s="2" t="inlineStr">
        <is>
          <t>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is>
      </c>
      <c r="I757" s="2" t="inlineStr">
        <is>
          <t>no</t>
        </is>
      </c>
      <c r="J757" s="2" t="inlineStr">
        <is>
          <t>https://eur-lex.europa.eu/legal-content/EN/TXT/?uri=CELEX:32020R1083</t>
        </is>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t="inlineStr"/>
    </row>
    <row r="758">
      <c r="A758" s="2" t="n">
        <v>113</v>
      </c>
      <c r="B758" s="2" t="inlineStr">
        <is>
          <t>.eu Top-Level Domain Regulation</t>
        </is>
      </c>
      <c r="C758" s="2" t="inlineStr">
        <is>
          <t>32019R0517</t>
        </is>
      </c>
      <c r="D758" s="2" t="inlineStr">
        <is>
          <t>32020R0857</t>
        </is>
      </c>
      <c r="E758" s="2" t="inlineStr">
        <is>
          <t>implementing</t>
        </is>
      </c>
      <c r="F758" s="2" t="inlineStr">
        <is>
          <t>REG_IMPL</t>
        </is>
      </c>
      <c r="G758" s="2" t="inlineStr">
        <is>
          <t>2020-06-17</t>
        </is>
      </c>
      <c r="H758" s="2" t="inlineStr">
        <is>
          <t>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is>
      </c>
      <c r="I758" s="2" t="inlineStr">
        <is>
          <t>no</t>
        </is>
      </c>
      <c r="J758" s="2" t="inlineStr">
        <is>
          <t>https://eur-lex.europa.eu/legal-content/EN/TXT/?uri=CELEX:32020R0857</t>
        </is>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t="inlineStr"/>
    </row>
    <row r="759">
      <c r="A759" s="2" t="n">
        <v>113</v>
      </c>
      <c r="B759" s="2" t="inlineStr">
        <is>
          <t>.eu Top-Level Domain Regulation</t>
        </is>
      </c>
      <c r="C759" s="2" t="inlineStr">
        <is>
          <t>32019R0517</t>
        </is>
      </c>
      <c r="D759" s="2" t="inlineStr">
        <is>
          <t>32021D1878</t>
        </is>
      </c>
      <c r="E759" s="2" t="inlineStr">
        <is>
          <t>implementing</t>
        </is>
      </c>
      <c r="F759" s="2" t="inlineStr">
        <is>
          <t>DEC_IMPL</t>
        </is>
      </c>
      <c r="G759" s="2" t="inlineStr">
        <is>
          <t>2021-10-25</t>
        </is>
      </c>
      <c r="H759" s="2" t="inlineStr">
        <is>
          <t>Commission Implementing Decision (EU) 2021/1878 of 25 October 2021 on the designation of the .eu top-level domain Registry (Text with EEA relevance)</t>
        </is>
      </c>
      <c r="I759" s="2" t="inlineStr">
        <is>
          <t>no</t>
        </is>
      </c>
      <c r="J759" s="2" t="inlineStr">
        <is>
          <t>https://eur-lex.europa.eu/legal-content/EN/TXT/?uri=CELEX:32021D1878</t>
        </is>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t="inlineStr"/>
    </row>
    <row r="760">
      <c r="A760" s="2" t="n">
        <v>113</v>
      </c>
      <c r="B760" s="2" t="inlineStr">
        <is>
          <t>.eu Top-Level Domain Regulation</t>
        </is>
      </c>
      <c r="C760" s="2" t="inlineStr">
        <is>
          <t>32019R0517</t>
        </is>
      </c>
      <c r="D760" s="2" t="inlineStr">
        <is>
          <t>32022R1862</t>
        </is>
      </c>
      <c r="E760" s="2" t="inlineStr">
        <is>
          <t>implementing</t>
        </is>
      </c>
      <c r="F760" s="2" t="inlineStr">
        <is>
          <t>REG_IMPL</t>
        </is>
      </c>
      <c r="G760" s="2" t="inlineStr">
        <is>
          <t>2022-10-04</t>
        </is>
      </c>
      <c r="H760" s="2" t="inlineStr">
        <is>
          <t>Commission Implementing Regulation (EU) 2022/1862 of 4 October 2022 establishing the lists of reserved and blocked domain names under the .eu top-level domain in accordance with Regulation (EU) 2019/517 of the European Parliament and of the Council (Text with EEA relevance)</t>
        </is>
      </c>
      <c r="I760" s="2" t="inlineStr">
        <is>
          <t>no</t>
        </is>
      </c>
      <c r="J760" s="2" t="inlineStr">
        <is>
          <t>https://eur-lex.europa.eu/legal-content/EN/TXT/?uri=CELEX:32022R1862</t>
        </is>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t="inlineStr"/>
    </row>
    <row r="761">
      <c r="A761" s="2" t="n">
        <v>114</v>
      </c>
      <c r="B761" s="2" t="inlineStr">
        <is>
          <t>Interoperability of EU information systems (borders and visa) Regulation</t>
        </is>
      </c>
      <c r="C761" s="2" t="inlineStr">
        <is>
          <t>32019R0817</t>
        </is>
      </c>
      <c r="D761" s="2" t="inlineStr">
        <is>
          <t>32021R2104</t>
        </is>
      </c>
      <c r="E761" s="2" t="inlineStr">
        <is>
          <t>delegated</t>
        </is>
      </c>
      <c r="F761" s="2" t="inlineStr">
        <is>
          <t>REG_DEL</t>
        </is>
      </c>
      <c r="G761" s="2" t="inlineStr">
        <is>
          <t>2021-08-19</t>
        </is>
      </c>
      <c r="H761" s="2" t="inlineStr">
        <is>
          <t>Commission Delegated Regulation (EU) 2021/2104 of 19 August 2021 laying down detailed rules on the operation of the web portal, pursuant to Article 49(6) of Regulation (EU) 2019/817 of the European Parliament and of the Council</t>
        </is>
      </c>
      <c r="I761" s="2" t="inlineStr">
        <is>
          <t>no</t>
        </is>
      </c>
      <c r="J761" s="2" t="inlineStr">
        <is>
          <t>https://eur-lex.europa.eu/legal-content/EN/TXT/?uri=CELEX:32021R2104</t>
        </is>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t="inlineStr"/>
    </row>
    <row r="762">
      <c r="A762" s="2" t="n">
        <v>114</v>
      </c>
      <c r="B762" s="2" t="inlineStr">
        <is>
          <t>Interoperability of EU information systems (borders and visa) Regulation</t>
        </is>
      </c>
      <c r="C762" s="2" t="inlineStr">
        <is>
          <t>32019R0817</t>
        </is>
      </c>
      <c r="D762" s="2" t="inlineStr">
        <is>
          <t>32021R2225</t>
        </is>
      </c>
      <c r="E762" s="2" t="inlineStr">
        <is>
          <t>implementing</t>
        </is>
      </c>
      <c r="F762" s="2" t="inlineStr">
        <is>
          <t>REG_IMPL</t>
        </is>
      </c>
      <c r="G762" s="2" t="inlineStr">
        <is>
          <t>2021-09-21</t>
        </is>
      </c>
      <c r="H762" s="2" t="inlineStr">
        <is>
          <t>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is>
      </c>
      <c r="I762" s="2" t="inlineStr">
        <is>
          <t>no</t>
        </is>
      </c>
      <c r="J762" s="2" t="inlineStr">
        <is>
          <t>https://eur-lex.europa.eu/legal-content/EN/TXT/?uri=CELEX:32021R2225</t>
        </is>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t="inlineStr"/>
    </row>
    <row r="763">
      <c r="A763" s="2" t="n">
        <v>114</v>
      </c>
      <c r="B763" s="2" t="inlineStr">
        <is>
          <t>Interoperability of EU information systems (borders and visa) Regulation</t>
        </is>
      </c>
      <c r="C763" s="2" t="inlineStr">
        <is>
          <t>32019R0817</t>
        </is>
      </c>
      <c r="D763" s="2" t="inlineStr">
        <is>
          <t>32021R2223</t>
        </is>
      </c>
      <c r="E763" s="2" t="inlineStr">
        <is>
          <t>delegated</t>
        </is>
      </c>
      <c r="F763" s="2" t="inlineStr">
        <is>
          <t>REG_DEL</t>
        </is>
      </c>
      <c r="G763" s="2" t="inlineStr">
        <is>
          <t>2021-09-30</t>
        </is>
      </c>
      <c r="H763" s="2" t="inlineStr">
        <is>
          <t>Commission Delegated Regulation (EU) 2021/2223 of 30 September 2021 supplementing Regulation (EU) 2019/817 of the European Parliament and of the Council with detailed rules on the operation of the central repository for reporting and statistics</t>
        </is>
      </c>
      <c r="I763" s="2" t="inlineStr">
        <is>
          <t>no</t>
        </is>
      </c>
      <c r="J763" s="2" t="inlineStr">
        <is>
          <t>https://eur-lex.europa.eu/legal-content/EN/TXT/?uri=CELEX:32021R2223</t>
        </is>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t="inlineStr"/>
    </row>
    <row r="764">
      <c r="A764" s="2" t="n">
        <v>114</v>
      </c>
      <c r="B764" s="2" t="inlineStr">
        <is>
          <t>Interoperability of EU information systems (borders and visa) Regulation</t>
        </is>
      </c>
      <c r="C764" s="2" t="inlineStr">
        <is>
          <t>32019R0817</t>
        </is>
      </c>
      <c r="D764" s="2" t="inlineStr">
        <is>
          <t>32023R0333</t>
        </is>
      </c>
      <c r="E764" s="2" t="inlineStr">
        <is>
          <t>delegated</t>
        </is>
      </c>
      <c r="F764" s="2" t="inlineStr">
        <is>
          <t>REG_DEL</t>
        </is>
      </c>
      <c r="G764" s="2" t="inlineStr">
        <is>
          <t>2022-07-11</t>
        </is>
      </c>
      <c r="H764" s="2" t="inlineStr">
        <is>
          <t>Commission Delegated Regulation (EU) 2023/333 of 11 July 2022 supplementing Regulation (EU) 2019/817 of the European Parliament and of the Council as regards determining cases where identity data are considered as same or similar for the purpose of the multiple identity detection</t>
        </is>
      </c>
      <c r="I764" s="2" t="inlineStr">
        <is>
          <t>no</t>
        </is>
      </c>
      <c r="J764" s="2" t="inlineStr">
        <is>
          <t>https://eur-lex.europa.eu/legal-content/EN/TXT/?uri=CELEX:32023R0333</t>
        </is>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t="inlineStr"/>
    </row>
    <row r="765">
      <c r="A765" s="2" t="n">
        <v>114</v>
      </c>
      <c r="B765" s="2" t="inlineStr">
        <is>
          <t>Interoperability of EU information systems (borders and visa) Regulation</t>
        </is>
      </c>
      <c r="C765" s="2" t="inlineStr">
        <is>
          <t>32019R0817</t>
        </is>
      </c>
      <c r="D765" s="2" t="inlineStr">
        <is>
          <t>32023D0220</t>
        </is>
      </c>
      <c r="E765" s="2" t="inlineStr">
        <is>
          <t>implementing</t>
        </is>
      </c>
      <c r="F765" s="2" t="inlineStr">
        <is>
          <t>DEC_IMPL</t>
        </is>
      </c>
      <c r="G765" s="2" t="inlineStr">
        <is>
          <t>2023-02-01</t>
        </is>
      </c>
      <c r="H765" s="2" t="inlineStr">
        <is>
          <t>Commission Implementing Decision (EU) 2023/220 of 1 February 2023 laying down and developing the universal message format (UMF) standard pursuant to Regulation (EU) 2019/817 of the European Parliament and of the Council</t>
        </is>
      </c>
      <c r="I765" s="2" t="inlineStr">
        <is>
          <t>no</t>
        </is>
      </c>
      <c r="J765" s="2" t="inlineStr">
        <is>
          <t>https://eur-lex.europa.eu/legal-content/EN/TXT/?uri=CELEX:32023D0220</t>
        </is>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t="inlineStr"/>
    </row>
    <row r="766">
      <c r="A766" s="2" t="n">
        <v>114</v>
      </c>
      <c r="B766" s="2" t="inlineStr">
        <is>
          <t>Interoperability of EU information systems (borders and visa) Regulation</t>
        </is>
      </c>
      <c r="C766" s="2" t="inlineStr">
        <is>
          <t>32019R0817</t>
        </is>
      </c>
      <c r="D766" s="2" t="inlineStr">
        <is>
          <t>32024R2106</t>
        </is>
      </c>
      <c r="E766" s="2" t="inlineStr">
        <is>
          <t>implementing</t>
        </is>
      </c>
      <c r="F766" s="2" t="inlineStr">
        <is>
          <t>REG_IMPL</t>
        </is>
      </c>
      <c r="G766" s="2" t="inlineStr">
        <is>
          <t>2024-07-31</t>
        </is>
      </c>
      <c r="H766" s="2" t="inlineStr">
        <is>
          <t>Commission Implementing Regulation (EU) 2024/2106 of 31 July 2024 amending Implementing Decision C(2021) 5052 laying down technical details for European search portal user profiles, pursuant to Article 8(2) of Regulation (EU) 2019/817 of the European Parliament and of the Council</t>
        </is>
      </c>
      <c r="I766" s="2" t="inlineStr">
        <is>
          <t>no</t>
        </is>
      </c>
      <c r="J766" s="2" t="inlineStr">
        <is>
          <t>https://eur-lex.europa.eu/legal-content/EN/TXT/?uri=CELEX:32024R2106</t>
        </is>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t="inlineStr"/>
    </row>
    <row r="767">
      <c r="A767" s="2" t="n">
        <v>114</v>
      </c>
      <c r="B767" s="2" t="inlineStr">
        <is>
          <t>Interoperability of EU information systems (borders and visa) Regulation</t>
        </is>
      </c>
      <c r="C767" s="2" t="inlineStr">
        <is>
          <t>32019R0817</t>
        </is>
      </c>
      <c r="D767" s="2" t="inlineStr">
        <is>
          <t>32025D0875</t>
        </is>
      </c>
      <c r="E767" s="2" t="inlineStr">
        <is>
          <t>implementing</t>
        </is>
      </c>
      <c r="F767" s="2" t="inlineStr">
        <is>
          <t>DEC_IMPL</t>
        </is>
      </c>
      <c r="G767" s="2" t="inlineStr">
        <is>
          <t>2025-05-13</t>
        </is>
      </c>
      <c r="H767" s="2" t="inlineStr">
        <is>
          <t>Commission Implementing Decision (EU) 2025/875 of 13 May 2025 determining the date on which operations of the shared Biometric Matching Service start pursuant to Regulations (EU) 2019/817 and (EU) 2019/818 of the European Parliament and of the Council</t>
        </is>
      </c>
      <c r="I767" s="2" t="inlineStr">
        <is>
          <t>no</t>
        </is>
      </c>
      <c r="J767" s="2" t="inlineStr">
        <is>
          <t>https://eur-lex.europa.eu/legal-content/EN/TXT/?uri=CELEX:32025D0875</t>
        </is>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t="inlineStr"/>
    </row>
    <row r="768">
      <c r="A768" s="2" t="n">
        <v>114</v>
      </c>
      <c r="B768" s="2" t="inlineStr">
        <is>
          <t>Interoperability of EU information systems (borders and visa) Regulation</t>
        </is>
      </c>
      <c r="C768" s="2" t="inlineStr">
        <is>
          <t>32019R0817</t>
        </is>
      </c>
      <c r="D768" s="2" t="inlineStr">
        <is>
          <t>32026R0327</t>
        </is>
      </c>
      <c r="E768" s="2" t="inlineStr">
        <is>
          <t>delegated</t>
        </is>
      </c>
      <c r="F768" s="2" t="inlineStr">
        <is>
          <t>REG_DEL</t>
        </is>
      </c>
      <c r="G768" s="2" t="inlineStr">
        <is>
          <t>2025-12-03</t>
        </is>
      </c>
      <c r="H768" s="2" t="inlineStr">
        <is>
          <t>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is>
      </c>
      <c r="I768" s="2" t="inlineStr">
        <is>
          <t>no</t>
        </is>
      </c>
      <c r="J768" s="2" t="inlineStr">
        <is>
          <t>https://eur-lex.europa.eu/legal-content/EN/TXT/?uri=CELEX:32026R0327</t>
        </is>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t="inlineStr"/>
    </row>
    <row r="769">
      <c r="A769" s="2" t="n">
        <v>114</v>
      </c>
      <c r="B769" s="2" t="inlineStr">
        <is>
          <t>Interoperability of EU information systems (borders and visa) Regulation</t>
        </is>
      </c>
      <c r="C769" s="2" t="inlineStr">
        <is>
          <t>32019R0817</t>
        </is>
      </c>
      <c r="D769" s="2" t="inlineStr">
        <is>
          <t>32026R0049</t>
        </is>
      </c>
      <c r="E769" s="2" t="inlineStr">
        <is>
          <t>delegated</t>
        </is>
      </c>
      <c r="F769" s="2" t="inlineStr">
        <is>
          <t>REG_DEL</t>
        </is>
      </c>
      <c r="G769" s="2" t="inlineStr">
        <is>
          <t>2025-12-11</t>
        </is>
      </c>
      <c r="H769" s="2" t="inlineStr">
        <is>
          <t>Commission Delegated Regulation (EU) 2026/49 of 11 December 2025 amending Delegated Regulation (EU) 2021/2223 supplementing Regulation (EU) 2019/817 of the European Parliament and of the Council with detailed rules on the operation of the central repository for reporting and statistics</t>
        </is>
      </c>
      <c r="I769" s="2" t="inlineStr">
        <is>
          <t>no</t>
        </is>
      </c>
      <c r="J769" s="2" t="inlineStr">
        <is>
          <t>https://eur-lex.europa.eu/legal-content/EN/TXT/?uri=CELEX:32026R0049</t>
        </is>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t="inlineStr"/>
    </row>
    <row r="770">
      <c r="A770" s="2" t="n">
        <v>114</v>
      </c>
      <c r="B770" s="2" t="inlineStr">
        <is>
          <t>Interoperability of EU information systems (borders and visa) Regulation</t>
        </is>
      </c>
      <c r="C770" s="2" t="inlineStr">
        <is>
          <t>32019R0817</t>
        </is>
      </c>
      <c r="D770" s="2" t="inlineStr">
        <is>
          <t>32026D1155</t>
        </is>
      </c>
      <c r="E770" s="2" t="inlineStr">
        <is>
          <t>implementing</t>
        </is>
      </c>
      <c r="F770" s="2" t="inlineStr">
        <is>
          <t>DEC_IMPL</t>
        </is>
      </c>
      <c r="G770" s="2" t="inlineStr">
        <is>
          <t>2026-05-28</t>
        </is>
      </c>
      <c r="H770" s="2" t="inlineStr">
        <is>
          <t>Commission Implementing Decision (EU) 2026/1155 of 28 May 2026 determining the date from which the European search portal is to start operations pursuant to Regulations (EU) 2019/817 and (EU) 2019/818 of the European Parliament and of the Council</t>
        </is>
      </c>
      <c r="I770" s="2" t="inlineStr">
        <is>
          <t>no</t>
        </is>
      </c>
      <c r="J770" s="2" t="inlineStr">
        <is>
          <t>https://eur-lex.europa.eu/legal-content/EN/TXT/?uri=CELEX:32026D1155</t>
        </is>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t="inlineStr"/>
    </row>
    <row r="771">
      <c r="A771" s="2" t="n">
        <v>114</v>
      </c>
      <c r="B771" s="2" t="inlineStr">
        <is>
          <t>Interoperability of EU information systems (borders and visa) Regulation</t>
        </is>
      </c>
      <c r="C771" s="2" t="inlineStr">
        <is>
          <t>32019R0817</t>
        </is>
      </c>
      <c r="D771" s="2" t="inlineStr">
        <is>
          <t>32026D1156</t>
        </is>
      </c>
      <c r="E771" s="2" t="inlineStr">
        <is>
          <t>implementing</t>
        </is>
      </c>
      <c r="F771" s="2" t="inlineStr">
        <is>
          <t>DEC_IMPL</t>
        </is>
      </c>
      <c r="G771" s="2" t="inlineStr">
        <is>
          <t>2026-05-28</t>
        </is>
      </c>
      <c r="H771" s="2" t="inlineStr">
        <is>
          <t>Commission Implementing Decision (EU) 2026/1156 of 28 May 2026 determining the date from which the common identity repository is to start operations pursuant to Regulations (EU) 2019/817 and (EU) 2019/818 of the European Parliament and of the Council</t>
        </is>
      </c>
      <c r="I771" s="2" t="inlineStr">
        <is>
          <t>no</t>
        </is>
      </c>
      <c r="J771" s="2" t="inlineStr">
        <is>
          <t>https://eur-lex.europa.eu/legal-content/EN/TXT/?uri=CELEX:32026D1156</t>
        </is>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t="inlineStr"/>
    </row>
  </sheetData>
  <autoFilter ref="A1:AC7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18" customWidth="1" min="4" max="4"/>
    <col width="12" customWidth="1" min="5" max="5"/>
    <col width="11" customWidth="1" min="6" max="6"/>
    <col width="80" customWidth="1" min="7" max="7"/>
    <col width="40" customWidth="1" min="8" max="8"/>
  </cols>
  <sheetData>
    <row r="1" ht="45" customHeight="1">
      <c r="A1" s="1" t="inlineStr">
        <is>
          <t>parent_row_id</t>
        </is>
      </c>
      <c r="B1" s="1" t="inlineStr">
        <is>
          <t>parent_name</t>
        </is>
      </c>
      <c r="C1" s="1" t="inlineStr">
        <is>
          <t>parent_celex</t>
        </is>
      </c>
      <c r="D1" s="1" t="inlineStr">
        <is>
          <t>celex</t>
        </is>
      </c>
      <c r="E1" s="1" t="inlineStr">
        <is>
          <t>kind</t>
        </is>
      </c>
      <c r="F1" s="1" t="inlineStr">
        <is>
          <t>date</t>
        </is>
      </c>
      <c r="G1" s="1" t="inlineStr">
        <is>
          <t>title</t>
        </is>
      </c>
      <c r="H1" s="1" t="inlineStr">
        <is>
          <t>source_url</t>
        </is>
      </c>
    </row>
    <row r="2">
      <c r="A2" s="2" t="n">
        <v>1</v>
      </c>
      <c r="B2" s="2" t="inlineStr">
        <is>
          <t>Frequency Bands Directive (GSM)</t>
        </is>
      </c>
      <c r="C2" s="2" t="inlineStr">
        <is>
          <t>31987L0372</t>
        </is>
      </c>
      <c r="D2" s="2" t="inlineStr">
        <is>
          <t>32009L0114</t>
        </is>
      </c>
      <c r="E2" s="2" t="inlineStr">
        <is>
          <t>amendment</t>
        </is>
      </c>
      <c r="F2" s="2" t="inlineStr">
        <is>
          <t>2009-09-16</t>
        </is>
      </c>
      <c r="G2" s="2" t="inlineStr">
        <is>
          <t>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is>
      </c>
      <c r="H2" s="2" t="inlineStr">
        <is>
          <t>https://eur-lex.europa.eu/legal-content/EN/TXT/?uri=CELEX:32009L0114</t>
        </is>
      </c>
    </row>
    <row r="3">
      <c r="A3" s="2" t="n">
        <v>1</v>
      </c>
      <c r="B3" s="2" t="inlineStr">
        <is>
          <t>Frequency Bands Directive (GSM)</t>
        </is>
      </c>
      <c r="C3" s="2" t="inlineStr">
        <is>
          <t>31987L0372</t>
        </is>
      </c>
      <c r="D3" s="2" t="inlineStr">
        <is>
          <t>31987L0372R(01)</t>
        </is>
      </c>
      <c r="E3" s="2" t="inlineStr">
        <is>
          <t>corrigendum</t>
        </is>
      </c>
      <c r="F3" s="2" t="inlineStr">
        <is>
          <t>1987-07-29</t>
        </is>
      </c>
      <c r="G3" s="2" t="inlineStr"/>
      <c r="H3" s="2" t="inlineStr">
        <is>
          <t>https://eur-lex.europa.eu/legal-content/EN/TXT/?uri=CELEX:31987L0372R(01)</t>
        </is>
      </c>
    </row>
    <row r="4">
      <c r="A4" s="2" t="n">
        <v>1</v>
      </c>
      <c r="B4" s="2" t="inlineStr">
        <is>
          <t>Frequency Bands Directive (GSM)</t>
        </is>
      </c>
      <c r="C4" s="2" t="inlineStr">
        <is>
          <t>31987L0372</t>
        </is>
      </c>
      <c r="D4" s="2" t="inlineStr">
        <is>
          <t>31987L0372R(02)</t>
        </is>
      </c>
      <c r="E4" s="2" t="inlineStr">
        <is>
          <t>corrigendum</t>
        </is>
      </c>
      <c r="F4" s="2" t="inlineStr">
        <is>
          <t>1987-09-16</t>
        </is>
      </c>
      <c r="G4" s="2" t="inlineStr">
        <is>
          <t>Corrigendum to Council Directive 87/372/EEC of 25 June 1987 on the frequency bands to be reserved for the coordinated introduction of public pan-European cellular digital land-based mobile communications in the Community (OJ No L 196 of 17.7.1987)</t>
        </is>
      </c>
      <c r="H4" s="2" t="inlineStr">
        <is>
          <t>https://eur-lex.europa.eu/legal-content/EN/TXT/?uri=CELEX:31987L0372R(02)</t>
        </is>
      </c>
    </row>
    <row r="5">
      <c r="A5" s="2" t="n">
        <v>2</v>
      </c>
      <c r="B5" s="2" t="inlineStr">
        <is>
          <t>Unfair Contract Terms Directive</t>
        </is>
      </c>
      <c r="C5" s="2" t="inlineStr">
        <is>
          <t>31993L0013</t>
        </is>
      </c>
      <c r="D5" s="2" t="inlineStr">
        <is>
          <t>32011L0083</t>
        </is>
      </c>
      <c r="E5" s="2" t="inlineStr">
        <is>
          <t>amendment</t>
        </is>
      </c>
      <c r="F5" s="2" t="inlineStr">
        <is>
          <t>2011-10-25</t>
        </is>
      </c>
      <c r="G5" s="2" t="inlineStr">
        <is>
          <t>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is>
      </c>
      <c r="H5" s="2" t="inlineStr">
        <is>
          <t>https://eur-lex.europa.eu/legal-content/EN/TXT/?uri=CELEX:32011L0083</t>
        </is>
      </c>
    </row>
    <row r="6">
      <c r="A6" s="2" t="n">
        <v>2</v>
      </c>
      <c r="B6" s="2" t="inlineStr">
        <is>
          <t>Unfair Contract Terms Directive</t>
        </is>
      </c>
      <c r="C6" s="2" t="inlineStr">
        <is>
          <t>31993L0013</t>
        </is>
      </c>
      <c r="D6" s="2" t="inlineStr">
        <is>
          <t>32019L2161</t>
        </is>
      </c>
      <c r="E6" s="2" t="inlineStr">
        <is>
          <t>amendment</t>
        </is>
      </c>
      <c r="F6" s="2" t="inlineStr">
        <is>
          <t>2019-11-27</t>
        </is>
      </c>
      <c r="G6"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6" s="2" t="inlineStr">
        <is>
          <t>https://eur-lex.europa.eu/legal-content/EN/TXT/?uri=CELEX:32019L2161</t>
        </is>
      </c>
    </row>
    <row r="7">
      <c r="A7" s="2" t="n">
        <v>2</v>
      </c>
      <c r="B7" s="2" t="inlineStr">
        <is>
          <t>Unfair Contract Terms Directive</t>
        </is>
      </c>
      <c r="C7" s="2" t="inlineStr">
        <is>
          <t>31993L0013</t>
        </is>
      </c>
      <c r="D7" s="2" t="inlineStr">
        <is>
          <t>31993L0013R(01)</t>
        </is>
      </c>
      <c r="E7" s="2" t="inlineStr">
        <is>
          <t>corrigendum</t>
        </is>
      </c>
      <c r="F7" s="2" t="inlineStr">
        <is>
          <t>2014-10-09</t>
        </is>
      </c>
      <c r="G7" s="2" t="inlineStr"/>
      <c r="H7" s="2" t="inlineStr">
        <is>
          <t>https://eur-lex.europa.eu/legal-content/EN/TXT/?uri=CELEX:31993L0013R(01)</t>
        </is>
      </c>
    </row>
    <row r="8">
      <c r="A8" s="2" t="n">
        <v>2</v>
      </c>
      <c r="B8" s="2" t="inlineStr">
        <is>
          <t>Unfair Contract Terms Directive</t>
        </is>
      </c>
      <c r="C8" s="2" t="inlineStr">
        <is>
          <t>31993L0013</t>
        </is>
      </c>
      <c r="D8" s="2" t="inlineStr">
        <is>
          <t>31993L0013R(02)</t>
        </is>
      </c>
      <c r="E8" s="2" t="inlineStr">
        <is>
          <t>corrigendum</t>
        </is>
      </c>
      <c r="F8" s="2" t="inlineStr">
        <is>
          <t>2015-06-04</t>
        </is>
      </c>
      <c r="G8" s="2" t="inlineStr"/>
      <c r="H8" s="2" t="inlineStr">
        <is>
          <t>https://eur-lex.europa.eu/legal-content/EN/TXT/?uri=CELEX:31993L0013R(02)</t>
        </is>
      </c>
    </row>
    <row r="9">
      <c r="A9" s="2" t="n">
        <v>2</v>
      </c>
      <c r="B9" s="2" t="inlineStr">
        <is>
          <t>Unfair Contract Terms Directive</t>
        </is>
      </c>
      <c r="C9" s="2" t="inlineStr">
        <is>
          <t>31993L0013</t>
        </is>
      </c>
      <c r="D9" s="2" t="inlineStr">
        <is>
          <t>31993L0013R(03)</t>
        </is>
      </c>
      <c r="E9" s="2" t="inlineStr">
        <is>
          <t>corrigendum</t>
        </is>
      </c>
      <c r="F9" s="2" t="inlineStr">
        <is>
          <t>2016-10-13</t>
        </is>
      </c>
      <c r="G9" s="2" t="inlineStr"/>
      <c r="H9" s="2" t="inlineStr">
        <is>
          <t>https://eur-lex.europa.eu/legal-content/EN/TXT/?uri=CELEX:31993L0013R(03)</t>
        </is>
      </c>
    </row>
    <row r="10">
      <c r="A10" s="2" t="n">
        <v>2</v>
      </c>
      <c r="B10" s="2" t="inlineStr">
        <is>
          <t>Unfair Contract Terms Directive</t>
        </is>
      </c>
      <c r="C10" s="2" t="inlineStr">
        <is>
          <t>31993L0013</t>
        </is>
      </c>
      <c r="D10" s="2" t="inlineStr">
        <is>
          <t>31993L0013R(04)</t>
        </is>
      </c>
      <c r="E10" s="2" t="inlineStr">
        <is>
          <t>corrigendum</t>
        </is>
      </c>
      <c r="F10" s="2" t="inlineStr">
        <is>
          <t>2016-11-10</t>
        </is>
      </c>
      <c r="G10" s="2" t="inlineStr"/>
      <c r="H10" s="2" t="inlineStr">
        <is>
          <t>https://eur-lex.europa.eu/legal-content/EN/TXT/?uri=CELEX:31993L0013R(04)</t>
        </is>
      </c>
    </row>
    <row r="11">
      <c r="A11" s="2" t="n">
        <v>2</v>
      </c>
      <c r="B11" s="2" t="inlineStr">
        <is>
          <t>Unfair Contract Terms Directive</t>
        </is>
      </c>
      <c r="C11" s="2" t="inlineStr">
        <is>
          <t>31993L0013</t>
        </is>
      </c>
      <c r="D11" s="2" t="inlineStr">
        <is>
          <t>31993L0013R(05)</t>
        </is>
      </c>
      <c r="E11" s="2" t="inlineStr">
        <is>
          <t>corrigendum</t>
        </is>
      </c>
      <c r="F11" s="2" t="inlineStr">
        <is>
          <t>2018-06-19</t>
        </is>
      </c>
      <c r="G11" s="2" t="inlineStr"/>
      <c r="H11" s="2" t="inlineStr">
        <is>
          <t>https://eur-lex.europa.eu/legal-content/EN/TXT/?uri=CELEX:31993L0013R(05)</t>
        </is>
      </c>
    </row>
    <row r="12">
      <c r="A12" s="2" t="n">
        <v>2</v>
      </c>
      <c r="B12" s="2" t="inlineStr">
        <is>
          <t>Unfair Contract Terms Directive</t>
        </is>
      </c>
      <c r="C12" s="2" t="inlineStr">
        <is>
          <t>31993L0013</t>
        </is>
      </c>
      <c r="D12" s="2" t="inlineStr">
        <is>
          <t>31993L0013R(06)</t>
        </is>
      </c>
      <c r="E12" s="2" t="inlineStr">
        <is>
          <t>corrigendum</t>
        </is>
      </c>
      <c r="F12" s="2" t="inlineStr">
        <is>
          <t>2019-08-16</t>
        </is>
      </c>
      <c r="G12" s="2" t="inlineStr"/>
      <c r="H12" s="2" t="inlineStr">
        <is>
          <t>https://eur-lex.europa.eu/legal-content/EN/TXT/?uri=CELEX:31993L0013R(06)</t>
        </is>
      </c>
    </row>
    <row r="13">
      <c r="A13" s="2" t="n">
        <v>2</v>
      </c>
      <c r="B13" s="2" t="inlineStr">
        <is>
          <t>Unfair Contract Terms Directive</t>
        </is>
      </c>
      <c r="C13" s="2" t="inlineStr">
        <is>
          <t>31993L0013</t>
        </is>
      </c>
      <c r="D13" s="2" t="inlineStr">
        <is>
          <t>31993L0013R(07)</t>
        </is>
      </c>
      <c r="E13" s="2" t="inlineStr">
        <is>
          <t>corrigendum</t>
        </is>
      </c>
      <c r="F13" s="2" t="inlineStr">
        <is>
          <t>2020-10-29</t>
        </is>
      </c>
      <c r="G13" s="2" t="inlineStr"/>
      <c r="H13" s="2" t="inlineStr">
        <is>
          <t>https://eur-lex.europa.eu/legal-content/EN/TXT/?uri=CELEX:31993L0013R(07)</t>
        </is>
      </c>
    </row>
    <row r="14">
      <c r="A14" s="2" t="n">
        <v>2</v>
      </c>
      <c r="B14" s="2" t="inlineStr">
        <is>
          <t>Unfair Contract Terms Directive</t>
        </is>
      </c>
      <c r="C14" s="2" t="inlineStr">
        <is>
          <t>31993L0013</t>
        </is>
      </c>
      <c r="D14" s="2" t="inlineStr">
        <is>
          <t>31993L0013R(08)</t>
        </is>
      </c>
      <c r="E14" s="2" t="inlineStr">
        <is>
          <t>corrigendum</t>
        </is>
      </c>
      <c r="F14" s="2" t="inlineStr">
        <is>
          <t>2023-01-19</t>
        </is>
      </c>
      <c r="G14" s="2" t="inlineStr"/>
      <c r="H14" s="2" t="inlineStr">
        <is>
          <t>https://eur-lex.europa.eu/legal-content/EN/TXT/?uri=CELEX:31993L0013R(08)</t>
        </is>
      </c>
    </row>
    <row r="15">
      <c r="A15" s="2" t="n">
        <v>2</v>
      </c>
      <c r="B15" s="2" t="inlineStr">
        <is>
          <t>Unfair Contract Terms Directive</t>
        </is>
      </c>
      <c r="C15" s="2" t="inlineStr">
        <is>
          <t>31993L0013</t>
        </is>
      </c>
      <c r="D15" s="2" t="inlineStr">
        <is>
          <t>31993L0013R(09)</t>
        </is>
      </c>
      <c r="E15" s="2" t="inlineStr">
        <is>
          <t>corrigendum</t>
        </is>
      </c>
      <c r="F15" s="2" t="inlineStr">
        <is>
          <t>2023-05-25</t>
        </is>
      </c>
      <c r="G15" s="2" t="inlineStr"/>
      <c r="H15" s="2" t="inlineStr">
        <is>
          <t>https://eur-lex.europa.eu/legal-content/EN/TXT/?uri=CELEX:31993L0013R(09)</t>
        </is>
      </c>
    </row>
    <row r="16">
      <c r="A16" s="2" t="n">
        <v>2</v>
      </c>
      <c r="B16" s="2" t="inlineStr">
        <is>
          <t>Unfair Contract Terms Directive</t>
        </is>
      </c>
      <c r="C16" s="2" t="inlineStr">
        <is>
          <t>31993L0013</t>
        </is>
      </c>
      <c r="D16" s="2" t="inlineStr">
        <is>
          <t>31993L0013R(10)</t>
        </is>
      </c>
      <c r="E16" s="2" t="inlineStr">
        <is>
          <t>corrigendum</t>
        </is>
      </c>
      <c r="F16" s="2" t="inlineStr">
        <is>
          <t>2024-01-17</t>
        </is>
      </c>
      <c r="G16" s="2" t="inlineStr"/>
      <c r="H16" s="2" t="inlineStr">
        <is>
          <t>https://eur-lex.europa.eu/legal-content/EN/TXT/?uri=CELEX:31993L0013R(10)</t>
        </is>
      </c>
    </row>
    <row r="17">
      <c r="A17" s="2" t="n">
        <v>2</v>
      </c>
      <c r="B17" s="2" t="inlineStr">
        <is>
          <t>Unfair Contract Terms Directive</t>
        </is>
      </c>
      <c r="C17" s="2" t="inlineStr">
        <is>
          <t>31993L0013</t>
        </is>
      </c>
      <c r="D17" s="2" t="inlineStr">
        <is>
          <t>31993L0013R(11)</t>
        </is>
      </c>
      <c r="E17" s="2" t="inlineStr">
        <is>
          <t>corrigendum</t>
        </is>
      </c>
      <c r="F17" s="2" t="inlineStr">
        <is>
          <t>2024-08-28</t>
        </is>
      </c>
      <c r="G17" s="2" t="inlineStr"/>
      <c r="H17" s="2" t="inlineStr">
        <is>
          <t>https://eur-lex.europa.eu/legal-content/EN/TXT/?uri=CELEX:31993L0013R(11)</t>
        </is>
      </c>
    </row>
    <row r="18">
      <c r="A18" s="2" t="n">
        <v>2</v>
      </c>
      <c r="B18" s="2" t="inlineStr">
        <is>
          <t>Unfair Contract Terms Directive</t>
        </is>
      </c>
      <c r="C18" s="2" t="inlineStr">
        <is>
          <t>31993L0013</t>
        </is>
      </c>
      <c r="D18" s="2" t="inlineStr">
        <is>
          <t>31993L0013R(12)</t>
        </is>
      </c>
      <c r="E18" s="2" t="inlineStr">
        <is>
          <t>corrigendum</t>
        </is>
      </c>
      <c r="F18" s="2" t="inlineStr">
        <is>
          <t>2025-05-23</t>
        </is>
      </c>
      <c r="G18" s="2" t="inlineStr"/>
      <c r="H18" s="2" t="inlineStr">
        <is>
          <t>https://eur-lex.europa.eu/legal-content/EN/TXT/?uri=CELEX:31993L0013R(12)</t>
        </is>
      </c>
    </row>
    <row r="19">
      <c r="A19" s="2" t="n">
        <v>2</v>
      </c>
      <c r="B19" s="2" t="inlineStr">
        <is>
          <t>Unfair Contract Terms Directive</t>
        </is>
      </c>
      <c r="C19" s="2" t="inlineStr">
        <is>
          <t>31993L0013</t>
        </is>
      </c>
      <c r="D19" s="2" t="inlineStr">
        <is>
          <t>31993L0013R(13)</t>
        </is>
      </c>
      <c r="E19" s="2" t="inlineStr">
        <is>
          <t>corrigendum</t>
        </is>
      </c>
      <c r="F19" s="2" t="inlineStr">
        <is>
          <t>2026-09-23</t>
        </is>
      </c>
      <c r="G19" s="2" t="inlineStr"/>
      <c r="H19" s="2" t="inlineStr">
        <is>
          <t>https://eur-lex.europa.eu/legal-content/EN/TXT/?uri=CELEX:31993L0013R(13)</t>
        </is>
      </c>
    </row>
    <row r="20">
      <c r="A20" s="2" t="n">
        <v>3</v>
      </c>
      <c r="B20" s="2" t="inlineStr">
        <is>
          <t>Satellite and Cable Directive</t>
        </is>
      </c>
      <c r="C20" s="2" t="inlineStr">
        <is>
          <t>31993L0083</t>
        </is>
      </c>
      <c r="D20" s="2" t="inlineStr">
        <is>
          <t>32019L0789</t>
        </is>
      </c>
      <c r="E20" s="2" t="inlineStr">
        <is>
          <t>amendment</t>
        </is>
      </c>
      <c r="F20" s="2" t="inlineStr">
        <is>
          <t>2019-04-17</t>
        </is>
      </c>
      <c r="G20" s="2" t="inlineStr">
        <is>
          <t>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is>
      </c>
      <c r="H20" s="2" t="inlineStr">
        <is>
          <t>https://eur-lex.europa.eu/legal-content/EN/TXT/?uri=CELEX:32019L0789</t>
        </is>
      </c>
    </row>
    <row r="21">
      <c r="A21" s="2" t="n">
        <v>3</v>
      </c>
      <c r="B21" s="2" t="inlineStr">
        <is>
          <t>Satellite and Cable Directive</t>
        </is>
      </c>
      <c r="C21" s="2" t="inlineStr">
        <is>
          <t>31993L0083</t>
        </is>
      </c>
      <c r="D21" s="2" t="inlineStr">
        <is>
          <t>31993L0083R(01)</t>
        </is>
      </c>
      <c r="E21" s="2" t="inlineStr">
        <is>
          <t>corrigendum</t>
        </is>
      </c>
      <c r="F21" s="2" t="inlineStr">
        <is>
          <t>2012-03-17</t>
        </is>
      </c>
      <c r="G21" s="2" t="inlineStr"/>
      <c r="H21" s="2" t="inlineStr">
        <is>
          <t>https://eur-lex.europa.eu/legal-content/EN/TXT/?uri=CELEX:31993L0083R(01)</t>
        </is>
      </c>
    </row>
    <row r="22">
      <c r="A22" s="2" t="n">
        <v>4</v>
      </c>
      <c r="B22" s="2" t="inlineStr">
        <is>
          <t>Database Directive</t>
        </is>
      </c>
      <c r="C22" s="2" t="inlineStr">
        <is>
          <t>31996L0009</t>
        </is>
      </c>
      <c r="D22" s="2" t="inlineStr">
        <is>
          <t>32019L0790</t>
        </is>
      </c>
      <c r="E22" s="2" t="inlineStr">
        <is>
          <t>amendment</t>
        </is>
      </c>
      <c r="F22" s="2" t="inlineStr">
        <is>
          <t>2019-04-17</t>
        </is>
      </c>
      <c r="G22" s="2" t="inlineStr">
        <is>
          <t>Directive (EU) 2019/790 of the European Parliament and of the Council of 17 April 2019 on copyright and related rights in the Digital Single Market and amending Directives 96/9/EC and 2001/29/EC (Text with EEA relevance.)</t>
        </is>
      </c>
      <c r="H22" s="2" t="inlineStr">
        <is>
          <t>https://eur-lex.europa.eu/legal-content/EN/TXT/?uri=CELEX:32019L0790</t>
        </is>
      </c>
    </row>
    <row r="23">
      <c r="A23" s="2" t="n">
        <v>4</v>
      </c>
      <c r="B23" s="2" t="inlineStr">
        <is>
          <t>Database Directive</t>
        </is>
      </c>
      <c r="C23" s="2" t="inlineStr">
        <is>
          <t>31996L0009</t>
        </is>
      </c>
      <c r="D23" s="2" t="inlineStr">
        <is>
          <t>31996L0009R(01)</t>
        </is>
      </c>
      <c r="E23" s="2" t="inlineStr">
        <is>
          <t>corrigendum</t>
        </is>
      </c>
      <c r="F23" s="2" t="inlineStr">
        <is>
          <t>2021-02-11</t>
        </is>
      </c>
      <c r="G23" s="2" t="inlineStr"/>
      <c r="H23" s="2" t="inlineStr">
        <is>
          <t>https://eur-lex.europa.eu/legal-content/EN/TXT/?uri=CELEX:31996L0009R(01)</t>
        </is>
      </c>
    </row>
    <row r="24">
      <c r="A24" s="2" t="n">
        <v>5</v>
      </c>
      <c r="B24" s="2" t="inlineStr">
        <is>
          <t>Community Design Regulation</t>
        </is>
      </c>
      <c r="C24" s="2" t="inlineStr">
        <is>
          <t>32002R0006</t>
        </is>
      </c>
      <c r="D24" s="2" t="inlineStr">
        <is>
          <t>32006R1891</t>
        </is>
      </c>
      <c r="E24" s="2" t="inlineStr">
        <is>
          <t>amendment</t>
        </is>
      </c>
      <c r="F24" s="2" t="inlineStr">
        <is>
          <t>2006-12-18</t>
        </is>
      </c>
      <c r="G24" s="2" t="inlineStr">
        <is>
          <t>Council Regulation (EC) No 1891/2006 of 18 December 2006 amending Regulations (EC) No 6/2002 and (EC) No 40/94 to give effect to the accession of the European Community to the Geneva Act of the Hague Agreement concerning the international registration of industrial designs</t>
        </is>
      </c>
      <c r="H24" s="2" t="inlineStr">
        <is>
          <t>https://eur-lex.europa.eu/legal-content/EN/TXT/?uri=CELEX:32006R1891</t>
        </is>
      </c>
    </row>
    <row r="25">
      <c r="A25" s="2" t="n">
        <v>5</v>
      </c>
      <c r="B25" s="2" t="inlineStr">
        <is>
          <t>Community Design Regulation</t>
        </is>
      </c>
      <c r="C25" s="2" t="inlineStr">
        <is>
          <t>32002R0006</t>
        </is>
      </c>
      <c r="D25" s="2" t="inlineStr">
        <is>
          <t>32024R2822</t>
        </is>
      </c>
      <c r="E25" s="2" t="inlineStr">
        <is>
          <t>amendment</t>
        </is>
      </c>
      <c r="F25" s="2" t="inlineStr">
        <is>
          <t>2024-10-23</t>
        </is>
      </c>
      <c r="G25" s="2" t="inlineStr">
        <is>
          <t>Regulation (EU) 2024/2822 of the European Parliament and of the Council of 23 October 2024 amending Council Regulation (EC) No 6/2002 on Community designs and repealing Commission Regulation (EC) No 2246/2002 (Text with EEA relevance)</t>
        </is>
      </c>
      <c r="H25" s="2" t="inlineStr">
        <is>
          <t>https://eur-lex.europa.eu/legal-content/EN/TXT/?uri=CELEX:32024R2822</t>
        </is>
      </c>
    </row>
    <row r="26">
      <c r="A26" s="2" t="n">
        <v>5</v>
      </c>
      <c r="B26" s="2" t="inlineStr">
        <is>
          <t>Community Design Regulation</t>
        </is>
      </c>
      <c r="C26" s="2" t="inlineStr">
        <is>
          <t>32002R0006</t>
        </is>
      </c>
      <c r="D26" s="2" t="inlineStr">
        <is>
          <t>32002R0006R(01)</t>
        </is>
      </c>
      <c r="E26" s="2" t="inlineStr">
        <is>
          <t>corrigendum</t>
        </is>
      </c>
      <c r="F26" s="2" t="inlineStr">
        <is>
          <t>2002-07-09</t>
        </is>
      </c>
      <c r="G26" s="2" t="inlineStr"/>
      <c r="H26" s="2" t="inlineStr">
        <is>
          <t>https://eur-lex.europa.eu/legal-content/EN/TXT/?uri=CELEX:32002R0006R(01)</t>
        </is>
      </c>
    </row>
    <row r="27">
      <c r="A27" s="2" t="n">
        <v>5</v>
      </c>
      <c r="B27" s="2" t="inlineStr">
        <is>
          <t>Community Design Regulation</t>
        </is>
      </c>
      <c r="C27" s="2" t="inlineStr">
        <is>
          <t>32002R0006</t>
        </is>
      </c>
      <c r="D27" s="2" t="inlineStr">
        <is>
          <t>32002R0006R(02)</t>
        </is>
      </c>
      <c r="E27" s="2" t="inlineStr">
        <is>
          <t>corrigendum</t>
        </is>
      </c>
      <c r="F27" s="2" t="inlineStr">
        <is>
          <t>2013-12-31</t>
        </is>
      </c>
      <c r="G27" s="2" t="inlineStr"/>
      <c r="H27" s="2" t="inlineStr">
        <is>
          <t>https://eur-lex.europa.eu/legal-content/EN/TXT/?uri=CELEX:32002R0006R(02)</t>
        </is>
      </c>
    </row>
    <row r="28">
      <c r="A28" s="2" t="n">
        <v>5</v>
      </c>
      <c r="B28" s="2" t="inlineStr">
        <is>
          <t>Community Design Regulation</t>
        </is>
      </c>
      <c r="C28" s="2" t="inlineStr">
        <is>
          <t>32002R0006</t>
        </is>
      </c>
      <c r="D28" s="2" t="inlineStr">
        <is>
          <t>32002R0006R(03)</t>
        </is>
      </c>
      <c r="E28" s="2" t="inlineStr">
        <is>
          <t>corrigendum</t>
        </is>
      </c>
      <c r="F28" s="2" t="inlineStr">
        <is>
          <t>2015-01-13</t>
        </is>
      </c>
      <c r="G28" s="2" t="inlineStr"/>
      <c r="H28" s="2" t="inlineStr">
        <is>
          <t>https://eur-lex.europa.eu/legal-content/EN/TXT/?uri=CELEX:32002R0006R(03)</t>
        </is>
      </c>
    </row>
    <row r="29">
      <c r="A29" s="2" t="n">
        <v>5</v>
      </c>
      <c r="B29" s="2" t="inlineStr">
        <is>
          <t>Community Design Regulation</t>
        </is>
      </c>
      <c r="C29" s="2" t="inlineStr">
        <is>
          <t>32002R0006</t>
        </is>
      </c>
      <c r="D29" s="2" t="inlineStr">
        <is>
          <t>32002R0006R(04)</t>
        </is>
      </c>
      <c r="E29" s="2" t="inlineStr">
        <is>
          <t>corrigendum</t>
        </is>
      </c>
      <c r="F29" s="2" t="inlineStr">
        <is>
          <t>2016-12-02</t>
        </is>
      </c>
      <c r="G29" s="2" t="inlineStr"/>
      <c r="H29" s="2" t="inlineStr">
        <is>
          <t>https://eur-lex.europa.eu/legal-content/EN/TXT/?uri=CELEX:32002R0006R(04)</t>
        </is>
      </c>
    </row>
    <row r="30">
      <c r="A30" s="2" t="n">
        <v>5</v>
      </c>
      <c r="B30" s="2" t="inlineStr">
        <is>
          <t>Community Design Regulation</t>
        </is>
      </c>
      <c r="C30" s="2" t="inlineStr">
        <is>
          <t>32002R0006</t>
        </is>
      </c>
      <c r="D30" s="2" t="inlineStr">
        <is>
          <t>32002R0006R(05)</t>
        </is>
      </c>
      <c r="E30" s="2" t="inlineStr">
        <is>
          <t>corrigendum</t>
        </is>
      </c>
      <c r="F30" s="2" t="inlineStr">
        <is>
          <t>2017-03-01</t>
        </is>
      </c>
      <c r="G30" s="2" t="inlineStr"/>
      <c r="H30" s="2" t="inlineStr">
        <is>
          <t>https://eur-lex.europa.eu/legal-content/EN/TXT/?uri=CELEX:32002R0006R(05)</t>
        </is>
      </c>
    </row>
    <row r="31">
      <c r="A31" s="2" t="n">
        <v>5</v>
      </c>
      <c r="B31" s="2" t="inlineStr">
        <is>
          <t>Community Design Regulation</t>
        </is>
      </c>
      <c r="C31" s="2" t="inlineStr">
        <is>
          <t>32002R0006</t>
        </is>
      </c>
      <c r="D31" s="2" t="inlineStr">
        <is>
          <t>32002R0006R(06)</t>
        </is>
      </c>
      <c r="E31" s="2" t="inlineStr">
        <is>
          <t>corrigendum</t>
        </is>
      </c>
      <c r="F31" s="2" t="inlineStr">
        <is>
          <t>2018-03-15</t>
        </is>
      </c>
      <c r="G31" s="2" t="inlineStr"/>
      <c r="H31" s="2" t="inlineStr">
        <is>
          <t>https://eur-lex.europa.eu/legal-content/EN/TXT/?uri=CELEX:32002R0006R(06)</t>
        </is>
      </c>
    </row>
    <row r="32">
      <c r="A32" s="2" t="n">
        <v>5</v>
      </c>
      <c r="B32" s="2" t="inlineStr">
        <is>
          <t>Community Design Regulation</t>
        </is>
      </c>
      <c r="C32" s="2" t="inlineStr">
        <is>
          <t>32002R0006</t>
        </is>
      </c>
      <c r="D32" s="2" t="inlineStr">
        <is>
          <t>32002R0006R(07)</t>
        </is>
      </c>
      <c r="E32" s="2" t="inlineStr">
        <is>
          <t>corrigendum</t>
        </is>
      </c>
      <c r="F32" s="2" t="inlineStr">
        <is>
          <t>2019-05-29</t>
        </is>
      </c>
      <c r="G32" s="2" t="inlineStr"/>
      <c r="H32" s="2" t="inlineStr">
        <is>
          <t>https://eur-lex.europa.eu/legal-content/EN/TXT/?uri=CELEX:32002R0006R(07)</t>
        </is>
      </c>
    </row>
    <row r="33">
      <c r="A33" s="2" t="n">
        <v>5</v>
      </c>
      <c r="B33" s="2" t="inlineStr">
        <is>
          <t>Community Design Regulation</t>
        </is>
      </c>
      <c r="C33" s="2" t="inlineStr">
        <is>
          <t>32002R0006</t>
        </is>
      </c>
      <c r="D33" s="2" t="inlineStr">
        <is>
          <t>32002R0006R(08)</t>
        </is>
      </c>
      <c r="E33" s="2" t="inlineStr">
        <is>
          <t>corrigendum</t>
        </is>
      </c>
      <c r="F33" s="2" t="inlineStr">
        <is>
          <t>2020-08-13</t>
        </is>
      </c>
      <c r="G33" s="2" t="inlineStr"/>
      <c r="H33" s="2" t="inlineStr">
        <is>
          <t>https://eur-lex.europa.eu/legal-content/EN/TXT/?uri=CELEX:32002R0006R(08)</t>
        </is>
      </c>
    </row>
    <row r="34">
      <c r="A34" s="2" t="n">
        <v>5</v>
      </c>
      <c r="B34" s="2" t="inlineStr">
        <is>
          <t>Community Design Regulation</t>
        </is>
      </c>
      <c r="C34" s="2" t="inlineStr">
        <is>
          <t>32002R0006</t>
        </is>
      </c>
      <c r="D34" s="2" t="inlineStr">
        <is>
          <t>32002R0006R(09)</t>
        </is>
      </c>
      <c r="E34" s="2" t="inlineStr">
        <is>
          <t>corrigendum</t>
        </is>
      </c>
      <c r="F34" s="2" t="inlineStr">
        <is>
          <t>2020-12-10</t>
        </is>
      </c>
      <c r="G34" s="2" t="inlineStr"/>
      <c r="H34" s="2" t="inlineStr">
        <is>
          <t>https://eur-lex.europa.eu/legal-content/EN/TXT/?uri=CELEX:32002R0006R(09)</t>
        </is>
      </c>
    </row>
    <row r="35">
      <c r="A35" s="2" t="n">
        <v>5</v>
      </c>
      <c r="B35" s="2" t="inlineStr">
        <is>
          <t>Community Design Regulation</t>
        </is>
      </c>
      <c r="C35" s="2" t="inlineStr">
        <is>
          <t>32002R0006</t>
        </is>
      </c>
      <c r="D35" s="2" t="inlineStr">
        <is>
          <t>32002R0006R(10)</t>
        </is>
      </c>
      <c r="E35" s="2" t="inlineStr">
        <is>
          <t>corrigendum</t>
        </is>
      </c>
      <c r="F35" s="2" t="inlineStr">
        <is>
          <t>2023-03-09</t>
        </is>
      </c>
      <c r="G35" s="2" t="inlineStr"/>
      <c r="H35" s="2" t="inlineStr">
        <is>
          <t>https://eur-lex.europa.eu/legal-content/EN/TXT/?uri=CELEX:32002R0006R(10)</t>
        </is>
      </c>
    </row>
    <row r="36">
      <c r="A36" s="2" t="n">
        <v>5</v>
      </c>
      <c r="B36" s="2" t="inlineStr">
        <is>
          <t>Community Design Regulation</t>
        </is>
      </c>
      <c r="C36" s="2" t="inlineStr">
        <is>
          <t>32002R0006</t>
        </is>
      </c>
      <c r="D36" s="2" t="inlineStr">
        <is>
          <t>32002R0006R(11)</t>
        </is>
      </c>
      <c r="E36" s="2" t="inlineStr">
        <is>
          <t>corrigendum</t>
        </is>
      </c>
      <c r="F36" s="2" t="inlineStr">
        <is>
          <t>2025-04-02</t>
        </is>
      </c>
      <c r="G36" s="2" t="inlineStr"/>
      <c r="H36" s="2" t="inlineStr">
        <is>
          <t>https://eur-lex.europa.eu/legal-content/EN/TXT/?uri=CELEX:32002R0006R(11)</t>
        </is>
      </c>
    </row>
    <row r="37">
      <c r="A37" s="2" t="n">
        <v>5</v>
      </c>
      <c r="B37" s="2" t="inlineStr">
        <is>
          <t>Community Design Regulation</t>
        </is>
      </c>
      <c r="C37" s="2" t="inlineStr">
        <is>
          <t>32002R0006</t>
        </is>
      </c>
      <c r="D37" s="2" t="inlineStr">
        <is>
          <t>32002R0006R(12)</t>
        </is>
      </c>
      <c r="E37" s="2" t="inlineStr">
        <is>
          <t>corrigendum</t>
        </is>
      </c>
      <c r="F37" s="2" t="inlineStr">
        <is>
          <t>2025-07-03</t>
        </is>
      </c>
      <c r="G37" s="2" t="inlineStr"/>
      <c r="H37" s="2" t="inlineStr">
        <is>
          <t>https://eur-lex.europa.eu/legal-content/EN/TXT/?uri=CELEX:32002R0006R(12)</t>
        </is>
      </c>
    </row>
    <row r="38">
      <c r="A38" s="2" t="n">
        <v>5</v>
      </c>
      <c r="B38" s="2" t="inlineStr">
        <is>
          <t>Community Design Regulation</t>
        </is>
      </c>
      <c r="C38" s="2" t="inlineStr">
        <is>
          <t>32002R0006</t>
        </is>
      </c>
      <c r="D38" s="2" t="inlineStr">
        <is>
          <t>32002R0006R(13)</t>
        </is>
      </c>
      <c r="E38" s="2" t="inlineStr">
        <is>
          <t>corrigendum</t>
        </is>
      </c>
      <c r="F38" s="2" t="inlineStr">
        <is>
          <t>2025-12-23</t>
        </is>
      </c>
      <c r="G38" s="2" t="inlineStr"/>
      <c r="H38" s="2" t="inlineStr">
        <is>
          <t>https://eur-lex.europa.eu/legal-content/EN/TXT/?uri=CELEX:32002R0006R(13)</t>
        </is>
      </c>
    </row>
    <row r="39">
      <c r="A39" s="2" t="n">
        <v>5</v>
      </c>
      <c r="B39" s="2" t="inlineStr">
        <is>
          <t>Community Design Regulation</t>
        </is>
      </c>
      <c r="C39" s="2" t="inlineStr">
        <is>
          <t>32002R0006</t>
        </is>
      </c>
      <c r="D39" s="2" t="inlineStr">
        <is>
          <t>32002R0006R(15)</t>
        </is>
      </c>
      <c r="E39" s="2" t="inlineStr">
        <is>
          <t>corrigendum</t>
        </is>
      </c>
      <c r="F39" s="2" t="inlineStr">
        <is>
          <t>2026-01-09</t>
        </is>
      </c>
      <c r="G39" s="2" t="inlineStr"/>
      <c r="H39" s="2" t="inlineStr">
        <is>
          <t>https://eur-lex.europa.eu/legal-content/EN/TXT/?uri=CELEX:32002R0006R(15)</t>
        </is>
      </c>
    </row>
    <row r="40">
      <c r="A40" s="2" t="n">
        <v>5</v>
      </c>
      <c r="B40" s="2" t="inlineStr">
        <is>
          <t>Community Design Regulation</t>
        </is>
      </c>
      <c r="C40" s="2" t="inlineStr">
        <is>
          <t>32002R0006</t>
        </is>
      </c>
      <c r="D40" s="2" t="inlineStr">
        <is>
          <t>32002R0006R(14)</t>
        </is>
      </c>
      <c r="E40" s="2" t="inlineStr">
        <is>
          <t>corrigendum</t>
        </is>
      </c>
      <c r="F40" s="2" t="inlineStr">
        <is>
          <t>2026-01-09</t>
        </is>
      </c>
      <c r="G40" s="2" t="inlineStr"/>
      <c r="H40" s="2" t="inlineStr">
        <is>
          <t>https://eur-lex.europa.eu/legal-content/EN/TXT/?uri=CELEX:32002R0006R(14)</t>
        </is>
      </c>
    </row>
    <row r="41">
      <c r="A41" s="2" t="n">
        <v>5</v>
      </c>
      <c r="B41" s="2" t="inlineStr">
        <is>
          <t>Community Design Regulation</t>
        </is>
      </c>
      <c r="C41" s="2" t="inlineStr">
        <is>
          <t>32002R0006</t>
        </is>
      </c>
      <c r="D41" s="2" t="inlineStr">
        <is>
          <t>32002R0006R(16)</t>
        </is>
      </c>
      <c r="E41" s="2" t="inlineStr">
        <is>
          <t>corrigendum</t>
        </is>
      </c>
      <c r="F41" s="2" t="inlineStr">
        <is>
          <t>2026-01-20</t>
        </is>
      </c>
      <c r="G41" s="2" t="inlineStr"/>
      <c r="H41" s="2" t="inlineStr">
        <is>
          <t>https://eur-lex.europa.eu/legal-content/EN/TXT/?uri=CELEX:32002R0006R(16)</t>
        </is>
      </c>
    </row>
    <row r="42">
      <c r="A42" s="2" t="n">
        <v>5</v>
      </c>
      <c r="B42" s="2" t="inlineStr">
        <is>
          <t>Community Design Regulation</t>
        </is>
      </c>
      <c r="C42" s="2" t="inlineStr">
        <is>
          <t>32002R0006</t>
        </is>
      </c>
      <c r="D42" s="2" t="inlineStr">
        <is>
          <t>32002R0006R(17)</t>
        </is>
      </c>
      <c r="E42" s="2" t="inlineStr">
        <is>
          <t>corrigendum</t>
        </is>
      </c>
      <c r="F42" s="2" t="inlineStr">
        <is>
          <t>2026-02-04</t>
        </is>
      </c>
      <c r="G42" s="2" t="inlineStr"/>
      <c r="H42" s="2" t="inlineStr">
        <is>
          <t>https://eur-lex.europa.eu/legal-content/EN/TXT/?uri=CELEX:32002R0006R(17)</t>
        </is>
      </c>
    </row>
    <row r="43">
      <c r="A43" s="2" t="n">
        <v>5</v>
      </c>
      <c r="B43" s="2" t="inlineStr">
        <is>
          <t>Community Design Regulation</t>
        </is>
      </c>
      <c r="C43" s="2" t="inlineStr">
        <is>
          <t>32002R0006</t>
        </is>
      </c>
      <c r="D43" s="2" t="inlineStr">
        <is>
          <t>32002R0006R(18)</t>
        </is>
      </c>
      <c r="E43" s="2" t="inlineStr">
        <is>
          <t>corrigendum</t>
        </is>
      </c>
      <c r="F43" s="2" t="inlineStr">
        <is>
          <t>2026-02-09</t>
        </is>
      </c>
      <c r="G43" s="2" t="inlineStr"/>
      <c r="H43" s="2" t="inlineStr">
        <is>
          <t>https://eur-lex.europa.eu/legal-content/EN/TXT/?uri=CELEX:32002R0006R(18)</t>
        </is>
      </c>
    </row>
    <row r="44">
      <c r="A44" s="2" t="n">
        <v>5</v>
      </c>
      <c r="B44" s="2" t="inlineStr">
        <is>
          <t>Community Design Regulation</t>
        </is>
      </c>
      <c r="C44" s="2" t="inlineStr">
        <is>
          <t>32002R0006</t>
        </is>
      </c>
      <c r="D44" s="2" t="inlineStr">
        <is>
          <t>32002R0006R(19)</t>
        </is>
      </c>
      <c r="E44" s="2" t="inlineStr">
        <is>
          <t>corrigendum</t>
        </is>
      </c>
      <c r="F44" s="2" t="inlineStr">
        <is>
          <t>2026-02-12</t>
        </is>
      </c>
      <c r="G44" s="2" t="inlineStr"/>
      <c r="H44" s="2" t="inlineStr">
        <is>
          <t>https://eur-lex.europa.eu/legal-content/EN/TXT/?uri=CELEX:32002R0006R(19)</t>
        </is>
      </c>
    </row>
    <row r="45">
      <c r="A45" s="2" t="n">
        <v>5</v>
      </c>
      <c r="B45" s="2" t="inlineStr">
        <is>
          <t>Community Design Regulation</t>
        </is>
      </c>
      <c r="C45" s="2" t="inlineStr">
        <is>
          <t>32002R0006</t>
        </is>
      </c>
      <c r="D45" s="2" t="inlineStr">
        <is>
          <t>32002R0006R(20)</t>
        </is>
      </c>
      <c r="E45" s="2" t="inlineStr">
        <is>
          <t>corrigendum</t>
        </is>
      </c>
      <c r="F45" s="2" t="inlineStr">
        <is>
          <t>2026-03-30</t>
        </is>
      </c>
      <c r="G45" s="2" t="inlineStr"/>
      <c r="H45" s="2" t="inlineStr">
        <is>
          <t>https://eur-lex.europa.eu/legal-content/EN/TXT/?uri=CELEX:32002R0006R(20)</t>
        </is>
      </c>
    </row>
    <row r="46">
      <c r="A46" s="2" t="n">
        <v>6</v>
      </c>
      <c r="B46" s="2" t="inlineStr">
        <is>
          <t>Price Indication Directive</t>
        </is>
      </c>
      <c r="C46" s="2" t="inlineStr">
        <is>
          <t>31998L0006</t>
        </is>
      </c>
      <c r="D46" s="2" t="inlineStr">
        <is>
          <t>32019L2161</t>
        </is>
      </c>
      <c r="E46" s="2" t="inlineStr">
        <is>
          <t>amendment</t>
        </is>
      </c>
      <c r="F46" s="2" t="inlineStr">
        <is>
          <t>2019-11-27</t>
        </is>
      </c>
      <c r="G46"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46" s="2" t="inlineStr">
        <is>
          <t>https://eur-lex.europa.eu/legal-content/EN/TXT/?uri=CELEX:32019L2161</t>
        </is>
      </c>
    </row>
    <row r="47">
      <c r="A47" s="2" t="n">
        <v>6</v>
      </c>
      <c r="B47" s="2" t="inlineStr">
        <is>
          <t>Price Indication Directive</t>
        </is>
      </c>
      <c r="C47" s="2" t="inlineStr">
        <is>
          <t>31998L0006</t>
        </is>
      </c>
      <c r="D47" s="2" t="inlineStr">
        <is>
          <t>31998L0006R(01)</t>
        </is>
      </c>
      <c r="E47" s="2" t="inlineStr">
        <is>
          <t>corrigendum</t>
        </is>
      </c>
      <c r="F47" s="2" t="inlineStr">
        <is>
          <t>1998-07-04</t>
        </is>
      </c>
      <c r="G47" s="2" t="inlineStr"/>
      <c r="H47" s="2" t="inlineStr">
        <is>
          <t>https://eur-lex.europa.eu/legal-content/EN/TXT/?uri=CELEX:31998L0006R(01)</t>
        </is>
      </c>
    </row>
    <row r="48">
      <c r="A48" s="2" t="n">
        <v>7</v>
      </c>
      <c r="B48" s="2" t="inlineStr">
        <is>
          <t>Information Society (InfoSoc) Directive</t>
        </is>
      </c>
      <c r="C48" s="2" t="inlineStr">
        <is>
          <t>32001L0029</t>
        </is>
      </c>
      <c r="D48" s="2" t="inlineStr">
        <is>
          <t>32017L1564</t>
        </is>
      </c>
      <c r="E48" s="2" t="inlineStr">
        <is>
          <t>amendment</t>
        </is>
      </c>
      <c r="F48" s="2" t="inlineStr">
        <is>
          <t>2017-09-13</t>
        </is>
      </c>
      <c r="G48" s="2" t="inlineStr">
        <is>
          <t>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is>
      </c>
      <c r="H48" s="2" t="inlineStr">
        <is>
          <t>https://eur-lex.europa.eu/legal-content/EN/TXT/?uri=CELEX:32017L1564</t>
        </is>
      </c>
    </row>
    <row r="49">
      <c r="A49" s="2" t="n">
        <v>7</v>
      </c>
      <c r="B49" s="2" t="inlineStr">
        <is>
          <t>Information Society (InfoSoc) Directive</t>
        </is>
      </c>
      <c r="C49" s="2" t="inlineStr">
        <is>
          <t>32001L0029</t>
        </is>
      </c>
      <c r="D49" s="2" t="inlineStr">
        <is>
          <t>32019L0790</t>
        </is>
      </c>
      <c r="E49" s="2" t="inlineStr">
        <is>
          <t>amendment</t>
        </is>
      </c>
      <c r="F49" s="2" t="inlineStr">
        <is>
          <t>2019-04-17</t>
        </is>
      </c>
      <c r="G49" s="2" t="inlineStr">
        <is>
          <t>Directive (EU) 2019/790 of the European Parliament and of the Council of 17 April 2019 on copyright and related rights in the Digital Single Market and amending Directives 96/9/EC and 2001/29/EC (Text with EEA relevance.)</t>
        </is>
      </c>
      <c r="H49" s="2" t="inlineStr">
        <is>
          <t>https://eur-lex.europa.eu/legal-content/EN/TXT/?uri=CELEX:32019L0790</t>
        </is>
      </c>
    </row>
    <row r="50">
      <c r="A50" s="2" t="n">
        <v>7</v>
      </c>
      <c r="B50" s="2" t="inlineStr">
        <is>
          <t>Information Society (InfoSoc) Directive</t>
        </is>
      </c>
      <c r="C50" s="2" t="inlineStr">
        <is>
          <t>32001L0029</t>
        </is>
      </c>
      <c r="D50" s="2" t="inlineStr">
        <is>
          <t>32001L0029R(02)</t>
        </is>
      </c>
      <c r="E50" s="2" t="inlineStr">
        <is>
          <t>corrigendum</t>
        </is>
      </c>
      <c r="F50" s="2" t="inlineStr">
        <is>
          <t>2002-01-10</t>
        </is>
      </c>
      <c r="G50" s="2" t="inlineStr"/>
      <c r="H50" s="2" t="inlineStr">
        <is>
          <t>https://eur-lex.europa.eu/legal-content/EN/TXT/?uri=CELEX:32001L0029R(02)</t>
        </is>
      </c>
    </row>
    <row r="51">
      <c r="A51" s="2" t="n">
        <v>7</v>
      </c>
      <c r="B51" s="2" t="inlineStr">
        <is>
          <t>Information Society (InfoSoc) Directive</t>
        </is>
      </c>
      <c r="C51" s="2" t="inlineStr">
        <is>
          <t>32001L0029</t>
        </is>
      </c>
      <c r="D51" s="2" t="inlineStr">
        <is>
          <t>32001L0029R(01)</t>
        </is>
      </c>
      <c r="E51" s="2" t="inlineStr">
        <is>
          <t>corrigendum</t>
        </is>
      </c>
      <c r="F51" s="2" t="inlineStr">
        <is>
          <t>2002-01-10</t>
        </is>
      </c>
      <c r="G51" s="2" t="inlineStr">
        <is>
          <t>Corrigendum to Directive 2001/29/EC of the European Parliament and of the Council of 22 May 2001 on the harmonisation of certain aspects of copyright and related rights in the information society (OJ L 167 of 22.6.2001)</t>
        </is>
      </c>
      <c r="H51" s="2" t="inlineStr">
        <is>
          <t>https://eur-lex.europa.eu/legal-content/EN/TXT/?uri=CELEX:32001L0029R(01)</t>
        </is>
      </c>
    </row>
    <row r="52">
      <c r="A52" s="2" t="n">
        <v>7</v>
      </c>
      <c r="B52" s="2" t="inlineStr">
        <is>
          <t>Information Society (InfoSoc) Directive</t>
        </is>
      </c>
      <c r="C52" s="2" t="inlineStr">
        <is>
          <t>32001L0029</t>
        </is>
      </c>
      <c r="D52" s="2" t="inlineStr">
        <is>
          <t>32001L0029R(03)</t>
        </is>
      </c>
      <c r="E52" s="2" t="inlineStr">
        <is>
          <t>corrigendum</t>
        </is>
      </c>
      <c r="F52" s="2" t="inlineStr">
        <is>
          <t>2007-08-21</t>
        </is>
      </c>
      <c r="G52" s="2" t="inlineStr"/>
      <c r="H52" s="2" t="inlineStr">
        <is>
          <t>https://eur-lex.europa.eu/legal-content/EN/TXT/?uri=CELEX:32001L0029R(03)</t>
        </is>
      </c>
    </row>
    <row r="53">
      <c r="A53" s="2" t="n">
        <v>7</v>
      </c>
      <c r="B53" s="2" t="inlineStr">
        <is>
          <t>Information Society (InfoSoc) Directive</t>
        </is>
      </c>
      <c r="C53" s="2" t="inlineStr">
        <is>
          <t>32001L0029</t>
        </is>
      </c>
      <c r="D53" s="2" t="inlineStr">
        <is>
          <t>32001L0029R(04)</t>
        </is>
      </c>
      <c r="E53" s="2" t="inlineStr">
        <is>
          <t>corrigendum</t>
        </is>
      </c>
      <c r="F53" s="2" t="inlineStr">
        <is>
          <t>2008-11-25</t>
        </is>
      </c>
      <c r="G53" s="2" t="inlineStr"/>
      <c r="H53" s="2" t="inlineStr">
        <is>
          <t>https://eur-lex.europa.eu/legal-content/EN/TXT/?uri=CELEX:32001L0029R(04)</t>
        </is>
      </c>
    </row>
    <row r="54">
      <c r="A54" s="2" t="n">
        <v>7</v>
      </c>
      <c r="B54" s="2" t="inlineStr">
        <is>
          <t>Information Society (InfoSoc) Directive</t>
        </is>
      </c>
      <c r="C54" s="2" t="inlineStr">
        <is>
          <t>32001L0029</t>
        </is>
      </c>
      <c r="D54" s="2" t="inlineStr">
        <is>
          <t>32001L0029R(05)</t>
        </is>
      </c>
      <c r="E54" s="2" t="inlineStr">
        <is>
          <t>corrigendum</t>
        </is>
      </c>
      <c r="F54" s="2" t="inlineStr">
        <is>
          <t>2010-10-06</t>
        </is>
      </c>
      <c r="G54" s="2" t="inlineStr"/>
      <c r="H54" s="2" t="inlineStr">
        <is>
          <t>https://eur-lex.europa.eu/legal-content/EN/TXT/?uri=CELEX:32001L0029R(05)</t>
        </is>
      </c>
    </row>
    <row r="55">
      <c r="A55" s="2" t="n">
        <v>7</v>
      </c>
      <c r="B55" s="2" t="inlineStr">
        <is>
          <t>Information Society (InfoSoc) Directive</t>
        </is>
      </c>
      <c r="C55" s="2" t="inlineStr">
        <is>
          <t>32001L0029</t>
        </is>
      </c>
      <c r="D55" s="2" t="inlineStr">
        <is>
          <t>32001L0029R(06)</t>
        </is>
      </c>
      <c r="E55" s="2" t="inlineStr">
        <is>
          <t>corrigendum</t>
        </is>
      </c>
      <c r="F55" s="2" t="inlineStr">
        <is>
          <t>2012-02-04</t>
        </is>
      </c>
      <c r="G55" s="2" t="inlineStr"/>
      <c r="H55" s="2" t="inlineStr">
        <is>
          <t>https://eur-lex.europa.eu/legal-content/EN/TXT/?uri=CELEX:32001L0029R(06)</t>
        </is>
      </c>
    </row>
    <row r="56">
      <c r="A56" s="2" t="n">
        <v>7</v>
      </c>
      <c r="B56" s="2" t="inlineStr">
        <is>
          <t>Information Society (InfoSoc) Directive</t>
        </is>
      </c>
      <c r="C56" s="2" t="inlineStr">
        <is>
          <t>32001L0029</t>
        </is>
      </c>
      <c r="D56" s="2" t="inlineStr">
        <is>
          <t>32001L0029R(07)</t>
        </is>
      </c>
      <c r="E56" s="2" t="inlineStr">
        <is>
          <t>corrigendum</t>
        </is>
      </c>
      <c r="F56" s="2" t="inlineStr">
        <is>
          <t>2014-01-15</t>
        </is>
      </c>
      <c r="G56" s="2" t="inlineStr"/>
      <c r="H56" s="2" t="inlineStr">
        <is>
          <t>https://eur-lex.europa.eu/legal-content/EN/TXT/?uri=CELEX:32001L0029R(07)</t>
        </is>
      </c>
    </row>
    <row r="57">
      <c r="A57" s="2" t="n">
        <v>7</v>
      </c>
      <c r="B57" s="2" t="inlineStr">
        <is>
          <t>Information Society (InfoSoc) Directive</t>
        </is>
      </c>
      <c r="C57" s="2" t="inlineStr">
        <is>
          <t>32001L0029</t>
        </is>
      </c>
      <c r="D57" s="2" t="inlineStr">
        <is>
          <t>32001L0029R(08)</t>
        </is>
      </c>
      <c r="E57" s="2" t="inlineStr">
        <is>
          <t>corrigendum</t>
        </is>
      </c>
      <c r="F57" s="2" t="inlineStr">
        <is>
          <t>2016-06-25</t>
        </is>
      </c>
      <c r="G57" s="2" t="inlineStr"/>
      <c r="H57" s="2" t="inlineStr">
        <is>
          <t>https://eur-lex.europa.eu/legal-content/EN/TXT/?uri=CELEX:32001L0029R(08)</t>
        </is>
      </c>
    </row>
    <row r="58">
      <c r="A58" s="2" t="n">
        <v>8</v>
      </c>
      <c r="B58" s="2" t="inlineStr">
        <is>
          <t>E-commerce Directive</t>
        </is>
      </c>
      <c r="C58" s="2" t="inlineStr">
        <is>
          <t>32000L0031</t>
        </is>
      </c>
      <c r="D58" s="2" t="inlineStr">
        <is>
          <t>32022R2065</t>
        </is>
      </c>
      <c r="E58" s="2" t="inlineStr">
        <is>
          <t>amendment</t>
        </is>
      </c>
      <c r="F58" s="2" t="inlineStr">
        <is>
          <t>2022-10-19</t>
        </is>
      </c>
      <c r="G58" s="2" t="inlineStr">
        <is>
          <t>Regulation (EU) 2022/2065 of the European Parliament and of the Council of 19 October 2022 on a Single Market For Digital Services and amending Directive 2000/31/EC (Digital Services Act) (Text with EEA relevance)</t>
        </is>
      </c>
      <c r="H58" s="2" t="inlineStr">
        <is>
          <t>https://eur-lex.europa.eu/legal-content/EN/TXT/?uri=CELEX:32022R2065</t>
        </is>
      </c>
    </row>
    <row r="59">
      <c r="A59" s="2" t="n">
        <v>8</v>
      </c>
      <c r="B59" s="2" t="inlineStr">
        <is>
          <t>E-commerce Directive</t>
        </is>
      </c>
      <c r="C59" s="2" t="inlineStr">
        <is>
          <t>32000L0031</t>
        </is>
      </c>
      <c r="D59" s="2" t="inlineStr">
        <is>
          <t>32000L0031R(01)</t>
        </is>
      </c>
      <c r="E59" s="2" t="inlineStr">
        <is>
          <t>corrigendum</t>
        </is>
      </c>
      <c r="F59" s="2" t="inlineStr">
        <is>
          <t>2002-10-23</t>
        </is>
      </c>
      <c r="G59" s="2" t="inlineStr"/>
      <c r="H59" s="2" t="inlineStr">
        <is>
          <t>https://eur-lex.europa.eu/legal-content/EN/TXT/?uri=CELEX:32000L0031R(01)</t>
        </is>
      </c>
    </row>
    <row r="60">
      <c r="A60" s="2" t="n">
        <v>8</v>
      </c>
      <c r="B60" s="2" t="inlineStr">
        <is>
          <t>E-commerce Directive</t>
        </is>
      </c>
      <c r="C60" s="2" t="inlineStr">
        <is>
          <t>32000L0031</t>
        </is>
      </c>
      <c r="D60" s="2" t="inlineStr">
        <is>
          <t>32000L0031R(02)</t>
        </is>
      </c>
      <c r="E60" s="2" t="inlineStr">
        <is>
          <t>corrigendum</t>
        </is>
      </c>
      <c r="F60" s="2" t="inlineStr">
        <is>
          <t>2021-05-06</t>
        </is>
      </c>
      <c r="G60" s="2" t="inlineStr"/>
      <c r="H60" s="2" t="inlineStr">
        <is>
          <t>https://eur-lex.europa.eu/legal-content/EN/TXT/?uri=CELEX:32000L0031R(02)</t>
        </is>
      </c>
    </row>
    <row r="61">
      <c r="A61" s="2" t="n">
        <v>8</v>
      </c>
      <c r="B61" s="2" t="inlineStr">
        <is>
          <t>E-commerce Directive</t>
        </is>
      </c>
      <c r="C61" s="2" t="inlineStr">
        <is>
          <t>32000L0031</t>
        </is>
      </c>
      <c r="D61" s="2" t="inlineStr">
        <is>
          <t>32000L0031R(03)</t>
        </is>
      </c>
      <c r="E61" s="2" t="inlineStr">
        <is>
          <t>corrigendum</t>
        </is>
      </c>
      <c r="F61" s="2" t="inlineStr">
        <is>
          <t>2024-03-15</t>
        </is>
      </c>
      <c r="G61" s="2" t="inlineStr"/>
      <c r="H61" s="2" t="inlineStr">
        <is>
          <t>https://eur-lex.europa.eu/legal-content/EN/TXT/?uri=CELEX:32000L0031R(03)</t>
        </is>
      </c>
    </row>
    <row r="62">
      <c r="A62" s="2" t="n">
        <v>8</v>
      </c>
      <c r="B62" s="2" t="inlineStr">
        <is>
          <t>E-commerce Directive</t>
        </is>
      </c>
      <c r="C62" s="2" t="inlineStr">
        <is>
          <t>32000L0031</t>
        </is>
      </c>
      <c r="D62" s="2" t="inlineStr">
        <is>
          <t>32000L0031R(04)</t>
        </is>
      </c>
      <c r="E62" s="2" t="inlineStr">
        <is>
          <t>corrigendum</t>
        </is>
      </c>
      <c r="F62" s="2" t="inlineStr">
        <is>
          <t>2025-11-20</t>
        </is>
      </c>
      <c r="G62" s="2" t="inlineStr"/>
      <c r="H62" s="2" t="inlineStr">
        <is>
          <t>https://eur-lex.europa.eu/legal-content/EN/TXT/?uri=CELEX:32000L0031R(04)</t>
        </is>
      </c>
    </row>
    <row r="63">
      <c r="A63" s="2" t="n">
        <v>9</v>
      </c>
      <c r="B63" s="2" t="inlineStr">
        <is>
          <t>ePrivacy Directive</t>
        </is>
      </c>
      <c r="C63" s="2" t="inlineStr">
        <is>
          <t>32002L0058</t>
        </is>
      </c>
      <c r="D63" s="2" t="inlineStr">
        <is>
          <t>32006L0024</t>
        </is>
      </c>
      <c r="E63" s="2" t="inlineStr">
        <is>
          <t>amendment</t>
        </is>
      </c>
      <c r="F63" s="2" t="inlineStr">
        <is>
          <t>2006-03-15</t>
        </is>
      </c>
      <c r="G63" s="2" t="inlineStr">
        <is>
          <t>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is>
      </c>
      <c r="H63" s="2" t="inlineStr">
        <is>
          <t>https://eur-lex.europa.eu/legal-content/EN/TXT/?uri=CELEX:32006L0024</t>
        </is>
      </c>
    </row>
    <row r="64">
      <c r="A64" s="2" t="n">
        <v>9</v>
      </c>
      <c r="B64" s="2" t="inlineStr">
        <is>
          <t>ePrivacy Directive</t>
        </is>
      </c>
      <c r="C64" s="2" t="inlineStr">
        <is>
          <t>32002L0058</t>
        </is>
      </c>
      <c r="D64" s="2" t="inlineStr">
        <is>
          <t>32009L0136</t>
        </is>
      </c>
      <c r="E64" s="2" t="inlineStr">
        <is>
          <t>amendment</t>
        </is>
      </c>
      <c r="F64" s="2" t="inlineStr">
        <is>
          <t>2009-11-25</t>
        </is>
      </c>
      <c r="G64" s="2" t="inlineStr">
        <is>
          <t>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is>
      </c>
      <c r="H64" s="2" t="inlineStr">
        <is>
          <t>https://eur-lex.europa.eu/legal-content/EN/TXT/?uri=CELEX:32009L0136</t>
        </is>
      </c>
    </row>
    <row r="65">
      <c r="A65" s="2" t="n">
        <v>9</v>
      </c>
      <c r="B65" s="2" t="inlineStr">
        <is>
          <t>ePrivacy Directive</t>
        </is>
      </c>
      <c r="C65" s="2" t="inlineStr">
        <is>
          <t>32002L0058</t>
        </is>
      </c>
      <c r="D65" s="2" t="inlineStr">
        <is>
          <t>32002L0058R(01)</t>
        </is>
      </c>
      <c r="E65" s="2" t="inlineStr">
        <is>
          <t>corrigendum</t>
        </is>
      </c>
      <c r="F65" s="2" t="inlineStr">
        <is>
          <t>2011-04-08</t>
        </is>
      </c>
      <c r="G65" s="2" t="inlineStr"/>
      <c r="H65" s="2" t="inlineStr">
        <is>
          <t>https://eur-lex.europa.eu/legal-content/EN/TXT/?uri=CELEX:32002L0058R(01)</t>
        </is>
      </c>
    </row>
    <row r="66">
      <c r="A66" s="2" t="n">
        <v>9</v>
      </c>
      <c r="B66" s="2" t="inlineStr">
        <is>
          <t>ePrivacy Directive</t>
        </is>
      </c>
      <c r="C66" s="2" t="inlineStr">
        <is>
          <t>32002L0058</t>
        </is>
      </c>
      <c r="D66" s="2" t="inlineStr">
        <is>
          <t>32002L0058R(02)</t>
        </is>
      </c>
      <c r="E66" s="2" t="inlineStr">
        <is>
          <t>corrigendum</t>
        </is>
      </c>
      <c r="F66" s="2" t="inlineStr">
        <is>
          <t>2014-10-04</t>
        </is>
      </c>
      <c r="G66" s="2" t="inlineStr"/>
      <c r="H66" s="2" t="inlineStr">
        <is>
          <t>https://eur-lex.europa.eu/legal-content/EN/TXT/?uri=CELEX:32002L0058R(02)</t>
        </is>
      </c>
    </row>
    <row r="67">
      <c r="A67" s="2" t="n">
        <v>9</v>
      </c>
      <c r="B67" s="2" t="inlineStr">
        <is>
          <t>ePrivacy Directive</t>
        </is>
      </c>
      <c r="C67" s="2" t="inlineStr">
        <is>
          <t>32002L0058</t>
        </is>
      </c>
      <c r="D67" s="2" t="inlineStr">
        <is>
          <t>32002L0058R(03)</t>
        </is>
      </c>
      <c r="E67" s="2" t="inlineStr">
        <is>
          <t>corrigendum</t>
        </is>
      </c>
      <c r="F67" s="2" t="inlineStr">
        <is>
          <t>2017-06-08</t>
        </is>
      </c>
      <c r="G67" s="2" t="inlineStr"/>
      <c r="H67" s="2" t="inlineStr">
        <is>
          <t>https://eur-lex.europa.eu/legal-content/EN/TXT/?uri=CELEX:32002L0058R(03)</t>
        </is>
      </c>
    </row>
    <row r="68">
      <c r="A68" s="2" t="n">
        <v>9</v>
      </c>
      <c r="B68" s="2" t="inlineStr">
        <is>
          <t>ePrivacy Directive</t>
        </is>
      </c>
      <c r="C68" s="2" t="inlineStr">
        <is>
          <t>32002L0058</t>
        </is>
      </c>
      <c r="D68" s="2" t="inlineStr">
        <is>
          <t>32002L0058R(04)</t>
        </is>
      </c>
      <c r="E68" s="2" t="inlineStr">
        <is>
          <t>corrigendum</t>
        </is>
      </c>
      <c r="F68" s="2" t="inlineStr">
        <is>
          <t>2023-11-15</t>
        </is>
      </c>
      <c r="G68" s="2" t="inlineStr"/>
      <c r="H68" s="2" t="inlineStr">
        <is>
          <t>https://eur-lex.europa.eu/legal-content/EN/TXT/?uri=CELEX:32002L0058R(04)</t>
        </is>
      </c>
    </row>
    <row r="69">
      <c r="A69" s="2" t="n">
        <v>10</v>
      </c>
      <c r="B69" s="2" t="inlineStr">
        <is>
          <t>Radio Spectrum Decision</t>
        </is>
      </c>
      <c r="C69" s="2" t="inlineStr">
        <is>
          <t>32002D0676</t>
        </is>
      </c>
      <c r="D69" s="2" t="inlineStr">
        <is>
          <t>32002D0676R(01)</t>
        </is>
      </c>
      <c r="E69" s="2" t="inlineStr">
        <is>
          <t>corrigendum</t>
        </is>
      </c>
      <c r="F69" s="2" t="inlineStr">
        <is>
          <t>2018-09-27</t>
        </is>
      </c>
      <c r="G69" s="2" t="inlineStr"/>
      <c r="H69" s="2" t="inlineStr">
        <is>
          <t>https://eur-lex.europa.eu/legal-content/EN/TXT/?uri=CELEX:32002D0676R(01)</t>
        </is>
      </c>
    </row>
    <row r="70">
      <c r="A70" s="2" t="n">
        <v>11</v>
      </c>
      <c r="B70" s="2" t="inlineStr">
        <is>
          <t>EC Merger Regulation</t>
        </is>
      </c>
      <c r="C70" s="2" t="inlineStr">
        <is>
          <t>32004R0139</t>
        </is>
      </c>
      <c r="D70" s="2" t="inlineStr">
        <is>
          <t>32004R0139R(01)</t>
        </is>
      </c>
      <c r="E70" s="2" t="inlineStr">
        <is>
          <t>corrigendum</t>
        </is>
      </c>
      <c r="F70" s="2" t="inlineStr">
        <is>
          <t>2004-12-23</t>
        </is>
      </c>
      <c r="G70" s="2" t="inlineStr"/>
      <c r="H70" s="2" t="inlineStr">
        <is>
          <t>https://eur-lex.europa.eu/legal-content/EN/TXT/?uri=CELEX:32004R0139R(01)</t>
        </is>
      </c>
    </row>
    <row r="71">
      <c r="A71" s="2" t="n">
        <v>11</v>
      </c>
      <c r="B71" s="2" t="inlineStr">
        <is>
          <t>EC Merger Regulation</t>
        </is>
      </c>
      <c r="C71" s="2" t="inlineStr">
        <is>
          <t>32004R0139</t>
        </is>
      </c>
      <c r="D71" s="2" t="inlineStr">
        <is>
          <t>32004R0139R(02)</t>
        </is>
      </c>
      <c r="E71" s="2" t="inlineStr">
        <is>
          <t>corrigendum</t>
        </is>
      </c>
      <c r="F71" s="2" t="inlineStr">
        <is>
          <t>2015-11-21</t>
        </is>
      </c>
      <c r="G71" s="2" t="inlineStr"/>
      <c r="H71" s="2" t="inlineStr">
        <is>
          <t>https://eur-lex.europa.eu/legal-content/EN/TXT/?uri=CELEX:32004R0139R(02)</t>
        </is>
      </c>
    </row>
    <row r="72">
      <c r="A72" s="2" t="n">
        <v>11</v>
      </c>
      <c r="B72" s="2" t="inlineStr">
        <is>
          <t>EC Merger Regulation</t>
        </is>
      </c>
      <c r="C72" s="2" t="inlineStr">
        <is>
          <t>32004R0139</t>
        </is>
      </c>
      <c r="D72" s="2" t="inlineStr">
        <is>
          <t>32004R0139R(03)</t>
        </is>
      </c>
      <c r="E72" s="2" t="inlineStr">
        <is>
          <t>corrigendum</t>
        </is>
      </c>
      <c r="F72" s="2" t="inlineStr">
        <is>
          <t>2017-04-22</t>
        </is>
      </c>
      <c r="G72" s="2" t="inlineStr"/>
      <c r="H72" s="2" t="inlineStr">
        <is>
          <t>https://eur-lex.europa.eu/legal-content/EN/TXT/?uri=CELEX:32004R0139R(03)</t>
        </is>
      </c>
    </row>
    <row r="73">
      <c r="A73" s="2" t="n">
        <v>11</v>
      </c>
      <c r="B73" s="2" t="inlineStr">
        <is>
          <t>EC Merger Regulation</t>
        </is>
      </c>
      <c r="C73" s="2" t="inlineStr">
        <is>
          <t>32004R0139</t>
        </is>
      </c>
      <c r="D73" s="2" t="inlineStr">
        <is>
          <t>32004R0139R(04)</t>
        </is>
      </c>
      <c r="E73" s="2" t="inlineStr">
        <is>
          <t>corrigendum</t>
        </is>
      </c>
      <c r="F73" s="2" t="inlineStr">
        <is>
          <t>2021-07-01</t>
        </is>
      </c>
      <c r="G73" s="2" t="inlineStr"/>
      <c r="H73" s="2" t="inlineStr">
        <is>
          <t>https://eur-lex.europa.eu/legal-content/EN/TXT/?uri=CELEX:32004R0139R(04)</t>
        </is>
      </c>
    </row>
    <row r="74">
      <c r="A74" s="2" t="n">
        <v>11</v>
      </c>
      <c r="B74" s="2" t="inlineStr">
        <is>
          <t>EC Merger Regulation</t>
        </is>
      </c>
      <c r="C74" s="2" t="inlineStr">
        <is>
          <t>32004R0139</t>
        </is>
      </c>
      <c r="D74" s="2" t="inlineStr">
        <is>
          <t>32004R0139R(05)</t>
        </is>
      </c>
      <c r="E74" s="2" t="inlineStr">
        <is>
          <t>corrigendum</t>
        </is>
      </c>
      <c r="F74" s="2" t="inlineStr">
        <is>
          <t>2022-03-31</t>
        </is>
      </c>
      <c r="G74" s="2" t="inlineStr"/>
      <c r="H74" s="2" t="inlineStr">
        <is>
          <t>https://eur-lex.europa.eu/legal-content/EN/TXT/?uri=CELEX:32004R0139R(05)</t>
        </is>
      </c>
    </row>
    <row r="75">
      <c r="A75" s="2" t="n">
        <v>11</v>
      </c>
      <c r="B75" s="2" t="inlineStr">
        <is>
          <t>EC Merger Regulation</t>
        </is>
      </c>
      <c r="C75" s="2" t="inlineStr">
        <is>
          <t>32004R0139</t>
        </is>
      </c>
      <c r="D75" s="2" t="inlineStr">
        <is>
          <t>32004R0139R(06)</t>
        </is>
      </c>
      <c r="E75" s="2" t="inlineStr">
        <is>
          <t>corrigendum</t>
        </is>
      </c>
      <c r="F75" s="2" t="inlineStr">
        <is>
          <t>2023-01-26</t>
        </is>
      </c>
      <c r="G75" s="2" t="inlineStr"/>
      <c r="H75" s="2" t="inlineStr">
        <is>
          <t>https://eur-lex.europa.eu/legal-content/EN/TXT/?uri=CELEX:32004R0139R(06)</t>
        </is>
      </c>
    </row>
    <row r="76">
      <c r="A76" s="2" t="n">
        <v>11</v>
      </c>
      <c r="B76" s="2" t="inlineStr">
        <is>
          <t>EC Merger Regulation</t>
        </is>
      </c>
      <c r="C76" s="2" t="inlineStr">
        <is>
          <t>32004R0139</t>
        </is>
      </c>
      <c r="D76" s="2" t="inlineStr">
        <is>
          <t>32004R0139R(07)</t>
        </is>
      </c>
      <c r="E76" s="2" t="inlineStr">
        <is>
          <t>corrigendum</t>
        </is>
      </c>
      <c r="F76" s="2" t="inlineStr">
        <is>
          <t>2023-09-28</t>
        </is>
      </c>
      <c r="G76" s="2" t="inlineStr"/>
      <c r="H76" s="2" t="inlineStr">
        <is>
          <t>https://eur-lex.europa.eu/legal-content/EN/TXT/?uri=CELEX:32004R0139R(07)</t>
        </is>
      </c>
    </row>
    <row r="77">
      <c r="A77" s="2" t="n">
        <v>11</v>
      </c>
      <c r="B77" s="2" t="inlineStr">
        <is>
          <t>EC Merger Regulation</t>
        </is>
      </c>
      <c r="C77" s="2" t="inlineStr">
        <is>
          <t>32004R0139</t>
        </is>
      </c>
      <c r="D77" s="2" t="inlineStr">
        <is>
          <t>32004R0139R(08)</t>
        </is>
      </c>
      <c r="E77" s="2" t="inlineStr">
        <is>
          <t>corrigendum</t>
        </is>
      </c>
      <c r="F77" s="2" t="inlineStr">
        <is>
          <t>2024-12-20</t>
        </is>
      </c>
      <c r="G77" s="2" t="inlineStr"/>
      <c r="H77" s="2" t="inlineStr">
        <is>
          <t>https://eur-lex.europa.eu/legal-content/EN/TXT/?uri=CELEX:32004R0139R(08)</t>
        </is>
      </c>
    </row>
    <row r="78">
      <c r="A78" s="2" t="n">
        <v>12</v>
      </c>
      <c r="B78" s="2" t="inlineStr">
        <is>
          <t>IPR Enforcement Directive</t>
        </is>
      </c>
      <c r="C78" s="2" t="inlineStr">
        <is>
          <t>32004L0048</t>
        </is>
      </c>
      <c r="D78" s="2" t="inlineStr">
        <is>
          <t>32004L0048R(01)</t>
        </is>
      </c>
      <c r="E78" s="2" t="inlineStr">
        <is>
          <t>corrigendum</t>
        </is>
      </c>
      <c r="F78" s="2" t="inlineStr">
        <is>
          <t>2004-06-02</t>
        </is>
      </c>
      <c r="G78" s="2" t="inlineStr">
        <is>
          <t>Corrigendum to Directive 2004/48/EC of the European Parliament and of the Council of 29 April 2004 on the enforcement of intellectual property rights (OJ L 157, 30.4.2004)</t>
        </is>
      </c>
      <c r="H78" s="2" t="inlineStr">
        <is>
          <t>https://eur-lex.europa.eu/legal-content/EN/TXT/?uri=CELEX:32004L0048R(01)</t>
        </is>
      </c>
    </row>
    <row r="79">
      <c r="A79" s="2" t="n">
        <v>12</v>
      </c>
      <c r="B79" s="2" t="inlineStr">
        <is>
          <t>IPR Enforcement Directive</t>
        </is>
      </c>
      <c r="C79" s="2" t="inlineStr">
        <is>
          <t>32004L0048</t>
        </is>
      </c>
      <c r="D79" s="2" t="inlineStr">
        <is>
          <t>32004L0048R(02)</t>
        </is>
      </c>
      <c r="E79" s="2" t="inlineStr">
        <is>
          <t>corrigendum</t>
        </is>
      </c>
      <c r="F79" s="2" t="inlineStr">
        <is>
          <t>2004-11-26</t>
        </is>
      </c>
      <c r="G79" s="2" t="inlineStr"/>
      <c r="H79" s="2" t="inlineStr">
        <is>
          <t>https://eur-lex.europa.eu/legal-content/EN/TXT/?uri=CELEX:32004L0048R(02)</t>
        </is>
      </c>
    </row>
    <row r="80">
      <c r="A80" s="2" t="n">
        <v>12</v>
      </c>
      <c r="B80" s="2" t="inlineStr">
        <is>
          <t>IPR Enforcement Directive</t>
        </is>
      </c>
      <c r="C80" s="2" t="inlineStr">
        <is>
          <t>32004L0048</t>
        </is>
      </c>
      <c r="D80" s="2" t="inlineStr">
        <is>
          <t>32004L0048R(03)</t>
        </is>
      </c>
      <c r="E80" s="2" t="inlineStr">
        <is>
          <t>corrigendum</t>
        </is>
      </c>
      <c r="F80" s="2" t="inlineStr">
        <is>
          <t>2007-08-04</t>
        </is>
      </c>
      <c r="G80" s="2" t="inlineStr">
        <is>
          <t>Corrigendum to Directive 2004/48/EC of the European Parliament and of the Council of 29 April 2004 on the enforcement of intellectual property rights ( OJ L 157, 30.4.2004 . Corrected version in OJ L 195, 2.6.2004 )</t>
        </is>
      </c>
      <c r="H80" s="2" t="inlineStr">
        <is>
          <t>https://eur-lex.europa.eu/legal-content/EN/TXT/?uri=CELEX:32004L0048R(03)</t>
        </is>
      </c>
    </row>
    <row r="81">
      <c r="A81" s="2" t="n">
        <v>12</v>
      </c>
      <c r="B81" s="2" t="inlineStr">
        <is>
          <t>IPR Enforcement Directive</t>
        </is>
      </c>
      <c r="C81" s="2" t="inlineStr">
        <is>
          <t>32004L0048</t>
        </is>
      </c>
      <c r="D81" s="2" t="inlineStr">
        <is>
          <t>32004L0048R(04)</t>
        </is>
      </c>
      <c r="E81" s="2" t="inlineStr">
        <is>
          <t>corrigendum</t>
        </is>
      </c>
      <c r="F81" s="2" t="inlineStr">
        <is>
          <t>2026-01-19</t>
        </is>
      </c>
      <c r="G81" s="2" t="inlineStr"/>
      <c r="H81" s="2" t="inlineStr">
        <is>
          <t>https://eur-lex.europa.eu/legal-content/EN/TXT/?uri=CELEX:32004L0048R(04)</t>
        </is>
      </c>
    </row>
    <row r="82">
      <c r="A82" s="2" t="n">
        <v>13</v>
      </c>
      <c r="B82" s="2" t="inlineStr">
        <is>
          <t>Unfair Commercial Practices Directive</t>
        </is>
      </c>
      <c r="C82" s="2" t="inlineStr">
        <is>
          <t>32005L0029</t>
        </is>
      </c>
      <c r="D82" s="2" t="inlineStr">
        <is>
          <t>32019L2161</t>
        </is>
      </c>
      <c r="E82" s="2" t="inlineStr">
        <is>
          <t>amendment</t>
        </is>
      </c>
      <c r="F82" s="2" t="inlineStr">
        <is>
          <t>2019-11-27</t>
        </is>
      </c>
      <c r="G82"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82" s="2" t="inlineStr">
        <is>
          <t>https://eur-lex.europa.eu/legal-content/EN/TXT/?uri=CELEX:32019L2161</t>
        </is>
      </c>
    </row>
    <row r="83">
      <c r="A83" s="2" t="n">
        <v>13</v>
      </c>
      <c r="B83" s="2" t="inlineStr">
        <is>
          <t>Unfair Commercial Practices Directive</t>
        </is>
      </c>
      <c r="C83" s="2" t="inlineStr">
        <is>
          <t>32005L0029</t>
        </is>
      </c>
      <c r="D83" s="2" t="inlineStr">
        <is>
          <t>32024L0825</t>
        </is>
      </c>
      <c r="E83" s="2" t="inlineStr">
        <is>
          <t>amendment</t>
        </is>
      </c>
      <c r="F83" s="2" t="inlineStr">
        <is>
          <t>2024-02-28</t>
        </is>
      </c>
      <c r="G83" s="2" t="inlineStr">
        <is>
          <t>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is>
      </c>
      <c r="H83" s="2" t="inlineStr">
        <is>
          <t>https://eur-lex.europa.eu/legal-content/EN/TXT/?uri=CELEX:32024L0825</t>
        </is>
      </c>
    </row>
    <row r="84">
      <c r="A84" s="2" t="n">
        <v>13</v>
      </c>
      <c r="B84" s="2" t="inlineStr">
        <is>
          <t>Unfair Commercial Practices Directive</t>
        </is>
      </c>
      <c r="C84" s="2" t="inlineStr">
        <is>
          <t>32005L0029</t>
        </is>
      </c>
      <c r="D84" s="2" t="inlineStr">
        <is>
          <t>32005L0029R(01)</t>
        </is>
      </c>
      <c r="E84" s="2" t="inlineStr">
        <is>
          <t>corrigendum</t>
        </is>
      </c>
      <c r="F84" s="2" t="inlineStr">
        <is>
          <t>2006-04-27</t>
        </is>
      </c>
      <c r="G84" s="2" t="inlineStr"/>
      <c r="H84" s="2" t="inlineStr">
        <is>
          <t>https://eur-lex.europa.eu/legal-content/EN/TXT/?uri=CELEX:32005L0029R(01)</t>
        </is>
      </c>
    </row>
    <row r="85">
      <c r="A85" s="2" t="n">
        <v>13</v>
      </c>
      <c r="B85" s="2" t="inlineStr">
        <is>
          <t>Unfair Commercial Practices Directive</t>
        </is>
      </c>
      <c r="C85" s="2" t="inlineStr">
        <is>
          <t>32005L0029</t>
        </is>
      </c>
      <c r="D85" s="2" t="inlineStr">
        <is>
          <t>32005L0029R(02)</t>
        </is>
      </c>
      <c r="E85" s="2" t="inlineStr">
        <is>
          <t>corrigendum</t>
        </is>
      </c>
      <c r="F85" s="2" t="inlineStr">
        <is>
          <t>2009-09-25</t>
        </is>
      </c>
      <c r="G85" s="2" t="inlineStr"/>
      <c r="H85" s="2" t="inlineStr">
        <is>
          <t>https://eur-lex.europa.eu/legal-content/EN/TXT/?uri=CELEX:32005L0029R(02)</t>
        </is>
      </c>
    </row>
    <row r="86">
      <c r="A86" s="2" t="n">
        <v>13</v>
      </c>
      <c r="B86" s="2" t="inlineStr">
        <is>
          <t>Unfair Commercial Practices Directive</t>
        </is>
      </c>
      <c r="C86" s="2" t="inlineStr">
        <is>
          <t>32005L0029</t>
        </is>
      </c>
      <c r="D86" s="2" t="inlineStr">
        <is>
          <t>32005L0029R(03)</t>
        </is>
      </c>
      <c r="E86" s="2" t="inlineStr">
        <is>
          <t>corrigendum</t>
        </is>
      </c>
      <c r="F86" s="2" t="inlineStr">
        <is>
          <t>2013-05-14</t>
        </is>
      </c>
      <c r="G86" s="2" t="inlineStr"/>
      <c r="H86" s="2" t="inlineStr">
        <is>
          <t>https://eur-lex.europa.eu/legal-content/EN/TXT/?uri=CELEX:32005L0029R(03)</t>
        </is>
      </c>
    </row>
    <row r="87">
      <c r="A87" s="2" t="n">
        <v>13</v>
      </c>
      <c r="B87" s="2" t="inlineStr">
        <is>
          <t>Unfair Commercial Practices Directive</t>
        </is>
      </c>
      <c r="C87" s="2" t="inlineStr">
        <is>
          <t>32005L0029</t>
        </is>
      </c>
      <c r="D87" s="2" t="inlineStr">
        <is>
          <t>32005L0029R(04)</t>
        </is>
      </c>
      <c r="E87" s="2" t="inlineStr">
        <is>
          <t>corrigendum</t>
        </is>
      </c>
      <c r="F87" s="2" t="inlineStr">
        <is>
          <t>2016-12-07</t>
        </is>
      </c>
      <c r="G87" s="2" t="inlineStr"/>
      <c r="H87" s="2" t="inlineStr">
        <is>
          <t>https://eur-lex.europa.eu/legal-content/EN/TXT/?uri=CELEX:32005L0029R(04)</t>
        </is>
      </c>
    </row>
    <row r="88">
      <c r="A88" s="2" t="n">
        <v>14</v>
      </c>
      <c r="B88" s="2" t="inlineStr">
        <is>
          <t>Common VAT system Directive</t>
        </is>
      </c>
      <c r="C88" s="2" t="inlineStr">
        <is>
          <t>32006L0112</t>
        </is>
      </c>
      <c r="D88" s="2" t="inlineStr">
        <is>
          <t>32006L0138</t>
        </is>
      </c>
      <c r="E88" s="2" t="inlineStr">
        <is>
          <t>amendment</t>
        </is>
      </c>
      <c r="F88" s="2" t="inlineStr">
        <is>
          <t>2006-12-19</t>
        </is>
      </c>
      <c r="G88" s="2" t="inlineStr">
        <is>
          <t>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is>
      </c>
      <c r="H88" s="2" t="inlineStr">
        <is>
          <t>https://eur-lex.europa.eu/legal-content/EN/TXT/?uri=CELEX:32006L0138</t>
        </is>
      </c>
    </row>
    <row r="89">
      <c r="A89" s="2" t="n">
        <v>14</v>
      </c>
      <c r="B89" s="2" t="inlineStr">
        <is>
          <t>Common VAT system Directive</t>
        </is>
      </c>
      <c r="C89" s="2" t="inlineStr">
        <is>
          <t>32006L0112</t>
        </is>
      </c>
      <c r="D89" s="2" t="inlineStr">
        <is>
          <t>32007L0075</t>
        </is>
      </c>
      <c r="E89" s="2" t="inlineStr">
        <is>
          <t>amendment</t>
        </is>
      </c>
      <c r="F89" s="2" t="inlineStr">
        <is>
          <t>2007-12-20</t>
        </is>
      </c>
      <c r="G89" s="2" t="inlineStr">
        <is>
          <t>Council Directive 2007/75/EC of 20 December 2007 amending Directive 2006/112/EC with regard to certain temporary provisions concerning rates of value added tax</t>
        </is>
      </c>
      <c r="H89" s="2" t="inlineStr">
        <is>
          <t>https://eur-lex.europa.eu/legal-content/EN/TXT/?uri=CELEX:32007L0075</t>
        </is>
      </c>
    </row>
    <row r="90">
      <c r="A90" s="2" t="n">
        <v>14</v>
      </c>
      <c r="B90" s="2" t="inlineStr">
        <is>
          <t>Common VAT system Directive</t>
        </is>
      </c>
      <c r="C90" s="2" t="inlineStr">
        <is>
          <t>32006L0112</t>
        </is>
      </c>
      <c r="D90" s="2" t="inlineStr">
        <is>
          <t>32008L0008</t>
        </is>
      </c>
      <c r="E90" s="2" t="inlineStr">
        <is>
          <t>amendment</t>
        </is>
      </c>
      <c r="F90" s="2" t="inlineStr">
        <is>
          <t>2008-02-12</t>
        </is>
      </c>
      <c r="G90" s="2" t="inlineStr">
        <is>
          <t>Council Directive 2008/8/EC of 12 February 2008 amending Directive 2006/112/EC as regards the place of supply of services</t>
        </is>
      </c>
      <c r="H90" s="2" t="inlineStr">
        <is>
          <t>https://eur-lex.europa.eu/legal-content/EN/TXT/?uri=CELEX:32008L0008</t>
        </is>
      </c>
    </row>
    <row r="91">
      <c r="A91" s="2" t="n">
        <v>14</v>
      </c>
      <c r="B91" s="2" t="inlineStr">
        <is>
          <t>Common VAT system Directive</t>
        </is>
      </c>
      <c r="C91" s="2" t="inlineStr">
        <is>
          <t>32006L0112</t>
        </is>
      </c>
      <c r="D91" s="2" t="inlineStr">
        <is>
          <t>32008L0117</t>
        </is>
      </c>
      <c r="E91" s="2" t="inlineStr">
        <is>
          <t>amendment</t>
        </is>
      </c>
      <c r="F91" s="2" t="inlineStr">
        <is>
          <t>2008-12-16</t>
        </is>
      </c>
      <c r="G91" s="2" t="inlineStr">
        <is>
          <t>Council Directive 2008/117/EC of 16 December 2008 amending Directive 2006/112/EC on the common system of value added tax to combat tax evasion connected with intra-Community transactions</t>
        </is>
      </c>
      <c r="H91" s="2" t="inlineStr">
        <is>
          <t>https://eur-lex.europa.eu/legal-content/EN/TXT/?uri=CELEX:32008L0117</t>
        </is>
      </c>
    </row>
    <row r="92">
      <c r="A92" s="2" t="n">
        <v>14</v>
      </c>
      <c r="B92" s="2" t="inlineStr">
        <is>
          <t>Common VAT system Directive</t>
        </is>
      </c>
      <c r="C92" s="2" t="inlineStr">
        <is>
          <t>32006L0112</t>
        </is>
      </c>
      <c r="D92" s="2" t="inlineStr">
        <is>
          <t>32009L0047</t>
        </is>
      </c>
      <c r="E92" s="2" t="inlineStr">
        <is>
          <t>amendment</t>
        </is>
      </c>
      <c r="F92" s="2" t="inlineStr">
        <is>
          <t>2009-05-05</t>
        </is>
      </c>
      <c r="G92" s="2" t="inlineStr">
        <is>
          <t>Council Directive 2009/47/EC of 5 May 2009 amending Directive 2006/112/EC as regards reduced rates of value added tax</t>
        </is>
      </c>
      <c r="H92" s="2" t="inlineStr">
        <is>
          <t>https://eur-lex.europa.eu/legal-content/EN/TXT/?uri=CELEX:32009L0047</t>
        </is>
      </c>
    </row>
    <row r="93">
      <c r="A93" s="2" t="n">
        <v>14</v>
      </c>
      <c r="B93" s="2" t="inlineStr">
        <is>
          <t>Common VAT system Directive</t>
        </is>
      </c>
      <c r="C93" s="2" t="inlineStr">
        <is>
          <t>32006L0112</t>
        </is>
      </c>
      <c r="D93" s="2" t="inlineStr">
        <is>
          <t>32009L0069</t>
        </is>
      </c>
      <c r="E93" s="2" t="inlineStr">
        <is>
          <t>amendment</t>
        </is>
      </c>
      <c r="F93" s="2" t="inlineStr">
        <is>
          <t>2009-06-25</t>
        </is>
      </c>
      <c r="G93" s="2" t="inlineStr">
        <is>
          <t>Council Directive 2009/69/EC of 25 June 2009 amending Directive 2006/112/EC on the common system of value added tax as regards tax evasion linked to imports</t>
        </is>
      </c>
      <c r="H93" s="2" t="inlineStr">
        <is>
          <t>https://eur-lex.europa.eu/legal-content/EN/TXT/?uri=CELEX:32009L0069</t>
        </is>
      </c>
    </row>
    <row r="94">
      <c r="A94" s="2" t="n">
        <v>14</v>
      </c>
      <c r="B94" s="2" t="inlineStr">
        <is>
          <t>Common VAT system Directive</t>
        </is>
      </c>
      <c r="C94" s="2" t="inlineStr">
        <is>
          <t>32006L0112</t>
        </is>
      </c>
      <c r="D94" s="2" t="inlineStr">
        <is>
          <t>32009D1008</t>
        </is>
      </c>
      <c r="E94" s="2" t="inlineStr">
        <is>
          <t>amendment</t>
        </is>
      </c>
      <c r="F94" s="2" t="inlineStr">
        <is>
          <t>2009-12-07</t>
        </is>
      </c>
      <c r="G94" s="2" t="inlineStr">
        <is>
          <t>Council Implementing Decision of 7 December 2009 authorising the Republic of Latvia to extend the application of a measure derogating from Article 193 of Directive 2006/112/EC on the common system of value added tax</t>
        </is>
      </c>
      <c r="H94" s="2" t="inlineStr">
        <is>
          <t>https://eur-lex.europa.eu/legal-content/EN/TXT/?uri=CELEX:32009D1008</t>
        </is>
      </c>
    </row>
    <row r="95">
      <c r="A95" s="2" t="n">
        <v>14</v>
      </c>
      <c r="B95" s="2" t="inlineStr">
        <is>
          <t>Common VAT system Directive</t>
        </is>
      </c>
      <c r="C95" s="2" t="inlineStr">
        <is>
          <t>32006L0112</t>
        </is>
      </c>
      <c r="D95" s="2" t="inlineStr">
        <is>
          <t>32009L0162</t>
        </is>
      </c>
      <c r="E95" s="2" t="inlineStr">
        <is>
          <t>amendment</t>
        </is>
      </c>
      <c r="F95" s="2" t="inlineStr">
        <is>
          <t>2009-12-22</t>
        </is>
      </c>
      <c r="G95" s="2" t="inlineStr">
        <is>
          <t>Council Directive 2009/162/EU of 22 December 2009 amending various provisions of Directive 2006/112/EC on the common system of value added tax</t>
        </is>
      </c>
      <c r="H95" s="2" t="inlineStr">
        <is>
          <t>https://eur-lex.europa.eu/legal-content/EN/TXT/?uri=CELEX:32009L0162</t>
        </is>
      </c>
    </row>
    <row r="96">
      <c r="A96" s="2" t="n">
        <v>14</v>
      </c>
      <c r="B96" s="2" t="inlineStr">
        <is>
          <t>Common VAT system Directive</t>
        </is>
      </c>
      <c r="C96" s="2" t="inlineStr">
        <is>
          <t>32006L0112</t>
        </is>
      </c>
      <c r="D96" s="2" t="inlineStr">
        <is>
          <t>32010L0023</t>
        </is>
      </c>
      <c r="E96" s="2" t="inlineStr">
        <is>
          <t>amendment</t>
        </is>
      </c>
      <c r="F96" s="2" t="inlineStr">
        <is>
          <t>2010-03-16</t>
        </is>
      </c>
      <c r="G96" s="2" t="inlineStr">
        <is>
          <t>Council Directive 2010/23/EU of 16 March 2010 amending Directive 2006/112/EC on the common system of value added tax, as regards an optional and temporary application of the reverse charge mechanism in relation to supplies of certain services susceptible to fraud</t>
        </is>
      </c>
      <c r="H96" s="2" t="inlineStr">
        <is>
          <t>https://eur-lex.europa.eu/legal-content/EN/TXT/?uri=CELEX:32010L0023</t>
        </is>
      </c>
    </row>
    <row r="97">
      <c r="A97" s="2" t="n">
        <v>14</v>
      </c>
      <c r="B97" s="2" t="inlineStr">
        <is>
          <t>Common VAT system Directive</t>
        </is>
      </c>
      <c r="C97" s="2" t="inlineStr">
        <is>
          <t>32006L0112</t>
        </is>
      </c>
      <c r="D97" s="2" t="inlineStr">
        <is>
          <t>32010L0045</t>
        </is>
      </c>
      <c r="E97" s="2" t="inlineStr">
        <is>
          <t>amendment</t>
        </is>
      </c>
      <c r="F97" s="2" t="inlineStr">
        <is>
          <t>2010-07-13</t>
        </is>
      </c>
      <c r="G97" s="2" t="inlineStr">
        <is>
          <t>Council Directive 2010/45/EU of 13 July 2010 amending Directive 2006/112/EC on the common system of value added tax as regards the rules on invoicing</t>
        </is>
      </c>
      <c r="H97" s="2" t="inlineStr">
        <is>
          <t>https://eur-lex.europa.eu/legal-content/EN/TXT/?uri=CELEX:32010L0045</t>
        </is>
      </c>
    </row>
    <row r="98">
      <c r="A98" s="2" t="n">
        <v>14</v>
      </c>
      <c r="B98" s="2" t="inlineStr">
        <is>
          <t>Common VAT system Directive</t>
        </is>
      </c>
      <c r="C98" s="2" t="inlineStr">
        <is>
          <t>32006L0112</t>
        </is>
      </c>
      <c r="D98" s="2" t="inlineStr">
        <is>
          <t>32010L0088</t>
        </is>
      </c>
      <c r="E98" s="2" t="inlineStr">
        <is>
          <t>amendment</t>
        </is>
      </c>
      <c r="F98" s="2" t="inlineStr">
        <is>
          <t>2010-12-07</t>
        </is>
      </c>
      <c r="G98" s="2" t="inlineStr">
        <is>
          <t>Council Directive 2010/88/EU of 7 December 2010 amending Directive 2006/112/EC on the common system of value added tax, with regard to the duration of the obligation to respect a minimum standard rate</t>
        </is>
      </c>
      <c r="H98" s="2" t="inlineStr">
        <is>
          <t>https://eur-lex.europa.eu/legal-content/EN/TXT/?uri=CELEX:32010L0088</t>
        </is>
      </c>
    </row>
    <row r="99">
      <c r="A99" s="2" t="n">
        <v>14</v>
      </c>
      <c r="B99" s="2" t="inlineStr">
        <is>
          <t>Common VAT system Directive</t>
        </is>
      </c>
      <c r="C99" s="2" t="inlineStr">
        <is>
          <t>32006L0112</t>
        </is>
      </c>
      <c r="D99" s="2" t="inlineStr">
        <is>
          <t>32013L0042</t>
        </is>
      </c>
      <c r="E99" s="2" t="inlineStr">
        <is>
          <t>amendment</t>
        </is>
      </c>
      <c r="F99" s="2" t="inlineStr">
        <is>
          <t>2013-07-22</t>
        </is>
      </c>
      <c r="G99" s="2" t="inlineStr">
        <is>
          <t>Council Directive 2013/42/EU of 22 July 2013 amending Directive 2006/112/EC on the common system of value added tax, as regards a Quick Reaction Mechanism against VAT fraud</t>
        </is>
      </c>
      <c r="H99" s="2" t="inlineStr">
        <is>
          <t>https://eur-lex.europa.eu/legal-content/EN/TXT/?uri=CELEX:32013L0042</t>
        </is>
      </c>
    </row>
    <row r="100">
      <c r="A100" s="2" t="n">
        <v>14</v>
      </c>
      <c r="B100" s="2" t="inlineStr">
        <is>
          <t>Common VAT system Directive</t>
        </is>
      </c>
      <c r="C100" s="2" t="inlineStr">
        <is>
          <t>32006L0112</t>
        </is>
      </c>
      <c r="D100" s="2" t="inlineStr">
        <is>
          <t>32013L0043</t>
        </is>
      </c>
      <c r="E100" s="2" t="inlineStr">
        <is>
          <t>amendment</t>
        </is>
      </c>
      <c r="F100" s="2" t="inlineStr">
        <is>
          <t>2013-07-22</t>
        </is>
      </c>
      <c r="G100" s="2" t="inlineStr">
        <is>
          <t>Council Directive 2013/43/EU of 22 July 2013 amending Directive 2006/112/EC on the common system of value added tax, as regards an optional and temporary application of the reverse charge mechanism in relation to supplies of certain goods and services susceptible to fraud</t>
        </is>
      </c>
      <c r="H100" s="2" t="inlineStr">
        <is>
          <t>https://eur-lex.europa.eu/legal-content/EN/TXT/?uri=CELEX:32013L0043</t>
        </is>
      </c>
    </row>
    <row r="101">
      <c r="A101" s="2" t="n">
        <v>14</v>
      </c>
      <c r="B101" s="2" t="inlineStr">
        <is>
          <t>Common VAT system Directive</t>
        </is>
      </c>
      <c r="C101" s="2" t="inlineStr">
        <is>
          <t>32006L0112</t>
        </is>
      </c>
      <c r="D101" s="2" t="inlineStr">
        <is>
          <t>32013L0061</t>
        </is>
      </c>
      <c r="E101" s="2" t="inlineStr">
        <is>
          <t>amendment</t>
        </is>
      </c>
      <c r="F101" s="2" t="inlineStr">
        <is>
          <t>2013-12-17</t>
        </is>
      </c>
      <c r="G101" s="2" t="inlineStr">
        <is>
          <t>Council Directive 2013/61/EU of 17 December 2013 amending Directives 2006/112/EC and 2008/118/EC as regards the French outermost regions and Mayotte in particular</t>
        </is>
      </c>
      <c r="H101" s="2" t="inlineStr">
        <is>
          <t>https://eur-lex.europa.eu/legal-content/EN/TXT/?uri=CELEX:32013L0061</t>
        </is>
      </c>
    </row>
    <row r="102">
      <c r="A102" s="2" t="n">
        <v>14</v>
      </c>
      <c r="B102" s="2" t="inlineStr">
        <is>
          <t>Common VAT system Directive</t>
        </is>
      </c>
      <c r="C102" s="2" t="inlineStr">
        <is>
          <t>32006L0112</t>
        </is>
      </c>
      <c r="D102" s="2" t="inlineStr">
        <is>
          <t>32016L0856</t>
        </is>
      </c>
      <c r="E102" s="2" t="inlineStr">
        <is>
          <t>amendment</t>
        </is>
      </c>
      <c r="F102" s="2" t="inlineStr">
        <is>
          <t>2016-05-25</t>
        </is>
      </c>
      <c r="G102" s="2" t="inlineStr">
        <is>
          <t>Council Directive (EU) 2016/856 of 25 May 2016 amending Directive 2006/112/EC on the common system of value added tax, as regards the duration of the obligation to respect a minimum standard rate</t>
        </is>
      </c>
      <c r="H102" s="2" t="inlineStr">
        <is>
          <t>https://eur-lex.europa.eu/legal-content/EN/TXT/?uri=CELEX:32016L0856</t>
        </is>
      </c>
    </row>
    <row r="103">
      <c r="A103" s="2" t="n">
        <v>14</v>
      </c>
      <c r="B103" s="2" t="inlineStr">
        <is>
          <t>Common VAT system Directive</t>
        </is>
      </c>
      <c r="C103" s="2" t="inlineStr">
        <is>
          <t>32006L0112</t>
        </is>
      </c>
      <c r="D103" s="2" t="inlineStr">
        <is>
          <t>32016L1065</t>
        </is>
      </c>
      <c r="E103" s="2" t="inlineStr">
        <is>
          <t>amendment</t>
        </is>
      </c>
      <c r="F103" s="2" t="inlineStr">
        <is>
          <t>2016-06-27</t>
        </is>
      </c>
      <c r="G103" s="2" t="inlineStr">
        <is>
          <t>Council Directive (EU) 2016/1065 of 27 June 2016 amending Directive 2006/112/EC as regards the treatment of vouchers</t>
        </is>
      </c>
      <c r="H103" s="2" t="inlineStr">
        <is>
          <t>https://eur-lex.europa.eu/legal-content/EN/TXT/?uri=CELEX:32016L1065</t>
        </is>
      </c>
    </row>
    <row r="104">
      <c r="A104" s="2" t="n">
        <v>14</v>
      </c>
      <c r="B104" s="2" t="inlineStr">
        <is>
          <t>Common VAT system Directive</t>
        </is>
      </c>
      <c r="C104" s="2" t="inlineStr">
        <is>
          <t>32006L0112</t>
        </is>
      </c>
      <c r="D104" s="2" t="inlineStr">
        <is>
          <t>32017L2455</t>
        </is>
      </c>
      <c r="E104" s="2" t="inlineStr">
        <is>
          <t>amendment</t>
        </is>
      </c>
      <c r="F104" s="2" t="inlineStr">
        <is>
          <t>2017-12-05</t>
        </is>
      </c>
      <c r="G104" s="2" t="inlineStr">
        <is>
          <t>Council Directive (EU) 2017/2455 of 5 December 2017 amending Directive 2006/112/EC and Directive 2009/132/EC as regards certain value added tax obligations for supplies of services and distance sales of goods</t>
        </is>
      </c>
      <c r="H104" s="2" t="inlineStr">
        <is>
          <t>https://eur-lex.europa.eu/legal-content/EN/TXT/?uri=CELEX:32017L2455</t>
        </is>
      </c>
    </row>
    <row r="105">
      <c r="A105" s="2" t="n">
        <v>14</v>
      </c>
      <c r="B105" s="2" t="inlineStr">
        <is>
          <t>Common VAT system Directive</t>
        </is>
      </c>
      <c r="C105" s="2" t="inlineStr">
        <is>
          <t>32006L0112</t>
        </is>
      </c>
      <c r="D105" s="2" t="inlineStr">
        <is>
          <t>32018L0912</t>
        </is>
      </c>
      <c r="E105" s="2" t="inlineStr">
        <is>
          <t>amendment</t>
        </is>
      </c>
      <c r="F105" s="2" t="inlineStr">
        <is>
          <t>2018-06-22</t>
        </is>
      </c>
      <c r="G105" s="2" t="inlineStr">
        <is>
          <t>Council Directive (EU) 2018/912 of 22 June 2018 amending Directive 2006/112/EC on the common system of value added tax as regards the obligation to respect a minimum standard rate</t>
        </is>
      </c>
      <c r="H105" s="2" t="inlineStr">
        <is>
          <t>https://eur-lex.europa.eu/legal-content/EN/TXT/?uri=CELEX:32018L0912</t>
        </is>
      </c>
    </row>
    <row r="106">
      <c r="A106" s="2" t="n">
        <v>14</v>
      </c>
      <c r="B106" s="2" t="inlineStr">
        <is>
          <t>Common VAT system Directive</t>
        </is>
      </c>
      <c r="C106" s="2" t="inlineStr">
        <is>
          <t>32006L0112</t>
        </is>
      </c>
      <c r="D106" s="2" t="inlineStr">
        <is>
          <t>32018L1695</t>
        </is>
      </c>
      <c r="E106" s="2" t="inlineStr">
        <is>
          <t>amendment</t>
        </is>
      </c>
      <c r="F106" s="2" t="inlineStr">
        <is>
          <t>2018-11-06</t>
        </is>
      </c>
      <c r="G106" s="2" t="inlineStr">
        <is>
          <t>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is>
      </c>
      <c r="H106" s="2" t="inlineStr">
        <is>
          <t>https://eur-lex.europa.eu/legal-content/EN/TXT/?uri=CELEX:32018L1695</t>
        </is>
      </c>
    </row>
    <row r="107">
      <c r="A107" s="2" t="n">
        <v>14</v>
      </c>
      <c r="B107" s="2" t="inlineStr">
        <is>
          <t>Common VAT system Directive</t>
        </is>
      </c>
      <c r="C107" s="2" t="inlineStr">
        <is>
          <t>32006L0112</t>
        </is>
      </c>
      <c r="D107" s="2" t="inlineStr">
        <is>
          <t>32018L1713</t>
        </is>
      </c>
      <c r="E107" s="2" t="inlineStr">
        <is>
          <t>amendment</t>
        </is>
      </c>
      <c r="F107" s="2" t="inlineStr">
        <is>
          <t>2018-11-06</t>
        </is>
      </c>
      <c r="G107" s="2" t="inlineStr">
        <is>
          <t>Council Directive (EU) 2018/1713 of 6 November 2018 amending Directive 2006/112/EC as regards rates of value added tax applied to books, newspapers and periodicals</t>
        </is>
      </c>
      <c r="H107" s="2" t="inlineStr">
        <is>
          <t>https://eur-lex.europa.eu/legal-content/EN/TXT/?uri=CELEX:32018L1713</t>
        </is>
      </c>
    </row>
    <row r="108">
      <c r="A108" s="2" t="n">
        <v>14</v>
      </c>
      <c r="B108" s="2" t="inlineStr">
        <is>
          <t>Common VAT system Directive</t>
        </is>
      </c>
      <c r="C108" s="2" t="inlineStr">
        <is>
          <t>32006L0112</t>
        </is>
      </c>
      <c r="D108" s="2" t="inlineStr">
        <is>
          <t>32018L1910</t>
        </is>
      </c>
      <c r="E108" s="2" t="inlineStr">
        <is>
          <t>amendment</t>
        </is>
      </c>
      <c r="F108" s="2" t="inlineStr">
        <is>
          <t>2018-12-04</t>
        </is>
      </c>
      <c r="G108" s="2" t="inlineStr">
        <is>
          <t>Council Directive (EU) 2018/1910 of 4 December 2018 amending Directive 2006/112/EC as regards the harmonisation and simplification of certain rules in the value added tax system for the taxation of trade between Member States</t>
        </is>
      </c>
      <c r="H108" s="2" t="inlineStr">
        <is>
          <t>https://eur-lex.europa.eu/legal-content/EN/TXT/?uri=CELEX:32018L1910</t>
        </is>
      </c>
    </row>
    <row r="109">
      <c r="A109" s="2" t="n">
        <v>14</v>
      </c>
      <c r="B109" s="2" t="inlineStr">
        <is>
          <t>Common VAT system Directive</t>
        </is>
      </c>
      <c r="C109" s="2" t="inlineStr">
        <is>
          <t>32006L0112</t>
        </is>
      </c>
      <c r="D109" s="2" t="inlineStr">
        <is>
          <t>32018L2057</t>
        </is>
      </c>
      <c r="E109" s="2" t="inlineStr">
        <is>
          <t>amendment</t>
        </is>
      </c>
      <c r="F109" s="2" t="inlineStr">
        <is>
          <t>2018-12-20</t>
        </is>
      </c>
      <c r="G109" s="2" t="inlineStr">
        <is>
          <t>Council Directive (EU) 2018/2057 of 20 December 2018 amending Directive 2006/112/EC on the common system of value added tax as regards the temporary application of a generalised reverse charge mechanism in relation to supplies of goods and services above a certain threshold</t>
        </is>
      </c>
      <c r="H109" s="2" t="inlineStr">
        <is>
          <t>https://eur-lex.europa.eu/legal-content/EN/TXT/?uri=CELEX:32018L2057</t>
        </is>
      </c>
    </row>
    <row r="110">
      <c r="A110" s="2" t="n">
        <v>14</v>
      </c>
      <c r="B110" s="2" t="inlineStr">
        <is>
          <t>Common VAT system Directive</t>
        </is>
      </c>
      <c r="C110" s="2" t="inlineStr">
        <is>
          <t>32006L0112</t>
        </is>
      </c>
      <c r="D110" s="2" t="inlineStr">
        <is>
          <t>32019L0475</t>
        </is>
      </c>
      <c r="E110" s="2" t="inlineStr">
        <is>
          <t>amendment</t>
        </is>
      </c>
      <c r="F110" s="2" t="inlineStr">
        <is>
          <t>2019-02-18</t>
        </is>
      </c>
      <c r="G110" s="2" t="inlineStr">
        <is>
          <t>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is>
      </c>
      <c r="H110" s="2" t="inlineStr">
        <is>
          <t>https://eur-lex.europa.eu/legal-content/EN/TXT/?uri=CELEX:32019L0475</t>
        </is>
      </c>
    </row>
    <row r="111">
      <c r="A111" s="2" t="n">
        <v>14</v>
      </c>
      <c r="B111" s="2" t="inlineStr">
        <is>
          <t>Common VAT system Directive</t>
        </is>
      </c>
      <c r="C111" s="2" t="inlineStr">
        <is>
          <t>32006L0112</t>
        </is>
      </c>
      <c r="D111" s="2" t="inlineStr">
        <is>
          <t>32019L1995</t>
        </is>
      </c>
      <c r="E111" s="2" t="inlineStr">
        <is>
          <t>amendment</t>
        </is>
      </c>
      <c r="F111" s="2" t="inlineStr">
        <is>
          <t>2019-11-21</t>
        </is>
      </c>
      <c r="G111" s="2" t="inlineStr">
        <is>
          <t>Council Directive (EU) 2019/1995 of 21 November 2019 amending Directive 2006/112/EC as regards provisions relating to distance sales of goods and certain domestic supplies of goods</t>
        </is>
      </c>
      <c r="H111" s="2" t="inlineStr">
        <is>
          <t>https://eur-lex.europa.eu/legal-content/EN/TXT/?uri=CELEX:32019L1995</t>
        </is>
      </c>
    </row>
    <row r="112">
      <c r="A112" s="2" t="n">
        <v>14</v>
      </c>
      <c r="B112" s="2" t="inlineStr">
        <is>
          <t>Common VAT system Directive</t>
        </is>
      </c>
      <c r="C112" s="2" t="inlineStr">
        <is>
          <t>32006L0112</t>
        </is>
      </c>
      <c r="D112" s="2" t="inlineStr">
        <is>
          <t>32019L2235</t>
        </is>
      </c>
      <c r="E112" s="2" t="inlineStr">
        <is>
          <t>amendment</t>
        </is>
      </c>
      <c r="F112" s="2" t="inlineStr">
        <is>
          <t>2019-12-16</t>
        </is>
      </c>
      <c r="G112" s="2" t="inlineStr">
        <is>
          <t>Council Directive (EU) 2019/2235 of 16 December 2019 amending Directive 2006/112/EC on the common system of value added tax and Directive 2008/118/EC concerning the general arrangements for excise duty as regards defence efforts within the Union framework</t>
        </is>
      </c>
      <c r="H112" s="2" t="inlineStr">
        <is>
          <t>https://eur-lex.europa.eu/legal-content/EN/TXT/?uri=CELEX:32019L2235</t>
        </is>
      </c>
    </row>
    <row r="113">
      <c r="A113" s="2" t="n">
        <v>14</v>
      </c>
      <c r="B113" s="2" t="inlineStr">
        <is>
          <t>Common VAT system Directive</t>
        </is>
      </c>
      <c r="C113" s="2" t="inlineStr">
        <is>
          <t>32006L0112</t>
        </is>
      </c>
      <c r="D113" s="2" t="inlineStr">
        <is>
          <t>32020L0284</t>
        </is>
      </c>
      <c r="E113" s="2" t="inlineStr">
        <is>
          <t>amendment</t>
        </is>
      </c>
      <c r="F113" s="2" t="inlineStr">
        <is>
          <t>2020-02-18</t>
        </is>
      </c>
      <c r="G113" s="2" t="inlineStr">
        <is>
          <t>Council Directive (EU) 2020/284 of 18 February 2020 amending Directive 2006/112/EC as regards introducing certain requirements for payment service providers</t>
        </is>
      </c>
      <c r="H113" s="2" t="inlineStr">
        <is>
          <t>https://eur-lex.europa.eu/legal-content/EN/TXT/?uri=CELEX:32020L0284</t>
        </is>
      </c>
    </row>
    <row r="114">
      <c r="A114" s="2" t="n">
        <v>14</v>
      </c>
      <c r="B114" s="2" t="inlineStr">
        <is>
          <t>Common VAT system Directive</t>
        </is>
      </c>
      <c r="C114" s="2" t="inlineStr">
        <is>
          <t>32006L0112</t>
        </is>
      </c>
      <c r="D114" s="2" t="inlineStr">
        <is>
          <t>32020L0285</t>
        </is>
      </c>
      <c r="E114" s="2" t="inlineStr">
        <is>
          <t>amendment</t>
        </is>
      </c>
      <c r="F114" s="2" t="inlineStr">
        <is>
          <t>2020-02-18</t>
        </is>
      </c>
      <c r="G114" s="2" t="inlineStr">
        <is>
          <t>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is>
      </c>
      <c r="H114" s="2" t="inlineStr">
        <is>
          <t>https://eur-lex.europa.eu/legal-content/EN/TXT/?uri=CELEX:32020L0285</t>
        </is>
      </c>
    </row>
    <row r="115">
      <c r="A115" s="2" t="n">
        <v>14</v>
      </c>
      <c r="B115" s="2" t="inlineStr">
        <is>
          <t>Common VAT system Directive</t>
        </is>
      </c>
      <c r="C115" s="2" t="inlineStr">
        <is>
          <t>32006L0112</t>
        </is>
      </c>
      <c r="D115" s="2" t="inlineStr">
        <is>
          <t>32020L1756</t>
        </is>
      </c>
      <c r="E115" s="2" t="inlineStr">
        <is>
          <t>amendment</t>
        </is>
      </c>
      <c r="F115" s="2" t="inlineStr">
        <is>
          <t>2020-11-20</t>
        </is>
      </c>
      <c r="G115" s="2" t="inlineStr">
        <is>
          <t>Council Directive (EU) 2020/1756 of 20 November 2020 amending Directive 2006/112/EC on the common system of value added tax as regards the identification of taxable persons in Northern Ireland</t>
        </is>
      </c>
      <c r="H115" s="2" t="inlineStr">
        <is>
          <t>https://eur-lex.europa.eu/legal-content/EN/TXT/?uri=CELEX:32020L1756</t>
        </is>
      </c>
    </row>
    <row r="116">
      <c r="A116" s="2" t="n">
        <v>14</v>
      </c>
      <c r="B116" s="2" t="inlineStr">
        <is>
          <t>Common VAT system Directive</t>
        </is>
      </c>
      <c r="C116" s="2" t="inlineStr">
        <is>
          <t>32006L0112</t>
        </is>
      </c>
      <c r="D116" s="2" t="inlineStr">
        <is>
          <t>32020L2020</t>
        </is>
      </c>
      <c r="E116" s="2" t="inlineStr">
        <is>
          <t>amendment</t>
        </is>
      </c>
      <c r="F116" s="2" t="inlineStr">
        <is>
          <t>2020-12-07</t>
        </is>
      </c>
      <c r="G116" s="2" t="inlineStr">
        <is>
          <t>Council Directive (EU) 2020/2020 of 7 December 2020 amending Directive 2006/112/EC as regards temporary measures in relation to value added tax applicable to COVID-19 vaccines and in vitro diagnostic medical devices in response to the COVID-19 pandemic</t>
        </is>
      </c>
      <c r="H116" s="2" t="inlineStr">
        <is>
          <t>https://eur-lex.europa.eu/legal-content/EN/TXT/?uri=CELEX:32020L2020</t>
        </is>
      </c>
    </row>
    <row r="117">
      <c r="A117" s="2" t="n">
        <v>14</v>
      </c>
      <c r="B117" s="2" t="inlineStr">
        <is>
          <t>Common VAT system Directive</t>
        </is>
      </c>
      <c r="C117" s="2" t="inlineStr">
        <is>
          <t>32006L0112</t>
        </is>
      </c>
      <c r="D117" s="2" t="inlineStr">
        <is>
          <t>32021L1159</t>
        </is>
      </c>
      <c r="E117" s="2" t="inlineStr">
        <is>
          <t>amendment</t>
        </is>
      </c>
      <c r="F117" s="2" t="inlineStr">
        <is>
          <t>2021-07-13</t>
        </is>
      </c>
      <c r="G117" s="2" t="inlineStr">
        <is>
          <t>Council Directive (EU) 2021/1159 of 13 July 2021 amending Directive 2006/112/EC as regards temporary exemptions on importations and on certain supplies, in response to the COVID-19 pandemic</t>
        </is>
      </c>
      <c r="H117" s="2" t="inlineStr">
        <is>
          <t>https://eur-lex.europa.eu/legal-content/EN/TXT/?uri=CELEX:32021L1159</t>
        </is>
      </c>
    </row>
    <row r="118">
      <c r="A118" s="2" t="n">
        <v>14</v>
      </c>
      <c r="B118" s="2" t="inlineStr">
        <is>
          <t>Common VAT system Directive</t>
        </is>
      </c>
      <c r="C118" s="2" t="inlineStr">
        <is>
          <t>32006L0112</t>
        </is>
      </c>
      <c r="D118" s="2" t="inlineStr">
        <is>
          <t>32022L0542</t>
        </is>
      </c>
      <c r="E118" s="2" t="inlineStr">
        <is>
          <t>amendment</t>
        </is>
      </c>
      <c r="F118" s="2" t="inlineStr">
        <is>
          <t>2022-04-05</t>
        </is>
      </c>
      <c r="G118" s="2" t="inlineStr">
        <is>
          <t>Council Directive (EU) 2022/542 of 5 April 2022 amending Directives 2006/112/EC and (EU) 2020/285 as regards rates of value added tax</t>
        </is>
      </c>
      <c r="H118" s="2" t="inlineStr">
        <is>
          <t>https://eur-lex.europa.eu/legal-content/EN/TXT/?uri=CELEX:32022L0542</t>
        </is>
      </c>
    </row>
    <row r="119">
      <c r="A119" s="2" t="n">
        <v>14</v>
      </c>
      <c r="B119" s="2" t="inlineStr">
        <is>
          <t>Common VAT system Directive</t>
        </is>
      </c>
      <c r="C119" s="2" t="inlineStr">
        <is>
          <t>32006L0112</t>
        </is>
      </c>
      <c r="D119" s="2" t="inlineStr">
        <is>
          <t>32022L0890</t>
        </is>
      </c>
      <c r="E119" s="2" t="inlineStr">
        <is>
          <t>amendment</t>
        </is>
      </c>
      <c r="F119" s="2" t="inlineStr">
        <is>
          <t>2022-06-03</t>
        </is>
      </c>
      <c r="G119" s="2" t="inlineStr">
        <is>
          <t>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is>
      </c>
      <c r="H119" s="2" t="inlineStr">
        <is>
          <t>https://eur-lex.europa.eu/legal-content/EN/TXT/?uri=CELEX:32022L0890</t>
        </is>
      </c>
    </row>
    <row r="120">
      <c r="A120" s="2" t="n">
        <v>14</v>
      </c>
      <c r="B120" s="2" t="inlineStr">
        <is>
          <t>Common VAT system Directive</t>
        </is>
      </c>
      <c r="C120" s="2" t="inlineStr">
        <is>
          <t>32006L0112</t>
        </is>
      </c>
      <c r="D120" s="2" t="inlineStr">
        <is>
          <t>32025L0425</t>
        </is>
      </c>
      <c r="E120" s="2" t="inlineStr">
        <is>
          <t>amendment</t>
        </is>
      </c>
      <c r="F120" s="2" t="inlineStr">
        <is>
          <t>2025-02-18</t>
        </is>
      </c>
      <c r="G120" s="2" t="inlineStr">
        <is>
          <t>Council Directive (EU) 2025/425 of 18 February 2025 amending Directive 2006/112/EC as regards the electronic value added tax exemption certificate</t>
        </is>
      </c>
      <c r="H120" s="2" t="inlineStr">
        <is>
          <t>https://eur-lex.europa.eu/legal-content/EN/TXT/?uri=CELEX:32025L0425</t>
        </is>
      </c>
    </row>
    <row r="121">
      <c r="A121" s="2" t="n">
        <v>14</v>
      </c>
      <c r="B121" s="2" t="inlineStr">
        <is>
          <t>Common VAT system Directive</t>
        </is>
      </c>
      <c r="C121" s="2" t="inlineStr">
        <is>
          <t>32006L0112</t>
        </is>
      </c>
      <c r="D121" s="2" t="inlineStr">
        <is>
          <t>32025L0516</t>
        </is>
      </c>
      <c r="E121" s="2" t="inlineStr">
        <is>
          <t>amendment</t>
        </is>
      </c>
      <c r="F121" s="2" t="inlineStr">
        <is>
          <t>2025-03-11</t>
        </is>
      </c>
      <c r="G121" s="2" t="inlineStr">
        <is>
          <t>Council Directive (EU) 2025/516 of 11 March 2025 amending Directive 2006/112/EC as regards VAT rules for the digital age</t>
        </is>
      </c>
      <c r="H121" s="2" t="inlineStr">
        <is>
          <t>https://eur-lex.europa.eu/legal-content/EN/TXT/?uri=CELEX:32025L0516</t>
        </is>
      </c>
    </row>
    <row r="122">
      <c r="A122" s="2" t="n">
        <v>14</v>
      </c>
      <c r="B122" s="2" t="inlineStr">
        <is>
          <t>Common VAT system Directive</t>
        </is>
      </c>
      <c r="C122" s="2" t="inlineStr">
        <is>
          <t>32006L0112</t>
        </is>
      </c>
      <c r="D122" s="2" t="inlineStr">
        <is>
          <t>32025L1539</t>
        </is>
      </c>
      <c r="E122" s="2" t="inlineStr">
        <is>
          <t>amendment</t>
        </is>
      </c>
      <c r="F122" s="2" t="inlineStr">
        <is>
          <t>2025-07-18</t>
        </is>
      </c>
      <c r="G122" s="2" t="inlineStr">
        <is>
          <t>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is>
      </c>
      <c r="H122" s="2" t="inlineStr">
        <is>
          <t>https://eur-lex.europa.eu/legal-content/EN/TXT/?uri=CELEX:32025L1539</t>
        </is>
      </c>
    </row>
    <row r="123">
      <c r="A123" s="2" t="n">
        <v>14</v>
      </c>
      <c r="B123" s="2" t="inlineStr">
        <is>
          <t>Common VAT system Directive</t>
        </is>
      </c>
      <c r="C123" s="2" t="inlineStr">
        <is>
          <t>32006L0112</t>
        </is>
      </c>
      <c r="D123" s="2" t="inlineStr">
        <is>
          <t>32006L0112R(06)</t>
        </is>
      </c>
      <c r="E123" s="2" t="inlineStr">
        <is>
          <t>corrigendum</t>
        </is>
      </c>
      <c r="F123" s="2" t="inlineStr">
        <is>
          <t>2007-12-20</t>
        </is>
      </c>
      <c r="G123" s="2" t="inlineStr"/>
      <c r="H123" s="2" t="inlineStr">
        <is>
          <t>https://eur-lex.europa.eu/legal-content/EN/TXT/?uri=CELEX:32006L0112R(06)</t>
        </is>
      </c>
    </row>
    <row r="124">
      <c r="A124" s="2" t="n">
        <v>14</v>
      </c>
      <c r="B124" s="2" t="inlineStr">
        <is>
          <t>Common VAT system Directive</t>
        </is>
      </c>
      <c r="C124" s="2" t="inlineStr">
        <is>
          <t>32006L0112</t>
        </is>
      </c>
      <c r="D124" s="2" t="inlineStr">
        <is>
          <t>32006L0112R(02)</t>
        </is>
      </c>
      <c r="E124" s="2" t="inlineStr">
        <is>
          <t>corrigendum</t>
        </is>
      </c>
      <c r="F124" s="2" t="inlineStr">
        <is>
          <t>2007-12-20</t>
        </is>
      </c>
      <c r="G124" s="2" t="inlineStr"/>
      <c r="H124" s="2" t="inlineStr">
        <is>
          <t>https://eur-lex.europa.eu/legal-content/EN/TXT/?uri=CELEX:32006L0112R(02)</t>
        </is>
      </c>
    </row>
    <row r="125">
      <c r="A125" s="2" t="n">
        <v>14</v>
      </c>
      <c r="B125" s="2" t="inlineStr">
        <is>
          <t>Common VAT system Directive</t>
        </is>
      </c>
      <c r="C125" s="2" t="inlineStr">
        <is>
          <t>32006L0112</t>
        </is>
      </c>
      <c r="D125" s="2" t="inlineStr">
        <is>
          <t>32006L0112R(03)</t>
        </is>
      </c>
      <c r="E125" s="2" t="inlineStr">
        <is>
          <t>corrigendum</t>
        </is>
      </c>
      <c r="F125" s="2" t="inlineStr">
        <is>
          <t>2007-12-20</t>
        </is>
      </c>
      <c r="G125" s="2" t="inlineStr"/>
      <c r="H125" s="2" t="inlineStr">
        <is>
          <t>https://eur-lex.europa.eu/legal-content/EN/TXT/?uri=CELEX:32006L0112R(03)</t>
        </is>
      </c>
    </row>
    <row r="126">
      <c r="A126" s="2" t="n">
        <v>14</v>
      </c>
      <c r="B126" s="2" t="inlineStr">
        <is>
          <t>Common VAT system Directive</t>
        </is>
      </c>
      <c r="C126" s="2" t="inlineStr">
        <is>
          <t>32006L0112</t>
        </is>
      </c>
      <c r="D126" s="2" t="inlineStr">
        <is>
          <t>32006L0112R(04)</t>
        </is>
      </c>
      <c r="E126" s="2" t="inlineStr">
        <is>
          <t>corrigendum</t>
        </is>
      </c>
      <c r="F126" s="2" t="inlineStr">
        <is>
          <t>2007-12-20</t>
        </is>
      </c>
      <c r="G126" s="2" t="inlineStr"/>
      <c r="H126" s="2" t="inlineStr">
        <is>
          <t>https://eur-lex.europa.eu/legal-content/EN/TXT/?uri=CELEX:32006L0112R(04)</t>
        </is>
      </c>
    </row>
    <row r="127">
      <c r="A127" s="2" t="n">
        <v>14</v>
      </c>
      <c r="B127" s="2" t="inlineStr">
        <is>
          <t>Common VAT system Directive</t>
        </is>
      </c>
      <c r="C127" s="2" t="inlineStr">
        <is>
          <t>32006L0112</t>
        </is>
      </c>
      <c r="D127" s="2" t="inlineStr">
        <is>
          <t>32006L0112R(05)</t>
        </is>
      </c>
      <c r="E127" s="2" t="inlineStr">
        <is>
          <t>corrigendum</t>
        </is>
      </c>
      <c r="F127" s="2" t="inlineStr">
        <is>
          <t>2007-12-20</t>
        </is>
      </c>
      <c r="G127" s="2" t="inlineStr"/>
      <c r="H127" s="2" t="inlineStr">
        <is>
          <t>https://eur-lex.europa.eu/legal-content/EN/TXT/?uri=CELEX:32006L0112R(05)</t>
        </is>
      </c>
    </row>
    <row r="128">
      <c r="A128" s="2" t="n">
        <v>14</v>
      </c>
      <c r="B128" s="2" t="inlineStr">
        <is>
          <t>Common VAT system Directive</t>
        </is>
      </c>
      <c r="C128" s="2" t="inlineStr">
        <is>
          <t>32006L0112</t>
        </is>
      </c>
      <c r="D128" s="2" t="inlineStr">
        <is>
          <t>32006L0112R(01)</t>
        </is>
      </c>
      <c r="E128" s="2" t="inlineStr">
        <is>
          <t>corrigendum</t>
        </is>
      </c>
      <c r="F128" s="2" t="inlineStr">
        <is>
          <t>2007-12-20</t>
        </is>
      </c>
      <c r="G128" s="2" t="inlineStr">
        <is>
          <t>Corrigendum to Council Directive 2006/112/EC of 28 November 2006 on the common system of value added tax ( OJ L 347, 11.12.2006 )</t>
        </is>
      </c>
      <c r="H128" s="2" t="inlineStr">
        <is>
          <t>https://eur-lex.europa.eu/legal-content/EN/TXT/?uri=CELEX:32006L0112R(01)</t>
        </is>
      </c>
    </row>
    <row r="129">
      <c r="A129" s="2" t="n">
        <v>14</v>
      </c>
      <c r="B129" s="2" t="inlineStr">
        <is>
          <t>Common VAT system Directive</t>
        </is>
      </c>
      <c r="C129" s="2" t="inlineStr">
        <is>
          <t>32006L0112</t>
        </is>
      </c>
      <c r="D129" s="2" t="inlineStr">
        <is>
          <t>32006L0112R(07)</t>
        </is>
      </c>
      <c r="E129" s="2" t="inlineStr">
        <is>
          <t>corrigendum</t>
        </is>
      </c>
      <c r="F129" s="2" t="inlineStr">
        <is>
          <t>2009-03-12</t>
        </is>
      </c>
      <c r="G129" s="2" t="inlineStr"/>
      <c r="H129" s="2" t="inlineStr">
        <is>
          <t>https://eur-lex.europa.eu/legal-content/EN/TXT/?uri=CELEX:32006L0112R(07)</t>
        </is>
      </c>
    </row>
    <row r="130">
      <c r="A130" s="2" t="n">
        <v>14</v>
      </c>
      <c r="B130" s="2" t="inlineStr">
        <is>
          <t>Common VAT system Directive</t>
        </is>
      </c>
      <c r="C130" s="2" t="inlineStr">
        <is>
          <t>32006L0112</t>
        </is>
      </c>
      <c r="D130" s="2" t="inlineStr">
        <is>
          <t>32006L0112R(08)</t>
        </is>
      </c>
      <c r="E130" s="2" t="inlineStr">
        <is>
          <t>corrigendum</t>
        </is>
      </c>
      <c r="F130" s="2" t="inlineStr">
        <is>
          <t>2011-03-19</t>
        </is>
      </c>
      <c r="G130" s="2" t="inlineStr"/>
      <c r="H130" s="2" t="inlineStr">
        <is>
          <t>https://eur-lex.europa.eu/legal-content/EN/TXT/?uri=CELEX:32006L0112R(08)</t>
        </is>
      </c>
    </row>
    <row r="131">
      <c r="A131" s="2" t="n">
        <v>14</v>
      </c>
      <c r="B131" s="2" t="inlineStr">
        <is>
          <t>Common VAT system Directive</t>
        </is>
      </c>
      <c r="C131" s="2" t="inlineStr">
        <is>
          <t>32006L0112</t>
        </is>
      </c>
      <c r="D131" s="2" t="inlineStr">
        <is>
          <t>32006L0112R(09)</t>
        </is>
      </c>
      <c r="E131" s="2" t="inlineStr">
        <is>
          <t>corrigendum</t>
        </is>
      </c>
      <c r="F131" s="2" t="inlineStr">
        <is>
          <t>2011-03-19</t>
        </is>
      </c>
      <c r="G131" s="2" t="inlineStr"/>
      <c r="H131" s="2" t="inlineStr">
        <is>
          <t>https://eur-lex.europa.eu/legal-content/EN/TXT/?uri=CELEX:32006L0112R(09)</t>
        </is>
      </c>
    </row>
    <row r="132">
      <c r="A132" s="2" t="n">
        <v>14</v>
      </c>
      <c r="B132" s="2" t="inlineStr">
        <is>
          <t>Common VAT system Directive</t>
        </is>
      </c>
      <c r="C132" s="2" t="inlineStr">
        <is>
          <t>32006L0112</t>
        </is>
      </c>
      <c r="D132" s="2" t="inlineStr">
        <is>
          <t>32006L0112R(11)</t>
        </is>
      </c>
      <c r="E132" s="2" t="inlineStr">
        <is>
          <t>corrigendum</t>
        </is>
      </c>
      <c r="F132" s="2" t="inlineStr">
        <is>
          <t>2012-09-14</t>
        </is>
      </c>
      <c r="G132" s="2" t="inlineStr"/>
      <c r="H132" s="2" t="inlineStr">
        <is>
          <t>https://eur-lex.europa.eu/legal-content/EN/TXT/?uri=CELEX:32006L0112R(11)</t>
        </is>
      </c>
    </row>
    <row r="133">
      <c r="A133" s="2" t="n">
        <v>14</v>
      </c>
      <c r="B133" s="2" t="inlineStr">
        <is>
          <t>Common VAT system Directive</t>
        </is>
      </c>
      <c r="C133" s="2" t="inlineStr">
        <is>
          <t>32006L0112</t>
        </is>
      </c>
      <c r="D133" s="2" t="inlineStr">
        <is>
          <t>32006L0112R(10)</t>
        </is>
      </c>
      <c r="E133" s="2" t="inlineStr">
        <is>
          <t>corrigendum</t>
        </is>
      </c>
      <c r="F133" s="2" t="inlineStr">
        <is>
          <t>2012-09-14</t>
        </is>
      </c>
      <c r="G133" s="2" t="inlineStr">
        <is>
          <t>Corrigendum to Council Directive 2006/112/EC of 28 November 2006 on the common system of value added tax ( OJ L 347, 11.12.2006 )</t>
        </is>
      </c>
      <c r="H133" s="2" t="inlineStr">
        <is>
          <t>https://eur-lex.europa.eu/legal-content/EN/TXT/?uri=CELEX:32006L0112R(10)</t>
        </is>
      </c>
    </row>
    <row r="134">
      <c r="A134" s="2" t="n">
        <v>14</v>
      </c>
      <c r="B134" s="2" t="inlineStr">
        <is>
          <t>Common VAT system Directive</t>
        </is>
      </c>
      <c r="C134" s="2" t="inlineStr">
        <is>
          <t>32006L0112</t>
        </is>
      </c>
      <c r="D134" s="2" t="inlineStr">
        <is>
          <t>32006L0112R(12)</t>
        </is>
      </c>
      <c r="E134" s="2" t="inlineStr">
        <is>
          <t>corrigendum</t>
        </is>
      </c>
      <c r="F134" s="2" t="inlineStr">
        <is>
          <t>2015-12-09</t>
        </is>
      </c>
      <c r="G134" s="2" t="inlineStr"/>
      <c r="H134" s="2" t="inlineStr">
        <is>
          <t>https://eur-lex.europa.eu/legal-content/EN/TXT/?uri=CELEX:32006L0112R(12)</t>
        </is>
      </c>
    </row>
    <row r="135">
      <c r="A135" s="2" t="n">
        <v>14</v>
      </c>
      <c r="B135" s="2" t="inlineStr">
        <is>
          <t>Common VAT system Directive</t>
        </is>
      </c>
      <c r="C135" s="2" t="inlineStr">
        <is>
          <t>32006L0112</t>
        </is>
      </c>
      <c r="D135" s="2" t="inlineStr">
        <is>
          <t>32006L0112R(13)</t>
        </is>
      </c>
      <c r="E135" s="2" t="inlineStr">
        <is>
          <t>corrigendum</t>
        </is>
      </c>
      <c r="F135" s="2" t="inlineStr">
        <is>
          <t>2017-12-16</t>
        </is>
      </c>
      <c r="G135" s="2" t="inlineStr"/>
      <c r="H135" s="2" t="inlineStr">
        <is>
          <t>https://eur-lex.europa.eu/legal-content/EN/TXT/?uri=CELEX:32006L0112R(13)</t>
        </is>
      </c>
    </row>
    <row r="136">
      <c r="A136" s="2" t="n">
        <v>14</v>
      </c>
      <c r="B136" s="2" t="inlineStr">
        <is>
          <t>Common VAT system Directive</t>
        </is>
      </c>
      <c r="C136" s="2" t="inlineStr">
        <is>
          <t>32006L0112</t>
        </is>
      </c>
      <c r="D136" s="2" t="inlineStr">
        <is>
          <t>32006L0112R(15)</t>
        </is>
      </c>
      <c r="E136" s="2" t="inlineStr">
        <is>
          <t>corrigendum</t>
        </is>
      </c>
      <c r="F136" s="2" t="inlineStr">
        <is>
          <t>2018-09-19</t>
        </is>
      </c>
      <c r="G136" s="2" t="inlineStr"/>
      <c r="H136" s="2" t="inlineStr">
        <is>
          <t>https://eur-lex.europa.eu/legal-content/EN/TXT/?uri=CELEX:32006L0112R(15)</t>
        </is>
      </c>
    </row>
    <row r="137">
      <c r="A137" s="2" t="n">
        <v>14</v>
      </c>
      <c r="B137" s="2" t="inlineStr">
        <is>
          <t>Common VAT system Directive</t>
        </is>
      </c>
      <c r="C137" s="2" t="inlineStr">
        <is>
          <t>32006L0112</t>
        </is>
      </c>
      <c r="D137" s="2" t="inlineStr">
        <is>
          <t>32006L0112R(14)</t>
        </is>
      </c>
      <c r="E137" s="2" t="inlineStr">
        <is>
          <t>corrigendum</t>
        </is>
      </c>
      <c r="F137" s="2" t="inlineStr">
        <is>
          <t>2018-09-19</t>
        </is>
      </c>
      <c r="G137" s="2" t="inlineStr"/>
      <c r="H137" s="2" t="inlineStr">
        <is>
          <t>https://eur-lex.europa.eu/legal-content/EN/TXT/?uri=CELEX:32006L0112R(14)</t>
        </is>
      </c>
    </row>
    <row r="138">
      <c r="A138" s="2" t="n">
        <v>14</v>
      </c>
      <c r="B138" s="2" t="inlineStr">
        <is>
          <t>Common VAT system Directive</t>
        </is>
      </c>
      <c r="C138" s="2" t="inlineStr">
        <is>
          <t>32006L0112</t>
        </is>
      </c>
      <c r="D138" s="2" t="inlineStr">
        <is>
          <t>32006L0112R(16)</t>
        </is>
      </c>
      <c r="E138" s="2" t="inlineStr">
        <is>
          <t>corrigendum</t>
        </is>
      </c>
      <c r="F138" s="2" t="inlineStr">
        <is>
          <t>2019-01-10</t>
        </is>
      </c>
      <c r="G138" s="2" t="inlineStr"/>
      <c r="H138" s="2" t="inlineStr">
        <is>
          <t>https://eur-lex.europa.eu/legal-content/EN/TXT/?uri=CELEX:32006L0112R(16)</t>
        </is>
      </c>
    </row>
    <row r="139">
      <c r="A139" s="2" t="n">
        <v>14</v>
      </c>
      <c r="B139" s="2" t="inlineStr">
        <is>
          <t>Common VAT system Directive</t>
        </is>
      </c>
      <c r="C139" s="2" t="inlineStr">
        <is>
          <t>32006L0112</t>
        </is>
      </c>
      <c r="D139" s="2" t="inlineStr">
        <is>
          <t>32006L0112R(17)</t>
        </is>
      </c>
      <c r="E139" s="2" t="inlineStr">
        <is>
          <t>corrigendum</t>
        </is>
      </c>
      <c r="F139" s="2" t="inlineStr">
        <is>
          <t>2021-04-29</t>
        </is>
      </c>
      <c r="G139" s="2" t="inlineStr"/>
      <c r="H139" s="2" t="inlineStr">
        <is>
          <t>https://eur-lex.europa.eu/legal-content/EN/TXT/?uri=CELEX:32006L0112R(17)</t>
        </is>
      </c>
    </row>
    <row r="140">
      <c r="A140" s="2" t="n">
        <v>14</v>
      </c>
      <c r="B140" s="2" t="inlineStr">
        <is>
          <t>Common VAT system Directive</t>
        </is>
      </c>
      <c r="C140" s="2" t="inlineStr">
        <is>
          <t>32006L0112</t>
        </is>
      </c>
      <c r="D140" s="2" t="inlineStr">
        <is>
          <t>32006L0112R(18)</t>
        </is>
      </c>
      <c r="E140" s="2" t="inlineStr">
        <is>
          <t>corrigendum</t>
        </is>
      </c>
      <c r="F140" s="2" t="inlineStr">
        <is>
          <t>2021-08-12</t>
        </is>
      </c>
      <c r="G140" s="2" t="inlineStr"/>
      <c r="H140" s="2" t="inlineStr">
        <is>
          <t>https://eur-lex.europa.eu/legal-content/EN/TXT/?uri=CELEX:32006L0112R(18)</t>
        </is>
      </c>
    </row>
    <row r="141">
      <c r="A141" s="2" t="n">
        <v>14</v>
      </c>
      <c r="B141" s="2" t="inlineStr">
        <is>
          <t>Common VAT system Directive</t>
        </is>
      </c>
      <c r="C141" s="2" t="inlineStr">
        <is>
          <t>32006L0112</t>
        </is>
      </c>
      <c r="D141" s="2" t="inlineStr">
        <is>
          <t>32006L0112R(19)</t>
        </is>
      </c>
      <c r="E141" s="2" t="inlineStr">
        <is>
          <t>corrigendum</t>
        </is>
      </c>
      <c r="F141" s="2" t="inlineStr">
        <is>
          <t>2023-03-09</t>
        </is>
      </c>
      <c r="G141" s="2" t="inlineStr"/>
      <c r="H141" s="2" t="inlineStr">
        <is>
          <t>https://eur-lex.europa.eu/legal-content/EN/TXT/?uri=CELEX:32006L0112R(19)</t>
        </is>
      </c>
    </row>
    <row r="142">
      <c r="A142" s="2" t="n">
        <v>14</v>
      </c>
      <c r="B142" s="2" t="inlineStr">
        <is>
          <t>Common VAT system Directive</t>
        </is>
      </c>
      <c r="C142" s="2" t="inlineStr">
        <is>
          <t>32006L0112</t>
        </is>
      </c>
      <c r="D142" s="2" t="inlineStr">
        <is>
          <t>32006L0112R(20)</t>
        </is>
      </c>
      <c r="E142" s="2" t="inlineStr">
        <is>
          <t>corrigendum</t>
        </is>
      </c>
      <c r="F142" s="2" t="inlineStr">
        <is>
          <t>2023-05-17</t>
        </is>
      </c>
      <c r="G142" s="2" t="inlineStr"/>
      <c r="H142" s="2" t="inlineStr">
        <is>
          <t>https://eur-lex.europa.eu/legal-content/EN/TXT/?uri=CELEX:32006L0112R(20)</t>
        </is>
      </c>
    </row>
    <row r="143">
      <c r="A143" s="2" t="n">
        <v>14</v>
      </c>
      <c r="B143" s="2" t="inlineStr">
        <is>
          <t>Common VAT system Directive</t>
        </is>
      </c>
      <c r="C143" s="2" t="inlineStr">
        <is>
          <t>32006L0112</t>
        </is>
      </c>
      <c r="D143" s="2" t="inlineStr">
        <is>
          <t>32006L0112R(21)</t>
        </is>
      </c>
      <c r="E143" s="2" t="inlineStr">
        <is>
          <t>corrigendum</t>
        </is>
      </c>
      <c r="F143" s="2" t="inlineStr">
        <is>
          <t>2025-02-05</t>
        </is>
      </c>
      <c r="G143" s="2" t="inlineStr"/>
      <c r="H143" s="2" t="inlineStr">
        <is>
          <t>https://eur-lex.europa.eu/legal-content/EN/TXT/?uri=CELEX:32006L0112R(21)</t>
        </is>
      </c>
    </row>
    <row r="144">
      <c r="A144" s="2" t="n">
        <v>14</v>
      </c>
      <c r="B144" s="2" t="inlineStr">
        <is>
          <t>Common VAT system Directive</t>
        </is>
      </c>
      <c r="C144" s="2" t="inlineStr">
        <is>
          <t>32006L0112</t>
        </is>
      </c>
      <c r="D144" s="2" t="inlineStr">
        <is>
          <t>32006L0112R(22)</t>
        </is>
      </c>
      <c r="E144" s="2" t="inlineStr">
        <is>
          <t>corrigendum</t>
        </is>
      </c>
      <c r="F144" s="2" t="inlineStr">
        <is>
          <t>2026-01-26</t>
        </is>
      </c>
      <c r="G144" s="2" t="inlineStr"/>
      <c r="H144" s="2" t="inlineStr">
        <is>
          <t>https://eur-lex.europa.eu/legal-content/EN/TXT/?uri=CELEX:32006L0112R(22)</t>
        </is>
      </c>
    </row>
    <row r="145">
      <c r="A145" s="2" t="n">
        <v>14</v>
      </c>
      <c r="B145" s="2" t="inlineStr">
        <is>
          <t>Common VAT system Directive</t>
        </is>
      </c>
      <c r="C145" s="2" t="inlineStr">
        <is>
          <t>32006L0112</t>
        </is>
      </c>
      <c r="D145" s="2" t="inlineStr">
        <is>
          <t>32006L0112R(23)</t>
        </is>
      </c>
      <c r="E145" s="2" t="inlineStr">
        <is>
          <t>corrigendum</t>
        </is>
      </c>
      <c r="F145" s="2" t="inlineStr">
        <is>
          <t>2026-07-01</t>
        </is>
      </c>
      <c r="G145" s="2" t="inlineStr"/>
      <c r="H145" s="2" t="inlineStr">
        <is>
          <t>https://eur-lex.europa.eu/legal-content/EN/TXT/?uri=CELEX:32006L0112R(23)</t>
        </is>
      </c>
    </row>
    <row r="146">
      <c r="A146" s="2" t="n">
        <v>15</v>
      </c>
      <c r="B146" s="2" t="inlineStr">
        <is>
          <t>Audiovisual Media Services Directive</t>
        </is>
      </c>
      <c r="C146" s="2" t="inlineStr">
        <is>
          <t>32010L0013</t>
        </is>
      </c>
      <c r="D146" s="2" t="inlineStr">
        <is>
          <t>32018L1808</t>
        </is>
      </c>
      <c r="E146" s="2" t="inlineStr">
        <is>
          <t>amendment</t>
        </is>
      </c>
      <c r="F146" s="2" t="inlineStr">
        <is>
          <t>2018-11-14</t>
        </is>
      </c>
      <c r="G146" s="2" t="inlineStr">
        <is>
          <t>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is>
      </c>
      <c r="H146" s="2" t="inlineStr">
        <is>
          <t>https://eur-lex.europa.eu/legal-content/EN/TXT/?uri=CELEX:32018L1808</t>
        </is>
      </c>
    </row>
    <row r="147">
      <c r="A147" s="2" t="n">
        <v>15</v>
      </c>
      <c r="B147" s="2" t="inlineStr">
        <is>
          <t>Audiovisual Media Services Directive</t>
        </is>
      </c>
      <c r="C147" s="2" t="inlineStr">
        <is>
          <t>32010L0013</t>
        </is>
      </c>
      <c r="D147" s="2" t="inlineStr">
        <is>
          <t>32024R1083</t>
        </is>
      </c>
      <c r="E147" s="2" t="inlineStr">
        <is>
          <t>amendment</t>
        </is>
      </c>
      <c r="F147" s="2" t="inlineStr">
        <is>
          <t>2024-04-11</t>
        </is>
      </c>
      <c r="G147" s="2" t="inlineStr">
        <is>
          <t>Regulation (EU) 2024/1083 of the European Parliament and of the Council of 11 April 2024 establishing a common framework for media services in the internal market and amending Directive 2010/13/EU (European Media Freedom Act) (Text with EEA relevance)</t>
        </is>
      </c>
      <c r="H147" s="2" t="inlineStr">
        <is>
          <t>https://eur-lex.europa.eu/legal-content/EN/TXT/?uri=CELEX:32024R1083</t>
        </is>
      </c>
    </row>
    <row r="148">
      <c r="A148" s="2" t="n">
        <v>15</v>
      </c>
      <c r="B148" s="2" t="inlineStr">
        <is>
          <t>Audiovisual Media Services Directive</t>
        </is>
      </c>
      <c r="C148" s="2" t="inlineStr">
        <is>
          <t>32010L0013</t>
        </is>
      </c>
      <c r="D148" s="2" t="inlineStr">
        <is>
          <t>32010L0013R(01)</t>
        </is>
      </c>
      <c r="E148" s="2" t="inlineStr">
        <is>
          <t>corrigendum</t>
        </is>
      </c>
      <c r="F148" s="2" t="inlineStr">
        <is>
          <t>2010-10-06</t>
        </is>
      </c>
      <c r="G148" s="2" t="inlineStr">
        <is>
          <t>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is>
      </c>
      <c r="H148" s="2" t="inlineStr">
        <is>
          <t>https://eur-lex.europa.eu/legal-content/EN/TXT/?uri=CELEX:32010L0013R(01)</t>
        </is>
      </c>
    </row>
    <row r="149">
      <c r="A149" s="2" t="n">
        <v>15</v>
      </c>
      <c r="B149" s="2" t="inlineStr">
        <is>
          <t>Audiovisual Media Services Directive</t>
        </is>
      </c>
      <c r="C149" s="2" t="inlineStr">
        <is>
          <t>32010L0013</t>
        </is>
      </c>
      <c r="D149" s="2" t="inlineStr">
        <is>
          <t>32010L0013R(02)</t>
        </is>
      </c>
      <c r="E149" s="2" t="inlineStr">
        <is>
          <t>corrigendum</t>
        </is>
      </c>
      <c r="F149" s="2" t="inlineStr">
        <is>
          <t>2014-12-04</t>
        </is>
      </c>
      <c r="G149" s="2" t="inlineStr"/>
      <c r="H149" s="2" t="inlineStr">
        <is>
          <t>https://eur-lex.europa.eu/legal-content/EN/TXT/?uri=CELEX:32010L0013R(02)</t>
        </is>
      </c>
    </row>
    <row r="150">
      <c r="A150" s="2" t="n">
        <v>15</v>
      </c>
      <c r="B150" s="2" t="inlineStr">
        <is>
          <t>Audiovisual Media Services Directive</t>
        </is>
      </c>
      <c r="C150" s="2" t="inlineStr">
        <is>
          <t>32010L0013</t>
        </is>
      </c>
      <c r="D150" s="2" t="inlineStr">
        <is>
          <t>32010L0013R(03)</t>
        </is>
      </c>
      <c r="E150" s="2" t="inlineStr">
        <is>
          <t>corrigendum</t>
        </is>
      </c>
      <c r="F150" s="2" t="inlineStr">
        <is>
          <t>2018-09-21</t>
        </is>
      </c>
      <c r="G150" s="2" t="inlineStr"/>
      <c r="H150" s="2" t="inlineStr">
        <is>
          <t>https://eur-lex.europa.eu/legal-content/EN/TXT/?uri=CELEX:32010L0013R(03)</t>
        </is>
      </c>
    </row>
    <row r="151">
      <c r="A151" s="2" t="n">
        <v>16</v>
      </c>
      <c r="B151" s="2" t="inlineStr">
        <is>
          <t>European Statistics Regulation</t>
        </is>
      </c>
      <c r="C151" s="2" t="inlineStr">
        <is>
          <t>32009R0223</t>
        </is>
      </c>
      <c r="D151" s="2" t="inlineStr">
        <is>
          <t>32015R0759</t>
        </is>
      </c>
      <c r="E151" s="2" t="inlineStr">
        <is>
          <t>amendment</t>
        </is>
      </c>
      <c r="F151" s="2" t="inlineStr">
        <is>
          <t>2015-04-29</t>
        </is>
      </c>
      <c r="G151" s="2" t="inlineStr">
        <is>
          <t>Regulation (EU) 2015/759 of the European Parliament and of the Council of 29 April 2015 amending Regulation (EC) No 223/2009 on European statistics (Text with relevance for the EEA and Switzerland)</t>
        </is>
      </c>
      <c r="H151" s="2" t="inlineStr">
        <is>
          <t>https://eur-lex.europa.eu/legal-content/EN/TXT/?uri=CELEX:32015R0759</t>
        </is>
      </c>
    </row>
    <row r="152">
      <c r="A152" s="2" t="n">
        <v>16</v>
      </c>
      <c r="B152" s="2" t="inlineStr">
        <is>
          <t>European Statistics Regulation</t>
        </is>
      </c>
      <c r="C152" s="2" t="inlineStr">
        <is>
          <t>32009R0223</t>
        </is>
      </c>
      <c r="D152" s="2" t="inlineStr">
        <is>
          <t>32024R3018</t>
        </is>
      </c>
      <c r="E152" s="2" t="inlineStr">
        <is>
          <t>amendment</t>
        </is>
      </c>
      <c r="F152" s="2" t="inlineStr">
        <is>
          <t>2024-11-27</t>
        </is>
      </c>
      <c r="G152" s="2" t="inlineStr">
        <is>
          <t>Regulation (EU) 2024/3018 of the European Parliament and of the Council of 27 November 2024 amending Regulation (EC) No 223/2009 on European statistics (Text with EEA relevance)</t>
        </is>
      </c>
      <c r="H152" s="2" t="inlineStr">
        <is>
          <t>https://eur-lex.europa.eu/legal-content/EN/TXT/?uri=CELEX:32024R3018</t>
        </is>
      </c>
    </row>
    <row r="153">
      <c r="A153" s="2" t="n">
        <v>16</v>
      </c>
      <c r="B153" s="2" t="inlineStr">
        <is>
          <t>European Statistics Regulation</t>
        </is>
      </c>
      <c r="C153" s="2" t="inlineStr">
        <is>
          <t>32009R0223</t>
        </is>
      </c>
      <c r="D153" s="2" t="inlineStr">
        <is>
          <t>32009R0223R(01)</t>
        </is>
      </c>
      <c r="E153" s="2" t="inlineStr">
        <is>
          <t>corrigendum</t>
        </is>
      </c>
      <c r="F153" s="2" t="inlineStr">
        <is>
          <t>2018-11-14</t>
        </is>
      </c>
      <c r="G153" s="2" t="inlineStr"/>
      <c r="H153" s="2" t="inlineStr">
        <is>
          <t>https://eur-lex.europa.eu/legal-content/EN/TXT/?uri=CELEX:32009R0223R(01)</t>
        </is>
      </c>
    </row>
    <row r="154">
      <c r="A154" s="2" t="n">
        <v>16</v>
      </c>
      <c r="B154" s="2" t="inlineStr">
        <is>
          <t>European Statistics Regulation</t>
        </is>
      </c>
      <c r="C154" s="2" t="inlineStr">
        <is>
          <t>32009R0223</t>
        </is>
      </c>
      <c r="D154" s="2" t="inlineStr">
        <is>
          <t>32009R0223R(02)</t>
        </is>
      </c>
      <c r="E154" s="2" t="inlineStr">
        <is>
          <t>corrigendum</t>
        </is>
      </c>
      <c r="F154" s="2" t="inlineStr">
        <is>
          <t>2022-07-07</t>
        </is>
      </c>
      <c r="G154" s="2" t="inlineStr"/>
      <c r="H154" s="2" t="inlineStr">
        <is>
          <t>https://eur-lex.europa.eu/legal-content/EN/TXT/?uri=CELEX:32009R0223R(02)</t>
        </is>
      </c>
    </row>
    <row r="155">
      <c r="A155" s="2" t="n">
        <v>17</v>
      </c>
      <c r="B155" s="2" t="inlineStr">
        <is>
          <t>Toys Safety Directive</t>
        </is>
      </c>
      <c r="C155" s="2" t="inlineStr">
        <is>
          <t>32009L0048</t>
        </is>
      </c>
      <c r="D155" s="2" t="inlineStr">
        <is>
          <t>32012L0007</t>
        </is>
      </c>
      <c r="E155" s="2" t="inlineStr">
        <is>
          <t>amendment</t>
        </is>
      </c>
      <c r="F155" s="2" t="inlineStr">
        <is>
          <t>2012-03-02</t>
        </is>
      </c>
      <c r="G155" s="2" t="inlineStr">
        <is>
          <t>Commission Directive 2012/7/EU of 2 March 2012 amending, for the purpose of adaptation to technical progress, part III of Annex II to Directive 2009/48/EC of the European Parliament and of the Council relating to toy safety  Text with EEA relevance</t>
        </is>
      </c>
      <c r="H155" s="2" t="inlineStr">
        <is>
          <t>https://eur-lex.europa.eu/legal-content/EN/TXT/?uri=CELEX:32012L0007</t>
        </is>
      </c>
    </row>
    <row r="156">
      <c r="A156" s="2" t="n">
        <v>17</v>
      </c>
      <c r="B156" s="2" t="inlineStr">
        <is>
          <t>Toys Safety Directive</t>
        </is>
      </c>
      <c r="C156" s="2" t="inlineStr">
        <is>
          <t>32009L0048</t>
        </is>
      </c>
      <c r="D156" s="2" t="inlineStr">
        <is>
          <t>32013R0681</t>
        </is>
      </c>
      <c r="E156" s="2" t="inlineStr">
        <is>
          <t>amendment</t>
        </is>
      </c>
      <c r="F156" s="2" t="inlineStr">
        <is>
          <t>2013-07-17</t>
        </is>
      </c>
      <c r="G156" s="2" t="inlineStr">
        <is>
          <t>Commission Regulation (EU) No 681/2013 of 17 July 2013 amending part III of Annex II to Directive 2009/48/EC of the European Parliament and of the Council on the safety of toys  Text with EEA relevance</t>
        </is>
      </c>
      <c r="H156" s="2" t="inlineStr">
        <is>
          <t>https://eur-lex.europa.eu/legal-content/EN/TXT/?uri=CELEX:32013R0681</t>
        </is>
      </c>
    </row>
    <row r="157">
      <c r="A157" s="2" t="n">
        <v>17</v>
      </c>
      <c r="B157" s="2" t="inlineStr">
        <is>
          <t>Toys Safety Directive</t>
        </is>
      </c>
      <c r="C157" s="2" t="inlineStr">
        <is>
          <t>32009L0048</t>
        </is>
      </c>
      <c r="D157" s="2" t="inlineStr">
        <is>
          <t>32014L0079</t>
        </is>
      </c>
      <c r="E157" s="2" t="inlineStr">
        <is>
          <t>amendment</t>
        </is>
      </c>
      <c r="F157" s="2" t="inlineStr">
        <is>
          <t>2014-06-20</t>
        </is>
      </c>
      <c r="G157" s="2" t="inlineStr">
        <is>
          <t>Commission Directive 2014/79/EU of 20 June 2014 amending Appendix C of Annex II to Directive 2009/48/EC of the European Parliament and of the Council on the safety of toys, as regards TCEP, TCPP and TDCP  Text with EEA relevance</t>
        </is>
      </c>
      <c r="H157" s="2" t="inlineStr">
        <is>
          <t>https://eur-lex.europa.eu/legal-content/EN/TXT/?uri=CELEX:32014L0079</t>
        </is>
      </c>
    </row>
    <row r="158">
      <c r="A158" s="2" t="n">
        <v>17</v>
      </c>
      <c r="B158" s="2" t="inlineStr">
        <is>
          <t>Toys Safety Directive</t>
        </is>
      </c>
      <c r="C158" s="2" t="inlineStr">
        <is>
          <t>32009L0048</t>
        </is>
      </c>
      <c r="D158" s="2" t="inlineStr">
        <is>
          <t>32014L0081</t>
        </is>
      </c>
      <c r="E158" s="2" t="inlineStr">
        <is>
          <t>amendment</t>
        </is>
      </c>
      <c r="F158" s="2" t="inlineStr">
        <is>
          <t>2014-06-23</t>
        </is>
      </c>
      <c r="G158" s="2" t="inlineStr">
        <is>
          <t>Commission Directive 2014/81/EU of 23 June 2014 amending Appendix C of Annex II to Directive 2009/48/EC of the European Parliament and of the Council on the safety of toys, as regards bisphenol A  Text with EEA relevance</t>
        </is>
      </c>
      <c r="H158" s="2" t="inlineStr">
        <is>
          <t>https://eur-lex.europa.eu/legal-content/EN/TXT/?uri=CELEX:32014L0081</t>
        </is>
      </c>
    </row>
    <row r="159">
      <c r="A159" s="2" t="n">
        <v>17</v>
      </c>
      <c r="B159" s="2" t="inlineStr">
        <is>
          <t>Toys Safety Directive</t>
        </is>
      </c>
      <c r="C159" s="2" t="inlineStr">
        <is>
          <t>32009L0048</t>
        </is>
      </c>
      <c r="D159" s="2" t="inlineStr">
        <is>
          <t>32014L0084</t>
        </is>
      </c>
      <c r="E159" s="2" t="inlineStr">
        <is>
          <t>amendment</t>
        </is>
      </c>
      <c r="F159" s="2" t="inlineStr">
        <is>
          <t>2014-06-30</t>
        </is>
      </c>
      <c r="G159" s="2" t="inlineStr">
        <is>
          <t>Commission Directive 2014/84/EU of 30 June 2014 amending Appendix A of Annex II to Directive 2009/48/EC of the European Parliament and of the Council on the safety of toys, as regards nickel  Text with EEA relevance</t>
        </is>
      </c>
      <c r="H159" s="2" t="inlineStr">
        <is>
          <t>https://eur-lex.europa.eu/legal-content/EN/TXT/?uri=CELEX:32014L0084</t>
        </is>
      </c>
    </row>
    <row r="160">
      <c r="A160" s="2" t="n">
        <v>17</v>
      </c>
      <c r="B160" s="2" t="inlineStr">
        <is>
          <t>Toys Safety Directive</t>
        </is>
      </c>
      <c r="C160" s="2" t="inlineStr">
        <is>
          <t>32009L0048</t>
        </is>
      </c>
      <c r="D160" s="2" t="inlineStr">
        <is>
          <t>32015L2116</t>
        </is>
      </c>
      <c r="E160" s="2" t="inlineStr">
        <is>
          <t>amendment</t>
        </is>
      </c>
      <c r="F160" s="2" t="inlineStr">
        <is>
          <t>2015-11-23</t>
        </is>
      </c>
      <c r="G160" s="2" t="inlineStr">
        <is>
          <t>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is>
      </c>
      <c r="H160" s="2" t="inlineStr">
        <is>
          <t>https://eur-lex.europa.eu/legal-content/EN/TXT/?uri=CELEX:32015L2116</t>
        </is>
      </c>
    </row>
    <row r="161">
      <c r="A161" s="2" t="n">
        <v>17</v>
      </c>
      <c r="B161" s="2" t="inlineStr">
        <is>
          <t>Toys Safety Directive</t>
        </is>
      </c>
      <c r="C161" s="2" t="inlineStr">
        <is>
          <t>32009L0048</t>
        </is>
      </c>
      <c r="D161" s="2" t="inlineStr">
        <is>
          <t>32015L2117</t>
        </is>
      </c>
      <c r="E161" s="2" t="inlineStr">
        <is>
          <t>amendment</t>
        </is>
      </c>
      <c r="F161" s="2" t="inlineStr">
        <is>
          <t>2015-11-23</t>
        </is>
      </c>
      <c r="G161" s="2" t="inlineStr">
        <is>
          <t>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is>
      </c>
      <c r="H161" s="2" t="inlineStr">
        <is>
          <t>https://eur-lex.europa.eu/legal-content/EN/TXT/?uri=CELEX:32015L2117</t>
        </is>
      </c>
    </row>
    <row r="162">
      <c r="A162" s="2" t="n">
        <v>17</v>
      </c>
      <c r="B162" s="2" t="inlineStr">
        <is>
          <t>Toys Safety Directive</t>
        </is>
      </c>
      <c r="C162" s="2" t="inlineStr">
        <is>
          <t>32009L0048</t>
        </is>
      </c>
      <c r="D162" s="2" t="inlineStr">
        <is>
          <t>32015L2115</t>
        </is>
      </c>
      <c r="E162" s="2" t="inlineStr">
        <is>
          <t>amendment</t>
        </is>
      </c>
      <c r="F162" s="2" t="inlineStr">
        <is>
          <t>2015-11-23</t>
        </is>
      </c>
      <c r="G162" s="2" t="inlineStr">
        <is>
          <t>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is>
      </c>
      <c r="H162" s="2" t="inlineStr">
        <is>
          <t>https://eur-lex.europa.eu/legal-content/EN/TXT/?uri=CELEX:32015L2115</t>
        </is>
      </c>
    </row>
    <row r="163">
      <c r="A163" s="2" t="n">
        <v>17</v>
      </c>
      <c r="B163" s="2" t="inlineStr">
        <is>
          <t>Toys Safety Directive</t>
        </is>
      </c>
      <c r="C163" s="2" t="inlineStr">
        <is>
          <t>32009L0048</t>
        </is>
      </c>
      <c r="D163" s="2" t="inlineStr">
        <is>
          <t>32017L0738</t>
        </is>
      </c>
      <c r="E163" s="2" t="inlineStr">
        <is>
          <t>amendment</t>
        </is>
      </c>
      <c r="F163" s="2" t="inlineStr">
        <is>
          <t>2017-03-27</t>
        </is>
      </c>
      <c r="G163" s="2" t="inlineStr">
        <is>
          <t>Council Directive (EU) 2017/738 of 27 March 2017 amending, for the purpose of adapting to technical progress, Annex II to Directive 2009/48/EC of the European Parliament and of the Council on the safety of toys, as regards lead (Text with EEA relevance. )</t>
        </is>
      </c>
      <c r="H163" s="2" t="inlineStr">
        <is>
          <t>https://eur-lex.europa.eu/legal-content/EN/TXT/?uri=CELEX:32017L0738</t>
        </is>
      </c>
    </row>
    <row r="164">
      <c r="A164" s="2" t="n">
        <v>17</v>
      </c>
      <c r="B164" s="2" t="inlineStr">
        <is>
          <t>Toys Safety Directive</t>
        </is>
      </c>
      <c r="C164" s="2" t="inlineStr">
        <is>
          <t>32009L0048</t>
        </is>
      </c>
      <c r="D164" s="2" t="inlineStr">
        <is>
          <t>32017L0774</t>
        </is>
      </c>
      <c r="E164" s="2" t="inlineStr">
        <is>
          <t>amendment</t>
        </is>
      </c>
      <c r="F164" s="2" t="inlineStr">
        <is>
          <t>2017-05-03</t>
        </is>
      </c>
      <c r="G164" s="2" t="inlineStr">
        <is>
          <t>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is>
      </c>
      <c r="H164" s="2" t="inlineStr">
        <is>
          <t>https://eur-lex.europa.eu/legal-content/EN/TXT/?uri=CELEX:32017L0774</t>
        </is>
      </c>
    </row>
    <row r="165">
      <c r="A165" s="2" t="n">
        <v>17</v>
      </c>
      <c r="B165" s="2" t="inlineStr">
        <is>
          <t>Toys Safety Directive</t>
        </is>
      </c>
      <c r="C165" s="2" t="inlineStr">
        <is>
          <t>32009L0048</t>
        </is>
      </c>
      <c r="D165" s="2" t="inlineStr">
        <is>
          <t>32017L0898</t>
        </is>
      </c>
      <c r="E165" s="2" t="inlineStr">
        <is>
          <t>amendment</t>
        </is>
      </c>
      <c r="F165" s="2" t="inlineStr">
        <is>
          <t>2017-05-24</t>
        </is>
      </c>
      <c r="G165" s="2" t="inlineStr">
        <is>
          <t>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is>
      </c>
      <c r="H165" s="2" t="inlineStr">
        <is>
          <t>https://eur-lex.europa.eu/legal-content/EN/TXT/?uri=CELEX:32017L0898</t>
        </is>
      </c>
    </row>
    <row r="166">
      <c r="A166" s="2" t="n">
        <v>17</v>
      </c>
      <c r="B166" s="2" t="inlineStr">
        <is>
          <t>Toys Safety Directive</t>
        </is>
      </c>
      <c r="C166" s="2" t="inlineStr">
        <is>
          <t>32009L0048</t>
        </is>
      </c>
      <c r="D166" s="2" t="inlineStr">
        <is>
          <t>32018L0725</t>
        </is>
      </c>
      <c r="E166" s="2" t="inlineStr">
        <is>
          <t>amendment</t>
        </is>
      </c>
      <c r="F166" s="2" t="inlineStr">
        <is>
          <t>2018-05-16</t>
        </is>
      </c>
      <c r="G166" s="2" t="inlineStr">
        <is>
          <t>Commission Directive (EU) 2018/725 of 16 May 2018 amending, for the purpose of adaptation to technical and scientific developments, point 13 of part III of Annex II to Directive 2009/48/EC of the European Parliament and of the Council on the safety of toys, as regards chromium VI</t>
        </is>
      </c>
      <c r="H166" s="2" t="inlineStr">
        <is>
          <t>https://eur-lex.europa.eu/legal-content/EN/TXT/?uri=CELEX:32018L0725</t>
        </is>
      </c>
    </row>
    <row r="167">
      <c r="A167" s="2" t="n">
        <v>17</v>
      </c>
      <c r="B167" s="2" t="inlineStr">
        <is>
          <t>Toys Safety Directive</t>
        </is>
      </c>
      <c r="C167" s="2" t="inlineStr">
        <is>
          <t>32009L0048</t>
        </is>
      </c>
      <c r="D167" s="2" t="inlineStr">
        <is>
          <t>32019L1922</t>
        </is>
      </c>
      <c r="E167" s="2" t="inlineStr">
        <is>
          <t>amendment</t>
        </is>
      </c>
      <c r="F167" s="2" t="inlineStr">
        <is>
          <t>2019-11-18</t>
        </is>
      </c>
      <c r="G167" s="2" t="inlineStr">
        <is>
          <t>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is>
      </c>
      <c r="H167" s="2" t="inlineStr">
        <is>
          <t>https://eur-lex.europa.eu/legal-content/EN/TXT/?uri=CELEX:32019L1922</t>
        </is>
      </c>
    </row>
    <row r="168">
      <c r="A168" s="2" t="n">
        <v>17</v>
      </c>
      <c r="B168" s="2" t="inlineStr">
        <is>
          <t>Toys Safety Directive</t>
        </is>
      </c>
      <c r="C168" s="2" t="inlineStr">
        <is>
          <t>32009L0048</t>
        </is>
      </c>
      <c r="D168" s="2" t="inlineStr">
        <is>
          <t>32019L1929</t>
        </is>
      </c>
      <c r="E168" s="2" t="inlineStr">
        <is>
          <t>amendment</t>
        </is>
      </c>
      <c r="F168" s="2" t="inlineStr">
        <is>
          <t>2019-11-19</t>
        </is>
      </c>
      <c r="G168" s="2" t="inlineStr">
        <is>
          <t>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is>
      </c>
      <c r="H168" s="2" t="inlineStr">
        <is>
          <t>https://eur-lex.europa.eu/legal-content/EN/TXT/?uri=CELEX:32019L1929</t>
        </is>
      </c>
    </row>
    <row r="169">
      <c r="A169" s="2" t="n">
        <v>17</v>
      </c>
      <c r="B169" s="2" t="inlineStr">
        <is>
          <t>Toys Safety Directive</t>
        </is>
      </c>
      <c r="C169" s="2" t="inlineStr">
        <is>
          <t>32009L0048</t>
        </is>
      </c>
      <c r="D169" s="2" t="inlineStr">
        <is>
          <t>32020L2088</t>
        </is>
      </c>
      <c r="E169" s="2" t="inlineStr">
        <is>
          <t>amendment</t>
        </is>
      </c>
      <c r="F169" s="2" t="inlineStr">
        <is>
          <t>2020-12-11</t>
        </is>
      </c>
      <c r="G169" s="2" t="inlineStr">
        <is>
          <t>Commission Directive (EU) 2020/2088 of 11 December 2020 amending Annex II to Directive 2009/48/EC of the European Parliament and of the Council as regards the labelling of allergenic fragrances in toys (Text with EEA relevance)</t>
        </is>
      </c>
      <c r="H169" s="2" t="inlineStr">
        <is>
          <t>https://eur-lex.europa.eu/legal-content/EN/TXT/?uri=CELEX:32020L2088</t>
        </is>
      </c>
    </row>
    <row r="170">
      <c r="A170" s="2" t="n">
        <v>17</v>
      </c>
      <c r="B170" s="2" t="inlineStr">
        <is>
          <t>Toys Safety Directive</t>
        </is>
      </c>
      <c r="C170" s="2" t="inlineStr">
        <is>
          <t>32009L0048</t>
        </is>
      </c>
      <c r="D170" s="2" t="inlineStr">
        <is>
          <t>32020L2089</t>
        </is>
      </c>
      <c r="E170" s="2" t="inlineStr">
        <is>
          <t>amendment</t>
        </is>
      </c>
      <c r="F170" s="2" t="inlineStr">
        <is>
          <t>2020-12-11</t>
        </is>
      </c>
      <c r="G170" s="2" t="inlineStr">
        <is>
          <t>Commission Directive (EU) 2020/2089 of 11 December 2020 amending Annex II to Directive 2009/48/EC of the European Parliament and of the Council as regards the prohibition of allergenic fragrances in toys (Text with EEA relevance)</t>
        </is>
      </c>
      <c r="H170" s="2" t="inlineStr">
        <is>
          <t>https://eur-lex.europa.eu/legal-content/EN/TXT/?uri=CELEX:32020L2089</t>
        </is>
      </c>
    </row>
    <row r="171">
      <c r="A171" s="2" t="n">
        <v>17</v>
      </c>
      <c r="B171" s="2" t="inlineStr">
        <is>
          <t>Toys Safety Directive</t>
        </is>
      </c>
      <c r="C171" s="2" t="inlineStr">
        <is>
          <t>32009L0048</t>
        </is>
      </c>
      <c r="D171" s="2" t="inlineStr">
        <is>
          <t>32021L0903</t>
        </is>
      </c>
      <c r="E171" s="2" t="inlineStr">
        <is>
          <t>amendment</t>
        </is>
      </c>
      <c r="F171" s="2" t="inlineStr">
        <is>
          <t>2021-06-03</t>
        </is>
      </c>
      <c r="G171" s="2" t="inlineStr">
        <is>
          <t>Commission Directive (EU) 2021/903 of 3 June 2021 amending Directive 2009/48/EC of the European Parliament and of the Council as regards specific limit values for aniline in certain toys (Text with EEA relevance)</t>
        </is>
      </c>
      <c r="H171" s="2" t="inlineStr">
        <is>
          <t>https://eur-lex.europa.eu/legal-content/EN/TXT/?uri=CELEX:32021L0903</t>
        </is>
      </c>
    </row>
    <row r="172">
      <c r="A172" s="2" t="n">
        <v>17</v>
      </c>
      <c r="B172" s="2" t="inlineStr">
        <is>
          <t>Toys Safety Directive</t>
        </is>
      </c>
      <c r="C172" s="2" t="inlineStr">
        <is>
          <t>32009L0048</t>
        </is>
      </c>
      <c r="D172" s="2" t="inlineStr">
        <is>
          <t>32026L0192</t>
        </is>
      </c>
      <c r="E172" s="2" t="inlineStr">
        <is>
          <t>amendment</t>
        </is>
      </c>
      <c r="F172" s="2" t="inlineStr">
        <is>
          <t>2026-01-28</t>
        </is>
      </c>
      <c r="G172" s="2" t="inlineStr">
        <is>
          <t>Commission Directive (EU) 2026/192 of 28 January 2026 amending Appendix A of Annex II to Directive 2009/48/EC of the European Parliament and of the Council on the safety of toys, as regards cobalt</t>
        </is>
      </c>
      <c r="H172" s="2" t="inlineStr">
        <is>
          <t>https://eur-lex.europa.eu/legal-content/EN/TXT/?uri=CELEX:32026L0192</t>
        </is>
      </c>
    </row>
    <row r="173">
      <c r="A173" s="2" t="n">
        <v>17</v>
      </c>
      <c r="B173" s="2" t="inlineStr">
        <is>
          <t>Toys Safety Directive</t>
        </is>
      </c>
      <c r="C173" s="2" t="inlineStr">
        <is>
          <t>32009L0048</t>
        </is>
      </c>
      <c r="D173" s="2" t="inlineStr">
        <is>
          <t>32009L0048R(01)</t>
        </is>
      </c>
      <c r="E173" s="2" t="inlineStr">
        <is>
          <t>corrigendum</t>
        </is>
      </c>
      <c r="F173" s="2" t="inlineStr">
        <is>
          <t>2013-12-31</t>
        </is>
      </c>
      <c r="G173" s="2" t="inlineStr">
        <is>
          <t>Corrigendum to Directive 2009/48/EC of the European Parliament and of the Council of 18 June 2009 on the safety of toys ( OJ L 170, 30.6.2009 )</t>
        </is>
      </c>
      <c r="H173" s="2" t="inlineStr">
        <is>
          <t>https://eur-lex.europa.eu/legal-content/EN/TXT/?uri=CELEX:32009L0048R(01)</t>
        </is>
      </c>
    </row>
    <row r="174">
      <c r="A174" s="2" t="n">
        <v>17</v>
      </c>
      <c r="B174" s="2" t="inlineStr">
        <is>
          <t>Toys Safety Directive</t>
        </is>
      </c>
      <c r="C174" s="2" t="inlineStr">
        <is>
          <t>32009L0048</t>
        </is>
      </c>
      <c r="D174" s="2" t="inlineStr">
        <is>
          <t>32009L0048R(02)</t>
        </is>
      </c>
      <c r="E174" s="2" t="inlineStr">
        <is>
          <t>corrigendum</t>
        </is>
      </c>
      <c r="F174" s="2" t="inlineStr">
        <is>
          <t>2019-10-03</t>
        </is>
      </c>
      <c r="G174" s="2" t="inlineStr"/>
      <c r="H174" s="2" t="inlineStr">
        <is>
          <t>https://eur-lex.europa.eu/legal-content/EN/TXT/?uri=CELEX:32009L0048R(02)</t>
        </is>
      </c>
    </row>
    <row r="175">
      <c r="A175" s="2" t="n">
        <v>17</v>
      </c>
      <c r="B175" s="2" t="inlineStr">
        <is>
          <t>Toys Safety Directive</t>
        </is>
      </c>
      <c r="C175" s="2" t="inlineStr">
        <is>
          <t>32009L0048</t>
        </is>
      </c>
      <c r="D175" s="2" t="inlineStr">
        <is>
          <t>32009L0048R(03)</t>
        </is>
      </c>
      <c r="E175" s="2" t="inlineStr">
        <is>
          <t>corrigendum</t>
        </is>
      </c>
      <c r="F175" s="2" t="inlineStr">
        <is>
          <t>2021-02-04</t>
        </is>
      </c>
      <c r="G175" s="2" t="inlineStr"/>
      <c r="H175" s="2" t="inlineStr">
        <is>
          <t>https://eur-lex.europa.eu/legal-content/EN/TXT/?uri=CELEX:32009L0048R(03)</t>
        </is>
      </c>
    </row>
    <row r="176">
      <c r="A176" s="2" t="n">
        <v>17</v>
      </c>
      <c r="B176" s="2" t="inlineStr">
        <is>
          <t>Toys Safety Directive</t>
        </is>
      </c>
      <c r="C176" s="2" t="inlineStr">
        <is>
          <t>32009L0048</t>
        </is>
      </c>
      <c r="D176" s="2" t="inlineStr">
        <is>
          <t>32009L0048R(04)</t>
        </is>
      </c>
      <c r="E176" s="2" t="inlineStr">
        <is>
          <t>corrigendum</t>
        </is>
      </c>
      <c r="F176" s="2" t="inlineStr">
        <is>
          <t>2021-06-17</t>
        </is>
      </c>
      <c r="G176" s="2" t="inlineStr"/>
      <c r="H176" s="2" t="inlineStr">
        <is>
          <t>https://eur-lex.europa.eu/legal-content/EN/TXT/?uri=CELEX:32009L0048R(04)</t>
        </is>
      </c>
    </row>
    <row r="177">
      <c r="A177" s="2" t="n">
        <v>17</v>
      </c>
      <c r="B177" s="2" t="inlineStr">
        <is>
          <t>Toys Safety Directive</t>
        </is>
      </c>
      <c r="C177" s="2" t="inlineStr">
        <is>
          <t>32009L0048</t>
        </is>
      </c>
      <c r="D177" s="2" t="inlineStr">
        <is>
          <t>32009L0048R(05)</t>
        </is>
      </c>
      <c r="E177" s="2" t="inlineStr">
        <is>
          <t>corrigendum</t>
        </is>
      </c>
      <c r="F177" s="2" t="inlineStr">
        <is>
          <t>2022-06-30</t>
        </is>
      </c>
      <c r="G177" s="2" t="inlineStr"/>
      <c r="H177" s="2" t="inlineStr">
        <is>
          <t>https://eur-lex.europa.eu/legal-content/EN/TXT/?uri=CELEX:32009L0048R(05)</t>
        </is>
      </c>
    </row>
    <row r="178">
      <c r="A178" s="2" t="n">
        <v>18</v>
      </c>
      <c r="B178" s="2" t="inlineStr">
        <is>
          <t>Consumer Rights Directive</t>
        </is>
      </c>
      <c r="C178" s="2" t="inlineStr">
        <is>
          <t>32011L0083</t>
        </is>
      </c>
      <c r="D178" s="2" t="inlineStr">
        <is>
          <t>32015L2302</t>
        </is>
      </c>
      <c r="E178" s="2" t="inlineStr">
        <is>
          <t>amendment</t>
        </is>
      </c>
      <c r="F178" s="2" t="inlineStr">
        <is>
          <t>2015-11-25</t>
        </is>
      </c>
      <c r="G178" s="2" t="inlineStr">
        <is>
          <t>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is>
      </c>
      <c r="H178" s="2" t="inlineStr">
        <is>
          <t>https://eur-lex.europa.eu/legal-content/EN/TXT/?uri=CELEX:32015L2302</t>
        </is>
      </c>
    </row>
    <row r="179">
      <c r="A179" s="2" t="n">
        <v>18</v>
      </c>
      <c r="B179" s="2" t="inlineStr">
        <is>
          <t>Consumer Rights Directive</t>
        </is>
      </c>
      <c r="C179" s="2" t="inlineStr">
        <is>
          <t>32011L0083</t>
        </is>
      </c>
      <c r="D179" s="2" t="inlineStr">
        <is>
          <t>32019L2161</t>
        </is>
      </c>
      <c r="E179" s="2" t="inlineStr">
        <is>
          <t>amendment</t>
        </is>
      </c>
      <c r="F179" s="2" t="inlineStr">
        <is>
          <t>2019-11-27</t>
        </is>
      </c>
      <c r="G179"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179" s="2" t="inlineStr">
        <is>
          <t>https://eur-lex.europa.eu/legal-content/EN/TXT/?uri=CELEX:32019L2161</t>
        </is>
      </c>
    </row>
    <row r="180">
      <c r="A180" s="2" t="n">
        <v>18</v>
      </c>
      <c r="B180" s="2" t="inlineStr">
        <is>
          <t>Consumer Rights Directive</t>
        </is>
      </c>
      <c r="C180" s="2" t="inlineStr">
        <is>
          <t>32011L0083</t>
        </is>
      </c>
      <c r="D180" s="2" t="inlineStr">
        <is>
          <t>32023L2673</t>
        </is>
      </c>
      <c r="E180" s="2" t="inlineStr">
        <is>
          <t>amendment</t>
        </is>
      </c>
      <c r="F180" s="2" t="inlineStr">
        <is>
          <t>2023-11-22</t>
        </is>
      </c>
      <c r="G180" s="2" t="inlineStr">
        <is>
          <t>Directive (EU) 2023/2673 of the European Parliament and of the Council of 22 November 2023 amending Directive 2011/83/EU as regards financial services contracts concluded at a distance and repealing Directive 2002/65/EC (Text with EEA relevance)</t>
        </is>
      </c>
      <c r="H180" s="2" t="inlineStr">
        <is>
          <t>https://eur-lex.europa.eu/legal-content/EN/TXT/?uri=CELEX:32023L2673</t>
        </is>
      </c>
    </row>
    <row r="181">
      <c r="A181" s="2" t="n">
        <v>18</v>
      </c>
      <c r="B181" s="2" t="inlineStr">
        <is>
          <t>Consumer Rights Directive</t>
        </is>
      </c>
      <c r="C181" s="2" t="inlineStr">
        <is>
          <t>32011L0083</t>
        </is>
      </c>
      <c r="D181" s="2" t="inlineStr">
        <is>
          <t>32024L0825</t>
        </is>
      </c>
      <c r="E181" s="2" t="inlineStr">
        <is>
          <t>amendment</t>
        </is>
      </c>
      <c r="F181" s="2" t="inlineStr">
        <is>
          <t>2024-02-28</t>
        </is>
      </c>
      <c r="G181" s="2" t="inlineStr">
        <is>
          <t>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is>
      </c>
      <c r="H181" s="2" t="inlineStr">
        <is>
          <t>https://eur-lex.europa.eu/legal-content/EN/TXT/?uri=CELEX:32024L0825</t>
        </is>
      </c>
    </row>
    <row r="182">
      <c r="A182" s="2" t="n">
        <v>18</v>
      </c>
      <c r="B182" s="2" t="inlineStr">
        <is>
          <t>Consumer Rights Directive</t>
        </is>
      </c>
      <c r="C182" s="2" t="inlineStr">
        <is>
          <t>32011L0083</t>
        </is>
      </c>
      <c r="D182" s="2" t="inlineStr">
        <is>
          <t>32011L0083R(01)</t>
        </is>
      </c>
      <c r="E182" s="2" t="inlineStr">
        <is>
          <t>corrigendum</t>
        </is>
      </c>
      <c r="F182" s="2" t="inlineStr">
        <is>
          <t>2014-11-08</t>
        </is>
      </c>
      <c r="G182" s="2" t="inlineStr"/>
      <c r="H182" s="2" t="inlineStr">
        <is>
          <t>https://eur-lex.europa.eu/legal-content/EN/TXT/?uri=CELEX:32011L0083R(01)</t>
        </is>
      </c>
    </row>
    <row r="183">
      <c r="A183" s="2" t="n">
        <v>18</v>
      </c>
      <c r="B183" s="2" t="inlineStr">
        <is>
          <t>Consumer Rights Directive</t>
        </is>
      </c>
      <c r="C183" s="2" t="inlineStr">
        <is>
          <t>32011L0083</t>
        </is>
      </c>
      <c r="D183" s="2" t="inlineStr">
        <is>
          <t>32011L0083R(02)</t>
        </is>
      </c>
      <c r="E183" s="2" t="inlineStr">
        <is>
          <t>corrigendum</t>
        </is>
      </c>
      <c r="F183" s="2" t="inlineStr">
        <is>
          <t>2016-11-30</t>
        </is>
      </c>
      <c r="G183" s="2" t="inlineStr"/>
      <c r="H183" s="2" t="inlineStr">
        <is>
          <t>https://eur-lex.europa.eu/legal-content/EN/TXT/?uri=CELEX:32011L0083R(02)</t>
        </is>
      </c>
    </row>
    <row r="184">
      <c r="A184" s="2" t="n">
        <v>18</v>
      </c>
      <c r="B184" s="2" t="inlineStr">
        <is>
          <t>Consumer Rights Directive</t>
        </is>
      </c>
      <c r="C184" s="2" t="inlineStr">
        <is>
          <t>32011L0083</t>
        </is>
      </c>
      <c r="D184" s="2" t="inlineStr">
        <is>
          <t>32011L0083R(03)</t>
        </is>
      </c>
      <c r="E184" s="2" t="inlineStr">
        <is>
          <t>corrigendum</t>
        </is>
      </c>
      <c r="F184" s="2" t="inlineStr">
        <is>
          <t>2018-05-23</t>
        </is>
      </c>
      <c r="G184" s="2" t="inlineStr"/>
      <c r="H184" s="2" t="inlineStr">
        <is>
          <t>https://eur-lex.europa.eu/legal-content/EN/TXT/?uri=CELEX:32011L0083R(03)</t>
        </is>
      </c>
    </row>
    <row r="185">
      <c r="A185" s="2" t="n">
        <v>18</v>
      </c>
      <c r="B185" s="2" t="inlineStr">
        <is>
          <t>Consumer Rights Directive</t>
        </is>
      </c>
      <c r="C185" s="2" t="inlineStr">
        <is>
          <t>32011L0083</t>
        </is>
      </c>
      <c r="D185" s="2" t="inlineStr">
        <is>
          <t>32011L0083R(04)</t>
        </is>
      </c>
      <c r="E185" s="2" t="inlineStr">
        <is>
          <t>corrigendum</t>
        </is>
      </c>
      <c r="F185" s="2" t="inlineStr">
        <is>
          <t>2019-10-24</t>
        </is>
      </c>
      <c r="G185" s="2" t="inlineStr"/>
      <c r="H185" s="2" t="inlineStr">
        <is>
          <t>https://eur-lex.europa.eu/legal-content/EN/TXT/?uri=CELEX:32011L0083R(04)</t>
        </is>
      </c>
    </row>
    <row r="186">
      <c r="A186" s="2" t="n">
        <v>18</v>
      </c>
      <c r="B186" s="2" t="inlineStr">
        <is>
          <t>Consumer Rights Directive</t>
        </is>
      </c>
      <c r="C186" s="2" t="inlineStr">
        <is>
          <t>32011L0083</t>
        </is>
      </c>
      <c r="D186" s="2" t="inlineStr">
        <is>
          <t>32011L0083R(05)</t>
        </is>
      </c>
      <c r="E186" s="2" t="inlineStr">
        <is>
          <t>corrigendum</t>
        </is>
      </c>
      <c r="F186" s="2" t="inlineStr">
        <is>
          <t>2024-02-09</t>
        </is>
      </c>
      <c r="G186" s="2" t="inlineStr"/>
      <c r="H186" s="2" t="inlineStr">
        <is>
          <t>https://eur-lex.europa.eu/legal-content/EN/TXT/?uri=CELEX:32011L0083R(05)</t>
        </is>
      </c>
    </row>
    <row r="187">
      <c r="A187" s="2" t="n">
        <v>18</v>
      </c>
      <c r="B187" s="2" t="inlineStr">
        <is>
          <t>Consumer Rights Directive</t>
        </is>
      </c>
      <c r="C187" s="2" t="inlineStr">
        <is>
          <t>32011L0083</t>
        </is>
      </c>
      <c r="D187" s="2" t="inlineStr">
        <is>
          <t>32011L0083R(06)</t>
        </is>
      </c>
      <c r="E187" s="2" t="inlineStr">
        <is>
          <t>corrigendum</t>
        </is>
      </c>
      <c r="F187" s="2" t="inlineStr">
        <is>
          <t>2026-07-20</t>
        </is>
      </c>
      <c r="G187" s="2" t="inlineStr"/>
      <c r="H187" s="2" t="inlineStr">
        <is>
          <t>https://eur-lex.europa.eu/legal-content/EN/TXT/?uri=CELEX:32011L0083R(06)</t>
        </is>
      </c>
    </row>
    <row r="188">
      <c r="A188" s="2" t="n">
        <v>19</v>
      </c>
      <c r="B188" s="2" t="inlineStr">
        <is>
          <t>Administrative cooperation in taxation (DAC)</t>
        </is>
      </c>
      <c r="C188" s="2" t="inlineStr">
        <is>
          <t>32011L0016</t>
        </is>
      </c>
      <c r="D188" s="2" t="inlineStr">
        <is>
          <t>32014L0107</t>
        </is>
      </c>
      <c r="E188" s="2" t="inlineStr">
        <is>
          <t>amendment</t>
        </is>
      </c>
      <c r="F188" s="2" t="inlineStr">
        <is>
          <t>2014-12-09</t>
        </is>
      </c>
      <c r="G188" s="2" t="inlineStr">
        <is>
          <t>Council Directive 2014/107/EU of 9 December 2014 amending Directive 2011/16/EU as regards mandatory automatic exchange of information in the field of taxation</t>
        </is>
      </c>
      <c r="H188" s="2" t="inlineStr">
        <is>
          <t>https://eur-lex.europa.eu/legal-content/EN/TXT/?uri=CELEX:32014L0107</t>
        </is>
      </c>
    </row>
    <row r="189">
      <c r="A189" s="2" t="n">
        <v>19</v>
      </c>
      <c r="B189" s="2" t="inlineStr">
        <is>
          <t>Administrative cooperation in taxation (DAC)</t>
        </is>
      </c>
      <c r="C189" s="2" t="inlineStr">
        <is>
          <t>32011L0016</t>
        </is>
      </c>
      <c r="D189" s="2" t="inlineStr">
        <is>
          <t>32015L2376</t>
        </is>
      </c>
      <c r="E189" s="2" t="inlineStr">
        <is>
          <t>amendment</t>
        </is>
      </c>
      <c r="F189" s="2" t="inlineStr">
        <is>
          <t>2015-12-08</t>
        </is>
      </c>
      <c r="G189" s="2" t="inlineStr">
        <is>
          <t>Council Directive (EU) 2015/2376 of 8 December 2015 amending Directive 2011/16/EU as regards mandatory automatic exchange of information in the field of taxation</t>
        </is>
      </c>
      <c r="H189" s="2" t="inlineStr">
        <is>
          <t>https://eur-lex.europa.eu/legal-content/EN/TXT/?uri=CELEX:32015L2376</t>
        </is>
      </c>
    </row>
    <row r="190">
      <c r="A190" s="2" t="n">
        <v>19</v>
      </c>
      <c r="B190" s="2" t="inlineStr">
        <is>
          <t>Administrative cooperation in taxation (DAC)</t>
        </is>
      </c>
      <c r="C190" s="2" t="inlineStr">
        <is>
          <t>32011L0016</t>
        </is>
      </c>
      <c r="D190" s="2" t="inlineStr">
        <is>
          <t>32016L0881</t>
        </is>
      </c>
      <c r="E190" s="2" t="inlineStr">
        <is>
          <t>amendment</t>
        </is>
      </c>
      <c r="F190" s="2" t="inlineStr">
        <is>
          <t>2016-05-25</t>
        </is>
      </c>
      <c r="G190" s="2" t="inlineStr">
        <is>
          <t>Council Directive (EU) 2016/881 of 25 May 2016 amending Directive 2011/16/EU as regards mandatory automatic exchange of information in the field of taxation</t>
        </is>
      </c>
      <c r="H190" s="2" t="inlineStr">
        <is>
          <t>https://eur-lex.europa.eu/legal-content/EN/TXT/?uri=CELEX:32016L0881</t>
        </is>
      </c>
    </row>
    <row r="191">
      <c r="A191" s="2" t="n">
        <v>19</v>
      </c>
      <c r="B191" s="2" t="inlineStr">
        <is>
          <t>Administrative cooperation in taxation (DAC)</t>
        </is>
      </c>
      <c r="C191" s="2" t="inlineStr">
        <is>
          <t>32011L0016</t>
        </is>
      </c>
      <c r="D191" s="2" t="inlineStr">
        <is>
          <t>32016L2258</t>
        </is>
      </c>
      <c r="E191" s="2" t="inlineStr">
        <is>
          <t>amendment</t>
        </is>
      </c>
      <c r="F191" s="2" t="inlineStr">
        <is>
          <t>2016-12-06</t>
        </is>
      </c>
      <c r="G191" s="2" t="inlineStr">
        <is>
          <t>Council Directive (EU) 2016/2258 of 6 December 2016 amending Directive 2011/16/EU as regards access to anti-money-laundering information by tax authorities</t>
        </is>
      </c>
      <c r="H191" s="2" t="inlineStr">
        <is>
          <t>https://eur-lex.europa.eu/legal-content/EN/TXT/?uri=CELEX:32016L2258</t>
        </is>
      </c>
    </row>
    <row r="192">
      <c r="A192" s="2" t="n">
        <v>19</v>
      </c>
      <c r="B192" s="2" t="inlineStr">
        <is>
          <t>Administrative cooperation in taxation (DAC)</t>
        </is>
      </c>
      <c r="C192" s="2" t="inlineStr">
        <is>
          <t>32011L0016</t>
        </is>
      </c>
      <c r="D192" s="2" t="inlineStr">
        <is>
          <t>32018L0822</t>
        </is>
      </c>
      <c r="E192" s="2" t="inlineStr">
        <is>
          <t>amendment</t>
        </is>
      </c>
      <c r="F192" s="2" t="inlineStr">
        <is>
          <t>2018-05-25</t>
        </is>
      </c>
      <c r="G192" s="2" t="inlineStr">
        <is>
          <t>Council Directive (EU) 2018/822 of 25 May 2018 amending Directive 2011/16/EU as regards mandatory automatic exchange of information in the field of taxation in relation to reportable cross-border arrangements</t>
        </is>
      </c>
      <c r="H192" s="2" t="inlineStr">
        <is>
          <t>https://eur-lex.europa.eu/legal-content/EN/TXT/?uri=CELEX:32018L0822</t>
        </is>
      </c>
    </row>
    <row r="193">
      <c r="A193" s="2" t="n">
        <v>19</v>
      </c>
      <c r="B193" s="2" t="inlineStr">
        <is>
          <t>Administrative cooperation in taxation (DAC)</t>
        </is>
      </c>
      <c r="C193" s="2" t="inlineStr">
        <is>
          <t>32011L0016</t>
        </is>
      </c>
      <c r="D193" s="2" t="inlineStr">
        <is>
          <t>32020L0876</t>
        </is>
      </c>
      <c r="E193" s="2" t="inlineStr">
        <is>
          <t>amendment</t>
        </is>
      </c>
      <c r="F193" s="2" t="inlineStr">
        <is>
          <t>2020-06-24</t>
        </is>
      </c>
      <c r="G193" s="2" t="inlineStr">
        <is>
          <t>Council Directive (EU) 2020/876 of 24 June 2020 amending Directive 2011/16/EU to address the urgent need to defer certain time limits for the filing and exchange of information in the field of taxation because of the COVID-19 pandemic</t>
        </is>
      </c>
      <c r="H193" s="2" t="inlineStr">
        <is>
          <t>https://eur-lex.europa.eu/legal-content/EN/TXT/?uri=CELEX:32020L0876</t>
        </is>
      </c>
    </row>
    <row r="194">
      <c r="A194" s="2" t="n">
        <v>19</v>
      </c>
      <c r="B194" s="2" t="inlineStr">
        <is>
          <t>Administrative cooperation in taxation (DAC)</t>
        </is>
      </c>
      <c r="C194" s="2" t="inlineStr">
        <is>
          <t>32011L0016</t>
        </is>
      </c>
      <c r="D194" s="2" t="inlineStr">
        <is>
          <t>32021L0514</t>
        </is>
      </c>
      <c r="E194" s="2" t="inlineStr">
        <is>
          <t>amendment</t>
        </is>
      </c>
      <c r="F194" s="2" t="inlineStr">
        <is>
          <t>2021-03-22</t>
        </is>
      </c>
      <c r="G194" s="2" t="inlineStr">
        <is>
          <t>Council Directive (EU) 2021/514 of 22 March 2021 amending Directive 2011/16/EU on administrative cooperation in the field of taxation</t>
        </is>
      </c>
      <c r="H194" s="2" t="inlineStr">
        <is>
          <t>https://eur-lex.europa.eu/legal-content/EN/TXT/?uri=CELEX:32021L0514</t>
        </is>
      </c>
    </row>
    <row r="195">
      <c r="A195" s="2" t="n">
        <v>19</v>
      </c>
      <c r="B195" s="2" t="inlineStr">
        <is>
          <t>Administrative cooperation in taxation (DAC)</t>
        </is>
      </c>
      <c r="C195" s="2" t="inlineStr">
        <is>
          <t>32011L0016</t>
        </is>
      </c>
      <c r="D195" s="2" t="inlineStr">
        <is>
          <t>32023L2226</t>
        </is>
      </c>
      <c r="E195" s="2" t="inlineStr">
        <is>
          <t>amendment</t>
        </is>
      </c>
      <c r="F195" s="2" t="inlineStr">
        <is>
          <t>2023-10-17</t>
        </is>
      </c>
      <c r="G195" s="2" t="inlineStr">
        <is>
          <t>Council Directive (EU) 2023/2226 of 17 October 2023 amending Directive 2011/16/EU on administrative cooperation in the field of taxation</t>
        </is>
      </c>
      <c r="H195" s="2" t="inlineStr">
        <is>
          <t>https://eur-lex.europa.eu/legal-content/EN/TXT/?uri=CELEX:32023L2226</t>
        </is>
      </c>
    </row>
    <row r="196">
      <c r="A196" s="2" t="n">
        <v>19</v>
      </c>
      <c r="B196" s="2" t="inlineStr">
        <is>
          <t>Administrative cooperation in taxation (DAC)</t>
        </is>
      </c>
      <c r="C196" s="2" t="inlineStr">
        <is>
          <t>32011L0016</t>
        </is>
      </c>
      <c r="D196" s="2" t="inlineStr">
        <is>
          <t>32025L0872</t>
        </is>
      </c>
      <c r="E196" s="2" t="inlineStr">
        <is>
          <t>amendment</t>
        </is>
      </c>
      <c r="F196" s="2" t="inlineStr">
        <is>
          <t>2025-04-14</t>
        </is>
      </c>
      <c r="G196" s="2" t="inlineStr">
        <is>
          <t>Council Directive (EU) 2025/872 of 14 April 2025 amending Directive 2011/16/EU on administrative cooperation in the field of taxation</t>
        </is>
      </c>
      <c r="H196" s="2" t="inlineStr">
        <is>
          <t>https://eur-lex.europa.eu/legal-content/EN/TXT/?uri=CELEX:32025L0872</t>
        </is>
      </c>
    </row>
    <row r="197">
      <c r="A197" s="2" t="n">
        <v>19</v>
      </c>
      <c r="B197" s="2" t="inlineStr">
        <is>
          <t>Administrative cooperation in taxation (DAC)</t>
        </is>
      </c>
      <c r="C197" s="2" t="inlineStr">
        <is>
          <t>32011L0016</t>
        </is>
      </c>
      <c r="D197" s="2" t="inlineStr">
        <is>
          <t>32011L0016R(01)</t>
        </is>
      </c>
      <c r="E197" s="2" t="inlineStr">
        <is>
          <t>corrigendum</t>
        </is>
      </c>
      <c r="F197" s="2" t="inlineStr">
        <is>
          <t>2012-02-23</t>
        </is>
      </c>
      <c r="G197" s="2" t="inlineStr"/>
      <c r="H197" s="2" t="inlineStr">
        <is>
          <t>https://eur-lex.europa.eu/legal-content/EN/TXT/?uri=CELEX:32011L0016R(01)</t>
        </is>
      </c>
    </row>
    <row r="198">
      <c r="A198" s="2" t="n">
        <v>19</v>
      </c>
      <c r="B198" s="2" t="inlineStr">
        <is>
          <t>Administrative cooperation in taxation (DAC)</t>
        </is>
      </c>
      <c r="C198" s="2" t="inlineStr">
        <is>
          <t>32011L0016</t>
        </is>
      </c>
      <c r="D198" s="2" t="inlineStr">
        <is>
          <t>32011L0016R(02)</t>
        </is>
      </c>
      <c r="E198" s="2" t="inlineStr">
        <is>
          <t>corrigendum</t>
        </is>
      </c>
      <c r="F198" s="2" t="inlineStr">
        <is>
          <t>2013-06-14</t>
        </is>
      </c>
      <c r="G198" s="2" t="inlineStr"/>
      <c r="H198" s="2" t="inlineStr">
        <is>
          <t>https://eur-lex.europa.eu/legal-content/EN/TXT/?uri=CELEX:32011L0016R(02)</t>
        </is>
      </c>
    </row>
    <row r="199">
      <c r="A199" s="2" t="n">
        <v>19</v>
      </c>
      <c r="B199" s="2" t="inlineStr">
        <is>
          <t>Administrative cooperation in taxation (DAC)</t>
        </is>
      </c>
      <c r="C199" s="2" t="inlineStr">
        <is>
          <t>32011L0016</t>
        </is>
      </c>
      <c r="D199" s="2" t="inlineStr">
        <is>
          <t>32011L0016R(03)</t>
        </is>
      </c>
      <c r="E199" s="2" t="inlineStr">
        <is>
          <t>corrigendum</t>
        </is>
      </c>
      <c r="F199" s="2" t="inlineStr">
        <is>
          <t>2015-01-27</t>
        </is>
      </c>
      <c r="G199" s="2" t="inlineStr"/>
      <c r="H199" s="2" t="inlineStr">
        <is>
          <t>https://eur-lex.europa.eu/legal-content/EN/TXT/?uri=CELEX:32011L0016R(03)</t>
        </is>
      </c>
    </row>
    <row r="200">
      <c r="A200" s="2" t="n">
        <v>19</v>
      </c>
      <c r="B200" s="2" t="inlineStr">
        <is>
          <t>Administrative cooperation in taxation (DAC)</t>
        </is>
      </c>
      <c r="C200" s="2" t="inlineStr">
        <is>
          <t>32011L0016</t>
        </is>
      </c>
      <c r="D200" s="2" t="inlineStr">
        <is>
          <t>32011L0016R(04)</t>
        </is>
      </c>
      <c r="E200" s="2" t="inlineStr">
        <is>
          <t>corrigendum</t>
        </is>
      </c>
      <c r="F200" s="2" t="inlineStr">
        <is>
          <t>2020-08-21</t>
        </is>
      </c>
      <c r="G200" s="2" t="inlineStr"/>
      <c r="H200" s="2" t="inlineStr">
        <is>
          <t>https://eur-lex.europa.eu/legal-content/EN/TXT/?uri=CELEX:32011L0016R(04)</t>
        </is>
      </c>
    </row>
    <row r="201">
      <c r="A201" s="2" t="n">
        <v>19</v>
      </c>
      <c r="B201" s="2" t="inlineStr">
        <is>
          <t>Administrative cooperation in taxation (DAC)</t>
        </is>
      </c>
      <c r="C201" s="2" t="inlineStr">
        <is>
          <t>32011L0016</t>
        </is>
      </c>
      <c r="D201" s="2" t="inlineStr">
        <is>
          <t>32011L0016R(05)</t>
        </is>
      </c>
      <c r="E201" s="2" t="inlineStr">
        <is>
          <t>corrigendum</t>
        </is>
      </c>
      <c r="F201" s="2" t="inlineStr">
        <is>
          <t>2020-11-05</t>
        </is>
      </c>
      <c r="G201" s="2" t="inlineStr"/>
      <c r="H201" s="2" t="inlineStr">
        <is>
          <t>https://eur-lex.europa.eu/legal-content/EN/TXT/?uri=CELEX:32011L0016R(05)</t>
        </is>
      </c>
    </row>
    <row r="202">
      <c r="A202" s="2" t="n">
        <v>20</v>
      </c>
      <c r="B202" s="2" t="inlineStr">
        <is>
          <t>General Data Protection Regulation</t>
        </is>
      </c>
      <c r="C202" s="2" t="inlineStr">
        <is>
          <t>32016R0679</t>
        </is>
      </c>
      <c r="D202" s="2" t="inlineStr">
        <is>
          <t>32016R0679R(01)</t>
        </is>
      </c>
      <c r="E202" s="2" t="inlineStr">
        <is>
          <t>corrigendum</t>
        </is>
      </c>
      <c r="F202" s="2" t="inlineStr">
        <is>
          <t>2016-11-22</t>
        </is>
      </c>
      <c r="G202" s="2" t="inlineStr"/>
      <c r="H202" s="2" t="inlineStr">
        <is>
          <t>https://eur-lex.europa.eu/legal-content/EN/TXT/?uri=CELEX:32016R0679R(01)</t>
        </is>
      </c>
    </row>
    <row r="203">
      <c r="A203" s="2" t="n">
        <v>20</v>
      </c>
      <c r="B203" s="2" t="inlineStr">
        <is>
          <t>General Data Protection Regulation</t>
        </is>
      </c>
      <c r="C203" s="2" t="inlineStr">
        <is>
          <t>32016R0679</t>
        </is>
      </c>
      <c r="D203" s="2" t="inlineStr">
        <is>
          <t>32016R0679R(02)</t>
        </is>
      </c>
      <c r="E203" s="2" t="inlineStr">
        <is>
          <t>corrigendum</t>
        </is>
      </c>
      <c r="F203" s="2" t="inlineStr">
        <is>
          <t>2018-05-23</t>
        </is>
      </c>
      <c r="G203" s="2" t="inlineStr">
        <is>
          <t>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is>
      </c>
      <c r="H203" s="2" t="inlineStr">
        <is>
          <t>https://eur-lex.europa.eu/legal-content/EN/TXT/?uri=CELEX:32016R0679R(02)</t>
        </is>
      </c>
    </row>
    <row r="204">
      <c r="A204" s="2" t="n">
        <v>20</v>
      </c>
      <c r="B204" s="2" t="inlineStr">
        <is>
          <t>General Data Protection Regulation</t>
        </is>
      </c>
      <c r="C204" s="2" t="inlineStr">
        <is>
          <t>32016R0679</t>
        </is>
      </c>
      <c r="D204" s="2" t="inlineStr">
        <is>
          <t>32016R0679R(03)</t>
        </is>
      </c>
      <c r="E204" s="2" t="inlineStr">
        <is>
          <t>corrigendum</t>
        </is>
      </c>
      <c r="F204" s="2" t="inlineStr">
        <is>
          <t>2021-03-04</t>
        </is>
      </c>
      <c r="G204" s="2" t="inlineStr"/>
      <c r="H204" s="2" t="inlineStr">
        <is>
          <t>https://eur-lex.europa.eu/legal-content/EN/TXT/?uri=CELEX:32016R0679R(03)</t>
        </is>
      </c>
    </row>
    <row r="205">
      <c r="A205" s="2" t="n">
        <v>21</v>
      </c>
      <c r="B205" s="2" t="inlineStr">
        <is>
          <t>Law Enforcement Directive</t>
        </is>
      </c>
      <c r="C205" s="2" t="inlineStr">
        <is>
          <t>32016L0680</t>
        </is>
      </c>
      <c r="D205" s="2" t="inlineStr">
        <is>
          <t>32016L0680R(01)</t>
        </is>
      </c>
      <c r="E205" s="2" t="inlineStr">
        <is>
          <t>corrigendum</t>
        </is>
      </c>
      <c r="F205" s="2" t="inlineStr">
        <is>
          <t>2018-05-23</t>
        </is>
      </c>
      <c r="G205" s="2" t="inlineStr">
        <is>
          <t>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is>
      </c>
      <c r="H205" s="2" t="inlineStr">
        <is>
          <t>https://eur-lex.europa.eu/legal-content/EN/TXT/?uri=CELEX:32016L0680R(01)</t>
        </is>
      </c>
    </row>
    <row r="206">
      <c r="A206" s="2" t="n">
        <v>21</v>
      </c>
      <c r="B206" s="2" t="inlineStr">
        <is>
          <t>Law Enforcement Directive</t>
        </is>
      </c>
      <c r="C206" s="2" t="inlineStr">
        <is>
          <t>32016L0680</t>
        </is>
      </c>
      <c r="D206" s="2" t="inlineStr">
        <is>
          <t>32016L0680R(02)</t>
        </is>
      </c>
      <c r="E206" s="2" t="inlineStr">
        <is>
          <t>corrigendum</t>
        </is>
      </c>
      <c r="F206" s="2" t="inlineStr">
        <is>
          <t>2019-08-20</t>
        </is>
      </c>
      <c r="G206" s="2" t="inlineStr"/>
      <c r="H206" s="2" t="inlineStr">
        <is>
          <t>https://eur-lex.europa.eu/legal-content/EN/TXT/?uri=CELEX:32016L0680R(02)</t>
        </is>
      </c>
    </row>
    <row r="207">
      <c r="A207" s="2" t="n">
        <v>21</v>
      </c>
      <c r="B207" s="2" t="inlineStr">
        <is>
          <t>Law Enforcement Directive</t>
        </is>
      </c>
      <c r="C207" s="2" t="inlineStr">
        <is>
          <t>32016L0680</t>
        </is>
      </c>
      <c r="D207" s="2" t="inlineStr">
        <is>
          <t>32016L0680R(03)</t>
        </is>
      </c>
      <c r="E207" s="2" t="inlineStr">
        <is>
          <t>corrigendum</t>
        </is>
      </c>
      <c r="F207" s="2" t="inlineStr">
        <is>
          <t>2021-03-04</t>
        </is>
      </c>
      <c r="G207" s="2" t="inlineStr"/>
      <c r="H207" s="2" t="inlineStr">
        <is>
          <t>https://eur-lex.europa.eu/legal-content/EN/TXT/?uri=CELEX:32016L0680R(03)</t>
        </is>
      </c>
    </row>
    <row r="208">
      <c r="A208" s="2" t="n">
        <v>22</v>
      </c>
      <c r="B208" s="2" t="inlineStr">
        <is>
          <t>eIDAS Regulation</t>
        </is>
      </c>
      <c r="C208" s="2" t="inlineStr">
        <is>
          <t>32014R0910</t>
        </is>
      </c>
      <c r="D208" s="2" t="inlineStr">
        <is>
          <t>32022L2555</t>
        </is>
      </c>
      <c r="E208" s="2" t="inlineStr">
        <is>
          <t>amendment</t>
        </is>
      </c>
      <c r="F208" s="2" t="inlineStr">
        <is>
          <t>2022-12-14</t>
        </is>
      </c>
      <c r="G208" s="2" t="inlineStr">
        <is>
          <t>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is>
      </c>
      <c r="H208" s="2" t="inlineStr">
        <is>
          <t>https://eur-lex.europa.eu/legal-content/EN/TXT/?uri=CELEX:32022L2555</t>
        </is>
      </c>
    </row>
    <row r="209">
      <c r="A209" s="2" t="n">
        <v>22</v>
      </c>
      <c r="B209" s="2" t="inlineStr">
        <is>
          <t>eIDAS Regulation</t>
        </is>
      </c>
      <c r="C209" s="2" t="inlineStr">
        <is>
          <t>32014R0910</t>
        </is>
      </c>
      <c r="D209" s="2" t="inlineStr">
        <is>
          <t>32024R1183</t>
        </is>
      </c>
      <c r="E209" s="2" t="inlineStr">
        <is>
          <t>amendment</t>
        </is>
      </c>
      <c r="F209" s="2" t="inlineStr">
        <is>
          <t>2024-04-11</t>
        </is>
      </c>
      <c r="G209" s="2" t="inlineStr">
        <is>
          <t>Regulation (EU) 2024/1183 of the European Parliament and of the Council of 11 April 2024 amending Regulation (EU) No 910/2014 as regards establishing the European Digital Identity Framework</t>
        </is>
      </c>
      <c r="H209" s="2" t="inlineStr">
        <is>
          <t>https://eur-lex.europa.eu/legal-content/EN/TXT/?uri=CELEX:32024R1183</t>
        </is>
      </c>
    </row>
    <row r="210">
      <c r="A210" s="2" t="n">
        <v>22</v>
      </c>
      <c r="B210" s="2" t="inlineStr">
        <is>
          <t>eIDAS Regulation</t>
        </is>
      </c>
      <c r="C210" s="2" t="inlineStr">
        <is>
          <t>32014R0910</t>
        </is>
      </c>
      <c r="D210" s="2" t="inlineStr">
        <is>
          <t>32014R0910R(01)</t>
        </is>
      </c>
      <c r="E210" s="2" t="inlineStr">
        <is>
          <t>corrigendum</t>
        </is>
      </c>
      <c r="F210" s="2" t="inlineStr">
        <is>
          <t>2014-11-12</t>
        </is>
      </c>
      <c r="G210" s="2" t="inlineStr"/>
      <c r="H210" s="2" t="inlineStr">
        <is>
          <t>https://eur-lex.europa.eu/legal-content/EN/TXT/?uri=CELEX:32014R0910R(01)</t>
        </is>
      </c>
    </row>
    <row r="211">
      <c r="A211" s="2" t="n">
        <v>22</v>
      </c>
      <c r="B211" s="2" t="inlineStr">
        <is>
          <t>eIDAS Regulation</t>
        </is>
      </c>
      <c r="C211" s="2" t="inlineStr">
        <is>
          <t>32014R0910</t>
        </is>
      </c>
      <c r="D211" s="2" t="inlineStr">
        <is>
          <t>32014R0910R(02)</t>
        </is>
      </c>
      <c r="E211" s="2" t="inlineStr">
        <is>
          <t>corrigendum</t>
        </is>
      </c>
      <c r="F211" s="2" t="inlineStr">
        <is>
          <t>2015-01-29</t>
        </is>
      </c>
      <c r="G211" s="2" t="inlineStr"/>
      <c r="H211" s="2" t="inlineStr">
        <is>
          <t>https://eur-lex.europa.eu/legal-content/EN/TXT/?uri=CELEX:32014R0910R(02)</t>
        </is>
      </c>
    </row>
    <row r="212">
      <c r="A212" s="2" t="n">
        <v>22</v>
      </c>
      <c r="B212" s="2" t="inlineStr">
        <is>
          <t>eIDAS Regulation</t>
        </is>
      </c>
      <c r="C212" s="2" t="inlineStr">
        <is>
          <t>32014R0910</t>
        </is>
      </c>
      <c r="D212" s="2" t="inlineStr">
        <is>
          <t>32014R0910R(03)</t>
        </is>
      </c>
      <c r="E212" s="2" t="inlineStr">
        <is>
          <t>corrigendum</t>
        </is>
      </c>
      <c r="F212" s="2" t="inlineStr">
        <is>
          <t>2015-02-20</t>
        </is>
      </c>
      <c r="G212" s="2" t="inlineStr"/>
      <c r="H212" s="2" t="inlineStr">
        <is>
          <t>https://eur-lex.europa.eu/legal-content/EN/TXT/?uri=CELEX:32014R0910R(03)</t>
        </is>
      </c>
    </row>
    <row r="213">
      <c r="A213" s="2" t="n">
        <v>22</v>
      </c>
      <c r="B213" s="2" t="inlineStr">
        <is>
          <t>eIDAS Regulation</t>
        </is>
      </c>
      <c r="C213" s="2" t="inlineStr">
        <is>
          <t>32014R0910</t>
        </is>
      </c>
      <c r="D213" s="2" t="inlineStr">
        <is>
          <t>32014R0910R(04)</t>
        </is>
      </c>
      <c r="E213" s="2" t="inlineStr">
        <is>
          <t>corrigendum</t>
        </is>
      </c>
      <c r="F213" s="2" t="inlineStr">
        <is>
          <t>2015-04-28</t>
        </is>
      </c>
      <c r="G213" s="2" t="inlineStr"/>
      <c r="H213" s="2" t="inlineStr">
        <is>
          <t>https://eur-lex.europa.eu/legal-content/EN/TXT/?uri=CELEX:32014R0910R(04)</t>
        </is>
      </c>
    </row>
    <row r="214">
      <c r="A214" s="2" t="n">
        <v>22</v>
      </c>
      <c r="B214" s="2" t="inlineStr">
        <is>
          <t>eIDAS Regulation</t>
        </is>
      </c>
      <c r="C214" s="2" t="inlineStr">
        <is>
          <t>32014R0910</t>
        </is>
      </c>
      <c r="D214" s="2" t="inlineStr">
        <is>
          <t>32014R0910R(05)</t>
        </is>
      </c>
      <c r="E214" s="2" t="inlineStr">
        <is>
          <t>corrigendum</t>
        </is>
      </c>
      <c r="F214" s="2" t="inlineStr">
        <is>
          <t>2016-06-14</t>
        </is>
      </c>
      <c r="G214" s="2" t="inlineStr"/>
      <c r="H214" s="2" t="inlineStr">
        <is>
          <t>https://eur-lex.europa.eu/legal-content/EN/TXT/?uri=CELEX:32014R0910R(05)</t>
        </is>
      </c>
    </row>
    <row r="215">
      <c r="A215" s="2" t="n">
        <v>22</v>
      </c>
      <c r="B215" s="2" t="inlineStr">
        <is>
          <t>eIDAS Regulation</t>
        </is>
      </c>
      <c r="C215" s="2" t="inlineStr">
        <is>
          <t>32014R0910</t>
        </is>
      </c>
      <c r="D215" s="2" t="inlineStr">
        <is>
          <t>32014R0910R(06)</t>
        </is>
      </c>
      <c r="E215" s="2" t="inlineStr">
        <is>
          <t>corrigendum</t>
        </is>
      </c>
      <c r="F215" s="2" t="inlineStr">
        <is>
          <t>2016-10-07</t>
        </is>
      </c>
      <c r="G215" s="2" t="inlineStr"/>
      <c r="H215" s="2" t="inlineStr">
        <is>
          <t>https://eur-lex.europa.eu/legal-content/EN/TXT/?uri=CELEX:32014R0910R(06)</t>
        </is>
      </c>
    </row>
    <row r="216">
      <c r="A216" s="2" t="n">
        <v>22</v>
      </c>
      <c r="B216" s="2" t="inlineStr">
        <is>
          <t>eIDAS Regulation</t>
        </is>
      </c>
      <c r="C216" s="2" t="inlineStr">
        <is>
          <t>32014R0910</t>
        </is>
      </c>
      <c r="D216" s="2" t="inlineStr">
        <is>
          <t>32014R0910R(07)</t>
        </is>
      </c>
      <c r="E216" s="2" t="inlineStr">
        <is>
          <t>corrigendum</t>
        </is>
      </c>
      <c r="F216" s="2" t="inlineStr">
        <is>
          <t>2016-11-01</t>
        </is>
      </c>
      <c r="G216" s="2" t="inlineStr"/>
      <c r="H216" s="2" t="inlineStr">
        <is>
          <t>https://eur-lex.europa.eu/legal-content/EN/TXT/?uri=CELEX:32014R0910R(07)</t>
        </is>
      </c>
    </row>
    <row r="217">
      <c r="A217" s="2" t="n">
        <v>22</v>
      </c>
      <c r="B217" s="2" t="inlineStr">
        <is>
          <t>eIDAS Regulation</t>
        </is>
      </c>
      <c r="C217" s="2" t="inlineStr">
        <is>
          <t>32014R0910</t>
        </is>
      </c>
      <c r="D217" s="2" t="inlineStr">
        <is>
          <t>32014R0910R(08)</t>
        </is>
      </c>
      <c r="E217" s="2" t="inlineStr">
        <is>
          <t>corrigendum</t>
        </is>
      </c>
      <c r="F217" s="2" t="inlineStr">
        <is>
          <t>2017-04-20</t>
        </is>
      </c>
      <c r="G217" s="2" t="inlineStr"/>
      <c r="H217" s="2" t="inlineStr">
        <is>
          <t>https://eur-lex.europa.eu/legal-content/EN/TXT/?uri=CELEX:32014R0910R(08)</t>
        </is>
      </c>
    </row>
    <row r="218">
      <c r="A218" s="2" t="n">
        <v>22</v>
      </c>
      <c r="B218" s="2" t="inlineStr">
        <is>
          <t>eIDAS Regulation</t>
        </is>
      </c>
      <c r="C218" s="2" t="inlineStr">
        <is>
          <t>32014R0910</t>
        </is>
      </c>
      <c r="D218" s="2" t="inlineStr">
        <is>
          <t>32014R0910R(09)</t>
        </is>
      </c>
      <c r="E218" s="2" t="inlineStr">
        <is>
          <t>corrigendum</t>
        </is>
      </c>
      <c r="F218" s="2" t="inlineStr">
        <is>
          <t>2018-04-30</t>
        </is>
      </c>
      <c r="G218" s="2" t="inlineStr"/>
      <c r="H218" s="2" t="inlineStr">
        <is>
          <t>https://eur-lex.europa.eu/legal-content/EN/TXT/?uri=CELEX:32014R0910R(09)</t>
        </is>
      </c>
    </row>
    <row r="219">
      <c r="A219" s="2" t="n">
        <v>22</v>
      </c>
      <c r="B219" s="2" t="inlineStr">
        <is>
          <t>eIDAS Regulation</t>
        </is>
      </c>
      <c r="C219" s="2" t="inlineStr">
        <is>
          <t>32014R0910</t>
        </is>
      </c>
      <c r="D219" s="2" t="inlineStr">
        <is>
          <t>32014R0910R(10)</t>
        </is>
      </c>
      <c r="E219" s="2" t="inlineStr">
        <is>
          <t>corrigendum</t>
        </is>
      </c>
      <c r="F219" s="2" t="inlineStr">
        <is>
          <t>2024-03-14</t>
        </is>
      </c>
      <c r="G219" s="2" t="inlineStr"/>
      <c r="H219" s="2" t="inlineStr">
        <is>
          <t>https://eur-lex.europa.eu/legal-content/EN/TXT/?uri=CELEX:32014R0910R(10)</t>
        </is>
      </c>
    </row>
    <row r="220">
      <c r="A220" s="2" t="n">
        <v>22</v>
      </c>
      <c r="B220" s="2" t="inlineStr">
        <is>
          <t>eIDAS Regulation</t>
        </is>
      </c>
      <c r="C220" s="2" t="inlineStr">
        <is>
          <t>32014R0910</t>
        </is>
      </c>
      <c r="D220" s="2" t="inlineStr">
        <is>
          <t>32014R0910R(11)</t>
        </is>
      </c>
      <c r="E220" s="2" t="inlineStr">
        <is>
          <t>corrigendum</t>
        </is>
      </c>
      <c r="F220" s="2" t="inlineStr">
        <is>
          <t>2025-08-04</t>
        </is>
      </c>
      <c r="G220" s="2" t="inlineStr"/>
      <c r="H220" s="2" t="inlineStr">
        <is>
          <t>https://eur-lex.europa.eu/legal-content/EN/TXT/?uri=CELEX:32014R0910R(11)</t>
        </is>
      </c>
    </row>
    <row r="221">
      <c r="A221" s="2" t="n">
        <v>22</v>
      </c>
      <c r="B221" s="2" t="inlineStr">
        <is>
          <t>eIDAS Regulation</t>
        </is>
      </c>
      <c r="C221" s="2" t="inlineStr">
        <is>
          <t>32014R0910</t>
        </is>
      </c>
      <c r="D221" s="2" t="inlineStr">
        <is>
          <t>32014R0910R(12)</t>
        </is>
      </c>
      <c r="E221" s="2" t="inlineStr">
        <is>
          <t>corrigendum</t>
        </is>
      </c>
      <c r="F221" s="2" t="inlineStr">
        <is>
          <t>2026-01-29</t>
        </is>
      </c>
      <c r="G221" s="2" t="inlineStr"/>
      <c r="H221" s="2" t="inlineStr">
        <is>
          <t>https://eur-lex.europa.eu/legal-content/EN/TXT/?uri=CELEX:32014R0910R(12)</t>
        </is>
      </c>
    </row>
    <row r="222">
      <c r="A222" s="2" t="n">
        <v>23</v>
      </c>
      <c r="B222" s="2" t="inlineStr">
        <is>
          <t>Payment Services Directive 2 (PSD2)</t>
        </is>
      </c>
      <c r="C222" s="2" t="inlineStr">
        <is>
          <t>32015L2366</t>
        </is>
      </c>
      <c r="D222" s="2" t="inlineStr">
        <is>
          <t>32022L2556</t>
        </is>
      </c>
      <c r="E222" s="2" t="inlineStr">
        <is>
          <t>amendment</t>
        </is>
      </c>
      <c r="F222" s="2" t="inlineStr">
        <is>
          <t>2022-12-14</t>
        </is>
      </c>
      <c r="G222" s="2" t="inlineStr">
        <is>
          <t>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is>
      </c>
      <c r="H222" s="2" t="inlineStr">
        <is>
          <t>https://eur-lex.europa.eu/legal-content/EN/TXT/?uri=CELEX:32022L2556</t>
        </is>
      </c>
    </row>
    <row r="223">
      <c r="A223" s="2" t="n">
        <v>23</v>
      </c>
      <c r="B223" s="2" t="inlineStr">
        <is>
          <t>Payment Services Directive 2 (PSD2)</t>
        </is>
      </c>
      <c r="C223" s="2" t="inlineStr">
        <is>
          <t>32015L2366</t>
        </is>
      </c>
      <c r="D223" s="2" t="inlineStr">
        <is>
          <t>32024R0886</t>
        </is>
      </c>
      <c r="E223" s="2" t="inlineStr">
        <is>
          <t>amendment</t>
        </is>
      </c>
      <c r="F223" s="2" t="inlineStr">
        <is>
          <t>2024-03-13</t>
        </is>
      </c>
      <c r="G223" s="2" t="inlineStr">
        <is>
          <t>Regulation (EU) 2024/886 of the European Parliament and of the Council of 13 March 2024 amending Regulations (EU) No 260/2012 and (EU) 2021/1230 and Directives 98/26/EC and (EU) 2015/2366 as regards instant credit transfers in euro (Text with EEA relevance)</t>
        </is>
      </c>
      <c r="H223" s="2" t="inlineStr">
        <is>
          <t>https://eur-lex.europa.eu/legal-content/EN/TXT/?uri=CELEX:32024R0886</t>
        </is>
      </c>
    </row>
    <row r="224">
      <c r="A224" s="2" t="n">
        <v>23</v>
      </c>
      <c r="B224" s="2" t="inlineStr">
        <is>
          <t>Payment Services Directive 2 (PSD2)</t>
        </is>
      </c>
      <c r="C224" s="2" t="inlineStr">
        <is>
          <t>32015L2366</t>
        </is>
      </c>
      <c r="D224" s="2" t="inlineStr">
        <is>
          <t>32015L2366R(01)</t>
        </is>
      </c>
      <c r="E224" s="2" t="inlineStr">
        <is>
          <t>corrigendum</t>
        </is>
      </c>
      <c r="F224" s="2" t="inlineStr">
        <is>
          <t>2016-06-10</t>
        </is>
      </c>
      <c r="G224" s="2" t="inlineStr"/>
      <c r="H224" s="2" t="inlineStr">
        <is>
          <t>https://eur-lex.europa.eu/legal-content/EN/TXT/?uri=CELEX:32015L2366R(01)</t>
        </is>
      </c>
    </row>
    <row r="225">
      <c r="A225" s="2" t="n">
        <v>23</v>
      </c>
      <c r="B225" s="2" t="inlineStr">
        <is>
          <t>Payment Services Directive 2 (PSD2)</t>
        </is>
      </c>
      <c r="C225" s="2" t="inlineStr">
        <is>
          <t>32015L2366</t>
        </is>
      </c>
      <c r="D225" s="2" t="inlineStr">
        <is>
          <t>32015L2366R(02)</t>
        </is>
      </c>
      <c r="E225" s="2" t="inlineStr">
        <is>
          <t>corrigendum</t>
        </is>
      </c>
      <c r="F225" s="2" t="inlineStr">
        <is>
          <t>2016-06-28</t>
        </is>
      </c>
      <c r="G225" s="2" t="inlineStr"/>
      <c r="H225" s="2" t="inlineStr">
        <is>
          <t>https://eur-lex.europa.eu/legal-content/EN/TXT/?uri=CELEX:32015L2366R(02)</t>
        </is>
      </c>
    </row>
    <row r="226">
      <c r="A226" s="2" t="n">
        <v>23</v>
      </c>
      <c r="B226" s="2" t="inlineStr">
        <is>
          <t>Payment Services Directive 2 (PSD2)</t>
        </is>
      </c>
      <c r="C226" s="2" t="inlineStr">
        <is>
          <t>32015L2366</t>
        </is>
      </c>
      <c r="D226" s="2" t="inlineStr">
        <is>
          <t>32015L2366R(03)</t>
        </is>
      </c>
      <c r="E226" s="2" t="inlineStr">
        <is>
          <t>corrigendum</t>
        </is>
      </c>
      <c r="F226" s="2" t="inlineStr">
        <is>
          <t>2017-01-25</t>
        </is>
      </c>
      <c r="G226" s="2" t="inlineStr"/>
      <c r="H226" s="2" t="inlineStr">
        <is>
          <t>https://eur-lex.europa.eu/legal-content/EN/TXT/?uri=CELEX:32015L2366R(03)</t>
        </is>
      </c>
    </row>
    <row r="227">
      <c r="A227" s="2" t="n">
        <v>23</v>
      </c>
      <c r="B227" s="2" t="inlineStr">
        <is>
          <t>Payment Services Directive 2 (PSD2)</t>
        </is>
      </c>
      <c r="C227" s="2" t="inlineStr">
        <is>
          <t>32015L2366</t>
        </is>
      </c>
      <c r="D227" s="2" t="inlineStr">
        <is>
          <t>32015L2366R(04)</t>
        </is>
      </c>
      <c r="E227" s="2" t="inlineStr">
        <is>
          <t>corrigendum</t>
        </is>
      </c>
      <c r="F227" s="2" t="inlineStr">
        <is>
          <t>2018-01-10</t>
        </is>
      </c>
      <c r="G227" s="2" t="inlineStr"/>
      <c r="H227" s="2" t="inlineStr">
        <is>
          <t>https://eur-lex.europa.eu/legal-content/EN/TXT/?uri=CELEX:32015L2366R(04)</t>
        </is>
      </c>
    </row>
    <row r="228">
      <c r="A228" s="2" t="n">
        <v>23</v>
      </c>
      <c r="B228" s="2" t="inlineStr">
        <is>
          <t>Payment Services Directive 2 (PSD2)</t>
        </is>
      </c>
      <c r="C228" s="2" t="inlineStr">
        <is>
          <t>32015L2366</t>
        </is>
      </c>
      <c r="D228" s="2" t="inlineStr">
        <is>
          <t>32015L2366R(05)</t>
        </is>
      </c>
      <c r="E228" s="2" t="inlineStr">
        <is>
          <t>corrigendum</t>
        </is>
      </c>
      <c r="F228" s="2" t="inlineStr">
        <is>
          <t>2018-04-23</t>
        </is>
      </c>
      <c r="G228" s="2" t="inlineStr">
        <is>
          <t>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is>
      </c>
      <c r="H228" s="2" t="inlineStr">
        <is>
          <t>https://eur-lex.europa.eu/legal-content/EN/TXT/?uri=CELEX:32015L2366R(05)</t>
        </is>
      </c>
    </row>
    <row r="229">
      <c r="A229" s="2" t="n">
        <v>23</v>
      </c>
      <c r="B229" s="2" t="inlineStr">
        <is>
          <t>Payment Services Directive 2 (PSD2)</t>
        </is>
      </c>
      <c r="C229" s="2" t="inlineStr">
        <is>
          <t>32015L2366</t>
        </is>
      </c>
      <c r="D229" s="2" t="inlineStr">
        <is>
          <t>32015L2366R(06)</t>
        </is>
      </c>
      <c r="E229" s="2" t="inlineStr">
        <is>
          <t>corrigendum</t>
        </is>
      </c>
      <c r="F229" s="2" t="inlineStr">
        <is>
          <t>2018-05-23</t>
        </is>
      </c>
      <c r="G229" s="2" t="inlineStr"/>
      <c r="H229" s="2" t="inlineStr">
        <is>
          <t>https://eur-lex.europa.eu/legal-content/EN/TXT/?uri=CELEX:32015L2366R(06)</t>
        </is>
      </c>
    </row>
    <row r="230">
      <c r="A230" s="2" t="n">
        <v>23</v>
      </c>
      <c r="B230" s="2" t="inlineStr">
        <is>
          <t>Payment Services Directive 2 (PSD2)</t>
        </is>
      </c>
      <c r="C230" s="2" t="inlineStr">
        <is>
          <t>32015L2366</t>
        </is>
      </c>
      <c r="D230" s="2" t="inlineStr">
        <is>
          <t>32015L2366R(07)</t>
        </is>
      </c>
      <c r="E230" s="2" t="inlineStr">
        <is>
          <t>corrigendum</t>
        </is>
      </c>
      <c r="F230" s="2" t="inlineStr">
        <is>
          <t>2020-06-16</t>
        </is>
      </c>
      <c r="G230" s="2" t="inlineStr"/>
      <c r="H230" s="2" t="inlineStr">
        <is>
          <t>https://eur-lex.europa.eu/legal-content/EN/TXT/?uri=CELEX:32015L2366R(07)</t>
        </is>
      </c>
    </row>
    <row r="231">
      <c r="A231" s="2" t="n">
        <v>23</v>
      </c>
      <c r="B231" s="2" t="inlineStr">
        <is>
          <t>Payment Services Directive 2 (PSD2)</t>
        </is>
      </c>
      <c r="C231" s="2" t="inlineStr">
        <is>
          <t>32015L2366</t>
        </is>
      </c>
      <c r="D231" s="2" t="inlineStr">
        <is>
          <t>32015L2366R(08)</t>
        </is>
      </c>
      <c r="E231" s="2" t="inlineStr">
        <is>
          <t>corrigendum</t>
        </is>
      </c>
      <c r="F231" s="2" t="inlineStr">
        <is>
          <t>2026-06-18</t>
        </is>
      </c>
      <c r="G231" s="2" t="inlineStr"/>
      <c r="H231" s="2" t="inlineStr">
        <is>
          <t>https://eur-lex.europa.eu/legal-content/EN/TXT/?uri=CELEX:32015L2366R(08)</t>
        </is>
      </c>
    </row>
    <row r="232">
      <c r="A232" s="2" t="n">
        <v>24</v>
      </c>
      <c r="B232" s="2" t="inlineStr">
        <is>
          <t>Open Internet Access Regulation</t>
        </is>
      </c>
      <c r="C232" s="2" t="inlineStr">
        <is>
          <t>32015R2120</t>
        </is>
      </c>
      <c r="D232" s="2" t="inlineStr">
        <is>
          <t>32018R1971</t>
        </is>
      </c>
      <c r="E232" s="2" t="inlineStr">
        <is>
          <t>amendment</t>
        </is>
      </c>
      <c r="F232" s="2" t="inlineStr">
        <is>
          <t>2018-12-11</t>
        </is>
      </c>
      <c r="G232" s="2" t="inlineStr">
        <is>
          <t>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is>
      </c>
      <c r="H232" s="2" t="inlineStr">
        <is>
          <t>https://eur-lex.europa.eu/legal-content/EN/TXT/?uri=CELEX:32018R1971</t>
        </is>
      </c>
    </row>
    <row r="233">
      <c r="A233" s="2" t="n">
        <v>24</v>
      </c>
      <c r="B233" s="2" t="inlineStr">
        <is>
          <t>Open Internet Access Regulation</t>
        </is>
      </c>
      <c r="C233" s="2" t="inlineStr">
        <is>
          <t>32015R2120</t>
        </is>
      </c>
      <c r="D233" s="2" t="inlineStr">
        <is>
          <t>32024R1309</t>
        </is>
      </c>
      <c r="E233" s="2" t="inlineStr">
        <is>
          <t>amendment</t>
        </is>
      </c>
      <c r="F233" s="2" t="inlineStr">
        <is>
          <t>2024-04-29</t>
        </is>
      </c>
      <c r="G233" s="2" t="inlineStr">
        <is>
          <t>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is>
      </c>
      <c r="H233" s="2" t="inlineStr">
        <is>
          <t>https://eur-lex.europa.eu/legal-content/EN/TXT/?uri=CELEX:32024R1309</t>
        </is>
      </c>
    </row>
    <row r="234">
      <c r="A234" s="2" t="n">
        <v>24</v>
      </c>
      <c r="B234" s="2" t="inlineStr">
        <is>
          <t>Open Internet Access Regulation</t>
        </is>
      </c>
      <c r="C234" s="2" t="inlineStr">
        <is>
          <t>32015R2120</t>
        </is>
      </c>
      <c r="D234" s="2" t="inlineStr">
        <is>
          <t>32015R2120R(01)</t>
        </is>
      </c>
      <c r="E234" s="2" t="inlineStr">
        <is>
          <t>corrigendum</t>
        </is>
      </c>
      <c r="F234" s="2" t="inlineStr">
        <is>
          <t>2016-02-03</t>
        </is>
      </c>
      <c r="G234" s="2" t="inlineStr"/>
      <c r="H234" s="2" t="inlineStr">
        <is>
          <t>https://eur-lex.europa.eu/legal-content/EN/TXT/?uri=CELEX:32015R2120R(01)</t>
        </is>
      </c>
    </row>
    <row r="235">
      <c r="A235" s="2" t="n">
        <v>24</v>
      </c>
      <c r="B235" s="2" t="inlineStr">
        <is>
          <t>Open Internet Access Regulation</t>
        </is>
      </c>
      <c r="C235" s="2" t="inlineStr">
        <is>
          <t>32015R2120</t>
        </is>
      </c>
      <c r="D235" s="2" t="inlineStr">
        <is>
          <t>32015R2120R(02)</t>
        </is>
      </c>
      <c r="E235" s="2" t="inlineStr">
        <is>
          <t>corrigendum</t>
        </is>
      </c>
      <c r="F235" s="2" t="inlineStr">
        <is>
          <t>2025-10-17</t>
        </is>
      </c>
      <c r="G235" s="2" t="inlineStr"/>
      <c r="H235" s="2" t="inlineStr">
        <is>
          <t>https://eur-lex.europa.eu/legal-content/EN/TXT/?uri=CELEX:32015R2120R(02)</t>
        </is>
      </c>
    </row>
    <row r="236">
      <c r="A236" s="2" t="n">
        <v>24</v>
      </c>
      <c r="B236" s="2" t="inlineStr">
        <is>
          <t>Open Internet Access Regulation</t>
        </is>
      </c>
      <c r="C236" s="2" t="inlineStr">
        <is>
          <t>32015R2120</t>
        </is>
      </c>
      <c r="D236" s="2" t="inlineStr">
        <is>
          <t>32015R2120R(03)</t>
        </is>
      </c>
      <c r="E236" s="2" t="inlineStr">
        <is>
          <t>corrigendum</t>
        </is>
      </c>
      <c r="F236" s="2" t="inlineStr">
        <is>
          <t>2026-09-03</t>
        </is>
      </c>
      <c r="G236" s="2" t="inlineStr"/>
      <c r="H236" s="2" t="inlineStr">
        <is>
          <t>https://eur-lex.europa.eu/legal-content/EN/TXT/?uri=CELEX:32015R2120R(03)</t>
        </is>
      </c>
    </row>
    <row r="237">
      <c r="A237" s="2" t="n">
        <v>25</v>
      </c>
      <c r="B237" s="2" t="inlineStr">
        <is>
          <t>Technology Transfer Block Exemption</t>
        </is>
      </c>
      <c r="C237" s="2" t="inlineStr">
        <is>
          <t>32014R0316</t>
        </is>
      </c>
      <c r="D237" s="2" t="inlineStr">
        <is>
          <t>32014R0316R(01)</t>
        </is>
      </c>
      <c r="E237" s="2" t="inlineStr">
        <is>
          <t>corrigendum</t>
        </is>
      </c>
      <c r="F237" s="2" t="inlineStr">
        <is>
          <t>2014-11-14</t>
        </is>
      </c>
      <c r="G237" s="2" t="inlineStr"/>
      <c r="H237" s="2" t="inlineStr">
        <is>
          <t>https://eur-lex.europa.eu/legal-content/EN/TXT/?uri=CELEX:32014R0316R(01)</t>
        </is>
      </c>
    </row>
    <row r="238">
      <c r="A238" s="2" t="n">
        <v>25</v>
      </c>
      <c r="B238" s="2" t="inlineStr">
        <is>
          <t>Technology Transfer Block Exemption</t>
        </is>
      </c>
      <c r="C238" s="2" t="inlineStr">
        <is>
          <t>32014R0316</t>
        </is>
      </c>
      <c r="D238" s="2" t="inlineStr">
        <is>
          <t>32014R0316R(02)</t>
        </is>
      </c>
      <c r="E238" s="2" t="inlineStr">
        <is>
          <t>corrigendum</t>
        </is>
      </c>
      <c r="F238" s="2" t="inlineStr">
        <is>
          <t>2015-08-21</t>
        </is>
      </c>
      <c r="G238" s="2" t="inlineStr"/>
      <c r="H238" s="2" t="inlineStr">
        <is>
          <t>https://eur-lex.europa.eu/legal-content/EN/TXT/?uri=CELEX:32014R0316R(02)</t>
        </is>
      </c>
    </row>
    <row r="239">
      <c r="A239" s="2" t="n">
        <v>26</v>
      </c>
      <c r="B239" s="2" t="inlineStr">
        <is>
          <t>Trade Secrets Directive</t>
        </is>
      </c>
      <c r="C239" s="2" t="inlineStr">
        <is>
          <t>32016L0943</t>
        </is>
      </c>
      <c r="D239" s="2" t="inlineStr">
        <is>
          <t>32016L0943R(01)</t>
        </is>
      </c>
      <c r="E239" s="2" t="inlineStr">
        <is>
          <t>corrigendum</t>
        </is>
      </c>
      <c r="F239" s="2" t="inlineStr">
        <is>
          <t>2018-06-22</t>
        </is>
      </c>
      <c r="G239" s="2" t="inlineStr"/>
      <c r="H239" s="2" t="inlineStr">
        <is>
          <t>https://eur-lex.europa.eu/legal-content/EN/TXT/?uri=CELEX:32016L0943R(01)</t>
        </is>
      </c>
    </row>
    <row r="240">
      <c r="A240" s="2" t="n">
        <v>27</v>
      </c>
      <c r="B240" s="2" t="inlineStr">
        <is>
          <t>Digital Content Directive</t>
        </is>
      </c>
      <c r="C240" s="2" t="inlineStr">
        <is>
          <t>32019L0770</t>
        </is>
      </c>
      <c r="D240" s="2" t="inlineStr">
        <is>
          <t>32019L0770R(01)</t>
        </is>
      </c>
      <c r="E240" s="2" t="inlineStr">
        <is>
          <t>corrigendum</t>
        </is>
      </c>
      <c r="F240" s="2" t="inlineStr">
        <is>
          <t>2019-11-26</t>
        </is>
      </c>
      <c r="G240" s="2" t="inlineStr"/>
      <c r="H240" s="2" t="inlineStr">
        <is>
          <t>https://eur-lex.europa.eu/legal-content/EN/TXT/?uri=CELEX:32019L0770R(01)</t>
        </is>
      </c>
    </row>
    <row r="241">
      <c r="A241" s="2" t="n">
        <v>27</v>
      </c>
      <c r="B241" s="2" t="inlineStr">
        <is>
          <t>Digital Content Directive</t>
        </is>
      </c>
      <c r="C241" s="2" t="inlineStr">
        <is>
          <t>32019L0770</t>
        </is>
      </c>
      <c r="D241" s="2" t="inlineStr">
        <is>
          <t>32019L0770R(02)</t>
        </is>
      </c>
      <c r="E241" s="2" t="inlineStr">
        <is>
          <t>corrigendum</t>
        </is>
      </c>
      <c r="F241" s="2" t="inlineStr">
        <is>
          <t>2020-03-16</t>
        </is>
      </c>
      <c r="G241" s="2" t="inlineStr"/>
      <c r="H241" s="2" t="inlineStr">
        <is>
          <t>https://eur-lex.europa.eu/legal-content/EN/TXT/?uri=CELEX:32019L0770R(02)</t>
        </is>
      </c>
    </row>
    <row r="242">
      <c r="A242" s="2" t="n">
        <v>27</v>
      </c>
      <c r="B242" s="2" t="inlineStr">
        <is>
          <t>Digital Content Directive</t>
        </is>
      </c>
      <c r="C242" s="2" t="inlineStr">
        <is>
          <t>32019L0770</t>
        </is>
      </c>
      <c r="D242" s="2" t="inlineStr">
        <is>
          <t>32019L0770R(03)</t>
        </is>
      </c>
      <c r="E242" s="2" t="inlineStr">
        <is>
          <t>corrigendum</t>
        </is>
      </c>
      <c r="F242" s="2" t="inlineStr">
        <is>
          <t>2022-05-05</t>
        </is>
      </c>
      <c r="G242" s="2" t="inlineStr"/>
      <c r="H242" s="2" t="inlineStr">
        <is>
          <t>https://eur-lex.europa.eu/legal-content/EN/TXT/?uri=CELEX:32019L0770R(03)</t>
        </is>
      </c>
    </row>
    <row r="243">
      <c r="A243" s="2" t="n">
        <v>27</v>
      </c>
      <c r="B243" s="2" t="inlineStr">
        <is>
          <t>Digital Content Directive</t>
        </is>
      </c>
      <c r="C243" s="2" t="inlineStr">
        <is>
          <t>32019L0770</t>
        </is>
      </c>
      <c r="D243" s="2" t="inlineStr">
        <is>
          <t>32019L0770R(04)</t>
        </is>
      </c>
      <c r="E243" s="2" t="inlineStr">
        <is>
          <t>corrigendum</t>
        </is>
      </c>
      <c r="F243" s="2" t="inlineStr">
        <is>
          <t>2026-05-27</t>
        </is>
      </c>
      <c r="G243" s="2" t="inlineStr"/>
      <c r="H243" s="2" t="inlineStr">
        <is>
          <t>https://eur-lex.europa.eu/legal-content/EN/TXT/?uri=CELEX:32019L0770R(04)</t>
        </is>
      </c>
    </row>
    <row r="244">
      <c r="A244" s="2" t="n">
        <v>28</v>
      </c>
      <c r="B244" s="2" t="inlineStr">
        <is>
          <t>Sale of Goods Directive</t>
        </is>
      </c>
      <c r="C244" s="2" t="inlineStr">
        <is>
          <t>32019L0771</t>
        </is>
      </c>
      <c r="D244" s="2" t="inlineStr">
        <is>
          <t>32024L1799</t>
        </is>
      </c>
      <c r="E244" s="2" t="inlineStr">
        <is>
          <t>amendment</t>
        </is>
      </c>
      <c r="F244" s="2" t="inlineStr">
        <is>
          <t>2024-06-13</t>
        </is>
      </c>
      <c r="G244" s="2" t="inlineStr">
        <is>
          <t>Directive (EU) 2024/1799 of the European Parliament and of the Council of 13 June 2024 on common rules promoting the repair of goods and amending Regulation (EU) 2017/2394 and Directives (EU) 2019/771 and (EU) 2020/1828 (Text with EEA relevance)</t>
        </is>
      </c>
      <c r="H244" s="2" t="inlineStr">
        <is>
          <t>https://eur-lex.europa.eu/legal-content/EN/TXT/?uri=CELEX:32024L1799</t>
        </is>
      </c>
    </row>
    <row r="245">
      <c r="A245" s="2" t="n">
        <v>28</v>
      </c>
      <c r="B245" s="2" t="inlineStr">
        <is>
          <t>Sale of Goods Directive</t>
        </is>
      </c>
      <c r="C245" s="2" t="inlineStr">
        <is>
          <t>32019L0771</t>
        </is>
      </c>
      <c r="D245" s="2" t="inlineStr">
        <is>
          <t>32019L0771R(01)</t>
        </is>
      </c>
      <c r="E245" s="2" t="inlineStr">
        <is>
          <t>corrigendum</t>
        </is>
      </c>
      <c r="F245" s="2" t="inlineStr">
        <is>
          <t>2019-11-26</t>
        </is>
      </c>
      <c r="G245" s="2" t="inlineStr"/>
      <c r="H245" s="2" t="inlineStr">
        <is>
          <t>https://eur-lex.europa.eu/legal-content/EN/TXT/?uri=CELEX:32019L0771R(01)</t>
        </is>
      </c>
    </row>
    <row r="246">
      <c r="A246" s="2" t="n">
        <v>28</v>
      </c>
      <c r="B246" s="2" t="inlineStr">
        <is>
          <t>Sale of Goods Directive</t>
        </is>
      </c>
      <c r="C246" s="2" t="inlineStr">
        <is>
          <t>32019L0771</t>
        </is>
      </c>
      <c r="D246" s="2" t="inlineStr">
        <is>
          <t>32019L0771R(02)</t>
        </is>
      </c>
      <c r="E246" s="2" t="inlineStr">
        <is>
          <t>corrigendum</t>
        </is>
      </c>
      <c r="F246" s="2" t="inlineStr">
        <is>
          <t>2020-03-20</t>
        </is>
      </c>
      <c r="G246" s="2" t="inlineStr"/>
      <c r="H246" s="2" t="inlineStr">
        <is>
          <t>https://eur-lex.europa.eu/legal-content/EN/TXT/?uri=CELEX:32019L0771R(02)</t>
        </is>
      </c>
    </row>
    <row r="247">
      <c r="A247" s="2" t="n">
        <v>28</v>
      </c>
      <c r="B247" s="2" t="inlineStr">
        <is>
          <t>Sale of Goods Directive</t>
        </is>
      </c>
      <c r="C247" s="2" t="inlineStr">
        <is>
          <t>32019L0771</t>
        </is>
      </c>
      <c r="D247" s="2" t="inlineStr">
        <is>
          <t>32019L0771R(03)</t>
        </is>
      </c>
      <c r="E247" s="2" t="inlineStr">
        <is>
          <t>corrigendum</t>
        </is>
      </c>
      <c r="F247" s="2" t="inlineStr">
        <is>
          <t>2021-02-11</t>
        </is>
      </c>
      <c r="G247" s="2" t="inlineStr"/>
      <c r="H247" s="2" t="inlineStr">
        <is>
          <t>https://eur-lex.europa.eu/legal-content/EN/TXT/?uri=CELEX:32019L0771R(03)</t>
        </is>
      </c>
    </row>
    <row r="248">
      <c r="A248" s="2" t="n">
        <v>29</v>
      </c>
      <c r="B248" s="2" t="inlineStr">
        <is>
          <t>Company Law Directive</t>
        </is>
      </c>
      <c r="C248" s="2" t="inlineStr">
        <is>
          <t>32017L1132</t>
        </is>
      </c>
      <c r="D248" s="2" t="inlineStr">
        <is>
          <t>32019L1023</t>
        </is>
      </c>
      <c r="E248" s="2" t="inlineStr">
        <is>
          <t>amendment</t>
        </is>
      </c>
      <c r="F248" s="2" t="inlineStr">
        <is>
          <t>2019-06-20</t>
        </is>
      </c>
      <c r="G248" s="2" t="inlineStr">
        <is>
          <t>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is>
      </c>
      <c r="H248" s="2" t="inlineStr">
        <is>
          <t>https://eur-lex.europa.eu/legal-content/EN/TXT/?uri=CELEX:32019L1023</t>
        </is>
      </c>
    </row>
    <row r="249">
      <c r="A249" s="2" t="n">
        <v>29</v>
      </c>
      <c r="B249" s="2" t="inlineStr">
        <is>
          <t>Company Law Directive</t>
        </is>
      </c>
      <c r="C249" s="2" t="inlineStr">
        <is>
          <t>32017L1132</t>
        </is>
      </c>
      <c r="D249" s="2" t="inlineStr">
        <is>
          <t>32019L1151</t>
        </is>
      </c>
      <c r="E249" s="2" t="inlineStr">
        <is>
          <t>amendment</t>
        </is>
      </c>
      <c r="F249" s="2" t="inlineStr">
        <is>
          <t>2019-06-20</t>
        </is>
      </c>
      <c r="G249" s="2" t="inlineStr">
        <is>
          <t>Directive (EU) 2019/1151 of the European Parliament and of the Council of 20 June 2019 amending Directive (EU) 2017/1132 as regards the use of digital tools and processes in company law (Text with EEA relevance)</t>
        </is>
      </c>
      <c r="H249" s="2" t="inlineStr">
        <is>
          <t>https://eur-lex.europa.eu/legal-content/EN/TXT/?uri=CELEX:32019L1151</t>
        </is>
      </c>
    </row>
    <row r="250">
      <c r="A250" s="2" t="n">
        <v>29</v>
      </c>
      <c r="B250" s="2" t="inlineStr">
        <is>
          <t>Company Law Directive</t>
        </is>
      </c>
      <c r="C250" s="2" t="inlineStr">
        <is>
          <t>32017L1132</t>
        </is>
      </c>
      <c r="D250" s="2" t="inlineStr">
        <is>
          <t>32019L2121</t>
        </is>
      </c>
      <c r="E250" s="2" t="inlineStr">
        <is>
          <t>amendment</t>
        </is>
      </c>
      <c r="F250" s="2" t="inlineStr">
        <is>
          <t>2019-11-27</t>
        </is>
      </c>
      <c r="G250" s="2" t="inlineStr">
        <is>
          <t>Directive (EU) 2019/2121 of the European Parliament and of the Council of 27 November 2019 amending Directive (EU) 2017/1132 as regards cross-border conversions, mergers and divisions (Text with EEA relevance)</t>
        </is>
      </c>
      <c r="H250" s="2" t="inlineStr">
        <is>
          <t>https://eur-lex.europa.eu/legal-content/EN/TXT/?uri=CELEX:32019L2121</t>
        </is>
      </c>
    </row>
    <row r="251">
      <c r="A251" s="2" t="n">
        <v>29</v>
      </c>
      <c r="B251" s="2" t="inlineStr">
        <is>
          <t>Company Law Directive</t>
        </is>
      </c>
      <c r="C251" s="2" t="inlineStr">
        <is>
          <t>32017L1132</t>
        </is>
      </c>
      <c r="D251" s="2" t="inlineStr">
        <is>
          <t>32021R0023</t>
        </is>
      </c>
      <c r="E251" s="2" t="inlineStr">
        <is>
          <t>amendment</t>
        </is>
      </c>
      <c r="F251" s="2" t="inlineStr">
        <is>
          <t>2020-12-16</t>
        </is>
      </c>
      <c r="G251" s="2" t="inlineStr">
        <is>
          <t>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is>
      </c>
      <c r="H251" s="2" t="inlineStr">
        <is>
          <t>https://eur-lex.europa.eu/legal-content/EN/TXT/?uri=CELEX:32021R0023</t>
        </is>
      </c>
    </row>
    <row r="252">
      <c r="A252" s="2" t="n">
        <v>29</v>
      </c>
      <c r="B252" s="2" t="inlineStr">
        <is>
          <t>Company Law Directive</t>
        </is>
      </c>
      <c r="C252" s="2" t="inlineStr">
        <is>
          <t>32017L1132</t>
        </is>
      </c>
      <c r="D252" s="2" t="inlineStr">
        <is>
          <t>32025L0001</t>
        </is>
      </c>
      <c r="E252" s="2" t="inlineStr">
        <is>
          <t>amendment</t>
        </is>
      </c>
      <c r="F252" s="2" t="inlineStr">
        <is>
          <t>2024-11-27</t>
        </is>
      </c>
      <c r="G252" s="2" t="inlineStr">
        <is>
          <t>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is>
      </c>
      <c r="H252" s="2" t="inlineStr">
        <is>
          <t>https://eur-lex.europa.eu/legal-content/EN/TXT/?uri=CELEX:32025L0001</t>
        </is>
      </c>
    </row>
    <row r="253">
      <c r="A253" s="2" t="n">
        <v>29</v>
      </c>
      <c r="B253" s="2" t="inlineStr">
        <is>
          <t>Company Law Directive</t>
        </is>
      </c>
      <c r="C253" s="2" t="inlineStr">
        <is>
          <t>32017L1132</t>
        </is>
      </c>
      <c r="D253" s="2" t="inlineStr">
        <is>
          <t>32025L0025</t>
        </is>
      </c>
      <c r="E253" s="2" t="inlineStr">
        <is>
          <t>amendment</t>
        </is>
      </c>
      <c r="F253" s="2" t="inlineStr">
        <is>
          <t>2024-12-19</t>
        </is>
      </c>
      <c r="G253" s="2" t="inlineStr">
        <is>
          <t>Directive (EU) 2025/25 of the European Parliament and of the Council of 19 December 2024 amending Directives 2009/102/EC and (EU) 2017/1132 as regards further expanding and upgrading the use of digital tools and processes in company law (Text with EEA relevance)</t>
        </is>
      </c>
      <c r="H253" s="2" t="inlineStr">
        <is>
          <t>https://eur-lex.europa.eu/legal-content/EN/TXT/?uri=CELEX:32025L0025</t>
        </is>
      </c>
    </row>
    <row r="254">
      <c r="A254" s="2" t="n">
        <v>29</v>
      </c>
      <c r="B254" s="2" t="inlineStr">
        <is>
          <t>Company Law Directive</t>
        </is>
      </c>
      <c r="C254" s="2" t="inlineStr">
        <is>
          <t>32017L1132</t>
        </is>
      </c>
      <c r="D254" s="2" t="inlineStr">
        <is>
          <t>32017L1132R(01)</t>
        </is>
      </c>
      <c r="E254" s="2" t="inlineStr">
        <is>
          <t>corrigendum</t>
        </is>
      </c>
      <c r="F254" s="2" t="inlineStr">
        <is>
          <t>2018-06-18</t>
        </is>
      </c>
      <c r="G254" s="2" t="inlineStr"/>
      <c r="H254" s="2" t="inlineStr">
        <is>
          <t>https://eur-lex.europa.eu/legal-content/EN/TXT/?uri=CELEX:32017L1132R(01)</t>
        </is>
      </c>
    </row>
    <row r="255">
      <c r="A255" s="2" t="n">
        <v>29</v>
      </c>
      <c r="B255" s="2" t="inlineStr">
        <is>
          <t>Company Law Directive</t>
        </is>
      </c>
      <c r="C255" s="2" t="inlineStr">
        <is>
          <t>32017L1132</t>
        </is>
      </c>
      <c r="D255" s="2" t="inlineStr">
        <is>
          <t>32017L1132R(02)</t>
        </is>
      </c>
      <c r="E255" s="2" t="inlineStr">
        <is>
          <t>corrigendum</t>
        </is>
      </c>
      <c r="F255" s="2" t="inlineStr">
        <is>
          <t>2019-12-20</t>
        </is>
      </c>
      <c r="G255" s="2" t="inlineStr"/>
      <c r="H255" s="2" t="inlineStr">
        <is>
          <t>https://eur-lex.europa.eu/legal-content/EN/TXT/?uri=CELEX:32017L1132R(02)</t>
        </is>
      </c>
    </row>
    <row r="256">
      <c r="A256" s="2" t="n">
        <v>29</v>
      </c>
      <c r="B256" s="2" t="inlineStr">
        <is>
          <t>Company Law Directive</t>
        </is>
      </c>
      <c r="C256" s="2" t="inlineStr">
        <is>
          <t>32017L1132</t>
        </is>
      </c>
      <c r="D256" s="2" t="inlineStr">
        <is>
          <t>32017L1132R(03)</t>
        </is>
      </c>
      <c r="E256" s="2" t="inlineStr">
        <is>
          <t>corrigendum</t>
        </is>
      </c>
      <c r="F256" s="2" t="inlineStr">
        <is>
          <t>2020-01-09</t>
        </is>
      </c>
      <c r="G256" s="2" t="inlineStr"/>
      <c r="H256" s="2" t="inlineStr">
        <is>
          <t>https://eur-lex.europa.eu/legal-content/EN/TXT/?uri=CELEX:32017L1132R(03)</t>
        </is>
      </c>
    </row>
    <row r="257">
      <c r="A257" s="2" t="n">
        <v>30</v>
      </c>
      <c r="B257" s="2" t="inlineStr">
        <is>
          <t>Geo-blocking Regulation</t>
        </is>
      </c>
      <c r="C257" s="2" t="inlineStr">
        <is>
          <t>32018R0302</t>
        </is>
      </c>
      <c r="D257" s="2" t="inlineStr">
        <is>
          <t>32018R0302R(01)</t>
        </is>
      </c>
      <c r="E257" s="2" t="inlineStr">
        <is>
          <t>corrigendum</t>
        </is>
      </c>
      <c r="F257" s="2" t="inlineStr">
        <is>
          <t>2018-03-08</t>
        </is>
      </c>
      <c r="G257" s="2" t="inlineStr">
        <is>
          <t>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is>
      </c>
      <c r="H257" s="2" t="inlineStr">
        <is>
          <t>https://eur-lex.europa.eu/legal-content/EN/TXT/?uri=CELEX:32018R0302R(01)</t>
        </is>
      </c>
    </row>
    <row r="258">
      <c r="A258" s="2" t="n">
        <v>30</v>
      </c>
      <c r="B258" s="2" t="inlineStr">
        <is>
          <t>Geo-blocking Regulation</t>
        </is>
      </c>
      <c r="C258" s="2" t="inlineStr">
        <is>
          <t>32018R0302</t>
        </is>
      </c>
      <c r="D258" s="2" t="inlineStr">
        <is>
          <t>32018R0302R(02)</t>
        </is>
      </c>
      <c r="E258" s="2" t="inlineStr">
        <is>
          <t>corrigendum</t>
        </is>
      </c>
      <c r="F258" s="2" t="inlineStr">
        <is>
          <t>2018-03-27</t>
        </is>
      </c>
      <c r="G258" s="2" t="inlineStr"/>
      <c r="H258" s="2" t="inlineStr">
        <is>
          <t>https://eur-lex.europa.eu/legal-content/EN/TXT/?uri=CELEX:32018R0302R(02)</t>
        </is>
      </c>
    </row>
    <row r="259">
      <c r="A259" s="2" t="n">
        <v>30</v>
      </c>
      <c r="B259" s="2" t="inlineStr">
        <is>
          <t>Geo-blocking Regulation</t>
        </is>
      </c>
      <c r="C259" s="2" t="inlineStr">
        <is>
          <t>32018R0302</t>
        </is>
      </c>
      <c r="D259" s="2" t="inlineStr">
        <is>
          <t>32018R0302R(03)</t>
        </is>
      </c>
      <c r="E259" s="2" t="inlineStr">
        <is>
          <t>corrigendum</t>
        </is>
      </c>
      <c r="F259" s="2" t="inlineStr">
        <is>
          <t>2019-01-07</t>
        </is>
      </c>
      <c r="G259" s="2" t="inlineStr"/>
      <c r="H259" s="2" t="inlineStr">
        <is>
          <t>https://eur-lex.europa.eu/legal-content/EN/TXT/?uri=CELEX:32018R0302R(03)</t>
        </is>
      </c>
    </row>
    <row r="260">
      <c r="A260" s="2" t="n">
        <v>31</v>
      </c>
      <c r="B260" s="2" t="inlineStr">
        <is>
          <t>Consumer Protection Cooperation Regulation</t>
        </is>
      </c>
      <c r="C260" s="2" t="inlineStr">
        <is>
          <t>32017R2394</t>
        </is>
      </c>
      <c r="D260" s="2" t="inlineStr">
        <is>
          <t>32018R0302</t>
        </is>
      </c>
      <c r="E260" s="2" t="inlineStr">
        <is>
          <t>amendment</t>
        </is>
      </c>
      <c r="F260" s="2" t="inlineStr">
        <is>
          <t>2018-02-28</t>
        </is>
      </c>
      <c r="G260" s="2" t="inlineStr">
        <is>
          <t>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is>
      </c>
      <c r="H260" s="2" t="inlineStr">
        <is>
          <t>https://eur-lex.europa.eu/legal-content/EN/TXT/?uri=CELEX:32018R0302</t>
        </is>
      </c>
    </row>
    <row r="261">
      <c r="A261" s="2" t="n">
        <v>31</v>
      </c>
      <c r="B261" s="2" t="inlineStr">
        <is>
          <t>Consumer Protection Cooperation Regulation</t>
        </is>
      </c>
      <c r="C261" s="2" t="inlineStr">
        <is>
          <t>32017R2394</t>
        </is>
      </c>
      <c r="D261" s="2" t="inlineStr">
        <is>
          <t>32019L0771</t>
        </is>
      </c>
      <c r="E261" s="2" t="inlineStr">
        <is>
          <t>amendment</t>
        </is>
      </c>
      <c r="F261" s="2" t="inlineStr">
        <is>
          <t>2019-05-20</t>
        </is>
      </c>
      <c r="G261" s="2" t="inlineStr">
        <is>
          <t>Directive (EU) 2019/771 of the European Parliament and of the Council of 20 May 2019 on certain aspects concerning contracts for the sale of goods, amending Regulation (EU) 2017/2394 and Directive 2009/22/EC, and repealing Directive 1999/44/EC (Text with EEA relevance.)</t>
        </is>
      </c>
      <c r="H261" s="2" t="inlineStr">
        <is>
          <t>https://eur-lex.europa.eu/legal-content/EN/TXT/?uri=CELEX:32019L0771</t>
        </is>
      </c>
    </row>
    <row r="262">
      <c r="A262" s="2" t="n">
        <v>31</v>
      </c>
      <c r="B262" s="2" t="inlineStr">
        <is>
          <t>Consumer Protection Cooperation Regulation</t>
        </is>
      </c>
      <c r="C262" s="2" t="inlineStr">
        <is>
          <t>32017R2394</t>
        </is>
      </c>
      <c r="D262" s="2" t="inlineStr">
        <is>
          <t>32019L0770</t>
        </is>
      </c>
      <c r="E262" s="2" t="inlineStr">
        <is>
          <t>amendment</t>
        </is>
      </c>
      <c r="F262" s="2" t="inlineStr">
        <is>
          <t>2019-05-20</t>
        </is>
      </c>
      <c r="G262" s="2" t="inlineStr">
        <is>
          <t>Directive (EU) 2019/770 of the European Parliament and of the Council of 20 May 2019 on certain aspects concerning contracts for the supply of digital content and digital services (Text with EEA relevance.)</t>
        </is>
      </c>
      <c r="H262" s="2" t="inlineStr">
        <is>
          <t>https://eur-lex.europa.eu/legal-content/EN/TXT/?uri=CELEX:32019L0770</t>
        </is>
      </c>
    </row>
    <row r="263">
      <c r="A263" s="2" t="n">
        <v>31</v>
      </c>
      <c r="B263" s="2" t="inlineStr">
        <is>
          <t>Consumer Protection Cooperation Regulation</t>
        </is>
      </c>
      <c r="C263" s="2" t="inlineStr">
        <is>
          <t>32017R2394</t>
        </is>
      </c>
      <c r="D263" s="2" t="inlineStr">
        <is>
          <t>32023R2854</t>
        </is>
      </c>
      <c r="E263" s="2" t="inlineStr">
        <is>
          <t>amendment</t>
        </is>
      </c>
      <c r="F263" s="2" t="inlineStr">
        <is>
          <t>2023-12-13</t>
        </is>
      </c>
      <c r="G263" s="2" t="inlineStr">
        <is>
          <t>Regulation (EU) 2023/2854 of the European Parliament and of the Council of 13 December 2023 on harmonised rules on fair access to and use of data and amending Regulation (EU) 2017/2394 and Directive (EU) 2020/1828 (Data Act) (Text with EEA relevance)</t>
        </is>
      </c>
      <c r="H263" s="2" t="inlineStr">
        <is>
          <t>https://eur-lex.europa.eu/legal-content/EN/TXT/?uri=CELEX:32023R2854</t>
        </is>
      </c>
    </row>
    <row r="264">
      <c r="A264" s="2" t="n">
        <v>31</v>
      </c>
      <c r="B264" s="2" t="inlineStr">
        <is>
          <t>Consumer Protection Cooperation Regulation</t>
        </is>
      </c>
      <c r="C264" s="2" t="inlineStr">
        <is>
          <t>32017R2394</t>
        </is>
      </c>
      <c r="D264" s="2" t="inlineStr">
        <is>
          <t>32024L1799</t>
        </is>
      </c>
      <c r="E264" s="2" t="inlineStr">
        <is>
          <t>amendment</t>
        </is>
      </c>
      <c r="F264" s="2" t="inlineStr">
        <is>
          <t>2024-06-13</t>
        </is>
      </c>
      <c r="G264" s="2" t="inlineStr">
        <is>
          <t>Directive (EU) 2024/1799 of the European Parliament and of the Council of 13 June 2024 on common rules promoting the repair of goods and amending Regulation (EU) 2017/2394 and Directives (EU) 2019/771 and (EU) 2020/1828 (Text with EEA relevance)</t>
        </is>
      </c>
      <c r="H264" s="2" t="inlineStr">
        <is>
          <t>https://eur-lex.europa.eu/legal-content/EN/TXT/?uri=CELEX:32024L1799</t>
        </is>
      </c>
    </row>
    <row r="265">
      <c r="A265" s="2" t="n">
        <v>31</v>
      </c>
      <c r="B265" s="2" t="inlineStr">
        <is>
          <t>Consumer Protection Cooperation Regulation</t>
        </is>
      </c>
      <c r="C265" s="2" t="inlineStr">
        <is>
          <t>32017R2394</t>
        </is>
      </c>
      <c r="D265" s="2" t="inlineStr">
        <is>
          <t>32024R3228</t>
        </is>
      </c>
      <c r="E265" s="2" t="inlineStr">
        <is>
          <t>amendment</t>
        </is>
      </c>
      <c r="F265" s="2" t="inlineStr">
        <is>
          <t>2024-12-19</t>
        </is>
      </c>
      <c r="G265" s="2" t="inlineStr">
        <is>
          <t>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is>
      </c>
      <c r="H265" s="2" t="inlineStr">
        <is>
          <t>https://eur-lex.europa.eu/legal-content/EN/TXT/?uri=CELEX:32024R3228</t>
        </is>
      </c>
    </row>
    <row r="266">
      <c r="A266" s="2" t="n">
        <v>32</v>
      </c>
      <c r="B266" s="2" t="inlineStr">
        <is>
          <t>European Electronic Communications Code</t>
        </is>
      </c>
      <c r="C266" s="2" t="inlineStr">
        <is>
          <t>32018L1972</t>
        </is>
      </c>
      <c r="D266" s="2" t="inlineStr">
        <is>
          <t>32022L2555</t>
        </is>
      </c>
      <c r="E266" s="2" t="inlineStr">
        <is>
          <t>amendment</t>
        </is>
      </c>
      <c r="F266" s="2" t="inlineStr">
        <is>
          <t>2022-12-14</t>
        </is>
      </c>
      <c r="G266" s="2" t="inlineStr">
        <is>
          <t>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is>
      </c>
      <c r="H266" s="2" t="inlineStr">
        <is>
          <t>https://eur-lex.europa.eu/legal-content/EN/TXT/?uri=CELEX:32022L2555</t>
        </is>
      </c>
    </row>
    <row r="267">
      <c r="A267" s="2" t="n">
        <v>32</v>
      </c>
      <c r="B267" s="2" t="inlineStr">
        <is>
          <t>European Electronic Communications Code</t>
        </is>
      </c>
      <c r="C267" s="2" t="inlineStr">
        <is>
          <t>32018L1972</t>
        </is>
      </c>
      <c r="D267" s="2" t="inlineStr">
        <is>
          <t>32018L1972R(01)</t>
        </is>
      </c>
      <c r="E267" s="2" t="inlineStr">
        <is>
          <t>corrigendum</t>
        </is>
      </c>
      <c r="F267" s="2" t="inlineStr">
        <is>
          <t>2019-12-27</t>
        </is>
      </c>
      <c r="G267" s="2" t="inlineStr">
        <is>
          <t>Corrigendum to Directive (EU) 2018/1972 of the European Parliament and of the Council of 11 December 2018 establishing the European Electronic Communications Code (OJ L 321, 17.12.2018)</t>
        </is>
      </c>
      <c r="H267" s="2" t="inlineStr">
        <is>
          <t>https://eur-lex.europa.eu/legal-content/EN/TXT/?uri=CELEX:32018L1972R(01)</t>
        </is>
      </c>
    </row>
    <row r="268">
      <c r="A268" s="2" t="n">
        <v>32</v>
      </c>
      <c r="B268" s="2" t="inlineStr">
        <is>
          <t>European Electronic Communications Code</t>
        </is>
      </c>
      <c r="C268" s="2" t="inlineStr">
        <is>
          <t>32018L1972</t>
        </is>
      </c>
      <c r="D268" s="2" t="inlineStr">
        <is>
          <t>32018L1972R(02)</t>
        </is>
      </c>
      <c r="E268" s="2" t="inlineStr">
        <is>
          <t>corrigendum</t>
        </is>
      </c>
      <c r="F268" s="2" t="inlineStr">
        <is>
          <t>2020-06-16</t>
        </is>
      </c>
      <c r="G268" s="2" t="inlineStr"/>
      <c r="H268" s="2" t="inlineStr">
        <is>
          <t>https://eur-lex.europa.eu/legal-content/EN/TXT/?uri=CELEX:32018L1972R(02)</t>
        </is>
      </c>
    </row>
    <row r="269">
      <c r="A269" s="2" t="n">
        <v>32</v>
      </c>
      <c r="B269" s="2" t="inlineStr">
        <is>
          <t>European Electronic Communications Code</t>
        </is>
      </c>
      <c r="C269" s="2" t="inlineStr">
        <is>
          <t>32018L1972</t>
        </is>
      </c>
      <c r="D269" s="2" t="inlineStr">
        <is>
          <t>32018L1972R(03)</t>
        </is>
      </c>
      <c r="E269" s="2" t="inlineStr">
        <is>
          <t>corrigendum</t>
        </is>
      </c>
      <c r="F269" s="2" t="inlineStr">
        <is>
          <t>2020-06-19</t>
        </is>
      </c>
      <c r="G269" s="2" t="inlineStr"/>
      <c r="H269" s="2" t="inlineStr">
        <is>
          <t>https://eur-lex.europa.eu/legal-content/EN/TXT/?uri=CELEX:32018L1972R(03)</t>
        </is>
      </c>
    </row>
    <row r="270">
      <c r="A270" s="2" t="n">
        <v>32</v>
      </c>
      <c r="B270" s="2" t="inlineStr">
        <is>
          <t>European Electronic Communications Code</t>
        </is>
      </c>
      <c r="C270" s="2" t="inlineStr">
        <is>
          <t>32018L1972</t>
        </is>
      </c>
      <c r="D270" s="2" t="inlineStr">
        <is>
          <t>32018L1972R(04)</t>
        </is>
      </c>
      <c r="E270" s="2" t="inlineStr">
        <is>
          <t>corrigendum</t>
        </is>
      </c>
      <c r="F270" s="2" t="inlineStr">
        <is>
          <t>2020-08-14</t>
        </is>
      </c>
      <c r="G270" s="2" t="inlineStr"/>
      <c r="H270" s="2" t="inlineStr">
        <is>
          <t>https://eur-lex.europa.eu/legal-content/EN/TXT/?uri=CELEX:32018L1972R(04)</t>
        </is>
      </c>
    </row>
    <row r="271">
      <c r="A271" s="2" t="n">
        <v>32</v>
      </c>
      <c r="B271" s="2" t="inlineStr">
        <is>
          <t>European Electronic Communications Code</t>
        </is>
      </c>
      <c r="C271" s="2" t="inlineStr">
        <is>
          <t>32018L1972</t>
        </is>
      </c>
      <c r="D271" s="2" t="inlineStr">
        <is>
          <t>32018L1972R(05)</t>
        </is>
      </c>
      <c r="E271" s="2" t="inlineStr">
        <is>
          <t>corrigendum</t>
        </is>
      </c>
      <c r="F271" s="2" t="inlineStr">
        <is>
          <t>2020-12-11</t>
        </is>
      </c>
      <c r="G271" s="2" t="inlineStr">
        <is>
          <t>Corrigendum to Directive (EU) 2018/1972 of the European Parliament and of the Council of 11 December 2018 establishing the European Electronic Communications Code (Official Journal of the European Union L 321 of 17 December 2018)</t>
        </is>
      </c>
      <c r="H271" s="2" t="inlineStr">
        <is>
          <t>https://eur-lex.europa.eu/legal-content/EN/TXT/?uri=CELEX:32018L1972R(05)</t>
        </is>
      </c>
    </row>
    <row r="272">
      <c r="A272" s="2" t="n">
        <v>32</v>
      </c>
      <c r="B272" s="2" t="inlineStr">
        <is>
          <t>European Electronic Communications Code</t>
        </is>
      </c>
      <c r="C272" s="2" t="inlineStr">
        <is>
          <t>32018L1972</t>
        </is>
      </c>
      <c r="D272" s="2" t="inlineStr">
        <is>
          <t>32018L1972R(06)</t>
        </is>
      </c>
      <c r="E272" s="2" t="inlineStr">
        <is>
          <t>corrigendum</t>
        </is>
      </c>
      <c r="F272" s="2" t="inlineStr">
        <is>
          <t>2025-03-17</t>
        </is>
      </c>
      <c r="G272" s="2" t="inlineStr"/>
      <c r="H272" s="2" t="inlineStr">
        <is>
          <t>https://eur-lex.europa.eu/legal-content/EN/TXT/?uri=CELEX:32018L1972R(06)</t>
        </is>
      </c>
    </row>
    <row r="273">
      <c r="A273" s="2" t="n">
        <v>32</v>
      </c>
      <c r="B273" s="2" t="inlineStr">
        <is>
          <t>European Electronic Communications Code</t>
        </is>
      </c>
      <c r="C273" s="2" t="inlineStr">
        <is>
          <t>32018L1972</t>
        </is>
      </c>
      <c r="D273" s="2" t="inlineStr">
        <is>
          <t>32018L1972R(07)</t>
        </is>
      </c>
      <c r="E273" s="2" t="inlineStr">
        <is>
          <t>corrigendum</t>
        </is>
      </c>
      <c r="F273" s="2" t="inlineStr">
        <is>
          <t>2026-03-02</t>
        </is>
      </c>
      <c r="G273" s="2" t="inlineStr"/>
      <c r="H273" s="2" t="inlineStr">
        <is>
          <t>https://eur-lex.europa.eu/legal-content/EN/TXT/?uri=CELEX:32018L1972R(07)</t>
        </is>
      </c>
    </row>
    <row r="274">
      <c r="A274" s="2" t="n">
        <v>33</v>
      </c>
      <c r="B274" s="2" t="inlineStr">
        <is>
          <t>Copyright in the Digital Single Market Directive</t>
        </is>
      </c>
      <c r="C274" s="2" t="inlineStr">
        <is>
          <t>32019L0790</t>
        </is>
      </c>
      <c r="D274" s="2" t="inlineStr">
        <is>
          <t>32019L0790R(01)</t>
        </is>
      </c>
      <c r="E274" s="2" t="inlineStr">
        <is>
          <t>corrigendum</t>
        </is>
      </c>
      <c r="F274" s="2" t="inlineStr">
        <is>
          <t>2019-05-22</t>
        </is>
      </c>
      <c r="G274" s="2" t="inlineStr"/>
      <c r="H274" s="2" t="inlineStr">
        <is>
          <t>https://eur-lex.europa.eu/legal-content/EN/TXT/?uri=CELEX:32019L0790R(01)</t>
        </is>
      </c>
    </row>
    <row r="275">
      <c r="A275" s="2" t="n">
        <v>33</v>
      </c>
      <c r="B275" s="2" t="inlineStr">
        <is>
          <t>Copyright in the Digital Single Market Directive</t>
        </is>
      </c>
      <c r="C275" s="2" t="inlineStr">
        <is>
          <t>32019L0790</t>
        </is>
      </c>
      <c r="D275" s="2" t="inlineStr">
        <is>
          <t>32019L0790R(02)</t>
        </is>
      </c>
      <c r="E275" s="2" t="inlineStr">
        <is>
          <t>corrigendum</t>
        </is>
      </c>
      <c r="F275" s="2" t="inlineStr">
        <is>
          <t>2019-10-10</t>
        </is>
      </c>
      <c r="G275" s="2" t="inlineStr"/>
      <c r="H275" s="2" t="inlineStr">
        <is>
          <t>https://eur-lex.europa.eu/legal-content/EN/TXT/?uri=CELEX:32019L0790R(02)</t>
        </is>
      </c>
    </row>
    <row r="276">
      <c r="A276" s="2" t="n">
        <v>33</v>
      </c>
      <c r="B276" s="2" t="inlineStr">
        <is>
          <t>Copyright in the Digital Single Market Directive</t>
        </is>
      </c>
      <c r="C276" s="2" t="inlineStr">
        <is>
          <t>32019L0790</t>
        </is>
      </c>
      <c r="D276" s="2" t="inlineStr">
        <is>
          <t>32019L0790R(03)</t>
        </is>
      </c>
      <c r="E276" s="2" t="inlineStr">
        <is>
          <t>corrigendum</t>
        </is>
      </c>
      <c r="F276" s="2" t="inlineStr">
        <is>
          <t>2021-08-12</t>
        </is>
      </c>
      <c r="G276" s="2" t="inlineStr"/>
      <c r="H276" s="2" t="inlineStr">
        <is>
          <t>https://eur-lex.europa.eu/legal-content/EN/TXT/?uri=CELEX:32019L0790R(03)</t>
        </is>
      </c>
    </row>
    <row r="277">
      <c r="A277" s="2" t="n">
        <v>34</v>
      </c>
      <c r="B277" s="2" t="inlineStr">
        <is>
          <t>Satellite and Cable II Directive</t>
        </is>
      </c>
      <c r="C277" s="2" t="inlineStr">
        <is>
          <t>32019L0789</t>
        </is>
      </c>
      <c r="D277" s="2" t="inlineStr">
        <is>
          <t>32019L0789R(01)</t>
        </is>
      </c>
      <c r="E277" s="2" t="inlineStr">
        <is>
          <t>corrigendum</t>
        </is>
      </c>
      <c r="F277" s="2" t="inlineStr">
        <is>
          <t>2019-11-15</t>
        </is>
      </c>
      <c r="G277" s="2" t="inlineStr"/>
      <c r="H277" s="2" t="inlineStr">
        <is>
          <t>https://eur-lex.europa.eu/legal-content/EN/TXT/?uri=CELEX:32019L0789R(01)</t>
        </is>
      </c>
    </row>
    <row r="278">
      <c r="A278" s="2" t="n">
        <v>35</v>
      </c>
      <c r="B278" s="2" t="inlineStr">
        <is>
          <t>Data protection by EU institutions Regulation</t>
        </is>
      </c>
      <c r="C278" s="2" t="inlineStr">
        <is>
          <t>32018R1725</t>
        </is>
      </c>
      <c r="D278" s="2" t="inlineStr">
        <is>
          <t>32018R1725R(01)</t>
        </is>
      </c>
      <c r="E278" s="2" t="inlineStr">
        <is>
          <t>corrigendum</t>
        </is>
      </c>
      <c r="F278" s="2" t="inlineStr">
        <is>
          <t>2019-11-11</t>
        </is>
      </c>
      <c r="G278" s="2" t="inlineStr"/>
      <c r="H278" s="2" t="inlineStr">
        <is>
          <t>https://eur-lex.europa.eu/legal-content/EN/TXT/?uri=CELEX:32018R1725R(01)</t>
        </is>
      </c>
    </row>
    <row r="279">
      <c r="A279" s="2" t="n">
        <v>35</v>
      </c>
      <c r="B279" s="2" t="inlineStr">
        <is>
          <t>Data protection by EU institutions Regulation</t>
        </is>
      </c>
      <c r="C279" s="2" t="inlineStr">
        <is>
          <t>32018R1725</t>
        </is>
      </c>
      <c r="D279" s="2" t="inlineStr">
        <is>
          <t>32018R1725R(02)</t>
        </is>
      </c>
      <c r="E279" s="2" t="inlineStr">
        <is>
          <t>corrigendum</t>
        </is>
      </c>
      <c r="F279" s="2" t="inlineStr">
        <is>
          <t>2024-12-09</t>
        </is>
      </c>
      <c r="G279" s="2" t="inlineStr"/>
      <c r="H279" s="2" t="inlineStr">
        <is>
          <t>https://eur-lex.europa.eu/legal-content/EN/TXT/?uri=CELEX:32018R1725R(02)</t>
        </is>
      </c>
    </row>
    <row r="280">
      <c r="A280" s="2" t="n">
        <v>35</v>
      </c>
      <c r="B280" s="2" t="inlineStr">
        <is>
          <t>Data protection by EU institutions Regulation</t>
        </is>
      </c>
      <c r="C280" s="2" t="inlineStr">
        <is>
          <t>32018R1725</t>
        </is>
      </c>
      <c r="D280" s="2" t="inlineStr">
        <is>
          <t>32018R1725R(03)</t>
        </is>
      </c>
      <c r="E280" s="2" t="inlineStr">
        <is>
          <t>corrigendum</t>
        </is>
      </c>
      <c r="F280" s="2" t="inlineStr">
        <is>
          <t>2026-04-28</t>
        </is>
      </c>
      <c r="G280" s="2" t="inlineStr"/>
      <c r="H280" s="2" t="inlineStr">
        <is>
          <t>https://eur-lex.europa.eu/legal-content/EN/TXT/?uri=CELEX:32018R1725R(03)</t>
        </is>
      </c>
    </row>
    <row r="281">
      <c r="A281" s="2" t="n">
        <v>36</v>
      </c>
      <c r="B281" s="2" t="inlineStr">
        <is>
          <t>Single Digital Gateway Regulation</t>
        </is>
      </c>
      <c r="C281" s="2" t="inlineStr">
        <is>
          <t>32018R1724</t>
        </is>
      </c>
      <c r="D281" s="2" t="inlineStr">
        <is>
          <t>32022R0868</t>
        </is>
      </c>
      <c r="E281" s="2" t="inlineStr">
        <is>
          <t>amendment</t>
        </is>
      </c>
      <c r="F281" s="2" t="inlineStr">
        <is>
          <t>2022-05-30</t>
        </is>
      </c>
      <c r="G281" s="2" t="inlineStr">
        <is>
          <t>Regulation (EU) 2022/868 of the European Parliament and of the Council of 30 May 2022 on European data governance and amending Regulation (EU) 2018/1724 (Data Governance Act) (Text with EEA relevance)</t>
        </is>
      </c>
      <c r="H281" s="2" t="inlineStr">
        <is>
          <t>https://eur-lex.europa.eu/legal-content/EN/TXT/?uri=CELEX:32022R0868</t>
        </is>
      </c>
    </row>
    <row r="282">
      <c r="A282" s="2" t="n">
        <v>36</v>
      </c>
      <c r="B282" s="2" t="inlineStr">
        <is>
          <t>Single Digital Gateway Regulation</t>
        </is>
      </c>
      <c r="C282" s="2" t="inlineStr">
        <is>
          <t>32018R1724</t>
        </is>
      </c>
      <c r="D282" s="2" t="inlineStr">
        <is>
          <t>32024R1252</t>
        </is>
      </c>
      <c r="E282" s="2" t="inlineStr">
        <is>
          <t>amendment</t>
        </is>
      </c>
      <c r="F282" s="2" t="inlineStr">
        <is>
          <t>2024-04-11</t>
        </is>
      </c>
      <c r="G282" s="2"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H282" s="2" t="inlineStr">
        <is>
          <t>https://eur-lex.europa.eu/legal-content/EN/TXT/?uri=CELEX:32024R1252</t>
        </is>
      </c>
    </row>
    <row r="283">
      <c r="A283" s="2" t="n">
        <v>36</v>
      </c>
      <c r="B283" s="2" t="inlineStr">
        <is>
          <t>Single Digital Gateway Regulation</t>
        </is>
      </c>
      <c r="C283" s="2" t="inlineStr">
        <is>
          <t>32018R1724</t>
        </is>
      </c>
      <c r="D283" s="2" t="inlineStr">
        <is>
          <t>32024R1028</t>
        </is>
      </c>
      <c r="E283" s="2" t="inlineStr">
        <is>
          <t>amendment</t>
        </is>
      </c>
      <c r="F283" s="2" t="inlineStr">
        <is>
          <t>2024-04-11</t>
        </is>
      </c>
      <c r="G283" s="2" t="inlineStr">
        <is>
          <t>Regulation (EU) 2024/1028 of the European Parliament and of the Council of 11 April 2024 on data collection and sharing relating to short-term accommodation rental services and amending Regulation (EU) 2018/1724 (Text with EEA relevance)</t>
        </is>
      </c>
      <c r="H283" s="2" t="inlineStr">
        <is>
          <t>https://eur-lex.europa.eu/legal-content/EN/TXT/?uri=CELEX:32024R1028</t>
        </is>
      </c>
    </row>
    <row r="284">
      <c r="A284" s="2" t="n">
        <v>36</v>
      </c>
      <c r="B284" s="2" t="inlineStr">
        <is>
          <t>Single Digital Gateway Regulation</t>
        </is>
      </c>
      <c r="C284" s="2" t="inlineStr">
        <is>
          <t>32018R1724</t>
        </is>
      </c>
      <c r="D284" s="2" t="inlineStr">
        <is>
          <t>32024R1735</t>
        </is>
      </c>
      <c r="E284" s="2" t="inlineStr">
        <is>
          <t>amendment</t>
        </is>
      </c>
      <c r="F284" s="2" t="inlineStr">
        <is>
          <t>2024-06-13</t>
        </is>
      </c>
      <c r="G284" s="2" t="inlineStr">
        <is>
          <t>Regulation (EU) 2024/1735 of the European Parliament and of the Council of 13 June 2024 on establishing a framework of measures for strengthening Europe’s net-zero technology manufacturing ecosystem and amending Regulation (EU) 2018/1724 (Text with EEA relevance)</t>
        </is>
      </c>
      <c r="H284" s="2" t="inlineStr">
        <is>
          <t>https://eur-lex.europa.eu/legal-content/EN/TXT/?uri=CELEX:32024R1735</t>
        </is>
      </c>
    </row>
    <row r="285">
      <c r="A285" s="2" t="n">
        <v>36</v>
      </c>
      <c r="B285" s="2" t="inlineStr">
        <is>
          <t>Single Digital Gateway Regulation</t>
        </is>
      </c>
      <c r="C285" s="2" t="inlineStr">
        <is>
          <t>32018R1724</t>
        </is>
      </c>
      <c r="D285" s="2" t="inlineStr">
        <is>
          <t>32024R3228</t>
        </is>
      </c>
      <c r="E285" s="2" t="inlineStr">
        <is>
          <t>amendment</t>
        </is>
      </c>
      <c r="F285" s="2" t="inlineStr">
        <is>
          <t>2024-12-19</t>
        </is>
      </c>
      <c r="G285" s="2" t="inlineStr">
        <is>
          <t>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is>
      </c>
      <c r="H285" s="2" t="inlineStr">
        <is>
          <t>https://eur-lex.europa.eu/legal-content/EN/TXT/?uri=CELEX:32024R3228</t>
        </is>
      </c>
    </row>
    <row r="286">
      <c r="A286" s="2" t="n">
        <v>36</v>
      </c>
      <c r="B286" s="2" t="inlineStr">
        <is>
          <t>Single Digital Gateway Regulation</t>
        </is>
      </c>
      <c r="C286" s="2" t="inlineStr">
        <is>
          <t>32018R1724</t>
        </is>
      </c>
      <c r="D286" s="2" t="inlineStr">
        <is>
          <t>32025L2205</t>
        </is>
      </c>
      <c r="E286" s="2" t="inlineStr">
        <is>
          <t>amendment</t>
        </is>
      </c>
      <c r="F286" s="2" t="inlineStr">
        <is>
          <t>2025-10-22</t>
        </is>
      </c>
      <c r="G286" s="2" t="inlineStr">
        <is>
          <t>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is>
      </c>
      <c r="H286" s="2" t="inlineStr">
        <is>
          <t>https://eur-lex.europa.eu/legal-content/EN/TXT/?uri=CELEX:32025L2205</t>
        </is>
      </c>
    </row>
    <row r="287">
      <c r="A287" s="2" t="n">
        <v>36</v>
      </c>
      <c r="B287" s="2" t="inlineStr">
        <is>
          <t>Single Digital Gateway Regulation</t>
        </is>
      </c>
      <c r="C287" s="2" t="inlineStr">
        <is>
          <t>32018R1724</t>
        </is>
      </c>
      <c r="D287" s="2" t="inlineStr">
        <is>
          <t>32018R1724R(01)</t>
        </is>
      </c>
      <c r="E287" s="2" t="inlineStr">
        <is>
          <t>corrigendum</t>
        </is>
      </c>
      <c r="F287" s="2" t="inlineStr">
        <is>
          <t>2019-02-22</t>
        </is>
      </c>
      <c r="G287" s="2" t="inlineStr"/>
      <c r="H287" s="2" t="inlineStr">
        <is>
          <t>https://eur-lex.europa.eu/legal-content/EN/TXT/?uri=CELEX:32018R1724R(01)</t>
        </is>
      </c>
    </row>
    <row r="288">
      <c r="A288" s="2" t="n">
        <v>36</v>
      </c>
      <c r="B288" s="2" t="inlineStr">
        <is>
          <t>Single Digital Gateway Regulation</t>
        </is>
      </c>
      <c r="C288" s="2" t="inlineStr">
        <is>
          <t>32018R1724</t>
        </is>
      </c>
      <c r="D288" s="2" t="inlineStr">
        <is>
          <t>32018R1724R(02)</t>
        </is>
      </c>
      <c r="E288" s="2" t="inlineStr">
        <is>
          <t>corrigendum</t>
        </is>
      </c>
      <c r="F288" s="2" t="inlineStr">
        <is>
          <t>2019-08-05</t>
        </is>
      </c>
      <c r="G288" s="2" t="inlineStr"/>
      <c r="H288" s="2" t="inlineStr">
        <is>
          <t>https://eur-lex.europa.eu/legal-content/EN/TXT/?uri=CELEX:32018R1724R(02)</t>
        </is>
      </c>
    </row>
    <row r="289">
      <c r="A289" s="2" t="n">
        <v>37</v>
      </c>
      <c r="B289" s="2" t="inlineStr">
        <is>
          <t>Cybersecurity Act</t>
        </is>
      </c>
      <c r="C289" s="2" t="inlineStr">
        <is>
          <t>32019R0881</t>
        </is>
      </c>
      <c r="D289" s="2" t="inlineStr">
        <is>
          <t>32025R0037</t>
        </is>
      </c>
      <c r="E289" s="2" t="inlineStr">
        <is>
          <t>amendment</t>
        </is>
      </c>
      <c r="F289" s="2" t="inlineStr">
        <is>
          <t>2024-12-19</t>
        </is>
      </c>
      <c r="G289" s="2" t="inlineStr">
        <is>
          <t>Regulation (EU) 2025/37 of the European Parliament and of the Council of 19 December 2024 amending Regulation (EU) 2019/881 as regards managed security services (Text with EEA relevance)</t>
        </is>
      </c>
      <c r="H289" s="2" t="inlineStr">
        <is>
          <t>https://eur-lex.europa.eu/legal-content/EN/TXT/?uri=CELEX:32025R0037</t>
        </is>
      </c>
    </row>
    <row r="290">
      <c r="A290" s="2" t="n">
        <v>37</v>
      </c>
      <c r="B290" s="2" t="inlineStr">
        <is>
          <t>Cybersecurity Act</t>
        </is>
      </c>
      <c r="C290" s="2" t="inlineStr">
        <is>
          <t>32019R0881</t>
        </is>
      </c>
      <c r="D290" s="2" t="inlineStr">
        <is>
          <t>32019R0881R(01)</t>
        </is>
      </c>
      <c r="E290" s="2" t="inlineStr">
        <is>
          <t>corrigendum</t>
        </is>
      </c>
      <c r="F290" s="2" t="inlineStr">
        <is>
          <t>2019-07-04</t>
        </is>
      </c>
      <c r="G290" s="2" t="inlineStr"/>
      <c r="H290" s="2" t="inlineStr">
        <is>
          <t>https://eur-lex.europa.eu/legal-content/EN/TXT/?uri=CELEX:32019R0881R(01)</t>
        </is>
      </c>
    </row>
    <row r="291">
      <c r="A291" s="2" t="n">
        <v>37</v>
      </c>
      <c r="B291" s="2" t="inlineStr">
        <is>
          <t>Cybersecurity Act</t>
        </is>
      </c>
      <c r="C291" s="2" t="inlineStr">
        <is>
          <t>32019R0881</t>
        </is>
      </c>
      <c r="D291" s="2" t="inlineStr">
        <is>
          <t>32019R0881R(02)</t>
        </is>
      </c>
      <c r="E291" s="2" t="inlineStr">
        <is>
          <t>corrigendum</t>
        </is>
      </c>
      <c r="F291" s="2" t="inlineStr">
        <is>
          <t>2021-04-15</t>
        </is>
      </c>
      <c r="G291" s="2" t="inlineStr"/>
      <c r="H291" s="2" t="inlineStr">
        <is>
          <t>https://eur-lex.europa.eu/legal-content/EN/TXT/?uri=CELEX:32019R0881R(02)</t>
        </is>
      </c>
    </row>
    <row r="292">
      <c r="A292" s="2" t="n">
        <v>37</v>
      </c>
      <c r="B292" s="2" t="inlineStr">
        <is>
          <t>Cybersecurity Act</t>
        </is>
      </c>
      <c r="C292" s="2" t="inlineStr">
        <is>
          <t>32019R0881</t>
        </is>
      </c>
      <c r="D292" s="2" t="inlineStr">
        <is>
          <t>32019R0881R(03)</t>
        </is>
      </c>
      <c r="E292" s="2" t="inlineStr">
        <is>
          <t>corrigendum</t>
        </is>
      </c>
      <c r="F292" s="2" t="inlineStr">
        <is>
          <t>2024-01-12</t>
        </is>
      </c>
      <c r="G292" s="2" t="inlineStr"/>
      <c r="H292" s="2" t="inlineStr">
        <is>
          <t>https://eur-lex.europa.eu/legal-content/EN/TXT/?uri=CELEX:32019R0881R(03)</t>
        </is>
      </c>
    </row>
    <row r="293">
      <c r="A293" s="2" t="n">
        <v>37</v>
      </c>
      <c r="B293" s="2" t="inlineStr">
        <is>
          <t>Cybersecurity Act</t>
        </is>
      </c>
      <c r="C293" s="2" t="inlineStr">
        <is>
          <t>32019R0881</t>
        </is>
      </c>
      <c r="D293" s="2" t="inlineStr">
        <is>
          <t>32019R0881R(04)</t>
        </is>
      </c>
      <c r="E293" s="2" t="inlineStr">
        <is>
          <t>corrigendum</t>
        </is>
      </c>
      <c r="F293" s="2" t="inlineStr">
        <is>
          <t>2024-10-31</t>
        </is>
      </c>
      <c r="G293" s="2" t="inlineStr"/>
      <c r="H293" s="2" t="inlineStr">
        <is>
          <t>https://eur-lex.europa.eu/legal-content/EN/TXT/?uri=CELEX:32019R0881R(04)</t>
        </is>
      </c>
    </row>
    <row r="294">
      <c r="A294" s="2" t="n">
        <v>37</v>
      </c>
      <c r="B294" s="2" t="inlineStr">
        <is>
          <t>Cybersecurity Act</t>
        </is>
      </c>
      <c r="C294" s="2" t="inlineStr">
        <is>
          <t>32019R0881</t>
        </is>
      </c>
      <c r="D294" s="2" t="inlineStr">
        <is>
          <t>32019R0881R(05)</t>
        </is>
      </c>
      <c r="E294" s="2" t="inlineStr">
        <is>
          <t>corrigendum</t>
        </is>
      </c>
      <c r="F294" s="2" t="inlineStr">
        <is>
          <t>2024-12-03</t>
        </is>
      </c>
      <c r="G294" s="2" t="inlineStr"/>
      <c r="H294" s="2" t="inlineStr">
        <is>
          <t>https://eur-lex.europa.eu/legal-content/EN/TXT/?uri=CELEX:32019R0881R(05)</t>
        </is>
      </c>
    </row>
    <row r="295">
      <c r="A295" s="2" t="n">
        <v>37</v>
      </c>
      <c r="B295" s="2" t="inlineStr">
        <is>
          <t>Cybersecurity Act</t>
        </is>
      </c>
      <c r="C295" s="2" t="inlineStr">
        <is>
          <t>32019R0881</t>
        </is>
      </c>
      <c r="D295" s="2" t="inlineStr">
        <is>
          <t>32019R0881R(06)</t>
        </is>
      </c>
      <c r="E295" s="2" t="inlineStr">
        <is>
          <t>corrigendum</t>
        </is>
      </c>
      <c r="F295" s="2" t="inlineStr">
        <is>
          <t>2024-12-06</t>
        </is>
      </c>
      <c r="G295" s="2" t="inlineStr"/>
      <c r="H295" s="2" t="inlineStr">
        <is>
          <t>https://eur-lex.europa.eu/legal-content/EN/TXT/?uri=CELEX:32019R0881R(06)</t>
        </is>
      </c>
    </row>
    <row r="296">
      <c r="A296" s="2" t="n">
        <v>37</v>
      </c>
      <c r="B296" s="2" t="inlineStr">
        <is>
          <t>Cybersecurity Act</t>
        </is>
      </c>
      <c r="C296" s="2" t="inlineStr">
        <is>
          <t>32019R0881</t>
        </is>
      </c>
      <c r="D296" s="2" t="inlineStr">
        <is>
          <t>32019R0881R(07)</t>
        </is>
      </c>
      <c r="E296" s="2" t="inlineStr">
        <is>
          <t>corrigendum</t>
        </is>
      </c>
      <c r="F296" s="2" t="inlineStr">
        <is>
          <t>2026-03-11</t>
        </is>
      </c>
      <c r="G296" s="2" t="inlineStr"/>
      <c r="H296" s="2" t="inlineStr">
        <is>
          <t>https://eur-lex.europa.eu/legal-content/EN/TXT/?uri=CELEX:32019R0881R(07)</t>
        </is>
      </c>
    </row>
    <row r="297">
      <c r="A297" s="2" t="n">
        <v>39</v>
      </c>
      <c r="B297" s="2" t="inlineStr">
        <is>
          <t>FDI Screening Regulation</t>
        </is>
      </c>
      <c r="C297" s="2" t="inlineStr">
        <is>
          <t>32019R0452</t>
        </is>
      </c>
      <c r="D297" s="2" t="inlineStr">
        <is>
          <t>32020R1298</t>
        </is>
      </c>
      <c r="E297" s="2" t="inlineStr">
        <is>
          <t>amendment</t>
        </is>
      </c>
      <c r="F297" s="2" t="inlineStr">
        <is>
          <t>2020-07-13</t>
        </is>
      </c>
      <c r="G297" s="2" t="inlineStr">
        <is>
          <t>Commission Delegated Regulation (EU) 2020/1298 of 13 July 2020 amending the Annex to Regulation (EU) 2019/452 of the European Parliament and of the Council establishing a framework for the screening of foreign direct investments into the Union</t>
        </is>
      </c>
      <c r="H297" s="2" t="inlineStr">
        <is>
          <t>https://eur-lex.europa.eu/legal-content/EN/TXT/?uri=CELEX:32020R1298</t>
        </is>
      </c>
    </row>
    <row r="298">
      <c r="A298" s="2" t="n">
        <v>39</v>
      </c>
      <c r="B298" s="2" t="inlineStr">
        <is>
          <t>FDI Screening Regulation</t>
        </is>
      </c>
      <c r="C298" s="2" t="inlineStr">
        <is>
          <t>32019R0452</t>
        </is>
      </c>
      <c r="D298" s="2" t="inlineStr">
        <is>
          <t>32021R2126</t>
        </is>
      </c>
      <c r="E298" s="2" t="inlineStr">
        <is>
          <t>amendment</t>
        </is>
      </c>
      <c r="F298" s="2" t="inlineStr">
        <is>
          <t>2021-09-29</t>
        </is>
      </c>
      <c r="G298" s="2" t="inlineStr">
        <is>
          <t>Commission Delegated Regulation (EU) 2021/2126 of 29 September 2021 amending the Annex to Regulation (EU) 2019/452 of the European Parliament and of the Council establishing a framework for the screening of foreign direct investments into the Union</t>
        </is>
      </c>
      <c r="H298" s="2" t="inlineStr">
        <is>
          <t>https://eur-lex.europa.eu/legal-content/EN/TXT/?uri=CELEX:32021R2126</t>
        </is>
      </c>
    </row>
    <row r="299">
      <c r="A299" s="2" t="n">
        <v>39</v>
      </c>
      <c r="B299" s="2" t="inlineStr">
        <is>
          <t>FDI Screening Regulation</t>
        </is>
      </c>
      <c r="C299" s="2" t="inlineStr">
        <is>
          <t>32019R0452</t>
        </is>
      </c>
      <c r="D299" s="2" t="inlineStr">
        <is>
          <t>32019R0452R(01)</t>
        </is>
      </c>
      <c r="E299" s="2" t="inlineStr">
        <is>
          <t>corrigendum</t>
        </is>
      </c>
      <c r="F299" s="2" t="inlineStr">
        <is>
          <t>2020-10-29</t>
        </is>
      </c>
      <c r="G299" s="2" t="inlineStr"/>
      <c r="H299" s="2" t="inlineStr">
        <is>
          <t>https://eur-lex.europa.eu/legal-content/EN/TXT/?uri=CELEX:32019R0452R(01)</t>
        </is>
      </c>
    </row>
    <row r="300">
      <c r="A300" s="2" t="n">
        <v>41</v>
      </c>
      <c r="B300" s="2" t="inlineStr">
        <is>
          <t>Market Surveillance Regulation</t>
        </is>
      </c>
      <c r="C300" s="2" t="inlineStr">
        <is>
          <t>32019R1020</t>
        </is>
      </c>
      <c r="D300" s="2" t="inlineStr">
        <is>
          <t>32023R1542</t>
        </is>
      </c>
      <c r="E300" s="2" t="inlineStr">
        <is>
          <t>amendment</t>
        </is>
      </c>
      <c r="F300" s="2" t="inlineStr">
        <is>
          <t>2023-07-12</t>
        </is>
      </c>
      <c r="G300" s="2" t="inlineStr">
        <is>
          <t>Regulation (EU) 2023/1542 of the European Parliament and of the Council of 12 July 2023 concerning batteries and waste batteries, amending Directive 2008/98/EC and Regulation (EU) 2019/1020 and repealing Directive 2006/66/EC (Text with EEA relevance)</t>
        </is>
      </c>
      <c r="H300" s="2" t="inlineStr">
        <is>
          <t>https://eur-lex.europa.eu/legal-content/EN/TXT/?uri=CELEX:32023R1542</t>
        </is>
      </c>
    </row>
    <row r="301">
      <c r="A301" s="2" t="n">
        <v>41</v>
      </c>
      <c r="B301" s="2" t="inlineStr">
        <is>
          <t>Market Surveillance Regulation</t>
        </is>
      </c>
      <c r="C301" s="2" t="inlineStr">
        <is>
          <t>32019R1020</t>
        </is>
      </c>
      <c r="D301" s="2" t="inlineStr">
        <is>
          <t>32024R1252</t>
        </is>
      </c>
      <c r="E301" s="2" t="inlineStr">
        <is>
          <t>amendment</t>
        </is>
      </c>
      <c r="F301" s="2" t="inlineStr">
        <is>
          <t>2024-04-11</t>
        </is>
      </c>
      <c r="G301" s="2"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H301" s="2" t="inlineStr">
        <is>
          <t>https://eur-lex.europa.eu/legal-content/EN/TXT/?uri=CELEX:32024R1252</t>
        </is>
      </c>
    </row>
    <row r="302">
      <c r="A302" s="2" t="n">
        <v>41</v>
      </c>
      <c r="B302" s="2" t="inlineStr">
        <is>
          <t>Market Surveillance Regulation</t>
        </is>
      </c>
      <c r="C302" s="2" t="inlineStr">
        <is>
          <t>32019R1020</t>
        </is>
      </c>
      <c r="D302" s="2" t="inlineStr">
        <is>
          <t>32024R2847</t>
        </is>
      </c>
      <c r="E302" s="2" t="inlineStr">
        <is>
          <t>amendment</t>
        </is>
      </c>
      <c r="F302" s="2" t="inlineStr">
        <is>
          <t>2024-10-23</t>
        </is>
      </c>
      <c r="G302" s="2" t="inlineStr">
        <is>
          <t>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is>
      </c>
      <c r="H302" s="2" t="inlineStr">
        <is>
          <t>https://eur-lex.europa.eu/legal-content/EN/TXT/?uri=CELEX:32024R2847</t>
        </is>
      </c>
    </row>
    <row r="303">
      <c r="A303" s="2" t="n">
        <v>41</v>
      </c>
      <c r="B303" s="2" t="inlineStr">
        <is>
          <t>Market Surveillance Regulation</t>
        </is>
      </c>
      <c r="C303" s="2" t="inlineStr">
        <is>
          <t>32019R1020</t>
        </is>
      </c>
      <c r="D303" s="2" t="inlineStr">
        <is>
          <t>32025R0014</t>
        </is>
      </c>
      <c r="E303" s="2" t="inlineStr">
        <is>
          <t>amendment</t>
        </is>
      </c>
      <c r="F303" s="2" t="inlineStr">
        <is>
          <t>2024-12-19</t>
        </is>
      </c>
      <c r="G303" s="2" t="inlineStr">
        <is>
          <t>Regulation (EU) 2025/14 of the European Parliament and of the Council of 19 December 2024 on the approval and market surveillance of non-road mobile machinery circulating on public roads and amending Regulation (EU) 2019/1020 (Text with EEA relevance)</t>
        </is>
      </c>
      <c r="H303" s="2" t="inlineStr">
        <is>
          <t>https://eur-lex.europa.eu/legal-content/EN/TXT/?uri=CELEX:32025R0014</t>
        </is>
      </c>
    </row>
    <row r="304">
      <c r="A304" s="2" t="n">
        <v>41</v>
      </c>
      <c r="B304" s="2" t="inlineStr">
        <is>
          <t>Market Surveillance Regulation</t>
        </is>
      </c>
      <c r="C304" s="2" t="inlineStr">
        <is>
          <t>32019R1020</t>
        </is>
      </c>
      <c r="D304" s="2" t="inlineStr">
        <is>
          <t>32025R0040</t>
        </is>
      </c>
      <c r="E304" s="2" t="inlineStr">
        <is>
          <t>amendment</t>
        </is>
      </c>
      <c r="F304" s="2" t="inlineStr">
        <is>
          <t>2024-12-19</t>
        </is>
      </c>
      <c r="G304" s="2" t="inlineStr">
        <is>
          <t>Regulation (EU) 2025/40 of the European Parliament and of the Council of 19 December 2024 on packaging and packaging waste, amending Regulation (EU) 2019/1020 and Directive (EU) 2019/904, and repealing Directive 94/62/EC (Text with EEA relevance)</t>
        </is>
      </c>
      <c r="H304" s="2" t="inlineStr">
        <is>
          <t>https://eur-lex.europa.eu/legal-content/EN/TXT/?uri=CELEX:32025R0040</t>
        </is>
      </c>
    </row>
    <row r="305">
      <c r="A305" s="2" t="n">
        <v>41</v>
      </c>
      <c r="B305" s="2" t="inlineStr">
        <is>
          <t>Market Surveillance Regulation</t>
        </is>
      </c>
      <c r="C305" s="2" t="inlineStr">
        <is>
          <t>32019R1020</t>
        </is>
      </c>
      <c r="D305" s="2" t="inlineStr">
        <is>
          <t>32026R1738</t>
        </is>
      </c>
      <c r="E305" s="2" t="inlineStr">
        <is>
          <t>amendment</t>
        </is>
      </c>
      <c r="F305" s="2" t="inlineStr">
        <is>
          <t>2026-07-08</t>
        </is>
      </c>
      <c r="G305" s="2" t="inlineStr">
        <is>
          <t>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is>
      </c>
      <c r="H305" s="2" t="inlineStr">
        <is>
          <t>https://eur-lex.europa.eu/legal-content/EN/TXT/?uri=CELEX:32026R1738</t>
        </is>
      </c>
    </row>
    <row r="306">
      <c r="A306" s="2" t="n">
        <v>41</v>
      </c>
      <c r="B306" s="2" t="inlineStr">
        <is>
          <t>Market Surveillance Regulation</t>
        </is>
      </c>
      <c r="C306" s="2" t="inlineStr">
        <is>
          <t>32019R1020</t>
        </is>
      </c>
      <c r="D306" s="2" t="inlineStr">
        <is>
          <t>32019R1020R(01)</t>
        </is>
      </c>
      <c r="E306" s="2" t="inlineStr">
        <is>
          <t>corrigendum</t>
        </is>
      </c>
      <c r="F306" s="2" t="inlineStr">
        <is>
          <t>2020-02-10</t>
        </is>
      </c>
      <c r="G306" s="2" t="inlineStr"/>
      <c r="H306" s="2" t="inlineStr">
        <is>
          <t>https://eur-lex.europa.eu/legal-content/EN/TXT/?uri=CELEX:32019R1020R(01)</t>
        </is>
      </c>
    </row>
    <row r="307">
      <c r="A307" s="2" t="n">
        <v>41</v>
      </c>
      <c r="B307" s="2" t="inlineStr">
        <is>
          <t>Market Surveillance Regulation</t>
        </is>
      </c>
      <c r="C307" s="2" t="inlineStr">
        <is>
          <t>32019R1020</t>
        </is>
      </c>
      <c r="D307" s="2" t="inlineStr">
        <is>
          <t>32019R1020R(02)</t>
        </is>
      </c>
      <c r="E307" s="2" t="inlineStr">
        <is>
          <t>corrigendum</t>
        </is>
      </c>
      <c r="F307" s="2" t="inlineStr">
        <is>
          <t>2020-03-05</t>
        </is>
      </c>
      <c r="G307" s="2" t="inlineStr"/>
      <c r="H307" s="2" t="inlineStr">
        <is>
          <t>https://eur-lex.europa.eu/legal-content/EN/TXT/?uri=CELEX:32019R1020R(02)</t>
        </is>
      </c>
    </row>
    <row r="308">
      <c r="A308" s="2" t="n">
        <v>41</v>
      </c>
      <c r="B308" s="2" t="inlineStr">
        <is>
          <t>Market Surveillance Regulation</t>
        </is>
      </c>
      <c r="C308" s="2" t="inlineStr">
        <is>
          <t>32019R1020</t>
        </is>
      </c>
      <c r="D308" s="2" t="inlineStr">
        <is>
          <t>32019R1020R(03)</t>
        </is>
      </c>
      <c r="E308" s="2" t="inlineStr">
        <is>
          <t>corrigendum</t>
        </is>
      </c>
      <c r="F308" s="2" t="inlineStr">
        <is>
          <t>2020-07-10</t>
        </is>
      </c>
      <c r="G308" s="2" t="inlineStr"/>
      <c r="H308" s="2" t="inlineStr">
        <is>
          <t>https://eur-lex.europa.eu/legal-content/EN/TXT/?uri=CELEX:32019R1020R(03)</t>
        </is>
      </c>
    </row>
    <row r="309">
      <c r="A309" s="2" t="n">
        <v>41</v>
      </c>
      <c r="B309" s="2" t="inlineStr">
        <is>
          <t>Market Surveillance Regulation</t>
        </is>
      </c>
      <c r="C309" s="2" t="inlineStr">
        <is>
          <t>32019R1020</t>
        </is>
      </c>
      <c r="D309" s="2" t="inlineStr">
        <is>
          <t>32019R1020R(04)</t>
        </is>
      </c>
      <c r="E309" s="2" t="inlineStr">
        <is>
          <t>corrigendum</t>
        </is>
      </c>
      <c r="F309" s="2" t="inlineStr">
        <is>
          <t>2020-10-08</t>
        </is>
      </c>
      <c r="G309" s="2" t="inlineStr"/>
      <c r="H309" s="2" t="inlineStr">
        <is>
          <t>https://eur-lex.europa.eu/legal-content/EN/TXT/?uri=CELEX:32019R1020R(04)</t>
        </is>
      </c>
    </row>
    <row r="310">
      <c r="A310" s="2" t="n">
        <v>41</v>
      </c>
      <c r="B310" s="2" t="inlineStr">
        <is>
          <t>Market Surveillance Regulation</t>
        </is>
      </c>
      <c r="C310" s="2" t="inlineStr">
        <is>
          <t>32019R1020</t>
        </is>
      </c>
      <c r="D310" s="2" t="inlineStr">
        <is>
          <t>32019R1020R(05)</t>
        </is>
      </c>
      <c r="E310" s="2" t="inlineStr">
        <is>
          <t>corrigendum</t>
        </is>
      </c>
      <c r="F310" s="2" t="inlineStr">
        <is>
          <t>2021-03-31</t>
        </is>
      </c>
      <c r="G310" s="2" t="inlineStr"/>
      <c r="H310" s="2" t="inlineStr">
        <is>
          <t>https://eur-lex.europa.eu/legal-content/EN/TXT/?uri=CELEX:32019R1020R(05)</t>
        </is>
      </c>
    </row>
    <row r="311">
      <c r="A311" s="2" t="n">
        <v>41</v>
      </c>
      <c r="B311" s="2" t="inlineStr">
        <is>
          <t>Market Surveillance Regulation</t>
        </is>
      </c>
      <c r="C311" s="2" t="inlineStr">
        <is>
          <t>32019R1020</t>
        </is>
      </c>
      <c r="D311" s="2" t="inlineStr">
        <is>
          <t>32019R1020R(06)</t>
        </is>
      </c>
      <c r="E311" s="2" t="inlineStr">
        <is>
          <t>corrigendum</t>
        </is>
      </c>
      <c r="F311" s="2" t="inlineStr">
        <is>
          <t>2021-06-10</t>
        </is>
      </c>
      <c r="G311" s="2" t="inlineStr"/>
      <c r="H311" s="2" t="inlineStr">
        <is>
          <t>https://eur-lex.europa.eu/legal-content/EN/TXT/?uri=CELEX:32019R1020R(06)</t>
        </is>
      </c>
    </row>
    <row r="312">
      <c r="A312" s="2" t="n">
        <v>41</v>
      </c>
      <c r="B312" s="2" t="inlineStr">
        <is>
          <t>Market Surveillance Regulation</t>
        </is>
      </c>
      <c r="C312" s="2" t="inlineStr">
        <is>
          <t>32019R1020</t>
        </is>
      </c>
      <c r="D312" s="2" t="inlineStr">
        <is>
          <t>32019R1020R(07)</t>
        </is>
      </c>
      <c r="E312" s="2" t="inlineStr">
        <is>
          <t>corrigendum</t>
        </is>
      </c>
      <c r="F312" s="2" t="inlineStr">
        <is>
          <t>2021-12-09</t>
        </is>
      </c>
      <c r="G312" s="2" t="inlineStr"/>
      <c r="H312" s="2" t="inlineStr">
        <is>
          <t>https://eur-lex.europa.eu/legal-content/EN/TXT/?uri=CELEX:32019R1020R(07)</t>
        </is>
      </c>
    </row>
    <row r="313">
      <c r="A313" s="2" t="n">
        <v>41</v>
      </c>
      <c r="B313" s="2" t="inlineStr">
        <is>
          <t>Market Surveillance Regulation</t>
        </is>
      </c>
      <c r="C313" s="2" t="inlineStr">
        <is>
          <t>32019R1020</t>
        </is>
      </c>
      <c r="D313" s="2" t="inlineStr">
        <is>
          <t>32019R1020R(08)</t>
        </is>
      </c>
      <c r="E313" s="2" t="inlineStr">
        <is>
          <t>corrigendum</t>
        </is>
      </c>
      <c r="F313" s="2" t="inlineStr">
        <is>
          <t>2022-06-02</t>
        </is>
      </c>
      <c r="G313" s="2" t="inlineStr"/>
      <c r="H313" s="2" t="inlineStr">
        <is>
          <t>https://eur-lex.europa.eu/legal-content/EN/TXT/?uri=CELEX:32019R1020R(08)</t>
        </is>
      </c>
    </row>
    <row r="314">
      <c r="A314" s="2" t="n">
        <v>41</v>
      </c>
      <c r="B314" s="2" t="inlineStr">
        <is>
          <t>Market Surveillance Regulation</t>
        </is>
      </c>
      <c r="C314" s="2" t="inlineStr">
        <is>
          <t>32019R1020</t>
        </is>
      </c>
      <c r="D314" s="2" t="inlineStr">
        <is>
          <t>32019R1020R(09)</t>
        </is>
      </c>
      <c r="E314" s="2" t="inlineStr">
        <is>
          <t>corrigendum</t>
        </is>
      </c>
      <c r="F314" s="2" t="inlineStr">
        <is>
          <t>2022-11-17</t>
        </is>
      </c>
      <c r="G314" s="2" t="inlineStr"/>
      <c r="H314" s="2" t="inlineStr">
        <is>
          <t>https://eur-lex.europa.eu/legal-content/EN/TXT/?uri=CELEX:32019R1020R(09)</t>
        </is>
      </c>
    </row>
    <row r="315">
      <c r="A315" s="2" t="n">
        <v>41</v>
      </c>
      <c r="B315" s="2" t="inlineStr">
        <is>
          <t>Market Surveillance Regulation</t>
        </is>
      </c>
      <c r="C315" s="2" t="inlineStr">
        <is>
          <t>32019R1020</t>
        </is>
      </c>
      <c r="D315" s="2" t="inlineStr">
        <is>
          <t>32019R1020R(10)</t>
        </is>
      </c>
      <c r="E315" s="2" t="inlineStr">
        <is>
          <t>corrigendum</t>
        </is>
      </c>
      <c r="F315" s="2" t="inlineStr">
        <is>
          <t>2023-07-19</t>
        </is>
      </c>
      <c r="G315" s="2" t="inlineStr"/>
      <c r="H315" s="2" t="inlineStr">
        <is>
          <t>https://eur-lex.europa.eu/legal-content/EN/TXT/?uri=CELEX:32019R1020R(10)</t>
        </is>
      </c>
    </row>
    <row r="316">
      <c r="A316" s="2" t="n">
        <v>41</v>
      </c>
      <c r="B316" s="2" t="inlineStr">
        <is>
          <t>Market Surveillance Regulation</t>
        </is>
      </c>
      <c r="C316" s="2" t="inlineStr">
        <is>
          <t>32019R1020</t>
        </is>
      </c>
      <c r="D316" s="2" t="inlineStr">
        <is>
          <t>32019R1020R(11)</t>
        </is>
      </c>
      <c r="E316" s="2" t="inlineStr">
        <is>
          <t>corrigendum</t>
        </is>
      </c>
      <c r="F316" s="2" t="inlineStr">
        <is>
          <t>2025-01-27</t>
        </is>
      </c>
      <c r="G316" s="2" t="inlineStr"/>
      <c r="H316" s="2" t="inlineStr">
        <is>
          <t>https://eur-lex.europa.eu/legal-content/EN/TXT/?uri=CELEX:32019R1020R(11)</t>
        </is>
      </c>
    </row>
    <row r="317">
      <c r="A317" s="2" t="n">
        <v>41</v>
      </c>
      <c r="B317" s="2" t="inlineStr">
        <is>
          <t>Market Surveillance Regulation</t>
        </is>
      </c>
      <c r="C317" s="2" t="inlineStr">
        <is>
          <t>32019R1020</t>
        </is>
      </c>
      <c r="D317" s="2" t="inlineStr">
        <is>
          <t>32019R1020R(12)</t>
        </is>
      </c>
      <c r="E317" s="2" t="inlineStr">
        <is>
          <t>corrigendum</t>
        </is>
      </c>
      <c r="F317" s="2" t="inlineStr">
        <is>
          <t>2025-07-17</t>
        </is>
      </c>
      <c r="G317" s="2" t="inlineStr"/>
      <c r="H317" s="2" t="inlineStr">
        <is>
          <t>https://eur-lex.europa.eu/legal-content/EN/TXT/?uri=CELEX:32019R1020R(12)</t>
        </is>
      </c>
    </row>
    <row r="318">
      <c r="A318" s="2" t="n">
        <v>42</v>
      </c>
      <c r="B318" s="2" t="inlineStr">
        <is>
          <t>E-evidence Regulation</t>
        </is>
      </c>
      <c r="C318" s="2" t="inlineStr">
        <is>
          <t>32023R1543</t>
        </is>
      </c>
      <c r="D318" s="2" t="inlineStr">
        <is>
          <t>32023R1543R(01)</t>
        </is>
      </c>
      <c r="E318" s="2" t="inlineStr">
        <is>
          <t>corrigendum</t>
        </is>
      </c>
      <c r="F318" s="2" t="inlineStr">
        <is>
          <t>2025-02-06</t>
        </is>
      </c>
      <c r="G318" s="2" t="inlineStr"/>
      <c r="H318" s="2" t="inlineStr">
        <is>
          <t>https://eur-lex.europa.eu/legal-content/EN/TXT/?uri=CELEX:32023R1543R(01)</t>
        </is>
      </c>
    </row>
    <row r="319">
      <c r="A319" s="2" t="n">
        <v>42</v>
      </c>
      <c r="B319" s="2" t="inlineStr">
        <is>
          <t>E-evidence Regulation</t>
        </is>
      </c>
      <c r="C319" s="2" t="inlineStr">
        <is>
          <t>32023R1543</t>
        </is>
      </c>
      <c r="D319" s="2" t="inlineStr">
        <is>
          <t>32023R1543R(02)</t>
        </is>
      </c>
      <c r="E319" s="2" t="inlineStr">
        <is>
          <t>corrigendum</t>
        </is>
      </c>
      <c r="F319" s="2" t="inlineStr">
        <is>
          <t>2026-07-13</t>
        </is>
      </c>
      <c r="G319" s="2" t="inlineStr">
        <is>
          <t>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is>
      </c>
      <c r="H319" s="2" t="inlineStr">
        <is>
          <t>https://eur-lex.europa.eu/legal-content/EN/TXT/?uri=CELEX:32023R1543R(02)</t>
        </is>
      </c>
    </row>
    <row r="320">
      <c r="A320" s="2" t="n">
        <v>44</v>
      </c>
      <c r="B320" s="2" t="inlineStr">
        <is>
          <t>Platform-to-Business (P2B) Regulation</t>
        </is>
      </c>
      <c r="C320" s="2" t="inlineStr">
        <is>
          <t>32019R1150</t>
        </is>
      </c>
      <c r="D320" s="2" t="inlineStr">
        <is>
          <t>32019R1150R(01)</t>
        </is>
      </c>
      <c r="E320" s="2" t="inlineStr">
        <is>
          <t>corrigendum</t>
        </is>
      </c>
      <c r="F320" s="2" t="inlineStr">
        <is>
          <t>2020-06-26</t>
        </is>
      </c>
      <c r="G320" s="2" t="inlineStr"/>
      <c r="H320" s="2" t="inlineStr">
        <is>
          <t>https://eur-lex.europa.eu/legal-content/EN/TXT/?uri=CELEX:32019R1150R(01)</t>
        </is>
      </c>
    </row>
    <row r="321">
      <c r="A321" s="2" t="n">
        <v>44</v>
      </c>
      <c r="B321" s="2" t="inlineStr">
        <is>
          <t>Platform-to-Business (P2B) Regulation</t>
        </is>
      </c>
      <c r="C321" s="2" t="inlineStr">
        <is>
          <t>32019R1150</t>
        </is>
      </c>
      <c r="D321" s="2" t="inlineStr">
        <is>
          <t>32019R1150R(02)</t>
        </is>
      </c>
      <c r="E321" s="2" t="inlineStr">
        <is>
          <t>corrigendum</t>
        </is>
      </c>
      <c r="F321" s="2" t="inlineStr">
        <is>
          <t>2022-01-06</t>
        </is>
      </c>
      <c r="G321" s="2" t="inlineStr"/>
      <c r="H321" s="2" t="inlineStr">
        <is>
          <t>https://eur-lex.europa.eu/legal-content/EN/TXT/?uri=CELEX:32019R1150R(02)</t>
        </is>
      </c>
    </row>
    <row r="322">
      <c r="A322" s="2" t="n">
        <v>45</v>
      </c>
      <c r="B322" s="2" t="inlineStr">
        <is>
          <t>Digital Europe Programme</t>
        </is>
      </c>
      <c r="C322" s="2" t="inlineStr">
        <is>
          <t>32021R0694</t>
        </is>
      </c>
      <c r="D322" s="2" t="inlineStr">
        <is>
          <t>32023R1781</t>
        </is>
      </c>
      <c r="E322" s="2" t="inlineStr">
        <is>
          <t>amendment</t>
        </is>
      </c>
      <c r="F322" s="2" t="inlineStr">
        <is>
          <t>2023-09-13</t>
        </is>
      </c>
      <c r="G322" s="2" t="inlineStr">
        <is>
          <t>Regulation (EU) 2023/1781 of the European Parliament and of the Council of 13 September 2023 establishing a framework of measures for strengthening Europe’s semiconductor ecosystem and amending Regulation (EU) 2021/694 (Chips Act) (Text with EEA relevance)</t>
        </is>
      </c>
      <c r="H322" s="2" t="inlineStr">
        <is>
          <t>https://eur-lex.europa.eu/legal-content/EN/TXT/?uri=CELEX:32023R1781</t>
        </is>
      </c>
    </row>
    <row r="323">
      <c r="A323" s="2" t="n">
        <v>45</v>
      </c>
      <c r="B323" s="2" t="inlineStr">
        <is>
          <t>Digital Europe Programme</t>
        </is>
      </c>
      <c r="C323" s="2" t="inlineStr">
        <is>
          <t>32021R0694</t>
        </is>
      </c>
      <c r="D323" s="2" t="inlineStr">
        <is>
          <t>32025R0038</t>
        </is>
      </c>
      <c r="E323" s="2" t="inlineStr">
        <is>
          <t>amendment</t>
        </is>
      </c>
      <c r="F323" s="2" t="inlineStr">
        <is>
          <t>2024-12-19</t>
        </is>
      </c>
      <c r="G323" s="2" t="inlineStr">
        <is>
          <t>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is>
      </c>
      <c r="H323" s="2" t="inlineStr">
        <is>
          <t>https://eur-lex.europa.eu/legal-content/EN/TXT/?uri=CELEX:32025R0038</t>
        </is>
      </c>
    </row>
    <row r="324">
      <c r="A324" s="2" t="n">
        <v>45</v>
      </c>
      <c r="B324" s="2" t="inlineStr">
        <is>
          <t>Digital Europe Programme</t>
        </is>
      </c>
      <c r="C324" s="2" t="inlineStr">
        <is>
          <t>32021R0694</t>
        </is>
      </c>
      <c r="D324" s="2" t="inlineStr">
        <is>
          <t>32025R2653</t>
        </is>
      </c>
      <c r="E324" s="2" t="inlineStr">
        <is>
          <t>amendment</t>
        </is>
      </c>
      <c r="F324" s="2" t="inlineStr">
        <is>
          <t>2025-12-19</t>
        </is>
      </c>
      <c r="G324"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324" s="2" t="inlineStr">
        <is>
          <t>https://eur-lex.europa.eu/legal-content/EN/TXT/?uri=CELEX:32025R2653</t>
        </is>
      </c>
    </row>
    <row r="325">
      <c r="A325" s="2" t="n">
        <v>45</v>
      </c>
      <c r="B325" s="2" t="inlineStr">
        <is>
          <t>Digital Europe Programme</t>
        </is>
      </c>
      <c r="C325" s="2" t="inlineStr">
        <is>
          <t>32021R0694</t>
        </is>
      </c>
      <c r="D325" s="2" t="inlineStr">
        <is>
          <t>32021R0694R(01)</t>
        </is>
      </c>
      <c r="E325" s="2" t="inlineStr">
        <is>
          <t>corrigendum</t>
        </is>
      </c>
      <c r="F325" s="2" t="inlineStr">
        <is>
          <t>2022-06-16</t>
        </is>
      </c>
      <c r="G325" s="2" t="inlineStr"/>
      <c r="H325" s="2" t="inlineStr">
        <is>
          <t>https://eur-lex.europa.eu/legal-content/EN/TXT/?uri=CELEX:32021R0694R(01)</t>
        </is>
      </c>
    </row>
    <row r="326">
      <c r="A326" s="2" t="n">
        <v>46</v>
      </c>
      <c r="B326" s="2" t="inlineStr">
        <is>
          <t>InvestEU Programme</t>
        </is>
      </c>
      <c r="C326" s="2" t="inlineStr">
        <is>
          <t>32021R0523</t>
        </is>
      </c>
      <c r="D326" s="2" t="inlineStr">
        <is>
          <t>32024R0795</t>
        </is>
      </c>
      <c r="E326" s="2" t="inlineStr">
        <is>
          <t>amendment</t>
        </is>
      </c>
      <c r="F326" s="2" t="inlineStr">
        <is>
          <t>2024-02-29</t>
        </is>
      </c>
      <c r="G326" s="2" t="inlineStr">
        <is>
          <t>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is>
      </c>
      <c r="H326" s="2" t="inlineStr">
        <is>
          <t>https://eur-lex.europa.eu/legal-content/EN/TXT/?uri=CELEX:32024R0795</t>
        </is>
      </c>
    </row>
    <row r="327">
      <c r="A327" s="2" t="n">
        <v>46</v>
      </c>
      <c r="B327" s="2" t="inlineStr">
        <is>
          <t>InvestEU Programme</t>
        </is>
      </c>
      <c r="C327" s="2" t="inlineStr">
        <is>
          <t>32021R0523</t>
        </is>
      </c>
      <c r="D327" s="2" t="inlineStr">
        <is>
          <t>32025R2088</t>
        </is>
      </c>
      <c r="E327" s="2" t="inlineStr">
        <is>
          <t>amendment</t>
        </is>
      </c>
      <c r="F327" s="2" t="inlineStr">
        <is>
          <t>2025-10-08</t>
        </is>
      </c>
      <c r="G327" s="2" t="inlineStr">
        <is>
          <t>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is>
      </c>
      <c r="H327" s="2" t="inlineStr">
        <is>
          <t>https://eur-lex.europa.eu/legal-content/EN/TXT/?uri=CELEX:32025R2088</t>
        </is>
      </c>
    </row>
    <row r="328">
      <c r="A328" s="2" t="n">
        <v>46</v>
      </c>
      <c r="B328" s="2" t="inlineStr">
        <is>
          <t>InvestEU Programme</t>
        </is>
      </c>
      <c r="C328" s="2" t="inlineStr">
        <is>
          <t>32021R0523</t>
        </is>
      </c>
      <c r="D328" s="2" t="inlineStr">
        <is>
          <t>32025R2005</t>
        </is>
      </c>
      <c r="E328" s="2" t="inlineStr">
        <is>
          <t>amendment</t>
        </is>
      </c>
      <c r="F328" s="2" t="inlineStr">
        <is>
          <t>2025-12-16</t>
        </is>
      </c>
      <c r="G328" s="2" t="inlineStr">
        <is>
          <t>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is>
      </c>
      <c r="H328" s="2" t="inlineStr">
        <is>
          <t>https://eur-lex.europa.eu/legal-content/EN/TXT/?uri=CELEX:32025R2005</t>
        </is>
      </c>
    </row>
    <row r="329">
      <c r="A329" s="2" t="n">
        <v>46</v>
      </c>
      <c r="B329" s="2" t="inlineStr">
        <is>
          <t>InvestEU Programme</t>
        </is>
      </c>
      <c r="C329" s="2" t="inlineStr">
        <is>
          <t>32021R0523</t>
        </is>
      </c>
      <c r="D329" s="2" t="inlineStr">
        <is>
          <t>32021R0523R(01)</t>
        </is>
      </c>
      <c r="E329" s="2" t="inlineStr">
        <is>
          <t>corrigendum</t>
        </is>
      </c>
      <c r="F329" s="2" t="inlineStr">
        <is>
          <t>2021-11-04</t>
        </is>
      </c>
      <c r="G329" s="2" t="inlineStr"/>
      <c r="H329" s="2" t="inlineStr">
        <is>
          <t>https://eur-lex.europa.eu/legal-content/EN/TXT/?uri=CELEX:32021R0523R(01)</t>
        </is>
      </c>
    </row>
    <row r="330">
      <c r="A330" s="2" t="n">
        <v>46</v>
      </c>
      <c r="B330" s="2" t="inlineStr">
        <is>
          <t>InvestEU Programme</t>
        </is>
      </c>
      <c r="C330" s="2" t="inlineStr">
        <is>
          <t>32021R0523</t>
        </is>
      </c>
      <c r="D330" s="2" t="inlineStr">
        <is>
          <t>32021R0523R(02)</t>
        </is>
      </c>
      <c r="E330" s="2" t="inlineStr">
        <is>
          <t>corrigendum</t>
        </is>
      </c>
      <c r="F330" s="2" t="inlineStr">
        <is>
          <t>2022-09-29</t>
        </is>
      </c>
      <c r="G330" s="2" t="inlineStr"/>
      <c r="H330" s="2" t="inlineStr">
        <is>
          <t>https://eur-lex.europa.eu/legal-content/EN/TXT/?uri=CELEX:32021R0523R(02)</t>
        </is>
      </c>
    </row>
    <row r="331">
      <c r="A331" s="2" t="n">
        <v>47</v>
      </c>
      <c r="B331" s="2" t="inlineStr">
        <is>
          <t>Connecting Europe Facility</t>
        </is>
      </c>
      <c r="C331" s="2" t="inlineStr">
        <is>
          <t>32021R1153</t>
        </is>
      </c>
      <c r="D331" s="2" t="inlineStr">
        <is>
          <t>32024R1679</t>
        </is>
      </c>
      <c r="E331" s="2" t="inlineStr">
        <is>
          <t>amendment</t>
        </is>
      </c>
      <c r="F331" s="2" t="inlineStr">
        <is>
          <t>2024-06-13</t>
        </is>
      </c>
      <c r="G331" s="2" t="inlineStr">
        <is>
          <t>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is>
      </c>
      <c r="H331" s="2" t="inlineStr">
        <is>
          <t>https://eur-lex.europa.eu/legal-content/EN/TXT/?uri=CELEX:32024R1679</t>
        </is>
      </c>
    </row>
    <row r="332">
      <c r="A332" s="2" t="n">
        <v>47</v>
      </c>
      <c r="B332" s="2" t="inlineStr">
        <is>
          <t>Connecting Europe Facility</t>
        </is>
      </c>
      <c r="C332" s="2" t="inlineStr">
        <is>
          <t>32021R1153</t>
        </is>
      </c>
      <c r="D332" s="2" t="inlineStr">
        <is>
          <t>32025R2005</t>
        </is>
      </c>
      <c r="E332" s="2" t="inlineStr">
        <is>
          <t>amendment</t>
        </is>
      </c>
      <c r="F332" s="2" t="inlineStr">
        <is>
          <t>2025-12-16</t>
        </is>
      </c>
      <c r="G332" s="2" t="inlineStr">
        <is>
          <t>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is>
      </c>
      <c r="H332" s="2" t="inlineStr">
        <is>
          <t>https://eur-lex.europa.eu/legal-content/EN/TXT/?uri=CELEX:32025R2005</t>
        </is>
      </c>
    </row>
    <row r="333">
      <c r="A333" s="2" t="n">
        <v>47</v>
      </c>
      <c r="B333" s="2" t="inlineStr">
        <is>
          <t>Connecting Europe Facility</t>
        </is>
      </c>
      <c r="C333" s="2" t="inlineStr">
        <is>
          <t>32021R1153</t>
        </is>
      </c>
      <c r="D333" s="2" t="inlineStr">
        <is>
          <t>32025R2653</t>
        </is>
      </c>
      <c r="E333" s="2" t="inlineStr">
        <is>
          <t>amendment</t>
        </is>
      </c>
      <c r="F333" s="2" t="inlineStr">
        <is>
          <t>2025-12-19</t>
        </is>
      </c>
      <c r="G333"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333" s="2" t="inlineStr">
        <is>
          <t>https://eur-lex.europa.eu/legal-content/EN/TXT/?uri=CELEX:32025R2653</t>
        </is>
      </c>
    </row>
    <row r="334">
      <c r="A334" s="2" t="n">
        <v>47</v>
      </c>
      <c r="B334" s="2" t="inlineStr">
        <is>
          <t>Connecting Europe Facility</t>
        </is>
      </c>
      <c r="C334" s="2" t="inlineStr">
        <is>
          <t>32021R1153</t>
        </is>
      </c>
      <c r="D334" s="2" t="inlineStr">
        <is>
          <t>32021R1153R(01)</t>
        </is>
      </c>
      <c r="E334" s="2" t="inlineStr">
        <is>
          <t>corrigendum</t>
        </is>
      </c>
      <c r="F334" s="2" t="inlineStr">
        <is>
          <t>2021-08-12</t>
        </is>
      </c>
      <c r="G334" s="2" t="inlineStr"/>
      <c r="H334" s="2" t="inlineStr">
        <is>
          <t>https://eur-lex.europa.eu/legal-content/EN/TXT/?uri=CELEX:32021R1153R(01)</t>
        </is>
      </c>
    </row>
    <row r="335">
      <c r="A335" s="2" t="n">
        <v>47</v>
      </c>
      <c r="B335" s="2" t="inlineStr">
        <is>
          <t>Connecting Europe Facility</t>
        </is>
      </c>
      <c r="C335" s="2" t="inlineStr">
        <is>
          <t>32021R1153</t>
        </is>
      </c>
      <c r="D335" s="2" t="inlineStr">
        <is>
          <t>32021R1153R(02)</t>
        </is>
      </c>
      <c r="E335" s="2" t="inlineStr">
        <is>
          <t>corrigendum</t>
        </is>
      </c>
      <c r="F335" s="2" t="inlineStr">
        <is>
          <t>2022-06-22</t>
        </is>
      </c>
      <c r="G335" s="2" t="inlineStr"/>
      <c r="H335" s="2" t="inlineStr">
        <is>
          <t>https://eur-lex.europa.eu/legal-content/EN/TXT/?uri=CELEX:32021R1153R(02)</t>
        </is>
      </c>
    </row>
    <row r="336">
      <c r="A336" s="2" t="n">
        <v>48</v>
      </c>
      <c r="B336" s="2" t="inlineStr">
        <is>
          <t>Horizon Europe</t>
        </is>
      </c>
      <c r="C336" s="2" t="inlineStr">
        <is>
          <t>32021R0695</t>
        </is>
      </c>
      <c r="D336" s="2" t="inlineStr">
        <is>
          <t>32024R0795</t>
        </is>
      </c>
      <c r="E336" s="2" t="inlineStr">
        <is>
          <t>amendment</t>
        </is>
      </c>
      <c r="F336" s="2" t="inlineStr">
        <is>
          <t>2024-02-29</t>
        </is>
      </c>
      <c r="G336" s="2" t="inlineStr">
        <is>
          <t>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is>
      </c>
      <c r="H336" s="2" t="inlineStr">
        <is>
          <t>https://eur-lex.europa.eu/legal-content/EN/TXT/?uri=CELEX:32024R0795</t>
        </is>
      </c>
    </row>
    <row r="337">
      <c r="A337" s="2" t="n">
        <v>48</v>
      </c>
      <c r="B337" s="2" t="inlineStr">
        <is>
          <t>Horizon Europe</t>
        </is>
      </c>
      <c r="C337" s="2" t="inlineStr">
        <is>
          <t>32021R0695</t>
        </is>
      </c>
      <c r="D337" s="2" t="inlineStr">
        <is>
          <t>32025R2005</t>
        </is>
      </c>
      <c r="E337" s="2" t="inlineStr">
        <is>
          <t>amendment</t>
        </is>
      </c>
      <c r="F337" s="2" t="inlineStr">
        <is>
          <t>2025-12-16</t>
        </is>
      </c>
      <c r="G337" s="2" t="inlineStr">
        <is>
          <t>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is>
      </c>
      <c r="H337" s="2" t="inlineStr">
        <is>
          <t>https://eur-lex.europa.eu/legal-content/EN/TXT/?uri=CELEX:32025R2005</t>
        </is>
      </c>
    </row>
    <row r="338">
      <c r="A338" s="2" t="n">
        <v>48</v>
      </c>
      <c r="B338" s="2" t="inlineStr">
        <is>
          <t>Horizon Europe</t>
        </is>
      </c>
      <c r="C338" s="2" t="inlineStr">
        <is>
          <t>32021R0695</t>
        </is>
      </c>
      <c r="D338" s="2" t="inlineStr">
        <is>
          <t>32025R2653</t>
        </is>
      </c>
      <c r="E338" s="2" t="inlineStr">
        <is>
          <t>amendment</t>
        </is>
      </c>
      <c r="F338" s="2" t="inlineStr">
        <is>
          <t>2025-12-19</t>
        </is>
      </c>
      <c r="G338"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338" s="2" t="inlineStr">
        <is>
          <t>https://eur-lex.europa.eu/legal-content/EN/TXT/?uri=CELEX:32025R2653</t>
        </is>
      </c>
    </row>
    <row r="339">
      <c r="A339" s="2" t="n">
        <v>48</v>
      </c>
      <c r="B339" s="2" t="inlineStr">
        <is>
          <t>Horizon Europe</t>
        </is>
      </c>
      <c r="C339" s="2" t="inlineStr">
        <is>
          <t>32021R0695</t>
        </is>
      </c>
      <c r="D339" s="2" t="inlineStr">
        <is>
          <t>32021R0695R(01)</t>
        </is>
      </c>
      <c r="E339" s="2" t="inlineStr">
        <is>
          <t>corrigendum</t>
        </is>
      </c>
      <c r="F339" s="2" t="inlineStr">
        <is>
          <t>2021-06-10</t>
        </is>
      </c>
      <c r="G339" s="2" t="inlineStr"/>
      <c r="H339" s="2" t="inlineStr">
        <is>
          <t>https://eur-lex.europa.eu/legal-content/EN/TXT/?uri=CELEX:32021R0695R(01)</t>
        </is>
      </c>
    </row>
    <row r="340">
      <c r="A340" s="2" t="n">
        <v>48</v>
      </c>
      <c r="B340" s="2" t="inlineStr">
        <is>
          <t>Horizon Europe</t>
        </is>
      </c>
      <c r="C340" s="2" t="inlineStr">
        <is>
          <t>32021R0695</t>
        </is>
      </c>
      <c r="D340" s="2" t="inlineStr">
        <is>
          <t>32021R0695R(02)</t>
        </is>
      </c>
      <c r="E340" s="2" t="inlineStr">
        <is>
          <t>corrigendum</t>
        </is>
      </c>
      <c r="F340" s="2" t="inlineStr">
        <is>
          <t>2021-09-23</t>
        </is>
      </c>
      <c r="G340" s="2" t="inlineStr"/>
      <c r="H340" s="2" t="inlineStr">
        <is>
          <t>https://eur-lex.europa.eu/legal-content/EN/TXT/?uri=CELEX:32021R0695R(02)</t>
        </is>
      </c>
    </row>
    <row r="341">
      <c r="A341" s="2" t="n">
        <v>48</v>
      </c>
      <c r="B341" s="2" t="inlineStr">
        <is>
          <t>Horizon Europe</t>
        </is>
      </c>
      <c r="C341" s="2" t="inlineStr">
        <is>
          <t>32021R0695</t>
        </is>
      </c>
      <c r="D341" s="2" t="inlineStr">
        <is>
          <t>32021R0695R(03)</t>
        </is>
      </c>
      <c r="E341" s="2" t="inlineStr">
        <is>
          <t>corrigendum</t>
        </is>
      </c>
      <c r="F341" s="2" t="inlineStr">
        <is>
          <t>2021-11-18</t>
        </is>
      </c>
      <c r="G341" s="2" t="inlineStr"/>
      <c r="H341" s="2" t="inlineStr">
        <is>
          <t>https://eur-lex.europa.eu/legal-content/EN/TXT/?uri=CELEX:32021R0695R(03)</t>
        </is>
      </c>
    </row>
    <row r="342">
      <c r="A342" s="2" t="n">
        <v>48</v>
      </c>
      <c r="B342" s="2" t="inlineStr">
        <is>
          <t>Horizon Europe</t>
        </is>
      </c>
      <c r="C342" s="2" t="inlineStr">
        <is>
          <t>32021R0695</t>
        </is>
      </c>
      <c r="D342" s="2" t="inlineStr">
        <is>
          <t>32021R0695R(04)</t>
        </is>
      </c>
      <c r="E342" s="2" t="inlineStr">
        <is>
          <t>corrigendum</t>
        </is>
      </c>
      <c r="F342" s="2" t="inlineStr">
        <is>
          <t>2022-06-16</t>
        </is>
      </c>
      <c r="G342" s="2" t="inlineStr"/>
      <c r="H342" s="2" t="inlineStr">
        <is>
          <t>https://eur-lex.europa.eu/legal-content/EN/TXT/?uri=CELEX:32021R0695R(04)</t>
        </is>
      </c>
    </row>
    <row r="343">
      <c r="A343" s="2" t="n">
        <v>48</v>
      </c>
      <c r="B343" s="2" t="inlineStr">
        <is>
          <t>Horizon Europe</t>
        </is>
      </c>
      <c r="C343" s="2" t="inlineStr">
        <is>
          <t>32021R0695</t>
        </is>
      </c>
      <c r="D343" s="2" t="inlineStr">
        <is>
          <t>32021R0695R(05)</t>
        </is>
      </c>
      <c r="E343" s="2" t="inlineStr">
        <is>
          <t>corrigendum</t>
        </is>
      </c>
      <c r="F343" s="2" t="inlineStr">
        <is>
          <t>2022-11-24</t>
        </is>
      </c>
      <c r="G343" s="2" t="inlineStr"/>
      <c r="H343" s="2" t="inlineStr">
        <is>
          <t>https://eur-lex.europa.eu/legal-content/EN/TXT/?uri=CELEX:32021R0695R(05)</t>
        </is>
      </c>
    </row>
    <row r="344">
      <c r="A344" s="2" t="n">
        <v>49</v>
      </c>
      <c r="B344" s="2" t="inlineStr">
        <is>
          <t>Single Market Programme</t>
        </is>
      </c>
      <c r="C344" s="2" t="inlineStr">
        <is>
          <t>32021R0690</t>
        </is>
      </c>
      <c r="D344" s="2" t="inlineStr">
        <is>
          <t>32021R0690R(01)</t>
        </is>
      </c>
      <c r="E344" s="2" t="inlineStr">
        <is>
          <t>corrigendum</t>
        </is>
      </c>
      <c r="F344" s="2" t="inlineStr">
        <is>
          <t>2021-06-17</t>
        </is>
      </c>
      <c r="G344" s="2" t="inlineStr"/>
      <c r="H344" s="2" t="inlineStr">
        <is>
          <t>https://eur-lex.europa.eu/legal-content/EN/TXT/?uri=CELEX:32021R0690R(01)</t>
        </is>
      </c>
    </row>
    <row r="345">
      <c r="A345" s="2" t="n">
        <v>49</v>
      </c>
      <c r="B345" s="2" t="inlineStr">
        <is>
          <t>Single Market Programme</t>
        </is>
      </c>
      <c r="C345" s="2" t="inlineStr">
        <is>
          <t>32021R0690</t>
        </is>
      </c>
      <c r="D345" s="2" t="inlineStr">
        <is>
          <t>32021R0690R(02)</t>
        </is>
      </c>
      <c r="E345" s="2" t="inlineStr">
        <is>
          <t>corrigendum</t>
        </is>
      </c>
      <c r="F345" s="2" t="inlineStr">
        <is>
          <t>2021-12-16</t>
        </is>
      </c>
      <c r="G345" s="2" t="inlineStr"/>
      <c r="H345" s="2" t="inlineStr">
        <is>
          <t>https://eur-lex.europa.eu/legal-content/EN/TXT/?uri=CELEX:32021R0690R(02)</t>
        </is>
      </c>
    </row>
    <row r="346">
      <c r="A346" s="2" t="n">
        <v>49</v>
      </c>
      <c r="B346" s="2" t="inlineStr">
        <is>
          <t>Single Market Programme</t>
        </is>
      </c>
      <c r="C346" s="2" t="inlineStr">
        <is>
          <t>32021R0690</t>
        </is>
      </c>
      <c r="D346" s="2" t="inlineStr">
        <is>
          <t>32021R0690R(03)</t>
        </is>
      </c>
      <c r="E346" s="2" t="inlineStr">
        <is>
          <t>corrigendum</t>
        </is>
      </c>
      <c r="F346" s="2" t="inlineStr">
        <is>
          <t>2022-06-16</t>
        </is>
      </c>
      <c r="G346" s="2" t="inlineStr"/>
      <c r="H346" s="2" t="inlineStr">
        <is>
          <t>https://eur-lex.europa.eu/legal-content/EN/TXT/?uri=CELEX:32021R0690R(03)</t>
        </is>
      </c>
    </row>
    <row r="347">
      <c r="A347" s="2" t="n">
        <v>51</v>
      </c>
      <c r="B347" s="2" t="inlineStr">
        <is>
          <t>Terrorist Content Online Regulation</t>
        </is>
      </c>
      <c r="C347" s="2" t="inlineStr">
        <is>
          <t>32021R0784</t>
        </is>
      </c>
      <c r="D347" s="2" t="inlineStr">
        <is>
          <t>32021R0784R(01)</t>
        </is>
      </c>
      <c r="E347" s="2" t="inlineStr">
        <is>
          <t>corrigendum</t>
        </is>
      </c>
      <c r="F347" s="2" t="inlineStr">
        <is>
          <t>2022-10-13</t>
        </is>
      </c>
      <c r="G347" s="2" t="inlineStr"/>
      <c r="H347" s="2" t="inlineStr">
        <is>
          <t>https://eur-lex.europa.eu/legal-content/EN/TXT/?uri=CELEX:32021R0784R(01)</t>
        </is>
      </c>
    </row>
    <row r="348">
      <c r="A348" s="2" t="n">
        <v>51</v>
      </c>
      <c r="B348" s="2" t="inlineStr">
        <is>
          <t>Terrorist Content Online Regulation</t>
        </is>
      </c>
      <c r="C348" s="2" t="inlineStr">
        <is>
          <t>32021R0784</t>
        </is>
      </c>
      <c r="D348" s="2" t="inlineStr">
        <is>
          <t>32021R0784R(02)</t>
        </is>
      </c>
      <c r="E348" s="2" t="inlineStr">
        <is>
          <t>corrigendum</t>
        </is>
      </c>
      <c r="F348" s="2" t="inlineStr">
        <is>
          <t>2022-12-22</t>
        </is>
      </c>
      <c r="G348" s="2" t="inlineStr"/>
      <c r="H348" s="2" t="inlineStr">
        <is>
          <t>https://eur-lex.europa.eu/legal-content/EN/TXT/?uri=CELEX:32021R0784R(02)</t>
        </is>
      </c>
    </row>
    <row r="349">
      <c r="A349" s="2" t="n">
        <v>51</v>
      </c>
      <c r="B349" s="2" t="inlineStr">
        <is>
          <t>Terrorist Content Online Regulation</t>
        </is>
      </c>
      <c r="C349" s="2" t="inlineStr">
        <is>
          <t>32021R0784</t>
        </is>
      </c>
      <c r="D349" s="2" t="inlineStr">
        <is>
          <t>32021R0784R(03)</t>
        </is>
      </c>
      <c r="E349" s="2" t="inlineStr">
        <is>
          <t>corrigendum</t>
        </is>
      </c>
      <c r="F349" s="2" t="inlineStr">
        <is>
          <t>2025-03-17</t>
        </is>
      </c>
      <c r="G349" s="2" t="inlineStr"/>
      <c r="H349" s="2" t="inlineStr">
        <is>
          <t>https://eur-lex.europa.eu/legal-content/EN/TXT/?uri=CELEX:32021R0784R(03)</t>
        </is>
      </c>
    </row>
    <row r="350">
      <c r="A350" s="2" t="n">
        <v>52</v>
      </c>
      <c r="B350" s="2" t="inlineStr">
        <is>
          <t>Recovery and Resilience Facility</t>
        </is>
      </c>
      <c r="C350" s="2" t="inlineStr">
        <is>
          <t>32021R0241</t>
        </is>
      </c>
      <c r="D350" s="2" t="inlineStr">
        <is>
          <t>32023R0435</t>
        </is>
      </c>
      <c r="E350" s="2" t="inlineStr">
        <is>
          <t>amendment</t>
        </is>
      </c>
      <c r="F350" s="2" t="inlineStr">
        <is>
          <t>2023-02-27</t>
        </is>
      </c>
      <c r="G350" s="2" t="inlineStr">
        <is>
          <t>Regulation (EU) 2023/435 of the European Parliament and of the Council of 27 February 2023 amending Regulation (EU) 2021/241 as regards REPowerEU chapters in recovery and resilience plans and amending Regulations (EU) No 1303/2013, (EU) 2021/1060 and (EU) 2021/1755, and Directive 2003/87/EC</t>
        </is>
      </c>
      <c r="H350" s="2" t="inlineStr">
        <is>
          <t>https://eur-lex.europa.eu/legal-content/EN/TXT/?uri=CELEX:32023R0435</t>
        </is>
      </c>
    </row>
    <row r="351">
      <c r="A351" s="2" t="n">
        <v>52</v>
      </c>
      <c r="B351" s="2" t="inlineStr">
        <is>
          <t>Recovery and Resilience Facility</t>
        </is>
      </c>
      <c r="C351" s="2" t="inlineStr">
        <is>
          <t>32021R0241</t>
        </is>
      </c>
      <c r="D351" s="2" t="inlineStr">
        <is>
          <t>32024R0795</t>
        </is>
      </c>
      <c r="E351" s="2" t="inlineStr">
        <is>
          <t>amendment</t>
        </is>
      </c>
      <c r="F351" s="2" t="inlineStr">
        <is>
          <t>2024-02-29</t>
        </is>
      </c>
      <c r="G351" s="2" t="inlineStr">
        <is>
          <t>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is>
      </c>
      <c r="H351" s="2" t="inlineStr">
        <is>
          <t>https://eur-lex.europa.eu/legal-content/EN/TXT/?uri=CELEX:32024R0795</t>
        </is>
      </c>
    </row>
    <row r="352">
      <c r="A352" s="2" t="n">
        <v>52</v>
      </c>
      <c r="B352" s="2" t="inlineStr">
        <is>
          <t>Recovery and Resilience Facility</t>
        </is>
      </c>
      <c r="C352" s="2" t="inlineStr">
        <is>
          <t>32021R0241</t>
        </is>
      </c>
      <c r="D352" s="2" t="inlineStr">
        <is>
          <t>32021R0241R(01)</t>
        </is>
      </c>
      <c r="E352" s="2" t="inlineStr">
        <is>
          <t>corrigendum</t>
        </is>
      </c>
      <c r="F352" s="2" t="inlineStr">
        <is>
          <t>2021-02-23</t>
        </is>
      </c>
      <c r="G352" s="2" t="inlineStr"/>
      <c r="H352" s="2" t="inlineStr">
        <is>
          <t>https://eur-lex.europa.eu/legal-content/EN/TXT/?uri=CELEX:32021R0241R(01)</t>
        </is>
      </c>
    </row>
    <row r="353">
      <c r="A353" s="2" t="n">
        <v>52</v>
      </c>
      <c r="B353" s="2" t="inlineStr">
        <is>
          <t>Recovery and Resilience Facility</t>
        </is>
      </c>
      <c r="C353" s="2" t="inlineStr">
        <is>
          <t>32021R0241</t>
        </is>
      </c>
      <c r="D353" s="2" t="inlineStr">
        <is>
          <t>32021R0241R(02)</t>
        </is>
      </c>
      <c r="E353" s="2" t="inlineStr">
        <is>
          <t>corrigendum</t>
        </is>
      </c>
      <c r="F353" s="2" t="inlineStr">
        <is>
          <t>2021-03-31</t>
        </is>
      </c>
      <c r="G353" s="2" t="inlineStr"/>
      <c r="H353" s="2" t="inlineStr">
        <is>
          <t>https://eur-lex.europa.eu/legal-content/EN/TXT/?uri=CELEX:32021R0241R(02)</t>
        </is>
      </c>
    </row>
    <row r="354">
      <c r="A354" s="2" t="n">
        <v>52</v>
      </c>
      <c r="B354" s="2" t="inlineStr">
        <is>
          <t>Recovery and Resilience Facility</t>
        </is>
      </c>
      <c r="C354" s="2" t="inlineStr">
        <is>
          <t>32021R0241</t>
        </is>
      </c>
      <c r="D354" s="2" t="inlineStr">
        <is>
          <t>32021R0241R(03)</t>
        </is>
      </c>
      <c r="E354" s="2" t="inlineStr">
        <is>
          <t>corrigendum</t>
        </is>
      </c>
      <c r="F354" s="2" t="inlineStr">
        <is>
          <t>2021-05-06</t>
        </is>
      </c>
      <c r="G354" s="2" t="inlineStr"/>
      <c r="H354" s="2" t="inlineStr">
        <is>
          <t>https://eur-lex.europa.eu/legal-content/EN/TXT/?uri=CELEX:32021R0241R(03)</t>
        </is>
      </c>
    </row>
    <row r="355">
      <c r="A355" s="2" t="n">
        <v>52</v>
      </c>
      <c r="B355" s="2" t="inlineStr">
        <is>
          <t>Recovery and Resilience Facility</t>
        </is>
      </c>
      <c r="C355" s="2" t="inlineStr">
        <is>
          <t>32021R0241</t>
        </is>
      </c>
      <c r="D355" s="2" t="inlineStr">
        <is>
          <t>32021R0241R(04)</t>
        </is>
      </c>
      <c r="E355" s="2" t="inlineStr">
        <is>
          <t>corrigendum</t>
        </is>
      </c>
      <c r="F355" s="2" t="inlineStr">
        <is>
          <t>2021-11-18</t>
        </is>
      </c>
      <c r="G355" s="2" t="inlineStr">
        <is>
          <t>Corrigendum to Regulation (EU) 2021/241 of the European Parliament and of the Council of 12 February 2021 establishing the Recovery and Resilience Facility (Official Journal of the European Union L 57 of 18 February 2021)</t>
        </is>
      </c>
      <c r="H355" s="2" t="inlineStr">
        <is>
          <t>https://eur-lex.europa.eu/legal-content/EN/TXT/?uri=CELEX:32021R0241R(04)</t>
        </is>
      </c>
    </row>
    <row r="356">
      <c r="A356" s="2" t="n">
        <v>52</v>
      </c>
      <c r="B356" s="2" t="inlineStr">
        <is>
          <t>Recovery and Resilience Facility</t>
        </is>
      </c>
      <c r="C356" s="2" t="inlineStr">
        <is>
          <t>32021R0241</t>
        </is>
      </c>
      <c r="D356" s="2" t="inlineStr">
        <is>
          <t>32021R0241R(05)</t>
        </is>
      </c>
      <c r="E356" s="2" t="inlineStr">
        <is>
          <t>corrigendum</t>
        </is>
      </c>
      <c r="F356" s="2" t="inlineStr">
        <is>
          <t>2022-02-03</t>
        </is>
      </c>
      <c r="G356" s="2" t="inlineStr"/>
      <c r="H356" s="2" t="inlineStr">
        <is>
          <t>https://eur-lex.europa.eu/legal-content/EN/TXT/?uri=CELEX:32021R0241R(05)</t>
        </is>
      </c>
    </row>
    <row r="357">
      <c r="A357" s="2" t="n">
        <v>52</v>
      </c>
      <c r="B357" s="2" t="inlineStr">
        <is>
          <t>Recovery and Resilience Facility</t>
        </is>
      </c>
      <c r="C357" s="2" t="inlineStr">
        <is>
          <t>32021R0241</t>
        </is>
      </c>
      <c r="D357" s="2" t="inlineStr">
        <is>
          <t>32021R0241R(06)</t>
        </is>
      </c>
      <c r="E357" s="2" t="inlineStr">
        <is>
          <t>corrigendum</t>
        </is>
      </c>
      <c r="F357" s="2" t="inlineStr">
        <is>
          <t>2022-06-02</t>
        </is>
      </c>
      <c r="G357" s="2" t="inlineStr"/>
      <c r="H357" s="2" t="inlineStr">
        <is>
          <t>https://eur-lex.europa.eu/legal-content/EN/TXT/?uri=CELEX:32021R0241R(06)</t>
        </is>
      </c>
    </row>
    <row r="358">
      <c r="A358" s="2" t="n">
        <v>52</v>
      </c>
      <c r="B358" s="2" t="inlineStr">
        <is>
          <t>Recovery and Resilience Facility</t>
        </is>
      </c>
      <c r="C358" s="2" t="inlineStr">
        <is>
          <t>32021R0241</t>
        </is>
      </c>
      <c r="D358" s="2" t="inlineStr">
        <is>
          <t>32021R0241R(07)</t>
        </is>
      </c>
      <c r="E358" s="2" t="inlineStr">
        <is>
          <t>corrigendum</t>
        </is>
      </c>
      <c r="F358" s="2" t="inlineStr">
        <is>
          <t>2023-04-13</t>
        </is>
      </c>
      <c r="G358" s="2" t="inlineStr"/>
      <c r="H358" s="2" t="inlineStr">
        <is>
          <t>https://eur-lex.europa.eu/legal-content/EN/TXT/?uri=CELEX:32021R0241R(07)</t>
        </is>
      </c>
    </row>
    <row r="359">
      <c r="A359" s="2" t="n">
        <v>52</v>
      </c>
      <c r="B359" s="2" t="inlineStr">
        <is>
          <t>Recovery and Resilience Facility</t>
        </is>
      </c>
      <c r="C359" s="2" t="inlineStr">
        <is>
          <t>32021R0241</t>
        </is>
      </c>
      <c r="D359" s="2" t="inlineStr">
        <is>
          <t>32021R0241R(08)</t>
        </is>
      </c>
      <c r="E359" s="2" t="inlineStr">
        <is>
          <t>corrigendum</t>
        </is>
      </c>
      <c r="F359" s="2" t="inlineStr">
        <is>
          <t>2023-05-25</t>
        </is>
      </c>
      <c r="G359" s="2" t="inlineStr">
        <is>
          <t>Corrigendum to Regulation (EU) 2021/241 of the European Parliament and of the Council of 12 February 2021 establishing the Recovery and Resilience Facility (Official Journal of the European Union L 57 of 18 February 2021)</t>
        </is>
      </c>
      <c r="H359" s="2" t="inlineStr">
        <is>
          <t>https://eur-lex.europa.eu/legal-content/EN/TXT/?uri=CELEX:32021R0241R(08)</t>
        </is>
      </c>
    </row>
    <row r="360">
      <c r="A360" s="2" t="n">
        <v>52</v>
      </c>
      <c r="B360" s="2" t="inlineStr">
        <is>
          <t>Recovery and Resilience Facility</t>
        </is>
      </c>
      <c r="C360" s="2" t="inlineStr">
        <is>
          <t>32021R0241</t>
        </is>
      </c>
      <c r="D360" s="2" t="inlineStr">
        <is>
          <t>32021R0241R(09)</t>
        </is>
      </c>
      <c r="E360" s="2" t="inlineStr">
        <is>
          <t>corrigendum</t>
        </is>
      </c>
      <c r="F360" s="2" t="inlineStr">
        <is>
          <t>2025-12-09</t>
        </is>
      </c>
      <c r="G360" s="2" t="inlineStr"/>
      <c r="H360" s="2" t="inlineStr">
        <is>
          <t>https://eur-lex.europa.eu/legal-content/EN/TXT/?uri=CELEX:32021R0241R(09)</t>
        </is>
      </c>
    </row>
    <row r="361">
      <c r="A361" s="2" t="n">
        <v>53</v>
      </c>
      <c r="B361" s="2" t="inlineStr">
        <is>
          <t>Temporary CSAM Derogation Regulation</t>
        </is>
      </c>
      <c r="C361" s="2" t="inlineStr">
        <is>
          <t>32021R1232</t>
        </is>
      </c>
      <c r="D361" s="2" t="inlineStr">
        <is>
          <t>32024R1307</t>
        </is>
      </c>
      <c r="E361" s="2" t="inlineStr">
        <is>
          <t>amendment</t>
        </is>
      </c>
      <c r="F361" s="2" t="inlineStr">
        <is>
          <t>2024-04-29</t>
        </is>
      </c>
      <c r="G361" s="2" t="inlineStr">
        <is>
          <t>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is>
      </c>
      <c r="H361" s="2" t="inlineStr">
        <is>
          <t>https://eur-lex.europa.eu/legal-content/EN/TXT/?uri=CELEX:32024R1307</t>
        </is>
      </c>
    </row>
    <row r="362">
      <c r="A362" s="2" t="n">
        <v>54</v>
      </c>
      <c r="B362" s="2" t="inlineStr">
        <is>
          <t>EuroHPC Joint Undertaking Regulation</t>
        </is>
      </c>
      <c r="C362" s="2" t="inlineStr">
        <is>
          <t>32021R1173</t>
        </is>
      </c>
      <c r="D362" s="2" t="inlineStr">
        <is>
          <t>32024R1732</t>
        </is>
      </c>
      <c r="E362" s="2" t="inlineStr">
        <is>
          <t>amendment</t>
        </is>
      </c>
      <c r="F362" s="2" t="inlineStr">
        <is>
          <t>2024-06-17</t>
        </is>
      </c>
      <c r="G362" s="2" t="inlineStr">
        <is>
          <t>Council Regulation (EU) 2024/1732 of 17 June 2024 amending Regulation (EU) 2021/1173 as regards a EuroHPC initiative for start-ups in order to boost European leadership in trustworthy artificial intelligence</t>
        </is>
      </c>
      <c r="H362" s="2" t="inlineStr">
        <is>
          <t>https://eur-lex.europa.eu/legal-content/EN/TXT/?uri=CELEX:32024R1732</t>
        </is>
      </c>
    </row>
    <row r="363">
      <c r="A363" s="2" t="n">
        <v>54</v>
      </c>
      <c r="B363" s="2" t="inlineStr">
        <is>
          <t>EuroHPC Joint Undertaking Regulation</t>
        </is>
      </c>
      <c r="C363" s="2" t="inlineStr">
        <is>
          <t>32021R1173</t>
        </is>
      </c>
      <c r="D363" s="2" t="inlineStr">
        <is>
          <t>32026R0150</t>
        </is>
      </c>
      <c r="E363" s="2" t="inlineStr">
        <is>
          <t>amendment</t>
        </is>
      </c>
      <c r="F363" s="2" t="inlineStr">
        <is>
          <t>2026-01-16</t>
        </is>
      </c>
      <c r="G363" s="2" t="inlineStr">
        <is>
          <t>Council Regulation (EU) 2026/150 of 16 January 2026 amending Regulation (EU) 2021/1173 on establishing the European High Performance Computing Joint Undertaking</t>
        </is>
      </c>
      <c r="H363" s="2" t="inlineStr">
        <is>
          <t>https://eur-lex.europa.eu/legal-content/EN/TXT/?uri=CELEX:32026R0150</t>
        </is>
      </c>
    </row>
    <row r="364">
      <c r="A364" s="2" t="n">
        <v>54</v>
      </c>
      <c r="B364" s="2" t="inlineStr">
        <is>
          <t>EuroHPC Joint Undertaking Regulation</t>
        </is>
      </c>
      <c r="C364" s="2" t="inlineStr">
        <is>
          <t>32021R1173</t>
        </is>
      </c>
      <c r="D364" s="2" t="inlineStr">
        <is>
          <t>32021R1173R(01)</t>
        </is>
      </c>
      <c r="E364" s="2" t="inlineStr">
        <is>
          <t>corrigendum</t>
        </is>
      </c>
      <c r="F364" s="2" t="inlineStr">
        <is>
          <t>2023-05-04</t>
        </is>
      </c>
      <c r="G364" s="2" t="inlineStr">
        <is>
          <t>Corrigendum to Council Regulation (EU) 2021/1173 of 13 July 2021 on establishing the European High Performance Computing Joint Undertaking and repealing Regulation (EU) 2018/1488 (Official Journal of the European Union L 256 of 19 July 2021)</t>
        </is>
      </c>
      <c r="H364" s="2" t="inlineStr">
        <is>
          <t>https://eur-lex.europa.eu/legal-content/EN/TXT/?uri=CELEX:32021R1173R(01)</t>
        </is>
      </c>
    </row>
    <row r="365">
      <c r="A365" s="2" t="n">
        <v>54</v>
      </c>
      <c r="B365" s="2" t="inlineStr">
        <is>
          <t>EuroHPC Joint Undertaking Regulation</t>
        </is>
      </c>
      <c r="C365" s="2" t="inlineStr">
        <is>
          <t>32021R1173</t>
        </is>
      </c>
      <c r="D365" s="2" t="inlineStr">
        <is>
          <t>32021R1173R(02)</t>
        </is>
      </c>
      <c r="E365" s="2" t="inlineStr">
        <is>
          <t>corrigendum</t>
        </is>
      </c>
      <c r="F365" s="2" t="inlineStr">
        <is>
          <t>2024-11-28</t>
        </is>
      </c>
      <c r="G365" s="2" t="inlineStr"/>
      <c r="H365" s="2" t="inlineStr">
        <is>
          <t>https://eur-lex.europa.eu/legal-content/EN/TXT/?uri=CELEX:32021R1173R(02)</t>
        </is>
      </c>
    </row>
    <row r="366">
      <c r="A366" s="2" t="n">
        <v>55</v>
      </c>
      <c r="B366" s="2" t="inlineStr">
        <is>
          <t>DLT Pilot Regime Regulation</t>
        </is>
      </c>
      <c r="C366" s="2" t="inlineStr">
        <is>
          <t>32022R0858</t>
        </is>
      </c>
      <c r="D366" s="2" t="inlineStr">
        <is>
          <t>32022R0858R(01)</t>
        </is>
      </c>
      <c r="E366" s="2" t="inlineStr">
        <is>
          <t>corrigendum</t>
        </is>
      </c>
      <c r="F366" s="2" t="inlineStr">
        <is>
          <t>2022-09-08</t>
        </is>
      </c>
      <c r="G366" s="2" t="inlineStr"/>
      <c r="H366" s="2" t="inlineStr">
        <is>
          <t>https://eur-lex.europa.eu/legal-content/EN/TXT/?uri=CELEX:32022R0858R(01)</t>
        </is>
      </c>
    </row>
    <row r="367">
      <c r="A367" s="2" t="n">
        <v>56</v>
      </c>
      <c r="B367" s="2" t="inlineStr">
        <is>
          <t>Markets in Crypto-Assets (MiCA)</t>
        </is>
      </c>
      <c r="C367" s="2" t="inlineStr">
        <is>
          <t>32023R1114</t>
        </is>
      </c>
      <c r="D367" s="2" t="inlineStr">
        <is>
          <t>32023R2869</t>
        </is>
      </c>
      <c r="E367" s="2" t="inlineStr">
        <is>
          <t>amendment</t>
        </is>
      </c>
      <c r="F367" s="2" t="inlineStr">
        <is>
          <t>2023-12-13</t>
        </is>
      </c>
      <c r="G367" s="2" t="inlineStr">
        <is>
          <t>Regulation (EU) 2023/2869 of the European Parliament and of the Council of 13 December 2023 amending certain Regulations as regards the establishment and functioning of the European single access point (Text with EEA relevance)</t>
        </is>
      </c>
      <c r="H367" s="2" t="inlineStr">
        <is>
          <t>https://eur-lex.europa.eu/legal-content/EN/TXT/?uri=CELEX:32023R2869</t>
        </is>
      </c>
    </row>
    <row r="368">
      <c r="A368" s="2" t="n">
        <v>56</v>
      </c>
      <c r="B368" s="2" t="inlineStr">
        <is>
          <t>Markets in Crypto-Assets (MiCA)</t>
        </is>
      </c>
      <c r="C368" s="2" t="inlineStr">
        <is>
          <t>32023R1114</t>
        </is>
      </c>
      <c r="D368" s="2" t="inlineStr">
        <is>
          <t>32023R1114R(01)</t>
        </is>
      </c>
      <c r="E368" s="2" t="inlineStr">
        <is>
          <t>corrigendum</t>
        </is>
      </c>
      <c r="F368" s="2" t="inlineStr">
        <is>
          <t>2023-06-15</t>
        </is>
      </c>
      <c r="G368" s="2" t="inlineStr"/>
      <c r="H368" s="2" t="inlineStr">
        <is>
          <t>https://eur-lex.europa.eu/legal-content/EN/TXT/?uri=CELEX:32023R1114R(01)</t>
        </is>
      </c>
    </row>
    <row r="369">
      <c r="A369" s="2" t="n">
        <v>56</v>
      </c>
      <c r="B369" s="2" t="inlineStr">
        <is>
          <t>Markets in Crypto-Assets (MiCA)</t>
        </is>
      </c>
      <c r="C369" s="2" t="inlineStr">
        <is>
          <t>32023R1114</t>
        </is>
      </c>
      <c r="D369" s="2" t="inlineStr">
        <is>
          <t>32023R1114R(02)</t>
        </is>
      </c>
      <c r="E369" s="2" t="inlineStr">
        <is>
          <t>corrigendum</t>
        </is>
      </c>
      <c r="F369" s="2" t="inlineStr">
        <is>
          <t>2024-01-17</t>
        </is>
      </c>
      <c r="G369" s="2" t="inlineStr"/>
      <c r="H369" s="2" t="inlineStr">
        <is>
          <t>https://eur-lex.europa.eu/legal-content/EN/TXT/?uri=CELEX:32023R1114R(02)</t>
        </is>
      </c>
    </row>
    <row r="370">
      <c r="A370" s="2" t="n">
        <v>56</v>
      </c>
      <c r="B370" s="2" t="inlineStr">
        <is>
          <t>Markets in Crypto-Assets (MiCA)</t>
        </is>
      </c>
      <c r="C370" s="2" t="inlineStr">
        <is>
          <t>32023R1114</t>
        </is>
      </c>
      <c r="D370" s="2" t="inlineStr">
        <is>
          <t>32023R1114R(03)</t>
        </is>
      </c>
      <c r="E370" s="2" t="inlineStr">
        <is>
          <t>corrigendum</t>
        </is>
      </c>
      <c r="F370" s="2" t="inlineStr">
        <is>
          <t>2024-05-02</t>
        </is>
      </c>
      <c r="G370" s="2" t="inlineStr">
        <is>
          <t>Corrigendum to Regulation (EU) 2023/1114 of the European Parliament and of the Council of 31 May 2023 on markets in crypto-assets, and amending Regulations (EU) No 1093/2010 and (EU) No 1095/2010 and Directives 2013/36/EU and (EU) 2019/1937 (OJ L 150, 9.6.2023)</t>
        </is>
      </c>
      <c r="H370" s="2" t="inlineStr">
        <is>
          <t>https://eur-lex.europa.eu/legal-content/EN/TXT/?uri=CELEX:32023R1114R(03)</t>
        </is>
      </c>
    </row>
    <row r="371">
      <c r="A371" s="2" t="n">
        <v>56</v>
      </c>
      <c r="B371" s="2" t="inlineStr">
        <is>
          <t>Markets in Crypto-Assets (MiCA)</t>
        </is>
      </c>
      <c r="C371" s="2" t="inlineStr">
        <is>
          <t>32023R1114</t>
        </is>
      </c>
      <c r="D371" s="2" t="inlineStr">
        <is>
          <t>32023R1114R(04)</t>
        </is>
      </c>
      <c r="E371" s="2" t="inlineStr">
        <is>
          <t>corrigendum</t>
        </is>
      </c>
      <c r="F371" s="2" t="inlineStr">
        <is>
          <t>2024-10-30</t>
        </is>
      </c>
      <c r="G371" s="2" t="inlineStr"/>
      <c r="H371" s="2" t="inlineStr">
        <is>
          <t>https://eur-lex.europa.eu/legal-content/EN/TXT/?uri=CELEX:32023R1114R(04)</t>
        </is>
      </c>
    </row>
    <row r="372">
      <c r="A372" s="2" t="n">
        <v>56</v>
      </c>
      <c r="B372" s="2" t="inlineStr">
        <is>
          <t>Markets in Crypto-Assets (MiCA)</t>
        </is>
      </c>
      <c r="C372" s="2" t="inlineStr">
        <is>
          <t>32023R1114</t>
        </is>
      </c>
      <c r="D372" s="2" t="inlineStr">
        <is>
          <t>32023R1114R(05)</t>
        </is>
      </c>
      <c r="E372" s="2" t="inlineStr">
        <is>
          <t>corrigendum</t>
        </is>
      </c>
      <c r="F372" s="2" t="inlineStr">
        <is>
          <t>2025-01-28</t>
        </is>
      </c>
      <c r="G372" s="2" t="inlineStr"/>
      <c r="H372" s="2" t="inlineStr">
        <is>
          <t>https://eur-lex.europa.eu/legal-content/EN/TXT/?uri=CELEX:32023R1114R(05)</t>
        </is>
      </c>
    </row>
    <row r="373">
      <c r="A373" s="2" t="n">
        <v>56</v>
      </c>
      <c r="B373" s="2" t="inlineStr">
        <is>
          <t>Markets in Crypto-Assets (MiCA)</t>
        </is>
      </c>
      <c r="C373" s="2" t="inlineStr">
        <is>
          <t>32023R1114</t>
        </is>
      </c>
      <c r="D373" s="2" t="inlineStr">
        <is>
          <t>32023R1114R(06)</t>
        </is>
      </c>
      <c r="E373" s="2" t="inlineStr">
        <is>
          <t>corrigendum</t>
        </is>
      </c>
      <c r="F373" s="2" t="inlineStr">
        <is>
          <t>2025-07-01</t>
        </is>
      </c>
      <c r="G373" s="2" t="inlineStr"/>
      <c r="H373" s="2" t="inlineStr">
        <is>
          <t>https://eur-lex.europa.eu/legal-content/EN/TXT/?uri=CELEX:32023R1114R(06)</t>
        </is>
      </c>
    </row>
    <row r="374">
      <c r="A374" s="2" t="n">
        <v>57</v>
      </c>
      <c r="B374" s="2" t="inlineStr">
        <is>
          <t>Digital Operational Resilience Act (DORA)</t>
        </is>
      </c>
      <c r="C374" s="2" t="inlineStr">
        <is>
          <t>32022R2554</t>
        </is>
      </c>
      <c r="D374" s="2" t="inlineStr">
        <is>
          <t>32022R2554R(01)</t>
        </is>
      </c>
      <c r="E374" s="2" t="inlineStr">
        <is>
          <t>corrigendum</t>
        </is>
      </c>
      <c r="F374" s="2" t="inlineStr">
        <is>
          <t>2023-05-04</t>
        </is>
      </c>
      <c r="G374" s="2" t="inlineStr"/>
      <c r="H374" s="2" t="inlineStr">
        <is>
          <t>https://eur-lex.europa.eu/legal-content/EN/TXT/?uri=CELEX:32022R2554R(01)</t>
        </is>
      </c>
    </row>
    <row r="375">
      <c r="A375" s="2" t="n">
        <v>57</v>
      </c>
      <c r="B375" s="2" t="inlineStr">
        <is>
          <t>Digital Operational Resilience Act (DORA)</t>
        </is>
      </c>
      <c r="C375" s="2" t="inlineStr">
        <is>
          <t>32022R2554</t>
        </is>
      </c>
      <c r="D375" s="2" t="inlineStr">
        <is>
          <t>32022R2554R(02)</t>
        </is>
      </c>
      <c r="E375" s="2" t="inlineStr">
        <is>
          <t>corrigendum</t>
        </is>
      </c>
      <c r="F375" s="2" t="inlineStr">
        <is>
          <t>2023-06-29</t>
        </is>
      </c>
      <c r="G375" s="2" t="inlineStr"/>
      <c r="H375" s="2" t="inlineStr">
        <is>
          <t>https://eur-lex.europa.eu/legal-content/EN/TXT/?uri=CELEX:32022R2554R(02)</t>
        </is>
      </c>
    </row>
    <row r="376">
      <c r="A376" s="2" t="n">
        <v>57</v>
      </c>
      <c r="B376" s="2" t="inlineStr">
        <is>
          <t>Digital Operational Resilience Act (DORA)</t>
        </is>
      </c>
      <c r="C376" s="2" t="inlineStr">
        <is>
          <t>32022R2554</t>
        </is>
      </c>
      <c r="D376" s="2" t="inlineStr">
        <is>
          <t>32022R2554R(03)</t>
        </is>
      </c>
      <c r="E376" s="2" t="inlineStr">
        <is>
          <t>corrigendum</t>
        </is>
      </c>
      <c r="F376" s="2" t="inlineStr">
        <is>
          <t>2024-03-12</t>
        </is>
      </c>
      <c r="G376" s="2" t="inlineStr"/>
      <c r="H376" s="2" t="inlineStr">
        <is>
          <t>https://eur-lex.europa.eu/legal-content/EN/TXT/?uri=CELEX:32022R2554R(03)</t>
        </is>
      </c>
    </row>
    <row r="377">
      <c r="A377" s="2" t="n">
        <v>57</v>
      </c>
      <c r="B377" s="2" t="inlineStr">
        <is>
          <t>Digital Operational Resilience Act (DORA)</t>
        </is>
      </c>
      <c r="C377" s="2" t="inlineStr">
        <is>
          <t>32022R2554</t>
        </is>
      </c>
      <c r="D377" s="2" t="inlineStr">
        <is>
          <t>32022R2554R(04)</t>
        </is>
      </c>
      <c r="E377" s="2" t="inlineStr">
        <is>
          <t>corrigendum</t>
        </is>
      </c>
      <c r="F377" s="2" t="inlineStr">
        <is>
          <t>2024-10-25</t>
        </is>
      </c>
      <c r="G377" s="2" t="inlineStr"/>
      <c r="H377" s="2" t="inlineStr">
        <is>
          <t>https://eur-lex.europa.eu/legal-content/EN/TXT/?uri=CELEX:32022R2554R(04)</t>
        </is>
      </c>
    </row>
    <row r="378">
      <c r="A378" s="2" t="n">
        <v>57</v>
      </c>
      <c r="B378" s="2" t="inlineStr">
        <is>
          <t>Digital Operational Resilience Act (DORA)</t>
        </is>
      </c>
      <c r="C378" s="2" t="inlineStr">
        <is>
          <t>32022R2554</t>
        </is>
      </c>
      <c r="D378" s="2" t="inlineStr">
        <is>
          <t>32022R2554R(05)</t>
        </is>
      </c>
      <c r="E378" s="2" t="inlineStr">
        <is>
          <t>corrigendum</t>
        </is>
      </c>
      <c r="F378" s="2" t="inlineStr">
        <is>
          <t>2024-12-19</t>
        </is>
      </c>
      <c r="G378" s="2" t="inlineStr"/>
      <c r="H378" s="2" t="inlineStr">
        <is>
          <t>https://eur-lex.europa.eu/legal-content/EN/TXT/?uri=CELEX:32022R2554R(05)</t>
        </is>
      </c>
    </row>
    <row r="379">
      <c r="A379" s="2" t="n">
        <v>57</v>
      </c>
      <c r="B379" s="2" t="inlineStr">
        <is>
          <t>Digital Operational Resilience Act (DORA)</t>
        </is>
      </c>
      <c r="C379" s="2" t="inlineStr">
        <is>
          <t>32022R2554</t>
        </is>
      </c>
      <c r="D379" s="2" t="inlineStr">
        <is>
          <t>32022R2554R(06)</t>
        </is>
      </c>
      <c r="E379" s="2" t="inlineStr">
        <is>
          <t>corrigendum</t>
        </is>
      </c>
      <c r="F379" s="2" t="inlineStr">
        <is>
          <t>2025-02-20</t>
        </is>
      </c>
      <c r="G379" s="2" t="inlineStr"/>
      <c r="H379" s="2" t="inlineStr">
        <is>
          <t>https://eur-lex.europa.eu/legal-content/EN/TXT/?uri=CELEX:32022R2554R(06)</t>
        </is>
      </c>
    </row>
    <row r="380">
      <c r="A380" s="2" t="n">
        <v>57</v>
      </c>
      <c r="B380" s="2" t="inlineStr">
        <is>
          <t>Digital Operational Resilience Act (DORA)</t>
        </is>
      </c>
      <c r="C380" s="2" t="inlineStr">
        <is>
          <t>32022R2554</t>
        </is>
      </c>
      <c r="D380" s="2" t="inlineStr">
        <is>
          <t>32022R2554R(07)</t>
        </is>
      </c>
      <c r="E380" s="2" t="inlineStr">
        <is>
          <t>corrigendum</t>
        </is>
      </c>
      <c r="F380" s="2" t="inlineStr">
        <is>
          <t>2025-07-30</t>
        </is>
      </c>
      <c r="G380" s="2" t="inlineStr"/>
      <c r="H380" s="2" t="inlineStr">
        <is>
          <t>https://eur-lex.europa.eu/legal-content/EN/TXT/?uri=CELEX:32022R2554R(07)</t>
        </is>
      </c>
    </row>
    <row r="381">
      <c r="A381" s="2" t="n">
        <v>57</v>
      </c>
      <c r="B381" s="2" t="inlineStr">
        <is>
          <t>Digital Operational Resilience Act (DORA)</t>
        </is>
      </c>
      <c r="C381" s="2" t="inlineStr">
        <is>
          <t>32022R2554</t>
        </is>
      </c>
      <c r="D381" s="2" t="inlineStr">
        <is>
          <t>32022R2554R(08)</t>
        </is>
      </c>
      <c r="E381" s="2" t="inlineStr">
        <is>
          <t>corrigendum</t>
        </is>
      </c>
      <c r="F381" s="2" t="inlineStr">
        <is>
          <t>2025-10-01</t>
        </is>
      </c>
      <c r="G381" s="2" t="inlineStr"/>
      <c r="H381" s="2" t="inlineStr">
        <is>
          <t>https://eur-lex.europa.eu/legal-content/EN/TXT/?uri=CELEX:32022R2554R(08)</t>
        </is>
      </c>
    </row>
    <row r="382">
      <c r="A382" s="2" t="n">
        <v>57</v>
      </c>
      <c r="B382" s="2" t="inlineStr">
        <is>
          <t>Digital Operational Resilience Act (DORA)</t>
        </is>
      </c>
      <c r="C382" s="2" t="inlineStr">
        <is>
          <t>32022R2554</t>
        </is>
      </c>
      <c r="D382" s="2" t="inlineStr">
        <is>
          <t>32022R2554R(09)</t>
        </is>
      </c>
      <c r="E382" s="2" t="inlineStr">
        <is>
          <t>corrigendum</t>
        </is>
      </c>
      <c r="F382" s="2" t="inlineStr">
        <is>
          <t>2025-11-21</t>
        </is>
      </c>
      <c r="G382" s="2" t="inlineStr"/>
      <c r="H382" s="2" t="inlineStr">
        <is>
          <t>https://eur-lex.europa.eu/legal-content/EN/TXT/?uri=CELEX:32022R2554R(09)</t>
        </is>
      </c>
    </row>
    <row r="383">
      <c r="A383" s="2" t="n">
        <v>58</v>
      </c>
      <c r="B383" s="2" t="inlineStr">
        <is>
          <t>Data Governance Act</t>
        </is>
      </c>
      <c r="C383" s="2" t="inlineStr">
        <is>
          <t>32022R0868</t>
        </is>
      </c>
      <c r="D383" s="2" t="inlineStr">
        <is>
          <t>32022R0868R(01)</t>
        </is>
      </c>
      <c r="E383" s="2" t="inlineStr">
        <is>
          <t>corrigendum</t>
        </is>
      </c>
      <c r="F383" s="2" t="inlineStr">
        <is>
          <t>2022-10-06</t>
        </is>
      </c>
      <c r="G383" s="2" t="inlineStr"/>
      <c r="H383" s="2" t="inlineStr">
        <is>
          <t>https://eur-lex.europa.eu/legal-content/EN/TXT/?uri=CELEX:32022R0868R(01)</t>
        </is>
      </c>
    </row>
    <row r="384">
      <c r="A384" s="2" t="n">
        <v>58</v>
      </c>
      <c r="B384" s="2" t="inlineStr">
        <is>
          <t>Data Governance Act</t>
        </is>
      </c>
      <c r="C384" s="2" t="inlineStr">
        <is>
          <t>32022R0868</t>
        </is>
      </c>
      <c r="D384" s="2" t="inlineStr">
        <is>
          <t>32022R0868R(02)</t>
        </is>
      </c>
      <c r="E384" s="2" t="inlineStr">
        <is>
          <t>corrigendum</t>
        </is>
      </c>
      <c r="F384" s="2" t="inlineStr">
        <is>
          <t>2023-05-17</t>
        </is>
      </c>
      <c r="G384" s="2" t="inlineStr"/>
      <c r="H384" s="2" t="inlineStr">
        <is>
          <t>https://eur-lex.europa.eu/legal-content/EN/TXT/?uri=CELEX:32022R0868R(02)</t>
        </is>
      </c>
    </row>
    <row r="385">
      <c r="A385" s="2" t="n">
        <v>58</v>
      </c>
      <c r="B385" s="2" t="inlineStr">
        <is>
          <t>Data Governance Act</t>
        </is>
      </c>
      <c r="C385" s="2" t="inlineStr">
        <is>
          <t>32022R0868</t>
        </is>
      </c>
      <c r="D385" s="2" t="inlineStr">
        <is>
          <t>32022R0868R(03)</t>
        </is>
      </c>
      <c r="E385" s="2" t="inlineStr">
        <is>
          <t>corrigendum</t>
        </is>
      </c>
      <c r="F385" s="2" t="inlineStr">
        <is>
          <t>2023-11-09</t>
        </is>
      </c>
      <c r="G385" s="2" t="inlineStr"/>
      <c r="H385" s="2" t="inlineStr">
        <is>
          <t>https://eur-lex.europa.eu/legal-content/EN/TXT/?uri=CELEX:32022R0868R(03)</t>
        </is>
      </c>
    </row>
    <row r="386">
      <c r="A386" s="2" t="n">
        <v>58</v>
      </c>
      <c r="B386" s="2" t="inlineStr">
        <is>
          <t>Data Governance Act</t>
        </is>
      </c>
      <c r="C386" s="2" t="inlineStr">
        <is>
          <t>32022R0868</t>
        </is>
      </c>
      <c r="D386" s="2" t="inlineStr">
        <is>
          <t>32022R0868R(04)</t>
        </is>
      </c>
      <c r="E386" s="2" t="inlineStr">
        <is>
          <t>corrigendum</t>
        </is>
      </c>
      <c r="F386" s="2" t="inlineStr">
        <is>
          <t>2023-12-21</t>
        </is>
      </c>
      <c r="G386" s="2" t="inlineStr"/>
      <c r="H386" s="2" t="inlineStr">
        <is>
          <t>https://eur-lex.europa.eu/legal-content/EN/TXT/?uri=CELEX:32022R0868R(04)</t>
        </is>
      </c>
    </row>
    <row r="387">
      <c r="A387" s="2" t="n">
        <v>58</v>
      </c>
      <c r="B387" s="2" t="inlineStr">
        <is>
          <t>Data Governance Act</t>
        </is>
      </c>
      <c r="C387" s="2" t="inlineStr">
        <is>
          <t>32022R0868</t>
        </is>
      </c>
      <c r="D387" s="2" t="inlineStr">
        <is>
          <t>32022R0868R(05)</t>
        </is>
      </c>
      <c r="E387" s="2" t="inlineStr">
        <is>
          <t>corrigendum</t>
        </is>
      </c>
      <c r="F387" s="2" t="inlineStr">
        <is>
          <t>2024-12-17</t>
        </is>
      </c>
      <c r="G387" s="2" t="inlineStr"/>
      <c r="H387" s="2" t="inlineStr">
        <is>
          <t>https://eur-lex.europa.eu/legal-content/EN/TXT/?uri=CELEX:32022R0868R(05)</t>
        </is>
      </c>
    </row>
    <row r="388">
      <c r="A388" s="2" t="n">
        <v>58</v>
      </c>
      <c r="B388" s="2" t="inlineStr">
        <is>
          <t>Data Governance Act</t>
        </is>
      </c>
      <c r="C388" s="2" t="inlineStr">
        <is>
          <t>32022R0868</t>
        </is>
      </c>
      <c r="D388" s="2" t="inlineStr">
        <is>
          <t>32022R0868R(06)</t>
        </is>
      </c>
      <c r="E388" s="2" t="inlineStr">
        <is>
          <t>corrigendum</t>
        </is>
      </c>
      <c r="F388" s="2" t="inlineStr">
        <is>
          <t>2025-12-15</t>
        </is>
      </c>
      <c r="G388" s="2" t="inlineStr"/>
      <c r="H388" s="2" t="inlineStr">
        <is>
          <t>https://eur-lex.europa.eu/legal-content/EN/TXT/?uri=CELEX:32022R0868R(06)</t>
        </is>
      </c>
    </row>
    <row r="389">
      <c r="A389" s="2" t="n">
        <v>59</v>
      </c>
      <c r="B389" s="2" t="inlineStr">
        <is>
          <t>Digital Markets Act</t>
        </is>
      </c>
      <c r="C389" s="2" t="inlineStr">
        <is>
          <t>32022R1925</t>
        </is>
      </c>
      <c r="D389" s="2" t="inlineStr">
        <is>
          <t>32022R1925R(01)</t>
        </is>
      </c>
      <c r="E389" s="2" t="inlineStr">
        <is>
          <t>corrigendum</t>
        </is>
      </c>
      <c r="F389" s="2" t="inlineStr">
        <is>
          <t>2023-05-04</t>
        </is>
      </c>
      <c r="G389" s="2" t="inlineStr"/>
      <c r="H389" s="2" t="inlineStr">
        <is>
          <t>https://eur-lex.europa.eu/legal-content/EN/TXT/?uri=CELEX:32022R1925R(01)</t>
        </is>
      </c>
    </row>
    <row r="390">
      <c r="A390" s="2" t="n">
        <v>59</v>
      </c>
      <c r="B390" s="2" t="inlineStr">
        <is>
          <t>Digital Markets Act</t>
        </is>
      </c>
      <c r="C390" s="2" t="inlineStr">
        <is>
          <t>32022R1925</t>
        </is>
      </c>
      <c r="D390" s="2" t="inlineStr">
        <is>
          <t>32022R1925R(02)</t>
        </is>
      </c>
      <c r="E390" s="2" t="inlineStr">
        <is>
          <t>corrigendum</t>
        </is>
      </c>
      <c r="F390" s="2" t="inlineStr">
        <is>
          <t>2025-01-10</t>
        </is>
      </c>
      <c r="G390" s="2" t="inlineStr">
        <is>
          <t>Corrigendum to Regulation (EU) 2022/1925 of the European Parliament and of the Council of 14 September 2022 on contestable and fair markets in the digital sector and amending Directives (EU) 2019/1937 and (EU) 2020/1828 (Digital Markets Act) (OJ L 265, 12.10.2022)</t>
        </is>
      </c>
      <c r="H390" s="2" t="inlineStr">
        <is>
          <t>https://eur-lex.europa.eu/legal-content/EN/TXT/?uri=CELEX:32022R1925R(02)</t>
        </is>
      </c>
    </row>
    <row r="391">
      <c r="A391" s="2" t="n">
        <v>59</v>
      </c>
      <c r="B391" s="2" t="inlineStr">
        <is>
          <t>Digital Markets Act</t>
        </is>
      </c>
      <c r="C391" s="2" t="inlineStr">
        <is>
          <t>32022R1925</t>
        </is>
      </c>
      <c r="D391" s="2" t="inlineStr">
        <is>
          <t>32022R1925R(03)</t>
        </is>
      </c>
      <c r="E391" s="2" t="inlineStr">
        <is>
          <t>corrigendum</t>
        </is>
      </c>
      <c r="F391" s="2" t="inlineStr">
        <is>
          <t>2026-10-01</t>
        </is>
      </c>
      <c r="G391" s="2" t="inlineStr"/>
      <c r="H391" s="2" t="inlineStr">
        <is>
          <t>https://eur-lex.europa.eu/legal-content/EN/TXT/?uri=CELEX:32022R1925R(03)</t>
        </is>
      </c>
    </row>
    <row r="392">
      <c r="A392" s="2" t="n">
        <v>60</v>
      </c>
      <c r="B392" s="2" t="inlineStr">
        <is>
          <t>Digital Services Act</t>
        </is>
      </c>
      <c r="C392" s="2" t="inlineStr">
        <is>
          <t>32022R2065</t>
        </is>
      </c>
      <c r="D392" s="2" t="inlineStr">
        <is>
          <t>32022R2065R(01)</t>
        </is>
      </c>
      <c r="E392" s="2" t="inlineStr">
        <is>
          <t>corrigendum</t>
        </is>
      </c>
      <c r="F392" s="2" t="inlineStr">
        <is>
          <t>2022-12-01</t>
        </is>
      </c>
      <c r="G392" s="2" t="inlineStr"/>
      <c r="H392" s="2" t="inlineStr">
        <is>
          <t>https://eur-lex.europa.eu/legal-content/EN/TXT/?uri=CELEX:32022R2065R(01)</t>
        </is>
      </c>
    </row>
    <row r="393">
      <c r="A393" s="2" t="n">
        <v>60</v>
      </c>
      <c r="B393" s="2" t="inlineStr">
        <is>
          <t>Digital Services Act</t>
        </is>
      </c>
      <c r="C393" s="2" t="inlineStr">
        <is>
          <t>32022R2065</t>
        </is>
      </c>
      <c r="D393" s="2" t="inlineStr">
        <is>
          <t>32022R2065R(02)</t>
        </is>
      </c>
      <c r="E393" s="2" t="inlineStr">
        <is>
          <t>corrigendum</t>
        </is>
      </c>
      <c r="F393" s="2" t="inlineStr">
        <is>
          <t>2023-01-05</t>
        </is>
      </c>
      <c r="G393" s="2" t="inlineStr"/>
      <c r="H393" s="2" t="inlineStr">
        <is>
          <t>https://eur-lex.europa.eu/legal-content/EN/TXT/?uri=CELEX:32022R2065R(02)</t>
        </is>
      </c>
    </row>
    <row r="394">
      <c r="A394" s="2" t="n">
        <v>60</v>
      </c>
      <c r="B394" s="2" t="inlineStr">
        <is>
          <t>Digital Services Act</t>
        </is>
      </c>
      <c r="C394" s="2" t="inlineStr">
        <is>
          <t>32022R2065</t>
        </is>
      </c>
      <c r="D394" s="2" t="inlineStr">
        <is>
          <t>32022R2065R(03)</t>
        </is>
      </c>
      <c r="E394" s="2" t="inlineStr">
        <is>
          <t>corrigendum</t>
        </is>
      </c>
      <c r="F394" s="2" t="inlineStr">
        <is>
          <t>2023-06-29</t>
        </is>
      </c>
      <c r="G394" s="2" t="inlineStr"/>
      <c r="H394" s="2" t="inlineStr">
        <is>
          <t>https://eur-lex.europa.eu/legal-content/EN/TXT/?uri=CELEX:32022R2065R(03)</t>
        </is>
      </c>
    </row>
    <row r="395">
      <c r="A395" s="2" t="n">
        <v>60</v>
      </c>
      <c r="B395" s="2" t="inlineStr">
        <is>
          <t>Digital Services Act</t>
        </is>
      </c>
      <c r="C395" s="2" t="inlineStr">
        <is>
          <t>32022R2065</t>
        </is>
      </c>
      <c r="D395" s="2" t="inlineStr">
        <is>
          <t>32022R2065R(04)</t>
        </is>
      </c>
      <c r="E395" s="2" t="inlineStr">
        <is>
          <t>corrigendum</t>
        </is>
      </c>
      <c r="F395" s="2" t="inlineStr">
        <is>
          <t>2023-11-07</t>
        </is>
      </c>
      <c r="G395" s="2" t="inlineStr"/>
      <c r="H395" s="2" t="inlineStr">
        <is>
          <t>https://eur-lex.europa.eu/legal-content/EN/TXT/?uri=CELEX:32022R2065R(04)</t>
        </is>
      </c>
    </row>
    <row r="396">
      <c r="A396" s="2" t="n">
        <v>60</v>
      </c>
      <c r="B396" s="2" t="inlineStr">
        <is>
          <t>Digital Services Act</t>
        </is>
      </c>
      <c r="C396" s="2" t="inlineStr">
        <is>
          <t>32022R2065</t>
        </is>
      </c>
      <c r="D396" s="2" t="inlineStr">
        <is>
          <t>32022R2065R(05)</t>
        </is>
      </c>
      <c r="E396" s="2" t="inlineStr">
        <is>
          <t>corrigendum</t>
        </is>
      </c>
      <c r="F396" s="2" t="inlineStr">
        <is>
          <t>2024-07-04</t>
        </is>
      </c>
      <c r="G396" s="2" t="inlineStr"/>
      <c r="H396" s="2" t="inlineStr">
        <is>
          <t>https://eur-lex.europa.eu/legal-content/EN/TXT/?uri=CELEX:32022R2065R(05)</t>
        </is>
      </c>
    </row>
    <row r="397">
      <c r="A397" s="2" t="n">
        <v>60</v>
      </c>
      <c r="B397" s="2" t="inlineStr">
        <is>
          <t>Digital Services Act</t>
        </is>
      </c>
      <c r="C397" s="2" t="inlineStr">
        <is>
          <t>32022R2065</t>
        </is>
      </c>
      <c r="D397" s="2" t="inlineStr">
        <is>
          <t>32022R2065R(06)</t>
        </is>
      </c>
      <c r="E397" s="2" t="inlineStr">
        <is>
          <t>corrigendum</t>
        </is>
      </c>
      <c r="F397" s="2" t="inlineStr">
        <is>
          <t>2024-12-20</t>
        </is>
      </c>
      <c r="G397" s="2" t="inlineStr"/>
      <c r="H397" s="2" t="inlineStr">
        <is>
          <t>https://eur-lex.europa.eu/legal-content/EN/TXT/?uri=CELEX:32022R2065R(06)</t>
        </is>
      </c>
    </row>
    <row r="398">
      <c r="A398" s="2" t="n">
        <v>60</v>
      </c>
      <c r="B398" s="2" t="inlineStr">
        <is>
          <t>Digital Services Act</t>
        </is>
      </c>
      <c r="C398" s="2" t="inlineStr">
        <is>
          <t>32022R2065</t>
        </is>
      </c>
      <c r="D398" s="2" t="inlineStr">
        <is>
          <t>32022R2065R(07)</t>
        </is>
      </c>
      <c r="E398" s="2" t="inlineStr">
        <is>
          <t>corrigendum</t>
        </is>
      </c>
      <c r="F398" s="2" t="inlineStr">
        <is>
          <t>2025-11-05</t>
        </is>
      </c>
      <c r="G398" s="2" t="inlineStr"/>
      <c r="H398" s="2" t="inlineStr">
        <is>
          <t>https://eur-lex.europa.eu/legal-content/EN/TXT/?uri=CELEX:32022R2065R(07)</t>
        </is>
      </c>
    </row>
    <row r="399">
      <c r="A399" s="2" t="n">
        <v>60</v>
      </c>
      <c r="B399" s="2" t="inlineStr">
        <is>
          <t>Digital Services Act</t>
        </is>
      </c>
      <c r="C399" s="2" t="inlineStr">
        <is>
          <t>32022R2065</t>
        </is>
      </c>
      <c r="D399" s="2" t="inlineStr">
        <is>
          <t>32022R2065R(08)</t>
        </is>
      </c>
      <c r="E399" s="2" t="inlineStr">
        <is>
          <t>corrigendum</t>
        </is>
      </c>
      <c r="F399" s="2" t="inlineStr">
        <is>
          <t>2026-02-11</t>
        </is>
      </c>
      <c r="G399" s="2" t="inlineStr"/>
      <c r="H399" s="2" t="inlineStr">
        <is>
          <t>https://eur-lex.europa.eu/legal-content/EN/TXT/?uri=CELEX:32022R2065R(08)</t>
        </is>
      </c>
    </row>
    <row r="400">
      <c r="A400" s="2" t="n">
        <v>60</v>
      </c>
      <c r="B400" s="2" t="inlineStr">
        <is>
          <t>Digital Services Act</t>
        </is>
      </c>
      <c r="C400" s="2" t="inlineStr">
        <is>
          <t>32022R2065</t>
        </is>
      </c>
      <c r="D400" s="2" t="inlineStr">
        <is>
          <t>32022R2065R(09)</t>
        </is>
      </c>
      <c r="E400" s="2" t="inlineStr">
        <is>
          <t>corrigendum</t>
        </is>
      </c>
      <c r="F400" s="2" t="inlineStr">
        <is>
          <t>2026-03-16</t>
        </is>
      </c>
      <c r="G400" s="2" t="inlineStr"/>
      <c r="H400" s="2" t="inlineStr">
        <is>
          <t>https://eur-lex.europa.eu/legal-content/EN/TXT/?uri=CELEX:32022R2065R(09)</t>
        </is>
      </c>
    </row>
    <row r="401">
      <c r="A401" s="2" t="n">
        <v>60</v>
      </c>
      <c r="B401" s="2" t="inlineStr">
        <is>
          <t>Digital Services Act</t>
        </is>
      </c>
      <c r="C401" s="2" t="inlineStr">
        <is>
          <t>32022R2065</t>
        </is>
      </c>
      <c r="D401" s="2" t="inlineStr">
        <is>
          <t>32022R2065R(10)</t>
        </is>
      </c>
      <c r="E401" s="2" t="inlineStr">
        <is>
          <t>corrigendum</t>
        </is>
      </c>
      <c r="F401" s="2" t="inlineStr">
        <is>
          <t>2026-05-12</t>
        </is>
      </c>
      <c r="G401" s="2" t="inlineStr"/>
      <c r="H401" s="2" t="inlineStr">
        <is>
          <t>https://eur-lex.europa.eu/legal-content/EN/TXT/?uri=CELEX:32022R2065R(10)</t>
        </is>
      </c>
    </row>
    <row r="402">
      <c r="A402" s="2" t="n">
        <v>61</v>
      </c>
      <c r="B402" s="2" t="inlineStr">
        <is>
          <t>NIS 2 Directive</t>
        </is>
      </c>
      <c r="C402" s="2" t="inlineStr">
        <is>
          <t>32022L2555</t>
        </is>
      </c>
      <c r="D402" s="2" t="inlineStr">
        <is>
          <t>32022L2555R(01)</t>
        </is>
      </c>
      <c r="E402" s="2" t="inlineStr">
        <is>
          <t>corrigendum</t>
        </is>
      </c>
      <c r="F402" s="2" t="inlineStr">
        <is>
          <t>2023-04-27</t>
        </is>
      </c>
      <c r="G402" s="2" t="inlineStr"/>
      <c r="H402" s="2" t="inlineStr">
        <is>
          <t>https://eur-lex.europa.eu/legal-content/EN/TXT/?uri=CELEX:32022L2555R(01)</t>
        </is>
      </c>
    </row>
    <row r="403">
      <c r="A403" s="2" t="n">
        <v>61</v>
      </c>
      <c r="B403" s="2" t="inlineStr">
        <is>
          <t>NIS 2 Directive</t>
        </is>
      </c>
      <c r="C403" s="2" t="inlineStr">
        <is>
          <t>32022L2555</t>
        </is>
      </c>
      <c r="D403" s="2" t="inlineStr">
        <is>
          <t>32022L2555R(02)</t>
        </is>
      </c>
      <c r="E403" s="2" t="inlineStr">
        <is>
          <t>corrigendum</t>
        </is>
      </c>
      <c r="F403" s="2" t="inlineStr">
        <is>
          <t>2023-06-15</t>
        </is>
      </c>
      <c r="G403" s="2" t="inlineStr"/>
      <c r="H403" s="2" t="inlineStr">
        <is>
          <t>https://eur-lex.europa.eu/legal-content/EN/TXT/?uri=CELEX:32022L2555R(02)</t>
        </is>
      </c>
    </row>
    <row r="404">
      <c r="A404" s="2" t="n">
        <v>61</v>
      </c>
      <c r="B404" s="2" t="inlineStr">
        <is>
          <t>NIS 2 Directive</t>
        </is>
      </c>
      <c r="C404" s="2" t="inlineStr">
        <is>
          <t>32022L2555</t>
        </is>
      </c>
      <c r="D404" s="2" t="inlineStr">
        <is>
          <t>32022L2555R(03)</t>
        </is>
      </c>
      <c r="E404" s="2" t="inlineStr">
        <is>
          <t>corrigendum</t>
        </is>
      </c>
      <c r="F404" s="2" t="inlineStr">
        <is>
          <t>2023-09-28</t>
        </is>
      </c>
      <c r="G404" s="2" t="inlineStr"/>
      <c r="H404" s="2" t="inlineStr">
        <is>
          <t>https://eur-lex.europa.eu/legal-content/EN/TXT/?uri=CELEX:32022L2555R(03)</t>
        </is>
      </c>
    </row>
    <row r="405">
      <c r="A405" s="2" t="n">
        <v>61</v>
      </c>
      <c r="B405" s="2" t="inlineStr">
        <is>
          <t>NIS 2 Directive</t>
        </is>
      </c>
      <c r="C405" s="2" t="inlineStr">
        <is>
          <t>32022L2555</t>
        </is>
      </c>
      <c r="D405" s="2" t="inlineStr">
        <is>
          <t>32022L2555R(04)</t>
        </is>
      </c>
      <c r="E405" s="2" t="inlineStr">
        <is>
          <t>corrigendum</t>
        </is>
      </c>
      <c r="F405" s="2" t="inlineStr">
        <is>
          <t>2023-12-22</t>
        </is>
      </c>
      <c r="G405" s="2" t="inlineStr">
        <is>
          <t>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is>
      </c>
      <c r="H405" s="2" t="inlineStr">
        <is>
          <t>https://eur-lex.europa.eu/legal-content/EN/TXT/?uri=CELEX:32022L2555R(04)</t>
        </is>
      </c>
    </row>
    <row r="406">
      <c r="A406" s="2" t="n">
        <v>61</v>
      </c>
      <c r="B406" s="2" t="inlineStr">
        <is>
          <t>NIS 2 Directive</t>
        </is>
      </c>
      <c r="C406" s="2" t="inlineStr">
        <is>
          <t>32022L2555</t>
        </is>
      </c>
      <c r="D406" s="2" t="inlineStr">
        <is>
          <t>32022L2555R(05)</t>
        </is>
      </c>
      <c r="E406" s="2" t="inlineStr">
        <is>
          <t>corrigendum</t>
        </is>
      </c>
      <c r="F406" s="2" t="inlineStr">
        <is>
          <t>2024-06-12</t>
        </is>
      </c>
      <c r="G406" s="2" t="inlineStr"/>
      <c r="H406" s="2" t="inlineStr">
        <is>
          <t>https://eur-lex.europa.eu/legal-content/EN/TXT/?uri=CELEX:32022L2555R(05)</t>
        </is>
      </c>
    </row>
    <row r="407">
      <c r="A407" s="2" t="n">
        <v>61</v>
      </c>
      <c r="B407" s="2" t="inlineStr">
        <is>
          <t>NIS 2 Directive</t>
        </is>
      </c>
      <c r="C407" s="2" t="inlineStr">
        <is>
          <t>32022L2555</t>
        </is>
      </c>
      <c r="D407" s="2" t="inlineStr">
        <is>
          <t>32022L2555R(06)</t>
        </is>
      </c>
      <c r="E407" s="2" t="inlineStr">
        <is>
          <t>corrigendum</t>
        </is>
      </c>
      <c r="F407" s="2" t="inlineStr">
        <is>
          <t>2024-12-03</t>
        </is>
      </c>
      <c r="G407" s="2" t="inlineStr"/>
      <c r="H407" s="2" t="inlineStr">
        <is>
          <t>https://eur-lex.europa.eu/legal-content/EN/TXT/?uri=CELEX:32022L2555R(06)</t>
        </is>
      </c>
    </row>
    <row r="408">
      <c r="A408" s="2" t="n">
        <v>61</v>
      </c>
      <c r="B408" s="2" t="inlineStr">
        <is>
          <t>NIS 2 Directive</t>
        </is>
      </c>
      <c r="C408" s="2" t="inlineStr">
        <is>
          <t>32022L2555</t>
        </is>
      </c>
      <c r="D408" s="2" t="inlineStr">
        <is>
          <t>32022L2555R(07)</t>
        </is>
      </c>
      <c r="E408" s="2" t="inlineStr">
        <is>
          <t>corrigendum</t>
        </is>
      </c>
      <c r="F408" s="2" t="inlineStr">
        <is>
          <t>2025-04-04</t>
        </is>
      </c>
      <c r="G408" s="2" t="inlineStr"/>
      <c r="H408" s="2" t="inlineStr">
        <is>
          <t>https://eur-lex.europa.eu/legal-content/EN/TXT/?uri=CELEX:32022L2555R(07)</t>
        </is>
      </c>
    </row>
    <row r="409">
      <c r="A409" s="2" t="n">
        <v>61</v>
      </c>
      <c r="B409" s="2" t="inlineStr">
        <is>
          <t>NIS 2 Directive</t>
        </is>
      </c>
      <c r="C409" s="2" t="inlineStr">
        <is>
          <t>32022L2555</t>
        </is>
      </c>
      <c r="D409" s="2" t="inlineStr">
        <is>
          <t>32022L2555R(08)</t>
        </is>
      </c>
      <c r="E409" s="2" t="inlineStr">
        <is>
          <t>corrigendum</t>
        </is>
      </c>
      <c r="F409" s="2" t="inlineStr">
        <is>
          <t>2025-07-24</t>
        </is>
      </c>
      <c r="G409" s="2" t="inlineStr"/>
      <c r="H409" s="2" t="inlineStr">
        <is>
          <t>https://eur-lex.europa.eu/legal-content/EN/TXT/?uri=CELEX:32022L2555R(08)</t>
        </is>
      </c>
    </row>
    <row r="410">
      <c r="A410" s="2" t="n">
        <v>61</v>
      </c>
      <c r="B410" s="2" t="inlineStr">
        <is>
          <t>NIS 2 Directive</t>
        </is>
      </c>
      <c r="C410" s="2" t="inlineStr">
        <is>
          <t>32022L2555</t>
        </is>
      </c>
      <c r="D410" s="2" t="inlineStr">
        <is>
          <t>32022L2555R(09)</t>
        </is>
      </c>
      <c r="E410" s="2" t="inlineStr">
        <is>
          <t>corrigendum</t>
        </is>
      </c>
      <c r="F410" s="2" t="inlineStr">
        <is>
          <t>2025-11-06</t>
        </is>
      </c>
      <c r="G410" s="2" t="inlineStr"/>
      <c r="H410" s="2" t="inlineStr">
        <is>
          <t>https://eur-lex.europa.eu/legal-content/EN/TXT/?uri=CELEX:32022L2555R(09)</t>
        </is>
      </c>
    </row>
    <row r="411">
      <c r="A411" s="2" t="n">
        <v>62</v>
      </c>
      <c r="B411" s="2" t="inlineStr">
        <is>
          <t>Joint Undertakings under Horizon Europe</t>
        </is>
      </c>
      <c r="C411" s="2" t="inlineStr">
        <is>
          <t>32021R2085</t>
        </is>
      </c>
      <c r="D411" s="2" t="inlineStr">
        <is>
          <t>32023R1782</t>
        </is>
      </c>
      <c r="E411" s="2" t="inlineStr">
        <is>
          <t>amendment</t>
        </is>
      </c>
      <c r="F411" s="2" t="inlineStr">
        <is>
          <t>2023-07-25</t>
        </is>
      </c>
      <c r="G411" s="2" t="inlineStr">
        <is>
          <t>Council Regulation (EU) 2023/1782 of 25 July 2023 amending Regulation (EU) 2021/2085 establishing the Joint Undertakings under Horizon Europe, as regards the Chips Joint Undertaking (Text with EEA relevance)</t>
        </is>
      </c>
      <c r="H411" s="2" t="inlineStr">
        <is>
          <t>https://eur-lex.europa.eu/legal-content/EN/TXT/?uri=CELEX:32023R1782</t>
        </is>
      </c>
    </row>
    <row r="412">
      <c r="A412" s="2" t="n">
        <v>62</v>
      </c>
      <c r="B412" s="2" t="inlineStr">
        <is>
          <t>Joint Undertakings under Horizon Europe</t>
        </is>
      </c>
      <c r="C412" s="2" t="inlineStr">
        <is>
          <t>32021R2085</t>
        </is>
      </c>
      <c r="D412" s="2" t="inlineStr">
        <is>
          <t>32021R2085R(01)</t>
        </is>
      </c>
      <c r="E412" s="2" t="inlineStr">
        <is>
          <t>corrigendum</t>
        </is>
      </c>
      <c r="F412" s="2" t="inlineStr">
        <is>
          <t>2026-10-05</t>
        </is>
      </c>
      <c r="G412" s="2" t="inlineStr"/>
      <c r="H412" s="2" t="inlineStr">
        <is>
          <t>https://eur-lex.europa.eu/legal-content/EN/TXT/?uri=CELEX:32021R2085R(01)</t>
        </is>
      </c>
    </row>
    <row r="413">
      <c r="A413" s="2" t="n">
        <v>63</v>
      </c>
      <c r="B413" s="2" t="inlineStr">
        <is>
          <t>Roaming Regulation</t>
        </is>
      </c>
      <c r="C413" s="2" t="inlineStr">
        <is>
          <t>32022R0612</t>
        </is>
      </c>
      <c r="D413" s="2" t="inlineStr">
        <is>
          <t>32022R0612R(01)</t>
        </is>
      </c>
      <c r="E413" s="2" t="inlineStr">
        <is>
          <t>corrigendum</t>
        </is>
      </c>
      <c r="F413" s="2" t="inlineStr">
        <is>
          <t>2022-07-14</t>
        </is>
      </c>
      <c r="G413" s="2" t="inlineStr"/>
      <c r="H413" s="2" t="inlineStr">
        <is>
          <t>https://eur-lex.europa.eu/legal-content/EN/TXT/?uri=CELEX:32022R0612R(01)</t>
        </is>
      </c>
    </row>
    <row r="414">
      <c r="A414" s="2" t="n">
        <v>63</v>
      </c>
      <c r="B414" s="2" t="inlineStr">
        <is>
          <t>Roaming Regulation</t>
        </is>
      </c>
      <c r="C414" s="2" t="inlineStr">
        <is>
          <t>32022R0612</t>
        </is>
      </c>
      <c r="D414" s="2" t="inlineStr">
        <is>
          <t>32022R0612R(02)</t>
        </is>
      </c>
      <c r="E414" s="2" t="inlineStr">
        <is>
          <t>corrigendum</t>
        </is>
      </c>
      <c r="F414" s="2" t="inlineStr">
        <is>
          <t>2023-06-01</t>
        </is>
      </c>
      <c r="G414" s="2" t="inlineStr"/>
      <c r="H414" s="2" t="inlineStr">
        <is>
          <t>https://eur-lex.europa.eu/legal-content/EN/TXT/?uri=CELEX:32022R0612R(02)</t>
        </is>
      </c>
    </row>
    <row r="415">
      <c r="A415" s="2" t="n">
        <v>64</v>
      </c>
      <c r="B415" s="2" t="inlineStr">
        <is>
          <t>Artificial Intelligence Act</t>
        </is>
      </c>
      <c r="C415" s="2" t="inlineStr">
        <is>
          <t>32024R1689</t>
        </is>
      </c>
      <c r="D415" s="2" t="inlineStr">
        <is>
          <t>32026R1744</t>
        </is>
      </c>
      <c r="E415" s="2" t="inlineStr">
        <is>
          <t>amendment</t>
        </is>
      </c>
      <c r="F415" s="2" t="inlineStr">
        <is>
          <t>2026-07-08</t>
        </is>
      </c>
      <c r="G415" s="2" t="inlineStr">
        <is>
          <t>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is>
      </c>
      <c r="H415" s="2" t="inlineStr">
        <is>
          <t>https://eur-lex.europa.eu/legal-content/EN/TXT/?uri=CELEX:32026R1744</t>
        </is>
      </c>
    </row>
    <row r="416">
      <c r="A416" s="2" t="n">
        <v>64</v>
      </c>
      <c r="B416" s="2" t="inlineStr">
        <is>
          <t>Artificial Intelligence Act</t>
        </is>
      </c>
      <c r="C416" s="2" t="inlineStr">
        <is>
          <t>32024R1689</t>
        </is>
      </c>
      <c r="D416" s="2" t="inlineStr">
        <is>
          <t>32024R1689R(01)</t>
        </is>
      </c>
      <c r="E416" s="2" t="inlineStr">
        <is>
          <t>corrigendum</t>
        </is>
      </c>
      <c r="F416" s="2" t="inlineStr">
        <is>
          <t>2025-10-09</t>
        </is>
      </c>
      <c r="G416" s="2" t="inlineStr"/>
      <c r="H416" s="2" t="inlineStr">
        <is>
          <t>https://eur-lex.europa.eu/legal-content/EN/TXT/?uri=CELEX:32024R1689R(01)</t>
        </is>
      </c>
    </row>
    <row r="417">
      <c r="A417" s="2" t="n">
        <v>64</v>
      </c>
      <c r="B417" s="2" t="inlineStr">
        <is>
          <t>Artificial Intelligence Act</t>
        </is>
      </c>
      <c r="C417" s="2" t="inlineStr">
        <is>
          <t>32024R1689</t>
        </is>
      </c>
      <c r="D417" s="2" t="inlineStr">
        <is>
          <t>32024R1689R(02)</t>
        </is>
      </c>
      <c r="E417" s="2" t="inlineStr">
        <is>
          <t>corrigendum</t>
        </is>
      </c>
      <c r="F417" s="2" t="inlineStr">
        <is>
          <t>2025-12-19</t>
        </is>
      </c>
      <c r="G417" s="2" t="inlineStr"/>
      <c r="H417" s="2" t="inlineStr">
        <is>
          <t>https://eur-lex.europa.eu/legal-content/EN/TXT/?uri=CELEX:32024R1689R(02)</t>
        </is>
      </c>
    </row>
    <row r="418">
      <c r="A418" s="2" t="n">
        <v>64</v>
      </c>
      <c r="B418" s="2" t="inlineStr">
        <is>
          <t>Artificial Intelligence Act</t>
        </is>
      </c>
      <c r="C418" s="2" t="inlineStr">
        <is>
          <t>32024R1689</t>
        </is>
      </c>
      <c r="D418" s="2" t="inlineStr">
        <is>
          <t>32024R1689R(03)</t>
        </is>
      </c>
      <c r="E418" s="2" t="inlineStr">
        <is>
          <t>corrigendum</t>
        </is>
      </c>
      <c r="F418" s="2" t="inlineStr">
        <is>
          <t>2026-03-27</t>
        </is>
      </c>
      <c r="G418" s="2" t="inlineStr"/>
      <c r="H418" s="2" t="inlineStr">
        <is>
          <t>https://eur-lex.europa.eu/legal-content/EN/TXT/?uri=CELEX:32024R1689R(03)</t>
        </is>
      </c>
    </row>
    <row r="419">
      <c r="A419" s="2" t="n">
        <v>64</v>
      </c>
      <c r="B419" s="2" t="inlineStr">
        <is>
          <t>Artificial Intelligence Act</t>
        </is>
      </c>
      <c r="C419" s="2" t="inlineStr">
        <is>
          <t>32024R1689</t>
        </is>
      </c>
      <c r="D419" s="2" t="inlineStr">
        <is>
          <t>32024R1689R(04)</t>
        </is>
      </c>
      <c r="E419" s="2" t="inlineStr">
        <is>
          <t>corrigendum</t>
        </is>
      </c>
      <c r="F419" s="2" t="inlineStr">
        <is>
          <t>2026-05-04</t>
        </is>
      </c>
      <c r="G419" s="2" t="inlineStr"/>
      <c r="H419" s="2" t="inlineStr">
        <is>
          <t>https://eur-lex.europa.eu/legal-content/EN/TXT/?uri=CELEX:32024R1689R(04)</t>
        </is>
      </c>
    </row>
    <row r="420">
      <c r="A420" s="2" t="n">
        <v>65</v>
      </c>
      <c r="B420" s="2" t="inlineStr">
        <is>
          <t>Machinery Regulation</t>
        </is>
      </c>
      <c r="C420" s="2" t="inlineStr">
        <is>
          <t>32023R1230</t>
        </is>
      </c>
      <c r="D420" s="2" t="inlineStr">
        <is>
          <t>32024R2748</t>
        </is>
      </c>
      <c r="E420" s="2" t="inlineStr">
        <is>
          <t>amendment</t>
        </is>
      </c>
      <c r="F420" s="2" t="inlineStr">
        <is>
          <t>2024-10-09</t>
        </is>
      </c>
      <c r="G420" s="2" t="inlineStr">
        <is>
          <t>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is>
      </c>
      <c r="H420" s="2" t="inlineStr">
        <is>
          <t>https://eur-lex.europa.eu/legal-content/EN/TXT/?uri=CELEX:32024R2748</t>
        </is>
      </c>
    </row>
    <row r="421">
      <c r="A421" s="2" t="n">
        <v>65</v>
      </c>
      <c r="B421" s="2" t="inlineStr">
        <is>
          <t>Machinery Regulation</t>
        </is>
      </c>
      <c r="C421" s="2" t="inlineStr">
        <is>
          <t>32023R1230</t>
        </is>
      </c>
      <c r="D421" s="2" t="inlineStr">
        <is>
          <t>32026R1744</t>
        </is>
      </c>
      <c r="E421" s="2" t="inlineStr">
        <is>
          <t>amendment</t>
        </is>
      </c>
      <c r="F421" s="2" t="inlineStr">
        <is>
          <t>2026-07-08</t>
        </is>
      </c>
      <c r="G421" s="2" t="inlineStr">
        <is>
          <t>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is>
      </c>
      <c r="H421" s="2" t="inlineStr">
        <is>
          <t>https://eur-lex.europa.eu/legal-content/EN/TXT/?uri=CELEX:32026R1744</t>
        </is>
      </c>
    </row>
    <row r="422">
      <c r="A422" s="2" t="n">
        <v>65</v>
      </c>
      <c r="B422" s="2" t="inlineStr">
        <is>
          <t>Machinery Regulation</t>
        </is>
      </c>
      <c r="C422" s="2" t="inlineStr">
        <is>
          <t>32023R1230</t>
        </is>
      </c>
      <c r="D422" s="2" t="inlineStr">
        <is>
          <t>32023R1230R(01)</t>
        </is>
      </c>
      <c r="E422" s="2" t="inlineStr">
        <is>
          <t>corrigendum</t>
        </is>
      </c>
      <c r="F422" s="2" t="inlineStr">
        <is>
          <t>2023-07-04</t>
        </is>
      </c>
      <c r="G422" s="2" t="inlineStr">
        <is>
          <t>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is>
      </c>
      <c r="H422" s="2" t="inlineStr">
        <is>
          <t>https://eur-lex.europa.eu/legal-content/EN/TXT/?uri=CELEX:32023R1230R(01)</t>
        </is>
      </c>
    </row>
    <row r="423">
      <c r="A423" s="2" t="n">
        <v>65</v>
      </c>
      <c r="B423" s="2" t="inlineStr">
        <is>
          <t>Machinery Regulation</t>
        </is>
      </c>
      <c r="C423" s="2" t="inlineStr">
        <is>
          <t>32023R1230</t>
        </is>
      </c>
      <c r="D423" s="2" t="inlineStr">
        <is>
          <t>32023R1230R(02)</t>
        </is>
      </c>
      <c r="E423" s="2" t="inlineStr">
        <is>
          <t>corrigendum</t>
        </is>
      </c>
      <c r="F423" s="2" t="inlineStr">
        <is>
          <t>2025-03-25</t>
        </is>
      </c>
      <c r="G423" s="2" t="inlineStr"/>
      <c r="H423" s="2" t="inlineStr">
        <is>
          <t>https://eur-lex.europa.eu/legal-content/EN/TXT/?uri=CELEX:32023R1230R(02)</t>
        </is>
      </c>
    </row>
    <row r="424">
      <c r="A424" s="2" t="n">
        <v>65</v>
      </c>
      <c r="B424" s="2" t="inlineStr">
        <is>
          <t>Machinery Regulation</t>
        </is>
      </c>
      <c r="C424" s="2" t="inlineStr">
        <is>
          <t>32023R1230</t>
        </is>
      </c>
      <c r="D424" s="2" t="inlineStr">
        <is>
          <t>32023R1230R(03)</t>
        </is>
      </c>
      <c r="E424" s="2" t="inlineStr">
        <is>
          <t>corrigendum</t>
        </is>
      </c>
      <c r="F424" s="2" t="inlineStr">
        <is>
          <t>2025-04-01</t>
        </is>
      </c>
      <c r="G424" s="2" t="inlineStr"/>
      <c r="H424" s="2" t="inlineStr">
        <is>
          <t>https://eur-lex.europa.eu/legal-content/EN/TXT/?uri=CELEX:32023R1230R(03)</t>
        </is>
      </c>
    </row>
    <row r="425">
      <c r="A425" s="2" t="n">
        <v>66</v>
      </c>
      <c r="B425" s="2" t="inlineStr">
        <is>
          <t>Foreign Subsidies Regulation</t>
        </is>
      </c>
      <c r="C425" s="2" t="inlineStr">
        <is>
          <t>32022R2560</t>
        </is>
      </c>
      <c r="D425" s="2" t="inlineStr">
        <is>
          <t>32022R2560R(01)</t>
        </is>
      </c>
      <c r="E425" s="2" t="inlineStr">
        <is>
          <t>corrigendum</t>
        </is>
      </c>
      <c r="F425" s="2" t="inlineStr">
        <is>
          <t>2023-02-02</t>
        </is>
      </c>
      <c r="G425" s="2" t="inlineStr"/>
      <c r="H425" s="2" t="inlineStr">
        <is>
          <t>https://eur-lex.europa.eu/legal-content/EN/TXT/?uri=CELEX:32022R2560R(01)</t>
        </is>
      </c>
    </row>
    <row r="426">
      <c r="A426" s="2" t="n">
        <v>66</v>
      </c>
      <c r="B426" s="2" t="inlineStr">
        <is>
          <t>Foreign Subsidies Regulation</t>
        </is>
      </c>
      <c r="C426" s="2" t="inlineStr">
        <is>
          <t>32022R2560</t>
        </is>
      </c>
      <c r="D426" s="2" t="inlineStr">
        <is>
          <t>32022R2560R(02)</t>
        </is>
      </c>
      <c r="E426" s="2" t="inlineStr">
        <is>
          <t>corrigendum</t>
        </is>
      </c>
      <c r="F426" s="2" t="inlineStr">
        <is>
          <t>2024-09-17</t>
        </is>
      </c>
      <c r="G426" s="2" t="inlineStr">
        <is>
          <t>Corrigendum to Regulation (EU) 2022/2560 of the European Parliament and of the Council of 14 December 2022 on foreign subsidies distorting the internal market (OJ L 330, 23.12.2022)</t>
        </is>
      </c>
      <c r="H426" s="2" t="inlineStr">
        <is>
          <t>https://eur-lex.europa.eu/legal-content/EN/TXT/?uri=CELEX:32022R2560R(02)</t>
        </is>
      </c>
    </row>
    <row r="427">
      <c r="A427" s="2" t="n">
        <v>67</v>
      </c>
      <c r="B427" s="2" t="inlineStr">
        <is>
          <t>General Product Safety Regulation</t>
        </is>
      </c>
      <c r="C427" s="2" t="inlineStr">
        <is>
          <t>32023R0988</t>
        </is>
      </c>
      <c r="D427" s="2" t="inlineStr">
        <is>
          <t>32024R2748</t>
        </is>
      </c>
      <c r="E427" s="2" t="inlineStr">
        <is>
          <t>amendment</t>
        </is>
      </c>
      <c r="F427" s="2" t="inlineStr">
        <is>
          <t>2024-10-09</t>
        </is>
      </c>
      <c r="G427" s="2" t="inlineStr">
        <is>
          <t>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is>
      </c>
      <c r="H427" s="2" t="inlineStr">
        <is>
          <t>https://eur-lex.europa.eu/legal-content/EN/TXT/?uri=CELEX:32024R2748</t>
        </is>
      </c>
    </row>
    <row r="428">
      <c r="A428" s="2" t="n">
        <v>67</v>
      </c>
      <c r="B428" s="2" t="inlineStr">
        <is>
          <t>General Product Safety Regulation</t>
        </is>
      </c>
      <c r="C428" s="2" t="inlineStr">
        <is>
          <t>32023R0988</t>
        </is>
      </c>
      <c r="D428" s="2" t="inlineStr">
        <is>
          <t>32023R0988R(01)</t>
        </is>
      </c>
      <c r="E428" s="2" t="inlineStr">
        <is>
          <t>corrigendum</t>
        </is>
      </c>
      <c r="F428" s="2" t="inlineStr">
        <is>
          <t>2023-12-19</t>
        </is>
      </c>
      <c r="G428" s="2" t="inlineStr"/>
      <c r="H428" s="2" t="inlineStr">
        <is>
          <t>https://eur-lex.europa.eu/legal-content/EN/TXT/?uri=CELEX:32023R0988R(01)</t>
        </is>
      </c>
    </row>
    <row r="429">
      <c r="A429" s="2" t="n">
        <v>67</v>
      </c>
      <c r="B429" s="2" t="inlineStr">
        <is>
          <t>General Product Safety Regulation</t>
        </is>
      </c>
      <c r="C429" s="2" t="inlineStr">
        <is>
          <t>32023R0988</t>
        </is>
      </c>
      <c r="D429" s="2" t="inlineStr">
        <is>
          <t>32023R0988R(02)</t>
        </is>
      </c>
      <c r="E429" s="2" t="inlineStr">
        <is>
          <t>corrigendum</t>
        </is>
      </c>
      <c r="F429" s="2" t="inlineStr">
        <is>
          <t>2025-01-21</t>
        </is>
      </c>
      <c r="G429" s="2" t="inlineStr"/>
      <c r="H429" s="2" t="inlineStr">
        <is>
          <t>https://eur-lex.europa.eu/legal-content/EN/TXT/?uri=CELEX:32023R0988R(02)</t>
        </is>
      </c>
    </row>
    <row r="430">
      <c r="A430" s="2" t="n">
        <v>67</v>
      </c>
      <c r="B430" s="2" t="inlineStr">
        <is>
          <t>General Product Safety Regulation</t>
        </is>
      </c>
      <c r="C430" s="2" t="inlineStr">
        <is>
          <t>32023R0988</t>
        </is>
      </c>
      <c r="D430" s="2" t="inlineStr">
        <is>
          <t>32023R0988R(03)</t>
        </is>
      </c>
      <c r="E430" s="2" t="inlineStr">
        <is>
          <t>corrigendum</t>
        </is>
      </c>
      <c r="F430" s="2" t="inlineStr">
        <is>
          <t>2025-08-20</t>
        </is>
      </c>
      <c r="G430" s="2" t="inlineStr"/>
      <c r="H430" s="2" t="inlineStr">
        <is>
          <t>https://eur-lex.europa.eu/legal-content/EN/TXT/?uri=CELEX:32023R0988R(03)</t>
        </is>
      </c>
    </row>
    <row r="431">
      <c r="A431" s="2" t="n">
        <v>67</v>
      </c>
      <c r="B431" s="2" t="inlineStr">
        <is>
          <t>General Product Safety Regulation</t>
        </is>
      </c>
      <c r="C431" s="2" t="inlineStr">
        <is>
          <t>32023R0988</t>
        </is>
      </c>
      <c r="D431" s="2" t="inlineStr">
        <is>
          <t>32023R0988R(04)</t>
        </is>
      </c>
      <c r="E431" s="2" t="inlineStr">
        <is>
          <t>corrigendum</t>
        </is>
      </c>
      <c r="F431" s="2" t="inlineStr">
        <is>
          <t>2026-03-18</t>
        </is>
      </c>
      <c r="G431" s="2" t="inlineStr"/>
      <c r="H431" s="2" t="inlineStr">
        <is>
          <t>https://eur-lex.europa.eu/legal-content/EN/TXT/?uri=CELEX:32023R0988R(04)</t>
        </is>
      </c>
    </row>
    <row r="432">
      <c r="A432" s="2" t="n">
        <v>68</v>
      </c>
      <c r="B432" s="2" t="inlineStr">
        <is>
          <t>Anti-Money Laundering Regulation</t>
        </is>
      </c>
      <c r="C432" s="2" t="inlineStr">
        <is>
          <t>32024R1624</t>
        </is>
      </c>
      <c r="D432" s="2" t="inlineStr">
        <is>
          <t>32024R1624R(01)</t>
        </is>
      </c>
      <c r="E432" s="2" t="inlineStr">
        <is>
          <t>corrigendum</t>
        </is>
      </c>
      <c r="F432" s="2" t="inlineStr">
        <is>
          <t>2025-03-20</t>
        </is>
      </c>
      <c r="G432" s="2" t="inlineStr"/>
      <c r="H432" s="2" t="inlineStr">
        <is>
          <t>https://eur-lex.europa.eu/legal-content/EN/TXT/?uri=CELEX:32024R1624R(01)</t>
        </is>
      </c>
    </row>
    <row r="433">
      <c r="A433" s="2" t="n">
        <v>68</v>
      </c>
      <c r="B433" s="2" t="inlineStr">
        <is>
          <t>Anti-Money Laundering Regulation</t>
        </is>
      </c>
      <c r="C433" s="2" t="inlineStr">
        <is>
          <t>32024R1624</t>
        </is>
      </c>
      <c r="D433" s="2" t="inlineStr">
        <is>
          <t>32024R1624R(02)</t>
        </is>
      </c>
      <c r="E433" s="2" t="inlineStr">
        <is>
          <t>corrigendum</t>
        </is>
      </c>
      <c r="F433" s="2" t="inlineStr">
        <is>
          <t>2026-03-31</t>
        </is>
      </c>
      <c r="G433" s="2" t="inlineStr"/>
      <c r="H433" s="2" t="inlineStr">
        <is>
          <t>https://eur-lex.europa.eu/legal-content/EN/TXT/?uri=CELEX:32024R1624R(02)</t>
        </is>
      </c>
    </row>
    <row r="434">
      <c r="A434" s="2" t="n">
        <v>68</v>
      </c>
      <c r="B434" s="2" t="inlineStr">
        <is>
          <t>Anti-Money Laundering Regulation</t>
        </is>
      </c>
      <c r="C434" s="2" t="inlineStr">
        <is>
          <t>32024R1624</t>
        </is>
      </c>
      <c r="D434" s="2" t="inlineStr">
        <is>
          <t>32024R1624R(03)</t>
        </is>
      </c>
      <c r="E434" s="2" t="inlineStr">
        <is>
          <t>corrigendum</t>
        </is>
      </c>
      <c r="F434" s="2" t="inlineStr">
        <is>
          <t>2026-04-16</t>
        </is>
      </c>
      <c r="G434" s="2" t="inlineStr"/>
      <c r="H434" s="2" t="inlineStr">
        <is>
          <t>https://eur-lex.europa.eu/legal-content/EN/TXT/?uri=CELEX:32024R1624R(03)</t>
        </is>
      </c>
    </row>
    <row r="435">
      <c r="A435" s="2" t="n">
        <v>68</v>
      </c>
      <c r="B435" s="2" t="inlineStr">
        <is>
          <t>Anti-Money Laundering Regulation</t>
        </is>
      </c>
      <c r="C435" s="2" t="inlineStr">
        <is>
          <t>32024R1624</t>
        </is>
      </c>
      <c r="D435" s="2" t="inlineStr">
        <is>
          <t>32024R1624R(04)</t>
        </is>
      </c>
      <c r="E435" s="2" t="inlineStr">
        <is>
          <t>corrigendum</t>
        </is>
      </c>
      <c r="F435" s="2" t="inlineStr">
        <is>
          <t>2026-06-26</t>
        </is>
      </c>
      <c r="G435" s="2" t="inlineStr"/>
      <c r="H435" s="2" t="inlineStr">
        <is>
          <t>https://eur-lex.europa.eu/legal-content/EN/TXT/?uri=CELEX:32024R1624R(04)</t>
        </is>
      </c>
    </row>
    <row r="436">
      <c r="A436" s="2" t="n">
        <v>69</v>
      </c>
      <c r="B436" s="2" t="inlineStr">
        <is>
          <t>Vertical Block Exemption Regulation</t>
        </is>
      </c>
      <c r="C436" s="2" t="inlineStr">
        <is>
          <t>32022R0720</t>
        </is>
      </c>
      <c r="D436" s="2" t="inlineStr">
        <is>
          <t>32024R0323</t>
        </is>
      </c>
      <c r="E436" s="2" t="inlineStr">
        <is>
          <t>amendment</t>
        </is>
      </c>
      <c r="F436" s="2" t="inlineStr">
        <is>
          <t>2024-01-19</t>
        </is>
      </c>
      <c r="G436" s="2" t="inlineStr">
        <is>
          <t>Commission Regulation (EU) 2024/323 of 19 January 2024 correcting the Czech language version of Regulation (EU) 2022/720 on the application of Article 101(3) of the Treaty on the Functioning of the European Union to categories of vertical agreements and concerted practices</t>
        </is>
      </c>
      <c r="H436" s="2" t="inlineStr">
        <is>
          <t>https://eur-lex.europa.eu/legal-content/EN/TXT/?uri=CELEX:32024R0323</t>
        </is>
      </c>
    </row>
    <row r="437">
      <c r="A437" s="2" t="n">
        <v>69</v>
      </c>
      <c r="B437" s="2" t="inlineStr">
        <is>
          <t>Vertical Block Exemption Regulation</t>
        </is>
      </c>
      <c r="C437" s="2" t="inlineStr">
        <is>
          <t>32022R0720</t>
        </is>
      </c>
      <c r="D437" s="2" t="inlineStr">
        <is>
          <t>32022R0720R(01)</t>
        </is>
      </c>
      <c r="E437" s="2" t="inlineStr">
        <is>
          <t>corrigendum</t>
        </is>
      </c>
      <c r="F437" s="2" t="inlineStr">
        <is>
          <t>2023-12-01</t>
        </is>
      </c>
      <c r="G437" s="2" t="inlineStr"/>
      <c r="H437" s="2" t="inlineStr">
        <is>
          <t>https://eur-lex.europa.eu/legal-content/EN/TXT/?uri=CELEX:32022R0720R(01)</t>
        </is>
      </c>
    </row>
    <row r="438">
      <c r="A438" s="2" t="n">
        <v>71</v>
      </c>
      <c r="B438" s="2" t="inlineStr">
        <is>
          <t>Political Advertising Regulation</t>
        </is>
      </c>
      <c r="C438" s="2" t="inlineStr">
        <is>
          <t>32024R0900</t>
        </is>
      </c>
      <c r="D438" s="2" t="inlineStr">
        <is>
          <t>32024R0900R(01)</t>
        </is>
      </c>
      <c r="E438" s="2" t="inlineStr">
        <is>
          <t>corrigendum</t>
        </is>
      </c>
      <c r="F438" s="2" t="inlineStr">
        <is>
          <t>2024-05-21</t>
        </is>
      </c>
      <c r="G438" s="2" t="inlineStr"/>
      <c r="H438" s="2" t="inlineStr">
        <is>
          <t>https://eur-lex.europa.eu/legal-content/EN/TXT/?uri=CELEX:32024R0900R(01)</t>
        </is>
      </c>
    </row>
    <row r="439">
      <c r="A439" s="2" t="n">
        <v>72</v>
      </c>
      <c r="B439" s="2" t="inlineStr">
        <is>
          <t>Digitalisation of judicial cooperation Regulation</t>
        </is>
      </c>
      <c r="C439" s="2" t="inlineStr">
        <is>
          <t>32023R2844</t>
        </is>
      </c>
      <c r="D439" s="2" t="inlineStr">
        <is>
          <t>32023R2844R(01)</t>
        </is>
      </c>
      <c r="E439" s="2" t="inlineStr">
        <is>
          <t>corrigendum</t>
        </is>
      </c>
      <c r="F439" s="2" t="inlineStr">
        <is>
          <t>2025-08-01</t>
        </is>
      </c>
      <c r="G439" s="2" t="inlineStr">
        <is>
          <t>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is>
      </c>
      <c r="H439" s="2" t="inlineStr">
        <is>
          <t>https://eur-lex.europa.eu/legal-content/EN/TXT/?uri=CELEX:32023R2844R(01)</t>
        </is>
      </c>
    </row>
    <row r="440">
      <c r="A440" s="2" t="n">
        <v>72</v>
      </c>
      <c r="B440" s="2" t="inlineStr">
        <is>
          <t>Digitalisation of judicial cooperation Regulation</t>
        </is>
      </c>
      <c r="C440" s="2" t="inlineStr">
        <is>
          <t>32023R2844</t>
        </is>
      </c>
      <c r="D440" s="2" t="inlineStr">
        <is>
          <t>32023R2844R(02)</t>
        </is>
      </c>
      <c r="E440" s="2" t="inlineStr">
        <is>
          <t>corrigendum</t>
        </is>
      </c>
      <c r="F440" s="2" t="inlineStr">
        <is>
          <t>2026-03-26</t>
        </is>
      </c>
      <c r="G440" s="2" t="inlineStr"/>
      <c r="H440" s="2" t="inlineStr">
        <is>
          <t>https://eur-lex.europa.eu/legal-content/EN/TXT/?uri=CELEX:32023R2844R(02)</t>
        </is>
      </c>
    </row>
    <row r="441">
      <c r="A441" s="2" t="n">
        <v>73</v>
      </c>
      <c r="B441" s="2" t="inlineStr">
        <is>
          <t>Platform Work Directive</t>
        </is>
      </c>
      <c r="C441" s="2" t="inlineStr">
        <is>
          <t>32024L2831</t>
        </is>
      </c>
      <c r="D441" s="2" t="inlineStr">
        <is>
          <t>32024L2831R(01)</t>
        </is>
      </c>
      <c r="E441" s="2" t="inlineStr">
        <is>
          <t>corrigendum</t>
        </is>
      </c>
      <c r="F441" s="2" t="inlineStr">
        <is>
          <t>2025-02-28</t>
        </is>
      </c>
      <c r="G441" s="2" t="inlineStr">
        <is>
          <t>Corrigendum to Directive (EU) 2024/2831 of the European Parliament and of the Council of 23 October 2024 on improving working conditions in platform work (OJ L, 2024/2831, 11.11.2024)</t>
        </is>
      </c>
      <c r="H441" s="2" t="inlineStr">
        <is>
          <t>https://eur-lex.europa.eu/legal-content/EN/TXT/?uri=CELEX:32024L2831R(01)</t>
        </is>
      </c>
    </row>
    <row r="442">
      <c r="A442" s="2" t="n">
        <v>76</v>
      </c>
      <c r="B442" s="2" t="inlineStr">
        <is>
          <t>Data Act</t>
        </is>
      </c>
      <c r="C442" s="2" t="inlineStr">
        <is>
          <t>32023R2854</t>
        </is>
      </c>
      <c r="D442" s="2" t="inlineStr">
        <is>
          <t>32023R2854R(01)</t>
        </is>
      </c>
      <c r="E442" s="2" t="inlineStr">
        <is>
          <t>corrigendum</t>
        </is>
      </c>
      <c r="F442" s="2" t="inlineStr">
        <is>
          <t>2024-12-09</t>
        </is>
      </c>
      <c r="G442" s="2" t="inlineStr">
        <is>
          <t>Corrigendum to Regulation (EU) 2023/2854 of the European Parliament and of the Council of 13 December 2023 on harmonised rules on fair access to and use of data and amending Regulation (EU) 2017/2394 and Directive (EU) 2020/1828 (Data Act) (OJ L, 2023/2854, 22.12.2023)</t>
        </is>
      </c>
      <c r="H442" s="2" t="inlineStr">
        <is>
          <t>https://eur-lex.europa.eu/legal-content/EN/TXT/?uri=CELEX:32023R2854R(01)</t>
        </is>
      </c>
    </row>
    <row r="443">
      <c r="A443" s="2" t="n">
        <v>76</v>
      </c>
      <c r="B443" s="2" t="inlineStr">
        <is>
          <t>Data Act</t>
        </is>
      </c>
      <c r="C443" s="2" t="inlineStr">
        <is>
          <t>32023R2854</t>
        </is>
      </c>
      <c r="D443" s="2" t="inlineStr">
        <is>
          <t>32023R2854R(02)</t>
        </is>
      </c>
      <c r="E443" s="2" t="inlineStr">
        <is>
          <t>corrigendum</t>
        </is>
      </c>
      <c r="F443" s="2" t="inlineStr">
        <is>
          <t>2024-12-17</t>
        </is>
      </c>
      <c r="G443" s="2" t="inlineStr"/>
      <c r="H443" s="2" t="inlineStr">
        <is>
          <t>https://eur-lex.europa.eu/legal-content/EN/TXT/?uri=CELEX:32023R2854R(02)</t>
        </is>
      </c>
    </row>
    <row r="444">
      <c r="A444" s="2" t="n">
        <v>76</v>
      </c>
      <c r="B444" s="2" t="inlineStr">
        <is>
          <t>Data Act</t>
        </is>
      </c>
      <c r="C444" s="2" t="inlineStr">
        <is>
          <t>32023R2854</t>
        </is>
      </c>
      <c r="D444" s="2" t="inlineStr">
        <is>
          <t>32023R2854R(03)</t>
        </is>
      </c>
      <c r="E444" s="2" t="inlineStr">
        <is>
          <t>corrigendum</t>
        </is>
      </c>
      <c r="F444" s="2" t="inlineStr">
        <is>
          <t>2025-06-30</t>
        </is>
      </c>
      <c r="G444" s="2" t="inlineStr"/>
      <c r="H444" s="2" t="inlineStr">
        <is>
          <t>https://eur-lex.europa.eu/legal-content/EN/TXT/?uri=CELEX:32023R2854R(03)</t>
        </is>
      </c>
    </row>
    <row r="445">
      <c r="A445" s="2" t="n">
        <v>76</v>
      </c>
      <c r="B445" s="2" t="inlineStr">
        <is>
          <t>Data Act</t>
        </is>
      </c>
      <c r="C445" s="2" t="inlineStr">
        <is>
          <t>32023R2854</t>
        </is>
      </c>
      <c r="D445" s="2" t="inlineStr">
        <is>
          <t>32023R2854R(04)</t>
        </is>
      </c>
      <c r="E445" s="2" t="inlineStr">
        <is>
          <t>corrigendum</t>
        </is>
      </c>
      <c r="F445" s="2" t="inlineStr">
        <is>
          <t>2025-09-09</t>
        </is>
      </c>
      <c r="G445" s="2" t="inlineStr"/>
      <c r="H445" s="2" t="inlineStr">
        <is>
          <t>https://eur-lex.europa.eu/legal-content/EN/TXT/?uri=CELEX:32023R2854R(04)</t>
        </is>
      </c>
    </row>
    <row r="446">
      <c r="A446" s="2" t="n">
        <v>76</v>
      </c>
      <c r="B446" s="2" t="inlineStr">
        <is>
          <t>Data Act</t>
        </is>
      </c>
      <c r="C446" s="2" t="inlineStr">
        <is>
          <t>32023R2854</t>
        </is>
      </c>
      <c r="D446" s="2" t="inlineStr">
        <is>
          <t>32023R2854R(05)</t>
        </is>
      </c>
      <c r="E446" s="2" t="inlineStr">
        <is>
          <t>corrigendum</t>
        </is>
      </c>
      <c r="F446" s="2" t="inlineStr">
        <is>
          <t>2026-03-10</t>
        </is>
      </c>
      <c r="G446" s="2" t="inlineStr"/>
      <c r="H446" s="2" t="inlineStr">
        <is>
          <t>https://eur-lex.europa.eu/legal-content/EN/TXT/?uri=CELEX:32023R2854R(05)</t>
        </is>
      </c>
    </row>
    <row r="447">
      <c r="A447" s="2" t="n">
        <v>76</v>
      </c>
      <c r="B447" s="2" t="inlineStr">
        <is>
          <t>Data Act</t>
        </is>
      </c>
      <c r="C447" s="2" t="inlineStr">
        <is>
          <t>32023R2854</t>
        </is>
      </c>
      <c r="D447" s="2" t="inlineStr">
        <is>
          <t>32023R2854R(06)</t>
        </is>
      </c>
      <c r="E447" s="2" t="inlineStr">
        <is>
          <t>corrigendum</t>
        </is>
      </c>
      <c r="F447" s="2" t="inlineStr">
        <is>
          <t>2026-09-24</t>
        </is>
      </c>
      <c r="G447" s="2" t="inlineStr"/>
      <c r="H447" s="2" t="inlineStr">
        <is>
          <t>https://eur-lex.europa.eu/legal-content/EN/TXT/?uri=CELEX:32023R2854R(06)</t>
        </is>
      </c>
    </row>
    <row r="448">
      <c r="A448" s="2" t="n">
        <v>78</v>
      </c>
      <c r="B448" s="2" t="inlineStr">
        <is>
          <t>Cybersecurity Regulation (EU institutions)</t>
        </is>
      </c>
      <c r="C448" s="2" t="inlineStr">
        <is>
          <t>32023R2841</t>
        </is>
      </c>
      <c r="D448" s="2" t="inlineStr">
        <is>
          <t>32023R2841R(01)</t>
        </is>
      </c>
      <c r="E448" s="2" t="inlineStr">
        <is>
          <t>corrigendum</t>
        </is>
      </c>
      <c r="F448" s="2" t="inlineStr">
        <is>
          <t>2025-09-30</t>
        </is>
      </c>
      <c r="G448" s="2" t="inlineStr"/>
      <c r="H448" s="2" t="inlineStr">
        <is>
          <t>https://eur-lex.europa.eu/legal-content/EN/TXT/?uri=CELEX:32023R2841R(01)</t>
        </is>
      </c>
    </row>
    <row r="449">
      <c r="A449" s="2" t="n">
        <v>78</v>
      </c>
      <c r="B449" s="2" t="inlineStr">
        <is>
          <t>Cybersecurity Regulation (EU institutions)</t>
        </is>
      </c>
      <c r="C449" s="2" t="inlineStr">
        <is>
          <t>32023R2841</t>
        </is>
      </c>
      <c r="D449" s="2" t="inlineStr">
        <is>
          <t>32023R2841R(02)</t>
        </is>
      </c>
      <c r="E449" s="2" t="inlineStr">
        <is>
          <t>corrigendum</t>
        </is>
      </c>
      <c r="F449" s="2" t="inlineStr">
        <is>
          <t>2026-07-31</t>
        </is>
      </c>
      <c r="G449" s="2" t="inlineStr"/>
      <c r="H449" s="2" t="inlineStr">
        <is>
          <t>https://eur-lex.europa.eu/legal-content/EN/TXT/?uri=CELEX:32023R2841R(02)</t>
        </is>
      </c>
    </row>
    <row r="450">
      <c r="A450" s="2" t="n">
        <v>80</v>
      </c>
      <c r="B450" s="2" t="inlineStr">
        <is>
          <t>Ecodesign for Sustainable Products Regulation</t>
        </is>
      </c>
      <c r="C450" s="2" t="inlineStr">
        <is>
          <t>32024R1781</t>
        </is>
      </c>
      <c r="D450" s="2" t="inlineStr">
        <is>
          <t>32024R1781R(01)</t>
        </is>
      </c>
      <c r="E450" s="2" t="inlineStr">
        <is>
          <t>corrigendum</t>
        </is>
      </c>
      <c r="F450" s="2" t="inlineStr">
        <is>
          <t>2024-08-07</t>
        </is>
      </c>
      <c r="G450" s="2" t="inlineStr">
        <is>
          <t>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is>
      </c>
      <c r="H450" s="2" t="inlineStr">
        <is>
          <t>https://eur-lex.europa.eu/legal-content/EN/TXT/?uri=CELEX:32024R1781R(01)</t>
        </is>
      </c>
    </row>
    <row r="451">
      <c r="A451" s="2" t="n">
        <v>80</v>
      </c>
      <c r="B451" s="2" t="inlineStr">
        <is>
          <t>Ecodesign for Sustainable Products Regulation</t>
        </is>
      </c>
      <c r="C451" s="2" t="inlineStr">
        <is>
          <t>32024R1781</t>
        </is>
      </c>
      <c r="D451" s="2" t="inlineStr">
        <is>
          <t>32024R1781R(02)</t>
        </is>
      </c>
      <c r="E451" s="2" t="inlineStr">
        <is>
          <t>corrigendum</t>
        </is>
      </c>
      <c r="F451" s="2" t="inlineStr">
        <is>
          <t>2025-04-28</t>
        </is>
      </c>
      <c r="G451" s="2" t="inlineStr">
        <is>
          <t>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is>
      </c>
      <c r="H451" s="2" t="inlineStr">
        <is>
          <t>https://eur-lex.europa.eu/legal-content/EN/TXT/?uri=CELEX:32024R1781R(02)</t>
        </is>
      </c>
    </row>
    <row r="452">
      <c r="A452" s="2" t="n">
        <v>80</v>
      </c>
      <c r="B452" s="2" t="inlineStr">
        <is>
          <t>Ecodesign for Sustainable Products Regulation</t>
        </is>
      </c>
      <c r="C452" s="2" t="inlineStr">
        <is>
          <t>32024R1781</t>
        </is>
      </c>
      <c r="D452" s="2" t="inlineStr">
        <is>
          <t>32024R1781R(03)</t>
        </is>
      </c>
      <c r="E452" s="2" t="inlineStr">
        <is>
          <t>corrigendum</t>
        </is>
      </c>
      <c r="F452" s="2" t="inlineStr">
        <is>
          <t>2025-11-27</t>
        </is>
      </c>
      <c r="G452" s="2" t="inlineStr"/>
      <c r="H452" s="2" t="inlineStr">
        <is>
          <t>https://eur-lex.europa.eu/legal-content/EN/TXT/?uri=CELEX:32024R1781R(03)</t>
        </is>
      </c>
    </row>
    <row r="453">
      <c r="A453" s="2" t="n">
        <v>80</v>
      </c>
      <c r="B453" s="2" t="inlineStr">
        <is>
          <t>Ecodesign for Sustainable Products Regulation</t>
        </is>
      </c>
      <c r="C453" s="2" t="inlineStr">
        <is>
          <t>32024R1781</t>
        </is>
      </c>
      <c r="D453" s="2" t="inlineStr">
        <is>
          <t>32024R1781R(04)</t>
        </is>
      </c>
      <c r="E453" s="2" t="inlineStr">
        <is>
          <t>corrigendum</t>
        </is>
      </c>
      <c r="F453" s="2" t="inlineStr">
        <is>
          <t>2026-02-04</t>
        </is>
      </c>
      <c r="G453" s="2" t="inlineStr"/>
      <c r="H453" s="2" t="inlineStr">
        <is>
          <t>https://eur-lex.europa.eu/legal-content/EN/TXT/?uri=CELEX:32024R1781R(04)</t>
        </is>
      </c>
    </row>
    <row r="454">
      <c r="A454" s="2" t="n">
        <v>81</v>
      </c>
      <c r="B454" s="2" t="inlineStr">
        <is>
          <t>European Health Data Space</t>
        </is>
      </c>
      <c r="C454" s="2" t="inlineStr">
        <is>
          <t>32025R0327</t>
        </is>
      </c>
      <c r="D454" s="2" t="inlineStr">
        <is>
          <t>32025R0327R(01)</t>
        </is>
      </c>
      <c r="E454" s="2" t="inlineStr">
        <is>
          <t>corrigendum</t>
        </is>
      </c>
      <c r="F454" s="2" t="inlineStr">
        <is>
          <t>2025-11-07</t>
        </is>
      </c>
      <c r="G454" s="2" t="inlineStr"/>
      <c r="H454" s="2" t="inlineStr">
        <is>
          <t>https://eur-lex.europa.eu/legal-content/EN/TXT/?uri=CELEX:32025R0327R(01)</t>
        </is>
      </c>
    </row>
    <row r="455">
      <c r="A455" s="2" t="n">
        <v>81</v>
      </c>
      <c r="B455" s="2" t="inlineStr">
        <is>
          <t>European Health Data Space</t>
        </is>
      </c>
      <c r="C455" s="2" t="inlineStr">
        <is>
          <t>32025R0327</t>
        </is>
      </c>
      <c r="D455" s="2" t="inlineStr">
        <is>
          <t>32025R0327R(02)</t>
        </is>
      </c>
      <c r="E455" s="2" t="inlineStr">
        <is>
          <t>corrigendum</t>
        </is>
      </c>
      <c r="F455" s="2" t="inlineStr">
        <is>
          <t>2026-03-18</t>
        </is>
      </c>
      <c r="G455" s="2" t="inlineStr"/>
      <c r="H455" s="2" t="inlineStr">
        <is>
          <t>https://eur-lex.europa.eu/legal-content/EN/TXT/?uri=CELEX:32025R0327R(02)</t>
        </is>
      </c>
    </row>
    <row r="456">
      <c r="A456" s="2" t="n">
        <v>81</v>
      </c>
      <c r="B456" s="2" t="inlineStr">
        <is>
          <t>European Health Data Space</t>
        </is>
      </c>
      <c r="C456" s="2" t="inlineStr">
        <is>
          <t>32025R0327</t>
        </is>
      </c>
      <c r="D456" s="2" t="inlineStr">
        <is>
          <t>32025R0327R(03)</t>
        </is>
      </c>
      <c r="E456" s="2" t="inlineStr">
        <is>
          <t>corrigendum</t>
        </is>
      </c>
      <c r="F456" s="2" t="inlineStr">
        <is>
          <t>2026-08-13</t>
        </is>
      </c>
      <c r="G456" s="2" t="inlineStr"/>
      <c r="H456" s="2" t="inlineStr">
        <is>
          <t>https://eur-lex.europa.eu/legal-content/EN/TXT/?uri=CELEX:32025R0327R(03)</t>
        </is>
      </c>
    </row>
    <row r="457">
      <c r="A457" s="2" t="n">
        <v>83</v>
      </c>
      <c r="B457" s="2" t="inlineStr">
        <is>
          <t>Cyber Resilience Act</t>
        </is>
      </c>
      <c r="C457" s="2" t="inlineStr">
        <is>
          <t>32024R2847</t>
        </is>
      </c>
      <c r="D457" s="2" t="inlineStr">
        <is>
          <t>32025R0327</t>
        </is>
      </c>
      <c r="E457" s="2" t="inlineStr">
        <is>
          <t>amendment</t>
        </is>
      </c>
      <c r="F457" s="2" t="inlineStr">
        <is>
          <t>2025-02-11</t>
        </is>
      </c>
      <c r="G457" s="2" t="inlineStr">
        <is>
          <t>Regulation (EU) 2025/327 of the European Parliament and of the Council of 11 February 2025 on the European Health Data Space and amending Directive 2011/24/EU and Regulation (EU) 2024/2847 (Text with EEA relevance)</t>
        </is>
      </c>
      <c r="H457" s="2" t="inlineStr">
        <is>
          <t>https://eur-lex.europa.eu/legal-content/EN/TXT/?uri=CELEX:32025R0327</t>
        </is>
      </c>
    </row>
    <row r="458">
      <c r="A458" s="2" t="n">
        <v>83</v>
      </c>
      <c r="B458" s="2" t="inlineStr">
        <is>
          <t>Cyber Resilience Act</t>
        </is>
      </c>
      <c r="C458" s="2" t="inlineStr">
        <is>
          <t>32024R2847</t>
        </is>
      </c>
      <c r="D458" s="2" t="inlineStr">
        <is>
          <t>32024R2847R(01)</t>
        </is>
      </c>
      <c r="E458" s="2" t="inlineStr">
        <is>
          <t>corrigendum</t>
        </is>
      </c>
      <c r="F458" s="2" t="inlineStr">
        <is>
          <t>2024-12-05</t>
        </is>
      </c>
      <c r="G458" s="2" t="inlineStr">
        <is>
          <t>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is>
      </c>
      <c r="H458" s="2" t="inlineStr">
        <is>
          <t>https://eur-lex.europa.eu/legal-content/EN/TXT/?uri=CELEX:32024R2847R(01)</t>
        </is>
      </c>
    </row>
    <row r="459">
      <c r="A459" s="2" t="n">
        <v>83</v>
      </c>
      <c r="B459" s="2" t="inlineStr">
        <is>
          <t>Cyber Resilience Act</t>
        </is>
      </c>
      <c r="C459" s="2" t="inlineStr">
        <is>
          <t>32024R2847</t>
        </is>
      </c>
      <c r="D459" s="2" t="inlineStr">
        <is>
          <t>32024R2847R(02)</t>
        </is>
      </c>
      <c r="E459" s="2" t="inlineStr">
        <is>
          <t>corrigendum</t>
        </is>
      </c>
      <c r="F459" s="2" t="inlineStr">
        <is>
          <t>2025-07-02</t>
        </is>
      </c>
      <c r="G459" s="2" t="inlineStr">
        <is>
          <t>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is>
      </c>
      <c r="H459" s="2" t="inlineStr">
        <is>
          <t>https://eur-lex.europa.eu/legal-content/EN/TXT/?uri=CELEX:32024R2847R(02)</t>
        </is>
      </c>
    </row>
    <row r="460">
      <c r="A460" s="2" t="n">
        <v>83</v>
      </c>
      <c r="B460" s="2" t="inlineStr">
        <is>
          <t>Cyber Resilience Act</t>
        </is>
      </c>
      <c r="C460" s="2" t="inlineStr">
        <is>
          <t>32024R2847</t>
        </is>
      </c>
      <c r="D460" s="2" t="inlineStr">
        <is>
          <t>32024R2847R(03)</t>
        </is>
      </c>
      <c r="E460" s="2" t="inlineStr">
        <is>
          <t>corrigendum</t>
        </is>
      </c>
      <c r="F460" s="2" t="inlineStr">
        <is>
          <t>2025-10-03</t>
        </is>
      </c>
      <c r="G460" s="2" t="inlineStr"/>
      <c r="H460" s="2" t="inlineStr">
        <is>
          <t>https://eur-lex.europa.eu/legal-content/EN/TXT/?uri=CELEX:32024R2847R(03)</t>
        </is>
      </c>
    </row>
    <row r="461">
      <c r="A461" s="2" t="n">
        <v>83</v>
      </c>
      <c r="B461" s="2" t="inlineStr">
        <is>
          <t>Cyber Resilience Act</t>
        </is>
      </c>
      <c r="C461" s="2" t="inlineStr">
        <is>
          <t>32024R2847</t>
        </is>
      </c>
      <c r="D461" s="2" t="inlineStr">
        <is>
          <t>32024R2847R(04)</t>
        </is>
      </c>
      <c r="E461" s="2" t="inlineStr">
        <is>
          <t>corrigendum</t>
        </is>
      </c>
      <c r="F461" s="2" t="inlineStr">
        <is>
          <t>2025-10-17</t>
        </is>
      </c>
      <c r="G461" s="2" t="inlineStr">
        <is>
          <t>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is>
      </c>
      <c r="H461" s="2" t="inlineStr">
        <is>
          <t>https://eur-lex.europa.eu/legal-content/EN/TXT/?uri=CELEX:32024R2847R(04)</t>
        </is>
      </c>
    </row>
    <row r="462">
      <c r="A462" s="2" t="n">
        <v>83</v>
      </c>
      <c r="B462" s="2" t="inlineStr">
        <is>
          <t>Cyber Resilience Act</t>
        </is>
      </c>
      <c r="C462" s="2" t="inlineStr">
        <is>
          <t>32024R2847</t>
        </is>
      </c>
      <c r="D462" s="2" t="inlineStr">
        <is>
          <t>32024R2847R(05)</t>
        </is>
      </c>
      <c r="E462" s="2" t="inlineStr">
        <is>
          <t>corrigendum</t>
        </is>
      </c>
      <c r="F462" s="2" t="inlineStr">
        <is>
          <t>2026-02-23</t>
        </is>
      </c>
      <c r="G462" s="2" t="inlineStr"/>
      <c r="H462" s="2" t="inlineStr">
        <is>
          <t>https://eur-lex.europa.eu/legal-content/EN/TXT/?uri=CELEX:32024R2847R(05)</t>
        </is>
      </c>
    </row>
    <row r="463">
      <c r="A463" s="2" t="n">
        <v>83</v>
      </c>
      <c r="B463" s="2" t="inlineStr">
        <is>
          <t>Cyber Resilience Act</t>
        </is>
      </c>
      <c r="C463" s="2" t="inlineStr">
        <is>
          <t>32024R2847</t>
        </is>
      </c>
      <c r="D463" s="2" t="inlineStr">
        <is>
          <t>32024R2847R(06)</t>
        </is>
      </c>
      <c r="E463" s="2" t="inlineStr">
        <is>
          <t>corrigendum</t>
        </is>
      </c>
      <c r="F463" s="2" t="inlineStr">
        <is>
          <t>2026-03-25</t>
        </is>
      </c>
      <c r="G463" s="2" t="inlineStr"/>
      <c r="H463" s="2" t="inlineStr">
        <is>
          <t>https://eur-lex.europa.eu/legal-content/EN/TXT/?uri=CELEX:32024R2847R(06)</t>
        </is>
      </c>
    </row>
    <row r="464">
      <c r="A464" s="2" t="n">
        <v>83</v>
      </c>
      <c r="B464" s="2" t="inlineStr">
        <is>
          <t>Cyber Resilience Act</t>
        </is>
      </c>
      <c r="C464" s="2" t="inlineStr">
        <is>
          <t>32024R2847</t>
        </is>
      </c>
      <c r="D464" s="2" t="inlineStr">
        <is>
          <t>32024R2847R(07)</t>
        </is>
      </c>
      <c r="E464" s="2" t="inlineStr">
        <is>
          <t>corrigendum</t>
        </is>
      </c>
      <c r="F464" s="2" t="inlineStr">
        <is>
          <t>2026-08-06</t>
        </is>
      </c>
      <c r="G464" s="2" t="inlineStr"/>
      <c r="H464" s="2" t="inlineStr">
        <is>
          <t>https://eur-lex.europa.eu/legal-content/EN/TXT/?uri=CELEX:32024R2847R(07)</t>
        </is>
      </c>
    </row>
    <row r="465">
      <c r="A465" s="2" t="n">
        <v>83</v>
      </c>
      <c r="B465" s="2" t="inlineStr">
        <is>
          <t>Cyber Resilience Act</t>
        </is>
      </c>
      <c r="C465" s="2" t="inlineStr">
        <is>
          <t>32024R2847</t>
        </is>
      </c>
      <c r="D465" s="2" t="inlineStr">
        <is>
          <t>32024R2847R(08)</t>
        </is>
      </c>
      <c r="E465" s="2" t="inlineStr">
        <is>
          <t>corrigendum</t>
        </is>
      </c>
      <c r="F465" s="2" t="inlineStr">
        <is>
          <t>2026-10-09</t>
        </is>
      </c>
      <c r="G465" s="2" t="inlineStr"/>
      <c r="H465" s="2" t="inlineStr">
        <is>
          <t>https://eur-lex.europa.eu/legal-content/EN/TXT/?uri=CELEX:32024R2847R(08)</t>
        </is>
      </c>
    </row>
    <row r="466">
      <c r="A466" s="2" t="n">
        <v>84</v>
      </c>
      <c r="B466" s="2" t="inlineStr">
        <is>
          <t>European Media Freedom Act</t>
        </is>
      </c>
      <c r="C466" s="2" t="inlineStr">
        <is>
          <t>32024R1083</t>
        </is>
      </c>
      <c r="D466" s="2" t="inlineStr">
        <is>
          <t>32024R1083R(01)</t>
        </is>
      </c>
      <c r="E466" s="2" t="inlineStr">
        <is>
          <t>corrigendum</t>
        </is>
      </c>
      <c r="F466" s="2" t="inlineStr">
        <is>
          <t>2024-06-18</t>
        </is>
      </c>
      <c r="G466" s="2" t="inlineStr"/>
      <c r="H466" s="2" t="inlineStr">
        <is>
          <t>https://eur-lex.europa.eu/legal-content/EN/TXT/?uri=CELEX:32024R1083R(01)</t>
        </is>
      </c>
    </row>
    <row r="467">
      <c r="A467" s="2" t="n">
        <v>84</v>
      </c>
      <c r="B467" s="2" t="inlineStr">
        <is>
          <t>European Media Freedom Act</t>
        </is>
      </c>
      <c r="C467" s="2" t="inlineStr">
        <is>
          <t>32024R1083</t>
        </is>
      </c>
      <c r="D467" s="2" t="inlineStr">
        <is>
          <t>32024R1083R(02)</t>
        </is>
      </c>
      <c r="E467" s="2" t="inlineStr">
        <is>
          <t>corrigendum</t>
        </is>
      </c>
      <c r="F467" s="2" t="inlineStr">
        <is>
          <t>2024-10-17</t>
        </is>
      </c>
      <c r="G467" s="2" t="inlineStr"/>
      <c r="H467" s="2" t="inlineStr">
        <is>
          <t>https://eur-lex.europa.eu/legal-content/EN/TXT/?uri=CELEX:32024R1083R(02)</t>
        </is>
      </c>
    </row>
    <row r="468">
      <c r="A468" s="2" t="n">
        <v>84</v>
      </c>
      <c r="B468" s="2" t="inlineStr">
        <is>
          <t>European Media Freedom Act</t>
        </is>
      </c>
      <c r="C468" s="2" t="inlineStr">
        <is>
          <t>32024R1083</t>
        </is>
      </c>
      <c r="D468" s="2" t="inlineStr">
        <is>
          <t>32024R1083R(03)</t>
        </is>
      </c>
      <c r="E468" s="2" t="inlineStr">
        <is>
          <t>corrigendum</t>
        </is>
      </c>
      <c r="F468" s="2" t="inlineStr">
        <is>
          <t>2025-01-15</t>
        </is>
      </c>
      <c r="G468" s="2" t="inlineStr"/>
      <c r="H468" s="2" t="inlineStr">
        <is>
          <t>https://eur-lex.europa.eu/legal-content/EN/TXT/?uri=CELEX:32024R1083R(03)</t>
        </is>
      </c>
    </row>
    <row r="469">
      <c r="A469" s="2" t="n">
        <v>84</v>
      </c>
      <c r="B469" s="2" t="inlineStr">
        <is>
          <t>European Media Freedom Act</t>
        </is>
      </c>
      <c r="C469" s="2" t="inlineStr">
        <is>
          <t>32024R1083</t>
        </is>
      </c>
      <c r="D469" s="2" t="inlineStr">
        <is>
          <t>32024R1083R(04)</t>
        </is>
      </c>
      <c r="E469" s="2" t="inlineStr">
        <is>
          <t>corrigendum</t>
        </is>
      </c>
      <c r="F469" s="2" t="inlineStr">
        <is>
          <t>2026-03-10</t>
        </is>
      </c>
      <c r="G469" s="2" t="inlineStr"/>
      <c r="H469" s="2" t="inlineStr">
        <is>
          <t>https://eur-lex.europa.eu/legal-content/EN/TXT/?uri=CELEX:32024R1083R(04)</t>
        </is>
      </c>
    </row>
    <row r="470">
      <c r="A470" s="2" t="n">
        <v>85</v>
      </c>
      <c r="B470" s="2" t="inlineStr">
        <is>
          <t>Single Market Emergency Instrument (IMERA)</t>
        </is>
      </c>
      <c r="C470" s="2" t="inlineStr">
        <is>
          <t>32024R2747</t>
        </is>
      </c>
      <c r="D470" s="2" t="inlineStr">
        <is>
          <t>32024R2747R(01)</t>
        </is>
      </c>
      <c r="E470" s="2" t="inlineStr">
        <is>
          <t>corrigendum</t>
        </is>
      </c>
      <c r="F470" s="2" t="inlineStr">
        <is>
          <t>2025-07-03</t>
        </is>
      </c>
      <c r="G470" s="2" t="inlineStr"/>
      <c r="H470" s="2" t="inlineStr">
        <is>
          <t>https://eur-lex.europa.eu/legal-content/EN/TXT/?uri=CELEX:32024R2747R(01)</t>
        </is>
      </c>
    </row>
    <row r="471">
      <c r="A471" s="2" t="n">
        <v>85</v>
      </c>
      <c r="B471" s="2" t="inlineStr">
        <is>
          <t>Single Market Emergency Instrument (IMERA)</t>
        </is>
      </c>
      <c r="C471" s="2" t="inlineStr">
        <is>
          <t>32024R2747</t>
        </is>
      </c>
      <c r="D471" s="2" t="inlineStr">
        <is>
          <t>32024R2747R(02)</t>
        </is>
      </c>
      <c r="E471" s="2" t="inlineStr">
        <is>
          <t>corrigendum</t>
        </is>
      </c>
      <c r="F471" s="2" t="inlineStr">
        <is>
          <t>2025-11-07</t>
        </is>
      </c>
      <c r="G471" s="2" t="inlineStr"/>
      <c r="H471" s="2" t="inlineStr">
        <is>
          <t>https://eur-lex.europa.eu/legal-content/EN/TXT/?uri=CELEX:32024R2747R(02)</t>
        </is>
      </c>
    </row>
    <row r="472">
      <c r="A472" s="2" t="n">
        <v>86</v>
      </c>
      <c r="B472" s="2" t="inlineStr">
        <is>
          <t>Product Liability Directive</t>
        </is>
      </c>
      <c r="C472" s="2" t="inlineStr">
        <is>
          <t>32024L2853</t>
        </is>
      </c>
      <c r="D472" s="2" t="inlineStr">
        <is>
          <t>32024L2853R(01)</t>
        </is>
      </c>
      <c r="E472" s="2" t="inlineStr">
        <is>
          <t>corrigendum</t>
        </is>
      </c>
      <c r="F472" s="2" t="inlineStr">
        <is>
          <t>2026-05-07</t>
        </is>
      </c>
      <c r="G472" s="2" t="inlineStr">
        <is>
          <t>Corrigendum to Directive (EU) 2024/2853 of the European Parliament and of the Council of 23 October 2024 on liability for defective products and repealing Council Directive 85/374/EEC (OJ L, 2024/2853, 18.11.2024)</t>
        </is>
      </c>
      <c r="H472" s="2" t="inlineStr">
        <is>
          <t>https://eur-lex.europa.eu/legal-content/EN/TXT/?uri=CELEX:32024L2853R(01)</t>
        </is>
      </c>
    </row>
    <row r="473">
      <c r="A473" s="2" t="n">
        <v>86</v>
      </c>
      <c r="B473" s="2" t="inlineStr">
        <is>
          <t>Product Liability Directive</t>
        </is>
      </c>
      <c r="C473" s="2" t="inlineStr">
        <is>
          <t>32024L2853</t>
        </is>
      </c>
      <c r="D473" s="2" t="inlineStr">
        <is>
          <t>32024L2853R(02)</t>
        </is>
      </c>
      <c r="E473" s="2" t="inlineStr">
        <is>
          <t>corrigendum</t>
        </is>
      </c>
      <c r="F473" s="2" t="inlineStr">
        <is>
          <t>2026-09-29</t>
        </is>
      </c>
      <c r="G473" s="2" t="inlineStr"/>
      <c r="H473" s="2" t="inlineStr">
        <is>
          <t>https://eur-lex.europa.eu/legal-content/EN/TXT/?uri=CELEX:32024L2853R(02)</t>
        </is>
      </c>
    </row>
    <row r="474">
      <c r="A474" s="2" t="n">
        <v>87</v>
      </c>
      <c r="B474" s="2" t="inlineStr">
        <is>
          <t>Horizontal Block Exemption Regulations</t>
        </is>
      </c>
      <c r="C474" s="2" t="inlineStr">
        <is>
          <t>32023R1066</t>
        </is>
      </c>
      <c r="D474" s="2" t="inlineStr">
        <is>
          <t>32023R1066R(01)</t>
        </is>
      </c>
      <c r="E474" s="2" t="inlineStr">
        <is>
          <t>corrigendum</t>
        </is>
      </c>
      <c r="F474" s="2" t="inlineStr">
        <is>
          <t>2025-10-29</t>
        </is>
      </c>
      <c r="G474" s="2" t="inlineStr"/>
      <c r="H474" s="2" t="inlineStr">
        <is>
          <t>https://eur-lex.europa.eu/legal-content/EN/TXT/?uri=CELEX:32023R1066R(01)</t>
        </is>
      </c>
    </row>
    <row r="475">
      <c r="A475" s="2" t="n">
        <v>87</v>
      </c>
      <c r="B475" s="2" t="inlineStr">
        <is>
          <t>Horizontal Block Exemption Regulations</t>
        </is>
      </c>
      <c r="C475" s="2" t="inlineStr">
        <is>
          <t>32023R1067</t>
        </is>
      </c>
      <c r="D475" s="2" t="inlineStr">
        <is>
          <t>32023R1067R(01)</t>
        </is>
      </c>
      <c r="E475" s="2" t="inlineStr">
        <is>
          <t>corrigendum</t>
        </is>
      </c>
      <c r="F475" s="2" t="inlineStr">
        <is>
          <t>2025-11-03</t>
        </is>
      </c>
      <c r="G475" s="2" t="inlineStr"/>
      <c r="H475" s="2" t="inlineStr">
        <is>
          <t>https://eur-lex.europa.eu/legal-content/EN/TXT/?uri=CELEX:32023R1067R(01)</t>
        </is>
      </c>
    </row>
    <row r="476">
      <c r="A476" s="2" t="n">
        <v>89</v>
      </c>
      <c r="B476" s="2" t="inlineStr">
        <is>
          <t>Design Directive</t>
        </is>
      </c>
      <c r="C476" s="2" t="inlineStr">
        <is>
          <t>32024L2823</t>
        </is>
      </c>
      <c r="D476" s="2" t="inlineStr">
        <is>
          <t>32024L2823R(01)</t>
        </is>
      </c>
      <c r="E476" s="2" t="inlineStr">
        <is>
          <t>corrigendum</t>
        </is>
      </c>
      <c r="F476" s="2" t="inlineStr">
        <is>
          <t>2025-10-08</t>
        </is>
      </c>
      <c r="G476" s="2" t="inlineStr"/>
      <c r="H476" s="2" t="inlineStr">
        <is>
          <t>https://eur-lex.europa.eu/legal-content/EN/TXT/?uri=CELEX:32024L2823R(01)</t>
        </is>
      </c>
    </row>
    <row r="477">
      <c r="A477" s="2" t="n">
        <v>89</v>
      </c>
      <c r="B477" s="2" t="inlineStr">
        <is>
          <t>Design Directive</t>
        </is>
      </c>
      <c r="C477" s="2" t="inlineStr">
        <is>
          <t>32024L2823</t>
        </is>
      </c>
      <c r="D477" s="2" t="inlineStr">
        <is>
          <t>32024L2823R(02)</t>
        </is>
      </c>
      <c r="E477" s="2" t="inlineStr">
        <is>
          <t>corrigendum</t>
        </is>
      </c>
      <c r="F477" s="2" t="inlineStr">
        <is>
          <t>2026-02-17</t>
        </is>
      </c>
      <c r="G477" s="2" t="inlineStr"/>
      <c r="H477" s="2" t="inlineStr">
        <is>
          <t>https://eur-lex.europa.eu/legal-content/EN/TXT/?uri=CELEX:32024L2823R(02)</t>
        </is>
      </c>
    </row>
    <row r="478">
      <c r="A478" s="2" t="n">
        <v>90</v>
      </c>
      <c r="B478" s="2" t="inlineStr">
        <is>
          <t>VAT in the Digital Age (ViDA)</t>
        </is>
      </c>
      <c r="C478" s="2" t="inlineStr">
        <is>
          <t>32025L0516</t>
        </is>
      </c>
      <c r="D478" s="2" t="inlineStr">
        <is>
          <t>32025L0516R(01)</t>
        </is>
      </c>
      <c r="E478" s="2" t="inlineStr">
        <is>
          <t>corrigendum</t>
        </is>
      </c>
      <c r="F478" s="2" t="inlineStr">
        <is>
          <t>2025-10-02</t>
        </is>
      </c>
      <c r="G478" s="2" t="inlineStr"/>
      <c r="H478" s="2" t="inlineStr">
        <is>
          <t>https://eur-lex.europa.eu/legal-content/EN/TXT/?uri=CELEX:32025L0516R(01)</t>
        </is>
      </c>
    </row>
    <row r="479">
      <c r="A479" s="2" t="n">
        <v>91</v>
      </c>
      <c r="B479" s="2" t="inlineStr">
        <is>
          <t>Gigabit Infrastructure Act</t>
        </is>
      </c>
      <c r="C479" s="2" t="inlineStr">
        <is>
          <t>32024R1309</t>
        </is>
      </c>
      <c r="D479" s="2" t="inlineStr">
        <is>
          <t>32024R1309R(01)</t>
        </is>
      </c>
      <c r="E479" s="2" t="inlineStr">
        <is>
          <t>corrigendum</t>
        </is>
      </c>
      <c r="F479" s="2" t="inlineStr">
        <is>
          <t>2024-05-24</t>
        </is>
      </c>
      <c r="G479" s="2" t="inlineStr">
        <is>
          <t>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is>
      </c>
      <c r="H479" s="2" t="inlineStr">
        <is>
          <t>https://eur-lex.europa.eu/legal-content/EN/TXT/?uri=CELEX:32024R1309R(01)</t>
        </is>
      </c>
    </row>
    <row r="480">
      <c r="A480" s="2" t="n">
        <v>91</v>
      </c>
      <c r="B480" s="2" t="inlineStr">
        <is>
          <t>Gigabit Infrastructure Act</t>
        </is>
      </c>
      <c r="C480" s="2" t="inlineStr">
        <is>
          <t>32024R1309</t>
        </is>
      </c>
      <c r="D480" s="2" t="inlineStr">
        <is>
          <t>32024R1309R(02)</t>
        </is>
      </c>
      <c r="E480" s="2" t="inlineStr">
        <is>
          <t>corrigendum</t>
        </is>
      </c>
      <c r="F480" s="2" t="inlineStr">
        <is>
          <t>2025-01-24</t>
        </is>
      </c>
      <c r="G480" s="2" t="inlineStr"/>
      <c r="H480" s="2" t="inlineStr">
        <is>
          <t>https://eur-lex.europa.eu/legal-content/EN/TXT/?uri=CELEX:32024R1309R(02)</t>
        </is>
      </c>
    </row>
    <row r="481">
      <c r="A481" s="2" t="n">
        <v>91</v>
      </c>
      <c r="B481" s="2" t="inlineStr">
        <is>
          <t>Gigabit Infrastructure Act</t>
        </is>
      </c>
      <c r="C481" s="2" t="inlineStr">
        <is>
          <t>32024R1309</t>
        </is>
      </c>
      <c r="D481" s="2" t="inlineStr">
        <is>
          <t>32024R1309R(03)</t>
        </is>
      </c>
      <c r="E481" s="2" t="inlineStr">
        <is>
          <t>corrigendum</t>
        </is>
      </c>
      <c r="F481" s="2" t="inlineStr">
        <is>
          <t>2026-02-12</t>
        </is>
      </c>
      <c r="G481" s="2" t="inlineStr"/>
      <c r="H481" s="2" t="inlineStr">
        <is>
          <t>https://eur-lex.europa.eu/legal-content/EN/TXT/?uri=CELEX:32024R1309R(03)</t>
        </is>
      </c>
    </row>
    <row r="482">
      <c r="A482" s="2" t="n">
        <v>92</v>
      </c>
      <c r="B482" s="2" t="inlineStr">
        <is>
          <t>Critical Raw Materials Act</t>
        </is>
      </c>
      <c r="C482" s="2" t="inlineStr">
        <is>
          <t>32024R1252</t>
        </is>
      </c>
      <c r="D482" s="2" t="inlineStr">
        <is>
          <t>32024R1252R(01)</t>
        </is>
      </c>
      <c r="E482" s="2" t="inlineStr">
        <is>
          <t>corrigendum</t>
        </is>
      </c>
      <c r="F482" s="2" t="inlineStr">
        <is>
          <t>2024-06-03</t>
        </is>
      </c>
      <c r="G482" s="2" t="inlineStr">
        <is>
          <t>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is>
      </c>
      <c r="H482" s="2" t="inlineStr">
        <is>
          <t>https://eur-lex.europa.eu/legal-content/EN/TXT/?uri=CELEX:32024R1252R(01)</t>
        </is>
      </c>
    </row>
    <row r="483">
      <c r="A483" s="2" t="n">
        <v>92</v>
      </c>
      <c r="B483" s="2" t="inlineStr">
        <is>
          <t>Critical Raw Materials Act</t>
        </is>
      </c>
      <c r="C483" s="2" t="inlineStr">
        <is>
          <t>32024R1252</t>
        </is>
      </c>
      <c r="D483" s="2" t="inlineStr">
        <is>
          <t>32024R1252R(02)</t>
        </is>
      </c>
      <c r="E483" s="2" t="inlineStr">
        <is>
          <t>corrigendum</t>
        </is>
      </c>
      <c r="F483" s="2" t="inlineStr">
        <is>
          <t>2024-10-01</t>
        </is>
      </c>
      <c r="G483" s="2" t="inlineStr">
        <is>
          <t>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is>
      </c>
      <c r="H483" s="2" t="inlineStr">
        <is>
          <t>https://eur-lex.europa.eu/legal-content/EN/TXT/?uri=CELEX:32024R1252R(02)</t>
        </is>
      </c>
    </row>
    <row r="484">
      <c r="A484" s="2" t="n">
        <v>92</v>
      </c>
      <c r="B484" s="2" t="inlineStr">
        <is>
          <t>Critical Raw Materials Act</t>
        </is>
      </c>
      <c r="C484" s="2" t="inlineStr">
        <is>
          <t>32024R1252</t>
        </is>
      </c>
      <c r="D484" s="2" t="inlineStr">
        <is>
          <t>32024R1252R(03)</t>
        </is>
      </c>
      <c r="E484" s="2" t="inlineStr">
        <is>
          <t>corrigendum</t>
        </is>
      </c>
      <c r="F484" s="2" t="inlineStr">
        <is>
          <t>2025-02-14</t>
        </is>
      </c>
      <c r="G484" s="2" t="inlineStr"/>
      <c r="H484" s="2" t="inlineStr">
        <is>
          <t>https://eur-lex.europa.eu/legal-content/EN/TXT/?uri=CELEX:32024R1252R(03)</t>
        </is>
      </c>
    </row>
    <row r="485">
      <c r="A485" s="2" t="n">
        <v>92</v>
      </c>
      <c r="B485" s="2" t="inlineStr">
        <is>
          <t>Critical Raw Materials Act</t>
        </is>
      </c>
      <c r="C485" s="2" t="inlineStr">
        <is>
          <t>32024R1252</t>
        </is>
      </c>
      <c r="D485" s="2" t="inlineStr">
        <is>
          <t>32024R1252R(04)</t>
        </is>
      </c>
      <c r="E485" s="2" t="inlineStr">
        <is>
          <t>corrigendum</t>
        </is>
      </c>
      <c r="F485" s="2" t="inlineStr">
        <is>
          <t>2025-11-14</t>
        </is>
      </c>
      <c r="G485" s="2" t="inlineStr"/>
      <c r="H485" s="2" t="inlineStr">
        <is>
          <t>https://eur-lex.europa.eu/legal-content/EN/TXT/?uri=CELEX:32024R1252R(04)</t>
        </is>
      </c>
    </row>
    <row r="486">
      <c r="A486" s="2" t="n">
        <v>92</v>
      </c>
      <c r="B486" s="2" t="inlineStr">
        <is>
          <t>Critical Raw Materials Act</t>
        </is>
      </c>
      <c r="C486" s="2" t="inlineStr">
        <is>
          <t>32024R1252</t>
        </is>
      </c>
      <c r="D486" s="2" t="inlineStr">
        <is>
          <t>32024R1252R(05)</t>
        </is>
      </c>
      <c r="E486" s="2" t="inlineStr">
        <is>
          <t>corrigendum</t>
        </is>
      </c>
      <c r="F486" s="2" t="inlineStr">
        <is>
          <t>2026-02-11</t>
        </is>
      </c>
      <c r="G486" s="2" t="inlineStr"/>
      <c r="H486" s="2" t="inlineStr">
        <is>
          <t>https://eur-lex.europa.eu/legal-content/EN/TXT/?uri=CELEX:32024R1252R(05)</t>
        </is>
      </c>
    </row>
    <row r="487">
      <c r="A487" s="2" t="n">
        <v>93</v>
      </c>
      <c r="B487" s="2" t="inlineStr">
        <is>
          <t>Net-Zero Industry Act</t>
        </is>
      </c>
      <c r="C487" s="2" t="inlineStr">
        <is>
          <t>32024R1735</t>
        </is>
      </c>
      <c r="D487" s="2" t="inlineStr">
        <is>
          <t>32025R1463</t>
        </is>
      </c>
      <c r="E487" s="2" t="inlineStr">
        <is>
          <t>amendment</t>
        </is>
      </c>
      <c r="F487" s="2" t="inlineStr">
        <is>
          <t>2025-05-23</t>
        </is>
      </c>
      <c r="G487" s="2" t="inlineStr">
        <is>
          <t>Commission Delegated Regulation (EU) 2025/1463 of 23 May 2025 amending Regulation (EU) 2024/1735 of the European Parliament and of the Council as regards the identification of sub-categories within net-zero technologies and the list of specific components used for those technologies</t>
        </is>
      </c>
      <c r="H487" s="2" t="inlineStr">
        <is>
          <t>https://eur-lex.europa.eu/legal-content/EN/TXT/?uri=CELEX:32025R1463</t>
        </is>
      </c>
    </row>
    <row r="488">
      <c r="A488" s="2" t="n">
        <v>93</v>
      </c>
      <c r="B488" s="2" t="inlineStr">
        <is>
          <t>Net-Zero Industry Act</t>
        </is>
      </c>
      <c r="C488" s="2" t="inlineStr">
        <is>
          <t>32024R1735</t>
        </is>
      </c>
      <c r="D488" s="2" t="inlineStr">
        <is>
          <t>32024R1735R(01)</t>
        </is>
      </c>
      <c r="E488" s="2" t="inlineStr">
        <is>
          <t>corrigendum</t>
        </is>
      </c>
      <c r="F488" s="2" t="inlineStr">
        <is>
          <t>2025-02-05</t>
        </is>
      </c>
      <c r="G488" s="2" t="inlineStr">
        <is>
          <t>Corrigendum to Regulation (EU) 2024/1735 of the European Parliament and of the Council of 13 June 2024 on establishing a framework of measures for strengthening Europe’s net-zero technology manufacturing ecosystem and amending Regulation (EU) 2018/1724 (OJ L, 2024/1735, 28.6.2024)</t>
        </is>
      </c>
      <c r="H488" s="2" t="inlineStr">
        <is>
          <t>https://eur-lex.europa.eu/legal-content/EN/TXT/?uri=CELEX:32024R1735R(01)</t>
        </is>
      </c>
    </row>
    <row r="489">
      <c r="A489" s="2" t="n">
        <v>93</v>
      </c>
      <c r="B489" s="2" t="inlineStr">
        <is>
          <t>Net-Zero Industry Act</t>
        </is>
      </c>
      <c r="C489" s="2" t="inlineStr">
        <is>
          <t>32024R1735</t>
        </is>
      </c>
      <c r="D489" s="2" t="inlineStr">
        <is>
          <t>32024R1735R(02)</t>
        </is>
      </c>
      <c r="E489" s="2" t="inlineStr">
        <is>
          <t>corrigendum</t>
        </is>
      </c>
      <c r="F489" s="2" t="inlineStr">
        <is>
          <t>2025-10-27</t>
        </is>
      </c>
      <c r="G489" s="2" t="inlineStr"/>
      <c r="H489" s="2" t="inlineStr">
        <is>
          <t>https://eur-lex.europa.eu/legal-content/EN/TXT/?uri=CELEX:32024R1735R(02)</t>
        </is>
      </c>
    </row>
    <row r="490">
      <c r="A490" s="2" t="n">
        <v>93</v>
      </c>
      <c r="B490" s="2" t="inlineStr">
        <is>
          <t>Net-Zero Industry Act</t>
        </is>
      </c>
      <c r="C490" s="2" t="inlineStr">
        <is>
          <t>32024R1735</t>
        </is>
      </c>
      <c r="D490" s="2" t="inlineStr">
        <is>
          <t>32024R1735R(03)</t>
        </is>
      </c>
      <c r="E490" s="2" t="inlineStr">
        <is>
          <t>corrigendum</t>
        </is>
      </c>
      <c r="F490" s="2" t="inlineStr">
        <is>
          <t>2026-05-20</t>
        </is>
      </c>
      <c r="G490" s="2" t="inlineStr"/>
      <c r="H490" s="2" t="inlineStr">
        <is>
          <t>https://eur-lex.europa.eu/legal-content/EN/TXT/?uri=CELEX:32024R1735R(03)</t>
        </is>
      </c>
    </row>
    <row r="491">
      <c r="A491" s="2" t="n">
        <v>93</v>
      </c>
      <c r="B491" s="2" t="inlineStr">
        <is>
          <t>Net-Zero Industry Act</t>
        </is>
      </c>
      <c r="C491" s="2" t="inlineStr">
        <is>
          <t>32024R1735</t>
        </is>
      </c>
      <c r="D491" s="2" t="inlineStr">
        <is>
          <t>32024R1735R(04)</t>
        </is>
      </c>
      <c r="E491" s="2" t="inlineStr">
        <is>
          <t>corrigendum</t>
        </is>
      </c>
      <c r="F491" s="2" t="inlineStr">
        <is>
          <t>2026-09-03</t>
        </is>
      </c>
      <c r="G491" s="2" t="inlineStr"/>
      <c r="H491" s="2" t="inlineStr">
        <is>
          <t>https://eur-lex.europa.eu/legal-content/EN/TXT/?uri=CELEX:32024R1735R(04)</t>
        </is>
      </c>
    </row>
    <row r="492">
      <c r="A492" s="2" t="n">
        <v>94</v>
      </c>
      <c r="B492" s="2" t="inlineStr">
        <is>
          <t>Right to Repair Directive</t>
        </is>
      </c>
      <c r="C492" s="2" t="inlineStr">
        <is>
          <t>32024L1799</t>
        </is>
      </c>
      <c r="D492" s="2" t="inlineStr">
        <is>
          <t>32026L0074</t>
        </is>
      </c>
      <c r="E492" s="2" t="inlineStr">
        <is>
          <t>amendment</t>
        </is>
      </c>
      <c r="F492" s="2" t="inlineStr">
        <is>
          <t>2026-01-12</t>
        </is>
      </c>
      <c r="G492" s="2" t="inlineStr">
        <is>
          <t>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is>
      </c>
      <c r="H492" s="2" t="inlineStr">
        <is>
          <t>https://eur-lex.europa.eu/legal-content/EN/TXT/?uri=CELEX:32026L0074</t>
        </is>
      </c>
    </row>
    <row r="493">
      <c r="A493" s="2" t="n">
        <v>94</v>
      </c>
      <c r="B493" s="2" t="inlineStr">
        <is>
          <t>Right to Repair Directive</t>
        </is>
      </c>
      <c r="C493" s="2" t="inlineStr">
        <is>
          <t>32024L1799</t>
        </is>
      </c>
      <c r="D493" s="2" t="inlineStr">
        <is>
          <t>32024L1799R(01)</t>
        </is>
      </c>
      <c r="E493" s="2" t="inlineStr">
        <is>
          <t>corrigendum</t>
        </is>
      </c>
      <c r="F493" s="2" t="inlineStr">
        <is>
          <t>2024-12-09</t>
        </is>
      </c>
      <c r="G493" s="2" t="inlineStr">
        <is>
          <t>Corrigendum to Directive (EU) 2024/1799 of the European Parliament and of the Council of 13 June 2024 on common rules promoting the repair of goods and amending Regulation (EU) 2017/2394 and Directives (EU) 2019/771 and (EU) 2020/1828 (OJ L, 2024/1799, 10.7.2024)</t>
        </is>
      </c>
      <c r="H493" s="2" t="inlineStr">
        <is>
          <t>https://eur-lex.europa.eu/legal-content/EN/TXT/?uri=CELEX:32024L1799R(01)</t>
        </is>
      </c>
    </row>
    <row r="494">
      <c r="A494" s="2" t="n">
        <v>94</v>
      </c>
      <c r="B494" s="2" t="inlineStr">
        <is>
          <t>Right to Repair Directive</t>
        </is>
      </c>
      <c r="C494" s="2" t="inlineStr">
        <is>
          <t>32024L1799</t>
        </is>
      </c>
      <c r="D494" s="2" t="inlineStr">
        <is>
          <t>32024L1799R(02)</t>
        </is>
      </c>
      <c r="E494" s="2" t="inlineStr">
        <is>
          <t>corrigendum</t>
        </is>
      </c>
      <c r="F494" s="2" t="inlineStr">
        <is>
          <t>2025-10-23</t>
        </is>
      </c>
      <c r="G494" s="2" t="inlineStr"/>
      <c r="H494" s="2" t="inlineStr">
        <is>
          <t>https://eur-lex.europa.eu/legal-content/EN/TXT/?uri=CELEX:32024L1799R(02)</t>
        </is>
      </c>
    </row>
    <row r="495">
      <c r="A495" s="2" t="n">
        <v>94</v>
      </c>
      <c r="B495" s="2" t="inlineStr">
        <is>
          <t>Right to Repair Directive</t>
        </is>
      </c>
      <c r="C495" s="2" t="inlineStr">
        <is>
          <t>32024L1799</t>
        </is>
      </c>
      <c r="D495" s="2" t="inlineStr">
        <is>
          <t>32024L1799R(03)</t>
        </is>
      </c>
      <c r="E495" s="2" t="inlineStr">
        <is>
          <t>corrigendum</t>
        </is>
      </c>
      <c r="F495" s="2" t="inlineStr">
        <is>
          <t>2026-10-07</t>
        </is>
      </c>
      <c r="G495" s="2" t="inlineStr">
        <is>
          <t>Corrigendum to Directive (EU) 2024/1799 of the European Parliament and of the Council of 13 June 2024 on common rules promoting the repair of goods and amending Regulation (EU) 2017/2394 and Directives (EU) 2019/771 and (EU) 2020/1828 (OJ L, 2024/1799, 10.7.2024)</t>
        </is>
      </c>
      <c r="H495" s="2" t="inlineStr">
        <is>
          <t>https://eur-lex.europa.eu/legal-content/EN/TXT/?uri=CELEX:32024L1799R(03)</t>
        </is>
      </c>
    </row>
    <row r="496">
      <c r="A496" s="2" t="n">
        <v>95</v>
      </c>
      <c r="B496" s="2" t="inlineStr">
        <is>
          <t>Cyber Solidarity Act</t>
        </is>
      </c>
      <c r="C496" s="2" t="inlineStr">
        <is>
          <t>32025R0038</t>
        </is>
      </c>
      <c r="D496" s="2" t="inlineStr">
        <is>
          <t>32025R0038R(01)</t>
        </is>
      </c>
      <c r="E496" s="2" t="inlineStr">
        <is>
          <t>corrigendum</t>
        </is>
      </c>
      <c r="F496" s="2" t="inlineStr">
        <is>
          <t>2025-01-24</t>
        </is>
      </c>
      <c r="G496" s="2" t="inlineStr">
        <is>
          <t>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is>
      </c>
      <c r="H496" s="2" t="inlineStr">
        <is>
          <t>https://eur-lex.europa.eu/legal-content/EN/TXT/?uri=CELEX:32025R0038R(01)</t>
        </is>
      </c>
    </row>
    <row r="497">
      <c r="A497" s="2" t="n">
        <v>95</v>
      </c>
      <c r="B497" s="2" t="inlineStr">
        <is>
          <t>Cyber Solidarity Act</t>
        </is>
      </c>
      <c r="C497" s="2" t="inlineStr">
        <is>
          <t>32025R0038</t>
        </is>
      </c>
      <c r="D497" s="2" t="inlineStr">
        <is>
          <t>32025R0038R(02)</t>
        </is>
      </c>
      <c r="E497" s="2" t="inlineStr">
        <is>
          <t>corrigendum</t>
        </is>
      </c>
      <c r="F497" s="2" t="inlineStr">
        <is>
          <t>2025-10-15</t>
        </is>
      </c>
      <c r="G497" s="2" t="inlineStr"/>
      <c r="H497" s="2" t="inlineStr">
        <is>
          <t>https://eur-lex.europa.eu/legal-content/EN/TXT/?uri=CELEX:32025R0038R(02)</t>
        </is>
      </c>
    </row>
    <row r="498">
      <c r="A498" s="2" t="n">
        <v>95</v>
      </c>
      <c r="B498" s="2" t="inlineStr">
        <is>
          <t>Cyber Solidarity Act</t>
        </is>
      </c>
      <c r="C498" s="2" t="inlineStr">
        <is>
          <t>32025R0038</t>
        </is>
      </c>
      <c r="D498" s="2" t="inlineStr">
        <is>
          <t>32025R0038R(03)</t>
        </is>
      </c>
      <c r="E498" s="2" t="inlineStr">
        <is>
          <t>corrigendum</t>
        </is>
      </c>
      <c r="F498" s="2" t="inlineStr">
        <is>
          <t>2025-11-06</t>
        </is>
      </c>
      <c r="G498" s="2" t="inlineStr">
        <is>
          <t>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is>
      </c>
      <c r="H498" s="2" t="inlineStr">
        <is>
          <t>https://eur-lex.europa.eu/legal-content/EN/TXT/?uri=CELEX:32025R0038R(03)</t>
        </is>
      </c>
    </row>
    <row r="499">
      <c r="A499" s="2" t="n">
        <v>97</v>
      </c>
      <c r="B499" s="2" t="inlineStr">
        <is>
          <t>Strategic Technologies for Europe Platform (STEP)</t>
        </is>
      </c>
      <c r="C499" s="2" t="inlineStr">
        <is>
          <t>32024R0795</t>
        </is>
      </c>
      <c r="D499" s="2" t="inlineStr">
        <is>
          <t>32025R2653</t>
        </is>
      </c>
      <c r="E499" s="2" t="inlineStr">
        <is>
          <t>amendment</t>
        </is>
      </c>
      <c r="F499" s="2" t="inlineStr">
        <is>
          <t>2025-12-19</t>
        </is>
      </c>
      <c r="G499"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499" s="2" t="inlineStr">
        <is>
          <t>https://eur-lex.europa.eu/legal-content/EN/TXT/?uri=CELEX:32025R2653</t>
        </is>
      </c>
    </row>
    <row r="500">
      <c r="A500" s="2" t="n">
        <v>97</v>
      </c>
      <c r="B500" s="2" t="inlineStr">
        <is>
          <t>Strategic Technologies for Europe Platform (STEP)</t>
        </is>
      </c>
      <c r="C500" s="2" t="inlineStr">
        <is>
          <t>32024R0795</t>
        </is>
      </c>
      <c r="D500" s="2" t="inlineStr">
        <is>
          <t>32024R0795R(01)</t>
        </is>
      </c>
      <c r="E500" s="2" t="inlineStr">
        <is>
          <t>corrigendum</t>
        </is>
      </c>
      <c r="F500" s="2" t="inlineStr">
        <is>
          <t>2024-03-06</t>
        </is>
      </c>
      <c r="G500" s="2" t="inlineStr"/>
      <c r="H500" s="2" t="inlineStr">
        <is>
          <t>https://eur-lex.europa.eu/legal-content/EN/TXT/?uri=CELEX:32024R0795R(01)</t>
        </is>
      </c>
    </row>
    <row r="501">
      <c r="A501" s="2" t="n">
        <v>97</v>
      </c>
      <c r="B501" s="2" t="inlineStr">
        <is>
          <t>Strategic Technologies for Europe Platform (STEP)</t>
        </is>
      </c>
      <c r="C501" s="2" t="inlineStr">
        <is>
          <t>32024R0795</t>
        </is>
      </c>
      <c r="D501" s="2" t="inlineStr">
        <is>
          <t>32024R0795R(02)</t>
        </is>
      </c>
      <c r="E501" s="2" t="inlineStr">
        <is>
          <t>corrigendum</t>
        </is>
      </c>
      <c r="F501" s="2" t="inlineStr">
        <is>
          <t>2025-11-24</t>
        </is>
      </c>
      <c r="G501" s="2" t="inlineStr"/>
      <c r="H501" s="2" t="inlineStr">
        <is>
          <t>https://eur-lex.europa.eu/legal-content/EN/TXT/?uri=CELEX:32024R0795R(02)</t>
        </is>
      </c>
    </row>
    <row r="502">
      <c r="A502" s="2" t="n">
        <v>103</v>
      </c>
      <c r="B502" s="2" t="inlineStr">
        <is>
          <t>Toys Safety Regulation</t>
        </is>
      </c>
      <c r="C502" s="2" t="inlineStr">
        <is>
          <t>32025R2509</t>
        </is>
      </c>
      <c r="D502" s="2" t="inlineStr">
        <is>
          <t>32025R2509R(01)</t>
        </is>
      </c>
      <c r="E502" s="2" t="inlineStr">
        <is>
          <t>corrigendum</t>
        </is>
      </c>
      <c r="F502" s="2" t="inlineStr">
        <is>
          <t>2026-02-09</t>
        </is>
      </c>
      <c r="G502" s="2" t="inlineStr"/>
      <c r="H502" s="2" t="inlineStr">
        <is>
          <t>https://eur-lex.europa.eu/legal-content/EN/TXT/?uri=CELEX:32025R2509R(01)</t>
        </is>
      </c>
    </row>
    <row r="503">
      <c r="A503" s="2" t="n">
        <v>103</v>
      </c>
      <c r="B503" s="2" t="inlineStr">
        <is>
          <t>Toys Safety Regulation</t>
        </is>
      </c>
      <c r="C503" s="2" t="inlineStr">
        <is>
          <t>32025R2509</t>
        </is>
      </c>
      <c r="D503" s="2" t="inlineStr">
        <is>
          <t>32025R2509R(02)</t>
        </is>
      </c>
      <c r="E503" s="2" t="inlineStr">
        <is>
          <t>corrigendum</t>
        </is>
      </c>
      <c r="F503" s="2" t="inlineStr">
        <is>
          <t>2026-08-11</t>
        </is>
      </c>
      <c r="G503" s="2" t="inlineStr"/>
      <c r="H503" s="2" t="inlineStr">
        <is>
          <t>https://eur-lex.europa.eu/legal-content/EN/TXT/?uri=CELEX:32025R2509R(02)</t>
        </is>
      </c>
    </row>
    <row r="504">
      <c r="A504" s="2" t="n">
        <v>108</v>
      </c>
      <c r="B504" s="2" t="inlineStr">
        <is>
          <t>European Standardisation Regulation</t>
        </is>
      </c>
      <c r="C504" s="2" t="inlineStr">
        <is>
          <t>32012R1025</t>
        </is>
      </c>
      <c r="D504" s="2" t="inlineStr">
        <is>
          <t>32013L0029</t>
        </is>
      </c>
      <c r="E504" s="2" t="inlineStr">
        <is>
          <t>amendment</t>
        </is>
      </c>
      <c r="F504" s="2" t="inlineStr">
        <is>
          <t>2013-06-12</t>
        </is>
      </c>
      <c r="G504" s="2" t="inlineStr">
        <is>
          <t>Directive 2013/29/EU of the European Parliament and of the Council of 12 June 2013 on the harmonisation of the laws of the Member States relating to the making available on the market of pyrotechnic articles (recast)  Text with EEA relevance</t>
        </is>
      </c>
      <c r="H504" s="2" t="inlineStr">
        <is>
          <t>https://eur-lex.europa.eu/legal-content/EN/TXT/?uri=CELEX:32013L0029</t>
        </is>
      </c>
    </row>
    <row r="505">
      <c r="A505" s="2" t="n">
        <v>108</v>
      </c>
      <c r="B505" s="2" t="inlineStr">
        <is>
          <t>European Standardisation Regulation</t>
        </is>
      </c>
      <c r="C505" s="2" t="inlineStr">
        <is>
          <t>32012R1025</t>
        </is>
      </c>
      <c r="D505" s="2" t="inlineStr">
        <is>
          <t>32013L0053</t>
        </is>
      </c>
      <c r="E505" s="2" t="inlineStr">
        <is>
          <t>amendment</t>
        </is>
      </c>
      <c r="F505" s="2" t="inlineStr">
        <is>
          <t>2013-11-20</t>
        </is>
      </c>
      <c r="G505" s="2" t="inlineStr">
        <is>
          <t>Directive 2013/53/EU of the European Parliament and of the Council of 20 November 2013 on recreational craft and personal watercraft and repealing Directive 94/25/EC  Text with EEA relevance</t>
        </is>
      </c>
      <c r="H505" s="2" t="inlineStr">
        <is>
          <t>https://eur-lex.europa.eu/legal-content/EN/TXT/?uri=CELEX:32013L0053</t>
        </is>
      </c>
    </row>
    <row r="506">
      <c r="A506" s="2" t="n">
        <v>108</v>
      </c>
      <c r="B506" s="2" t="inlineStr">
        <is>
          <t>European Standardisation Regulation</t>
        </is>
      </c>
      <c r="C506" s="2" t="inlineStr">
        <is>
          <t>32012R1025</t>
        </is>
      </c>
      <c r="D506" s="2" t="inlineStr">
        <is>
          <t>32014L0031</t>
        </is>
      </c>
      <c r="E506" s="2" t="inlineStr">
        <is>
          <t>amendment</t>
        </is>
      </c>
      <c r="F506" s="2" t="inlineStr">
        <is>
          <t>2014-02-26</t>
        </is>
      </c>
      <c r="G506" s="2" t="inlineStr">
        <is>
          <t>Directive 2014/31/EU of the European Parliament and of the Council of 26 February 2014 on the harmonisation of the laws of the Member States relating to the making available on the market of non-automatic weighing instruments (recast)  Text with EEA relevance</t>
        </is>
      </c>
      <c r="H506" s="2" t="inlineStr">
        <is>
          <t>https://eur-lex.europa.eu/legal-content/EN/TXT/?uri=CELEX:32014L0031</t>
        </is>
      </c>
    </row>
    <row r="507">
      <c r="A507" s="2" t="n">
        <v>108</v>
      </c>
      <c r="B507" s="2" t="inlineStr">
        <is>
          <t>European Standardisation Regulation</t>
        </is>
      </c>
      <c r="C507" s="2" t="inlineStr">
        <is>
          <t>32012R1025</t>
        </is>
      </c>
      <c r="D507" s="2" t="inlineStr">
        <is>
          <t>32014L0033</t>
        </is>
      </c>
      <c r="E507" s="2" t="inlineStr">
        <is>
          <t>amendment</t>
        </is>
      </c>
      <c r="F507" s="2" t="inlineStr">
        <is>
          <t>2014-02-26</t>
        </is>
      </c>
      <c r="G507" s="2" t="inlineStr">
        <is>
          <t>Directive 2014/33/EU of the European Parliament and of the Council of 26 February 2014 on the harmonisation of the laws of the Member States relating to lifts and safety components for lifts (recast)  Text with EEA relevance</t>
        </is>
      </c>
      <c r="H507" s="2" t="inlineStr">
        <is>
          <t>https://eur-lex.europa.eu/legal-content/EN/TXT/?uri=CELEX:32014L0033</t>
        </is>
      </c>
    </row>
    <row r="508">
      <c r="A508" s="2" t="n">
        <v>108</v>
      </c>
      <c r="B508" s="2" t="inlineStr">
        <is>
          <t>European Standardisation Regulation</t>
        </is>
      </c>
      <c r="C508" s="2" t="inlineStr">
        <is>
          <t>32012R1025</t>
        </is>
      </c>
      <c r="D508" s="2" t="inlineStr">
        <is>
          <t>32014L0032</t>
        </is>
      </c>
      <c r="E508" s="2" t="inlineStr">
        <is>
          <t>amendment</t>
        </is>
      </c>
      <c r="F508" s="2" t="inlineStr">
        <is>
          <t>2014-02-26</t>
        </is>
      </c>
      <c r="G508" s="2" t="inlineStr">
        <is>
          <t>Directive 2014/32/EU of the European Parliament and of the Council of 26 February 2014 on the harmonisation of the laws of the Member States relating to the making available on the market of measuring instruments (recast)  Text with EEA relevance</t>
        </is>
      </c>
      <c r="H508" s="2" t="inlineStr">
        <is>
          <t>https://eur-lex.europa.eu/legal-content/EN/TXT/?uri=CELEX:32014L0032</t>
        </is>
      </c>
    </row>
    <row r="509">
      <c r="A509" s="2" t="n">
        <v>108</v>
      </c>
      <c r="B509" s="2" t="inlineStr">
        <is>
          <t>European Standardisation Regulation</t>
        </is>
      </c>
      <c r="C509" s="2" t="inlineStr">
        <is>
          <t>32012R1025</t>
        </is>
      </c>
      <c r="D509" s="2" t="inlineStr">
        <is>
          <t>32014L0034</t>
        </is>
      </c>
      <c r="E509" s="2" t="inlineStr">
        <is>
          <t>amendment</t>
        </is>
      </c>
      <c r="F509" s="2" t="inlineStr">
        <is>
          <t>2014-02-26</t>
        </is>
      </c>
      <c r="G509" s="2" t="inlineStr">
        <is>
          <t>Directive 2014/34/EU of the European Parliament and of the Council of 26 February 2014 on the harmonisation of the laws of the Member States relating to equipment and protective systems intended for use in potentially explosive atmospheres (recast)  Text with EEA relevance</t>
        </is>
      </c>
      <c r="H509" s="2" t="inlineStr">
        <is>
          <t>https://eur-lex.europa.eu/legal-content/EN/TXT/?uri=CELEX:32014L0034</t>
        </is>
      </c>
    </row>
    <row r="510">
      <c r="A510" s="2" t="n">
        <v>108</v>
      </c>
      <c r="B510" s="2" t="inlineStr">
        <is>
          <t>European Standardisation Regulation</t>
        </is>
      </c>
      <c r="C510" s="2" t="inlineStr">
        <is>
          <t>32012R1025</t>
        </is>
      </c>
      <c r="D510" s="2" t="inlineStr">
        <is>
          <t>32014L0029</t>
        </is>
      </c>
      <c r="E510" s="2" t="inlineStr">
        <is>
          <t>amendment</t>
        </is>
      </c>
      <c r="F510" s="2" t="inlineStr">
        <is>
          <t>2014-02-26</t>
        </is>
      </c>
      <c r="G510" s="2" t="inlineStr">
        <is>
          <t>Directive 2014/29/EU of the European Parliament and of the Council of 26 February 2014 on the harmonisation of the laws of the Member States relating to the making available on the market of simple pressure vessels (recast)  Text with EEA relevance</t>
        </is>
      </c>
      <c r="H510" s="2" t="inlineStr">
        <is>
          <t>https://eur-lex.europa.eu/legal-content/EN/TXT/?uri=CELEX:32014L0029</t>
        </is>
      </c>
    </row>
    <row r="511">
      <c r="A511" s="2" t="n">
        <v>108</v>
      </c>
      <c r="B511" s="2" t="inlineStr">
        <is>
          <t>European Standardisation Regulation</t>
        </is>
      </c>
      <c r="C511" s="2" t="inlineStr">
        <is>
          <t>32012R1025</t>
        </is>
      </c>
      <c r="D511" s="2" t="inlineStr">
        <is>
          <t>32014L0028</t>
        </is>
      </c>
      <c r="E511" s="2" t="inlineStr">
        <is>
          <t>amendment</t>
        </is>
      </c>
      <c r="F511" s="2" t="inlineStr">
        <is>
          <t>2014-02-26</t>
        </is>
      </c>
      <c r="G511" s="2" t="inlineStr">
        <is>
          <t>Directive 2014/28/EU of the European Parliament and of the Council of 26 February 2014 on the harmonisation of the laws of the Member States relating to the making available on the market and supervision of explosives for civil uses (recast)  Text with EEA relevance</t>
        </is>
      </c>
      <c r="H511" s="2" t="inlineStr">
        <is>
          <t>https://eur-lex.europa.eu/legal-content/EN/TXT/?uri=CELEX:32014L0028</t>
        </is>
      </c>
    </row>
    <row r="512">
      <c r="A512" s="2" t="n">
        <v>108</v>
      </c>
      <c r="B512" s="2" t="inlineStr">
        <is>
          <t>European Standardisation Regulation</t>
        </is>
      </c>
      <c r="C512" s="2" t="inlineStr">
        <is>
          <t>32012R1025</t>
        </is>
      </c>
      <c r="D512" s="2" t="inlineStr">
        <is>
          <t>32014L0068</t>
        </is>
      </c>
      <c r="E512" s="2" t="inlineStr">
        <is>
          <t>amendment</t>
        </is>
      </c>
      <c r="F512" s="2" t="inlineStr">
        <is>
          <t>2014-05-15</t>
        </is>
      </c>
      <c r="G512" s="2" t="inlineStr">
        <is>
          <t>Directive 2014/68/EU of the European Parliament and of the Council of 15 May 2014 on the harmonisation of the laws of the Member States relating to the making available on the market of pressure equipment (recast)  Text with EEA relevance</t>
        </is>
      </c>
      <c r="H512" s="2" t="inlineStr">
        <is>
          <t>https://eur-lex.europa.eu/legal-content/EN/TXT/?uri=CELEX:32014L0068</t>
        </is>
      </c>
    </row>
    <row r="513">
      <c r="A513" s="2" t="n">
        <v>108</v>
      </c>
      <c r="B513" s="2" t="inlineStr">
        <is>
          <t>European Standardisation Regulation</t>
        </is>
      </c>
      <c r="C513" s="2" t="inlineStr">
        <is>
          <t>32012R1025</t>
        </is>
      </c>
      <c r="D513" s="2" t="inlineStr">
        <is>
          <t>32015L1535</t>
        </is>
      </c>
      <c r="E513" s="2" t="inlineStr">
        <is>
          <t>amendment</t>
        </is>
      </c>
      <c r="F513" s="2" t="inlineStr">
        <is>
          <t>2015-09-09</t>
        </is>
      </c>
      <c r="G513" s="2" t="inlineStr">
        <is>
          <t>Directive (EU) 2015/1535 of the European Parliament and of the Council of 9 September 2015 laying down a procedure for the provision of information in the field of technical regulations and of rules on Information Society services (codification) (Text with EEA relevance)</t>
        </is>
      </c>
      <c r="H513" s="2" t="inlineStr">
        <is>
          <t>https://eur-lex.europa.eu/legal-content/EN/TXT/?uri=CELEX:32015L1535</t>
        </is>
      </c>
    </row>
    <row r="514">
      <c r="A514" s="2" t="n">
        <v>108</v>
      </c>
      <c r="B514" s="2" t="inlineStr">
        <is>
          <t>European Standardisation Regulation</t>
        </is>
      </c>
      <c r="C514" s="2" t="inlineStr">
        <is>
          <t>32012R1025</t>
        </is>
      </c>
      <c r="D514" s="2" t="inlineStr">
        <is>
          <t>32022R2480</t>
        </is>
      </c>
      <c r="E514" s="2" t="inlineStr">
        <is>
          <t>amendment</t>
        </is>
      </c>
      <c r="F514" s="2" t="inlineStr">
        <is>
          <t>2022-12-14</t>
        </is>
      </c>
      <c r="G514" s="2" t="inlineStr">
        <is>
          <t>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is>
      </c>
      <c r="H514" s="2" t="inlineStr">
        <is>
          <t>https://eur-lex.europa.eu/legal-content/EN/TXT/?uri=CELEX:32022R2480</t>
        </is>
      </c>
    </row>
    <row r="515">
      <c r="A515" s="2" t="n">
        <v>108</v>
      </c>
      <c r="B515" s="2" t="inlineStr">
        <is>
          <t>European Standardisation Regulation</t>
        </is>
      </c>
      <c r="C515" s="2" t="inlineStr">
        <is>
          <t>32012R1025</t>
        </is>
      </c>
      <c r="D515" s="2" t="inlineStr">
        <is>
          <t>32023R0988</t>
        </is>
      </c>
      <c r="E515" s="2" t="inlineStr">
        <is>
          <t>amendment</t>
        </is>
      </c>
      <c r="F515" s="2" t="inlineStr">
        <is>
          <t>2023-05-10</t>
        </is>
      </c>
      <c r="G515" s="2" t="inlineStr">
        <is>
          <t>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is>
      </c>
      <c r="H515" s="2" t="inlineStr">
        <is>
          <t>https://eur-lex.europa.eu/legal-content/EN/TXT/?uri=CELEX:32023R0988</t>
        </is>
      </c>
    </row>
    <row r="516">
      <c r="A516" s="2" t="n">
        <v>108</v>
      </c>
      <c r="B516" s="2" t="inlineStr">
        <is>
          <t>European Standardisation Regulation</t>
        </is>
      </c>
      <c r="C516" s="2" t="inlineStr">
        <is>
          <t>32012R1025</t>
        </is>
      </c>
      <c r="D516" s="2" t="inlineStr">
        <is>
          <t>32012R1025R(01)</t>
        </is>
      </c>
      <c r="E516" s="2" t="inlineStr">
        <is>
          <t>corrigendum</t>
        </is>
      </c>
      <c r="F516" s="2" t="inlineStr">
        <is>
          <t>2025-09-19</t>
        </is>
      </c>
      <c r="G516" s="2" t="inlineStr"/>
      <c r="H516" s="2" t="inlineStr">
        <is>
          <t>https://eur-lex.europa.eu/legal-content/EN/TXT/?uri=CELEX:32012R1025R(01)</t>
        </is>
      </c>
    </row>
    <row r="517">
      <c r="A517" s="2" t="n">
        <v>109</v>
      </c>
      <c r="B517" s="2" t="inlineStr">
        <is>
          <t>Electromagnetic Compatibility Directive</t>
        </is>
      </c>
      <c r="C517" s="2" t="inlineStr">
        <is>
          <t>32014L0030</t>
        </is>
      </c>
      <c r="D517" s="2" t="inlineStr">
        <is>
          <t>32018R1139</t>
        </is>
      </c>
      <c r="E517" s="2" t="inlineStr">
        <is>
          <t>amendment</t>
        </is>
      </c>
      <c r="F517" s="2" t="inlineStr">
        <is>
          <t>2018-07-04</t>
        </is>
      </c>
      <c r="G517" s="2" t="inlineStr">
        <is>
          <t>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is>
      </c>
      <c r="H517" s="2" t="inlineStr">
        <is>
          <t>https://eur-lex.europa.eu/legal-content/EN/TXT/?uri=CELEX:32018R1139</t>
        </is>
      </c>
    </row>
    <row r="518">
      <c r="A518" s="2" t="n">
        <v>109</v>
      </c>
      <c r="B518" s="2" t="inlineStr">
        <is>
          <t>Electromagnetic Compatibility Directive</t>
        </is>
      </c>
      <c r="C518" s="2" t="inlineStr">
        <is>
          <t>32014L0030</t>
        </is>
      </c>
      <c r="D518" s="2" t="inlineStr">
        <is>
          <t>32024L2749</t>
        </is>
      </c>
      <c r="E518" s="2" t="inlineStr">
        <is>
          <t>amendment</t>
        </is>
      </c>
      <c r="F518" s="2" t="inlineStr">
        <is>
          <t>2024-10-09</t>
        </is>
      </c>
      <c r="G518" s="2" t="inlineStr">
        <is>
          <t>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is>
      </c>
      <c r="H518" s="2" t="inlineStr">
        <is>
          <t>https://eur-lex.europa.eu/legal-content/EN/TXT/?uri=CELEX:32024L2749</t>
        </is>
      </c>
    </row>
    <row r="519">
      <c r="A519" s="2" t="n">
        <v>109</v>
      </c>
      <c r="B519" s="2" t="inlineStr">
        <is>
          <t>Electromagnetic Compatibility Directive</t>
        </is>
      </c>
      <c r="C519" s="2" t="inlineStr">
        <is>
          <t>32014L0030</t>
        </is>
      </c>
      <c r="D519" s="2" t="inlineStr">
        <is>
          <t>32014L0030R(01)</t>
        </is>
      </c>
      <c r="E519" s="2" t="inlineStr">
        <is>
          <t>corrigendum</t>
        </is>
      </c>
      <c r="F519" s="2" t="inlineStr">
        <is>
          <t>2014-11-04</t>
        </is>
      </c>
      <c r="G519" s="2" t="inlineStr"/>
      <c r="H519" s="2" t="inlineStr">
        <is>
          <t>https://eur-lex.europa.eu/legal-content/EN/TXT/?uri=CELEX:32014L0030R(01)</t>
        </is>
      </c>
    </row>
    <row r="520">
      <c r="A520" s="2" t="n">
        <v>109</v>
      </c>
      <c r="B520" s="2" t="inlineStr">
        <is>
          <t>Electromagnetic Compatibility Directive</t>
        </is>
      </c>
      <c r="C520" s="2" t="inlineStr">
        <is>
          <t>32014L0030</t>
        </is>
      </c>
      <c r="D520" s="2" t="inlineStr">
        <is>
          <t>32014L0030R(02)</t>
        </is>
      </c>
      <c r="E520" s="2" t="inlineStr">
        <is>
          <t>corrigendum</t>
        </is>
      </c>
      <c r="F520" s="2" t="inlineStr">
        <is>
          <t>2015-04-01</t>
        </is>
      </c>
      <c r="G520" s="2" t="inlineStr"/>
      <c r="H520" s="2" t="inlineStr">
        <is>
          <t>https://eur-lex.europa.eu/legal-content/EN/TXT/?uri=CELEX:32014L0030R(02)</t>
        </is>
      </c>
    </row>
    <row r="521">
      <c r="A521" s="2" t="n">
        <v>110</v>
      </c>
      <c r="B521" s="2" t="inlineStr">
        <is>
          <t>Radio Equipment Directive</t>
        </is>
      </c>
      <c r="C521" s="2" t="inlineStr">
        <is>
          <t>32014L0053</t>
        </is>
      </c>
      <c r="D521" s="2" t="inlineStr">
        <is>
          <t>32018R1139</t>
        </is>
      </c>
      <c r="E521" s="2" t="inlineStr">
        <is>
          <t>amendment</t>
        </is>
      </c>
      <c r="F521" s="2" t="inlineStr">
        <is>
          <t>2018-07-04</t>
        </is>
      </c>
      <c r="G521" s="2" t="inlineStr">
        <is>
          <t>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is>
      </c>
      <c r="H521" s="2" t="inlineStr">
        <is>
          <t>https://eur-lex.europa.eu/legal-content/EN/TXT/?uri=CELEX:32018R1139</t>
        </is>
      </c>
    </row>
    <row r="522">
      <c r="A522" s="2" t="n">
        <v>110</v>
      </c>
      <c r="B522" s="2" t="inlineStr">
        <is>
          <t>Radio Equipment Directive</t>
        </is>
      </c>
      <c r="C522" s="2" t="inlineStr">
        <is>
          <t>32014L0053</t>
        </is>
      </c>
      <c r="D522" s="2" t="inlineStr">
        <is>
          <t>32022L2380</t>
        </is>
      </c>
      <c r="E522" s="2" t="inlineStr">
        <is>
          <t>amendment</t>
        </is>
      </c>
      <c r="F522" s="2" t="inlineStr">
        <is>
          <t>2022-11-23</t>
        </is>
      </c>
      <c r="G522" s="2" t="inlineStr">
        <is>
          <t>Directive (EU) 2022/2380 of the European Parliament and of the Council of 23 November 2022 amending Directive 2014/53/EU on the harmonisation of the laws of the Member States relating to the making available on the market of radio equipment (Text with EEA relevance)</t>
        </is>
      </c>
      <c r="H522" s="2" t="inlineStr">
        <is>
          <t>https://eur-lex.europa.eu/legal-content/EN/TXT/?uri=CELEX:32022L2380</t>
        </is>
      </c>
    </row>
    <row r="523">
      <c r="A523" s="2" t="n">
        <v>110</v>
      </c>
      <c r="B523" s="2" t="inlineStr">
        <is>
          <t>Radio Equipment Directive</t>
        </is>
      </c>
      <c r="C523" s="2" t="inlineStr">
        <is>
          <t>32014L0053</t>
        </is>
      </c>
      <c r="D523" s="2" t="inlineStr">
        <is>
          <t>32023R1717</t>
        </is>
      </c>
      <c r="E523" s="2" t="inlineStr">
        <is>
          <t>amendment</t>
        </is>
      </c>
      <c r="F523" s="2" t="inlineStr">
        <is>
          <t>2023-06-27</t>
        </is>
      </c>
      <c r="G523" s="2" t="inlineStr">
        <is>
          <t>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is>
      </c>
      <c r="H523" s="2" t="inlineStr">
        <is>
          <t>https://eur-lex.europa.eu/legal-content/EN/TXT/?uri=CELEX:32023R1717</t>
        </is>
      </c>
    </row>
    <row r="524">
      <c r="A524" s="2" t="n">
        <v>110</v>
      </c>
      <c r="B524" s="2" t="inlineStr">
        <is>
          <t>Radio Equipment Directive</t>
        </is>
      </c>
      <c r="C524" s="2" t="inlineStr">
        <is>
          <t>32014L0053</t>
        </is>
      </c>
      <c r="D524" s="2" t="inlineStr">
        <is>
          <t>32024L2749</t>
        </is>
      </c>
      <c r="E524" s="2" t="inlineStr">
        <is>
          <t>amendment</t>
        </is>
      </c>
      <c r="F524" s="2" t="inlineStr">
        <is>
          <t>2024-10-09</t>
        </is>
      </c>
      <c r="G524" s="2" t="inlineStr">
        <is>
          <t>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is>
      </c>
      <c r="H524" s="2" t="inlineStr">
        <is>
          <t>https://eur-lex.europa.eu/legal-content/EN/TXT/?uri=CELEX:32024L2749</t>
        </is>
      </c>
    </row>
    <row r="525">
      <c r="A525" s="2" t="n">
        <v>110</v>
      </c>
      <c r="B525" s="2" t="inlineStr">
        <is>
          <t>Radio Equipment Directive</t>
        </is>
      </c>
      <c r="C525" s="2" t="inlineStr">
        <is>
          <t>32014L0053</t>
        </is>
      </c>
      <c r="D525" s="2" t="inlineStr">
        <is>
          <t>32024L2839</t>
        </is>
      </c>
      <c r="E525" s="2" t="inlineStr">
        <is>
          <t>amendment</t>
        </is>
      </c>
      <c r="F525" s="2" t="inlineStr">
        <is>
          <t>2024-10-23</t>
        </is>
      </c>
      <c r="G525" s="2" t="inlineStr">
        <is>
          <t>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is>
      </c>
      <c r="H525" s="2" t="inlineStr">
        <is>
          <t>https://eur-lex.europa.eu/legal-content/EN/TXT/?uri=CELEX:32024L2839</t>
        </is>
      </c>
    </row>
    <row r="526">
      <c r="A526" s="2" t="n">
        <v>110</v>
      </c>
      <c r="B526" s="2" t="inlineStr">
        <is>
          <t>Radio Equipment Directive</t>
        </is>
      </c>
      <c r="C526" s="2" t="inlineStr">
        <is>
          <t>32014L0053</t>
        </is>
      </c>
      <c r="D526" s="2" t="inlineStr">
        <is>
          <t>32014L0053R(01)</t>
        </is>
      </c>
      <c r="E526" s="2" t="inlineStr">
        <is>
          <t>corrigendum</t>
        </is>
      </c>
      <c r="F526" s="2" t="inlineStr">
        <is>
          <t>2015-01-23</t>
        </is>
      </c>
      <c r="G526" s="2" t="inlineStr"/>
      <c r="H526" s="2" t="inlineStr">
        <is>
          <t>https://eur-lex.europa.eu/legal-content/EN/TXT/?uri=CELEX:32014L0053R(01)</t>
        </is>
      </c>
    </row>
    <row r="527">
      <c r="A527" s="2" t="n">
        <v>110</v>
      </c>
      <c r="B527" s="2" t="inlineStr">
        <is>
          <t>Radio Equipment Directive</t>
        </is>
      </c>
      <c r="C527" s="2" t="inlineStr">
        <is>
          <t>32014L0053</t>
        </is>
      </c>
      <c r="D527" s="2" t="inlineStr">
        <is>
          <t>32014L0053R(02)</t>
        </is>
      </c>
      <c r="E527" s="2" t="inlineStr">
        <is>
          <t>corrigendum</t>
        </is>
      </c>
      <c r="F527" s="2" t="inlineStr">
        <is>
          <t>2015-03-27</t>
        </is>
      </c>
      <c r="G527" s="2" t="inlineStr"/>
      <c r="H527" s="2" t="inlineStr">
        <is>
          <t>https://eur-lex.europa.eu/legal-content/EN/TXT/?uri=CELEX:32014L0053R(02)</t>
        </is>
      </c>
    </row>
    <row r="528">
      <c r="A528" s="2" t="n">
        <v>110</v>
      </c>
      <c r="B528" s="2" t="inlineStr">
        <is>
          <t>Radio Equipment Directive</t>
        </is>
      </c>
      <c r="C528" s="2" t="inlineStr">
        <is>
          <t>32014L0053</t>
        </is>
      </c>
      <c r="D528" s="2" t="inlineStr">
        <is>
          <t>32014L0053R(03)</t>
        </is>
      </c>
      <c r="E528" s="2" t="inlineStr">
        <is>
          <t>corrigendum</t>
        </is>
      </c>
      <c r="F528" s="2" t="inlineStr">
        <is>
          <t>2025-02-28</t>
        </is>
      </c>
      <c r="G528" s="2" t="inlineStr"/>
      <c r="H528" s="2" t="inlineStr">
        <is>
          <t>https://eur-lex.europa.eu/legal-content/EN/TXT/?uri=CELEX:32014L0053R(03)</t>
        </is>
      </c>
    </row>
    <row r="529">
      <c r="A529" s="2" t="n">
        <v>111</v>
      </c>
      <c r="B529" s="2" t="inlineStr">
        <is>
          <t>E-invoicing Directive</t>
        </is>
      </c>
      <c r="C529" s="2" t="inlineStr">
        <is>
          <t>32014L0055</t>
        </is>
      </c>
      <c r="D529" s="2" t="inlineStr">
        <is>
          <t>32014L0055R(01)</t>
        </is>
      </c>
      <c r="E529" s="2" t="inlineStr">
        <is>
          <t>corrigendum</t>
        </is>
      </c>
      <c r="F529" s="2" t="inlineStr">
        <is>
          <t>2014-11-26</t>
        </is>
      </c>
      <c r="G529" s="2" t="inlineStr"/>
      <c r="H529" s="2" t="inlineStr">
        <is>
          <t>https://eur-lex.europa.eu/legal-content/EN/TXT/?uri=CELEX:32014L0055R(01)</t>
        </is>
      </c>
    </row>
    <row r="530">
      <c r="A530" s="2" t="n">
        <v>111</v>
      </c>
      <c r="B530" s="2" t="inlineStr">
        <is>
          <t>E-invoicing Directive</t>
        </is>
      </c>
      <c r="C530" s="2" t="inlineStr">
        <is>
          <t>32014L0055</t>
        </is>
      </c>
      <c r="D530" s="2" t="inlineStr">
        <is>
          <t>32014L0055R(02)</t>
        </is>
      </c>
      <c r="E530" s="2" t="inlineStr">
        <is>
          <t>corrigendum</t>
        </is>
      </c>
      <c r="F530" s="2" t="inlineStr">
        <is>
          <t>2022-08-11</t>
        </is>
      </c>
      <c r="G530" s="2" t="inlineStr"/>
      <c r="H530" s="2" t="inlineStr">
        <is>
          <t>https://eur-lex.europa.eu/legal-content/EN/TXT/?uri=CELEX:32014L0055R(02)</t>
        </is>
      </c>
    </row>
    <row r="531">
      <c r="A531" s="2" t="n">
        <v>112</v>
      </c>
      <c r="B531" s="2" t="inlineStr">
        <is>
          <t>Portability Regulation</t>
        </is>
      </c>
      <c r="C531" s="2" t="inlineStr">
        <is>
          <t>32017R1128</t>
        </is>
      </c>
      <c r="D531" s="2" t="inlineStr">
        <is>
          <t>32017R1128R(01)</t>
        </is>
      </c>
      <c r="E531" s="2" t="inlineStr">
        <is>
          <t>corrigendum</t>
        </is>
      </c>
      <c r="F531" s="2" t="inlineStr">
        <is>
          <t>2017-07-28</t>
        </is>
      </c>
      <c r="G531" s="2" t="inlineStr">
        <is>
          <t>Corrigendum to Regulation (EU) 2017/1128 of the European Parliament and of the Council of 14 June 2017 on cross-border portability of online content services in the internal market (OJ L 168, 30.6.2017)</t>
        </is>
      </c>
      <c r="H531" s="2" t="inlineStr">
        <is>
          <t>https://eur-lex.europa.eu/legal-content/EN/TXT/?uri=CELEX:32017R1128R(01)</t>
        </is>
      </c>
    </row>
    <row r="532">
      <c r="A532" s="2" t="n">
        <v>112</v>
      </c>
      <c r="B532" s="2" t="inlineStr">
        <is>
          <t>Portability Regulation</t>
        </is>
      </c>
      <c r="C532" s="2" t="inlineStr">
        <is>
          <t>32017R1128</t>
        </is>
      </c>
      <c r="D532" s="2" t="inlineStr">
        <is>
          <t>32017R1128R(02)</t>
        </is>
      </c>
      <c r="E532" s="2" t="inlineStr">
        <is>
          <t>corrigendum</t>
        </is>
      </c>
      <c r="F532" s="2" t="inlineStr">
        <is>
          <t>2018-06-25</t>
        </is>
      </c>
      <c r="G532" s="2" t="inlineStr"/>
      <c r="H532" s="2" t="inlineStr">
        <is>
          <t>https://eur-lex.europa.eu/legal-content/EN/TXT/?uri=CELEX:32017R1128R(02)</t>
        </is>
      </c>
    </row>
    <row r="533">
      <c r="A533" s="2" t="n">
        <v>113</v>
      </c>
      <c r="B533" s="2" t="inlineStr">
        <is>
          <t>.eu Top-Level Domain Regulation</t>
        </is>
      </c>
      <c r="C533" s="2" t="inlineStr">
        <is>
          <t>32019R0517</t>
        </is>
      </c>
      <c r="D533" s="2" t="inlineStr">
        <is>
          <t>32019R0517R(01)</t>
        </is>
      </c>
      <c r="E533" s="2" t="inlineStr">
        <is>
          <t>corrigendum</t>
        </is>
      </c>
      <c r="F533" s="2" t="inlineStr">
        <is>
          <t>2020-07-10</t>
        </is>
      </c>
      <c r="G533" s="2" t="inlineStr"/>
      <c r="H533" s="2" t="inlineStr">
        <is>
          <t>https://eur-lex.europa.eu/legal-content/EN/TXT/?uri=CELEX:32019R0517R(01)</t>
        </is>
      </c>
    </row>
    <row r="534">
      <c r="A534" s="2" t="n">
        <v>114</v>
      </c>
      <c r="B534" s="2" t="inlineStr">
        <is>
          <t>Interoperability of EU information systems (borders and visa) Regulation</t>
        </is>
      </c>
      <c r="C534" s="2" t="inlineStr">
        <is>
          <t>32019R0817</t>
        </is>
      </c>
      <c r="D534" s="2" t="inlineStr">
        <is>
          <t>32021R1134</t>
        </is>
      </c>
      <c r="E534" s="2" t="inlineStr">
        <is>
          <t>amendment</t>
        </is>
      </c>
      <c r="F534" s="2" t="inlineStr">
        <is>
          <t>2021-07-07</t>
        </is>
      </c>
      <c r="G534" s="2" t="inlineStr">
        <is>
          <t>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is>
      </c>
      <c r="H534" s="2" t="inlineStr">
        <is>
          <t>https://eur-lex.europa.eu/legal-content/EN/TXT/?uri=CELEX:32021R1134</t>
        </is>
      </c>
    </row>
    <row r="535">
      <c r="A535" s="2" t="n">
        <v>114</v>
      </c>
      <c r="B535" s="2" t="inlineStr">
        <is>
          <t>Interoperability of EU information systems (borders and visa) Regulation</t>
        </is>
      </c>
      <c r="C535" s="2" t="inlineStr">
        <is>
          <t>32019R0817</t>
        </is>
      </c>
      <c r="D535" s="2" t="inlineStr">
        <is>
          <t>32021R1152</t>
        </is>
      </c>
      <c r="E535" s="2" t="inlineStr">
        <is>
          <t>amendment</t>
        </is>
      </c>
      <c r="F535" s="2" t="inlineStr">
        <is>
          <t>2021-07-07</t>
        </is>
      </c>
      <c r="G535" s="2" t="inlineStr">
        <is>
          <t>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is>
      </c>
      <c r="H535" s="2" t="inlineStr">
        <is>
          <t>https://eur-lex.europa.eu/legal-content/EN/TXT/?uri=CELEX:32021R1152</t>
        </is>
      </c>
    </row>
    <row r="536">
      <c r="A536" s="2" t="n">
        <v>114</v>
      </c>
      <c r="B536" s="2" t="inlineStr">
        <is>
          <t>Interoperability of EU information systems (borders and visa) Regulation</t>
        </is>
      </c>
      <c r="C536" s="2" t="inlineStr">
        <is>
          <t>32019R0817</t>
        </is>
      </c>
      <c r="D536" s="2" t="inlineStr">
        <is>
          <t>32024R0982</t>
        </is>
      </c>
      <c r="E536" s="2" t="inlineStr">
        <is>
          <t>amendment</t>
        </is>
      </c>
      <c r="F536" s="2" t="inlineStr">
        <is>
          <t>2024-03-13</t>
        </is>
      </c>
      <c r="G536" s="2" t="inlineStr">
        <is>
          <t>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is>
      </c>
      <c r="H536" s="2" t="inlineStr">
        <is>
          <t>https://eur-lex.europa.eu/legal-content/EN/TXT/?uri=CELEX:32024R0982</t>
        </is>
      </c>
    </row>
    <row r="537">
      <c r="A537" s="2" t="n">
        <v>114</v>
      </c>
      <c r="B537" s="2" t="inlineStr">
        <is>
          <t>Interoperability of EU information systems (borders and visa) Regulation</t>
        </is>
      </c>
      <c r="C537" s="2" t="inlineStr">
        <is>
          <t>32019R0817</t>
        </is>
      </c>
      <c r="D537" s="2" t="inlineStr">
        <is>
          <t>32024R1356</t>
        </is>
      </c>
      <c r="E537" s="2" t="inlineStr">
        <is>
          <t>amendment</t>
        </is>
      </c>
      <c r="F537" s="2" t="inlineStr">
        <is>
          <t>2024-05-14</t>
        </is>
      </c>
      <c r="G537" s="2" t="inlineStr">
        <is>
          <t>Regulation (EU) 2024/1356 of the European Parliament and of the Council of 14 May 2024 introducing the screening of third-country nationals at the external borders and amending Regulations (EC) No 767/2008, (EU) 2017/2226, (EU) 2018/1240 and (EU) 2019/817</t>
        </is>
      </c>
      <c r="H537" s="2" t="inlineStr">
        <is>
          <t>https://eur-lex.europa.eu/legal-content/EN/TXT/?uri=CELEX:32024R1356</t>
        </is>
      </c>
    </row>
    <row r="538">
      <c r="A538" s="2" t="n">
        <v>114</v>
      </c>
      <c r="B538" s="2" t="inlineStr">
        <is>
          <t>Interoperability of EU information systems (borders and visa) Regulation</t>
        </is>
      </c>
      <c r="C538" s="2" t="inlineStr">
        <is>
          <t>32019R0817</t>
        </is>
      </c>
      <c r="D538" s="2" t="inlineStr">
        <is>
          <t>32025R0012</t>
        </is>
      </c>
      <c r="E538" s="2" t="inlineStr">
        <is>
          <t>amendment</t>
        </is>
      </c>
      <c r="F538" s="2" t="inlineStr">
        <is>
          <t>2024-12-19</t>
        </is>
      </c>
      <c r="G538" s="2" t="inlineStr">
        <is>
          <t>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is>
      </c>
      <c r="H538" s="2" t="inlineStr">
        <is>
          <t>https://eur-lex.europa.eu/legal-content/EN/TXT/?uri=CELEX:32025R0012</t>
        </is>
      </c>
    </row>
    <row r="539">
      <c r="A539" s="2" t="n">
        <v>114</v>
      </c>
      <c r="B539" s="2" t="inlineStr">
        <is>
          <t>Interoperability of EU information systems (borders and visa) Regulation</t>
        </is>
      </c>
      <c r="C539" s="2" t="inlineStr">
        <is>
          <t>32019R0817</t>
        </is>
      </c>
      <c r="D539" s="2" t="inlineStr">
        <is>
          <t>32019R0817R(01)</t>
        </is>
      </c>
      <c r="E539" s="2" t="inlineStr">
        <is>
          <t>corrigendum</t>
        </is>
      </c>
      <c r="F539" s="2" t="inlineStr">
        <is>
          <t>2020-01-15</t>
        </is>
      </c>
      <c r="G539" s="2" t="inlineStr">
        <is>
          <t>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is>
      </c>
      <c r="H539" s="2" t="inlineStr">
        <is>
          <t>https://eur-lex.europa.eu/legal-content/EN/TXT/?uri=CELEX:32019R0817R(01)</t>
        </is>
      </c>
    </row>
    <row r="540">
      <c r="A540" s="2" t="n">
        <v>114</v>
      </c>
      <c r="B540" s="2" t="inlineStr">
        <is>
          <t>Interoperability of EU information systems (borders and visa) Regulation</t>
        </is>
      </c>
      <c r="C540" s="2" t="inlineStr">
        <is>
          <t>32019R0817</t>
        </is>
      </c>
      <c r="D540" s="2" t="inlineStr">
        <is>
          <t>32019R0817R(02)</t>
        </is>
      </c>
      <c r="E540" s="2" t="inlineStr">
        <is>
          <t>corrigendum</t>
        </is>
      </c>
      <c r="F540" s="2" t="inlineStr">
        <is>
          <t>2020-02-07</t>
        </is>
      </c>
      <c r="G540" s="2" t="inlineStr"/>
      <c r="H540" s="2" t="inlineStr">
        <is>
          <t>https://eur-lex.europa.eu/legal-content/EN/TXT/?uri=CELEX:32019R0817R(02)</t>
        </is>
      </c>
    </row>
    <row r="541">
      <c r="A541" s="2" t="n">
        <v>114</v>
      </c>
      <c r="B541" s="2" t="inlineStr">
        <is>
          <t>Interoperability of EU information systems (borders and visa) Regulation</t>
        </is>
      </c>
      <c r="C541" s="2" t="inlineStr">
        <is>
          <t>32019R0817</t>
        </is>
      </c>
      <c r="D541" s="2" t="inlineStr">
        <is>
          <t>32019R0817R(03)</t>
        </is>
      </c>
      <c r="E541" s="2" t="inlineStr">
        <is>
          <t>corrigendum</t>
        </is>
      </c>
      <c r="F541" s="2" t="inlineStr">
        <is>
          <t>2021-02-18</t>
        </is>
      </c>
      <c r="G541" s="2" t="inlineStr"/>
      <c r="H541" s="2" t="inlineStr">
        <is>
          <t>https://eur-lex.europa.eu/legal-content/EN/TXT/?uri=CELEX:32019R0817R(03)</t>
        </is>
      </c>
    </row>
    <row r="542">
      <c r="A542" s="2" t="n">
        <v>114</v>
      </c>
      <c r="B542" s="2" t="inlineStr">
        <is>
          <t>Interoperability of EU information systems (borders and visa) Regulation</t>
        </is>
      </c>
      <c r="C542" s="2" t="inlineStr">
        <is>
          <t>32019R0817</t>
        </is>
      </c>
      <c r="D542" s="2" t="inlineStr">
        <is>
          <t>32019R0817R(04)</t>
        </is>
      </c>
      <c r="E542" s="2" t="inlineStr">
        <is>
          <t>corrigendum</t>
        </is>
      </c>
      <c r="F542" s="2" t="inlineStr">
        <is>
          <t>2023-04-27</t>
        </is>
      </c>
      <c r="G542" s="2" t="inlineStr"/>
      <c r="H542" s="2" t="inlineStr">
        <is>
          <t>https://eur-lex.europa.eu/legal-content/EN/TXT/?uri=CELEX:32019R0817R(04)</t>
        </is>
      </c>
    </row>
    <row r="543">
      <c r="A543" s="2" t="n">
        <v>114</v>
      </c>
      <c r="B543" s="2" t="inlineStr">
        <is>
          <t>Interoperability of EU information systems (borders and visa) Regulation</t>
        </is>
      </c>
      <c r="C543" s="2" t="inlineStr">
        <is>
          <t>32019R0817</t>
        </is>
      </c>
      <c r="D543" s="2" t="inlineStr">
        <is>
          <t>32019R0817R(05)</t>
        </is>
      </c>
      <c r="E543" s="2" t="inlineStr">
        <is>
          <t>corrigendum</t>
        </is>
      </c>
      <c r="F543" s="2" t="inlineStr">
        <is>
          <t>2025-11-27</t>
        </is>
      </c>
      <c r="G543" s="2" t="inlineStr">
        <is>
          <t>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is>
      </c>
      <c r="H543" s="2" t="inlineStr">
        <is>
          <t>https://eur-lex.europa.eu/legal-content/EN/TXT/?uri=CELEX:32019R0817R(05)</t>
        </is>
      </c>
    </row>
    <row r="544">
      <c r="A544" s="2" t="n">
        <v>115</v>
      </c>
      <c r="B544" s="2" t="inlineStr">
        <is>
          <t>Short-Term Rental Data Regulation</t>
        </is>
      </c>
      <c r="C544" s="2" t="inlineStr">
        <is>
          <t>32024R1028</t>
        </is>
      </c>
      <c r="D544" s="2" t="inlineStr">
        <is>
          <t>32024R1028R(01)</t>
        </is>
      </c>
      <c r="E544" s="2" t="inlineStr">
        <is>
          <t>corrigendum</t>
        </is>
      </c>
      <c r="F544" s="2" t="inlineStr">
        <is>
          <t>2026-09-22</t>
        </is>
      </c>
      <c r="G544" s="2" t="inlineStr">
        <is>
          <t>Corrigendum to Regulation (EU) 2024/1028 of the European Parliament and of the Council of 11 April 2024 on data collection and sharing relating to short-term accommodation rental services and amending Regulation (EU) 2018/1724 (OJ L, 2024/1028, 29.4.2024)</t>
        </is>
      </c>
      <c r="H544" s="2" t="inlineStr">
        <is>
          <t>https://eur-lex.europa.eu/legal-content/EN/TXT/?uri=CELEX:32024R1028R(01)</t>
        </is>
      </c>
    </row>
  </sheetData>
  <autoFilter ref="A1:H54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14" customWidth="1" min="4" max="4"/>
    <col width="11" customWidth="1" min="5" max="5"/>
    <col width="70" customWidth="1" min="6" max="6"/>
    <col width="50" customWidth="1" min="7" max="7"/>
    <col width="50" customWidth="1" min="8" max="8"/>
  </cols>
  <sheetData>
    <row r="1" ht="45" customHeight="1">
      <c r="A1" s="1" t="inlineStr">
        <is>
          <t>parent_row_id</t>
        </is>
      </c>
      <c r="B1" s="1" t="inlineStr">
        <is>
          <t>parent_name</t>
        </is>
      </c>
      <c r="C1" s="1" t="inlineStr">
        <is>
          <t>parent_celex</t>
        </is>
      </c>
      <c r="D1" s="1" t="inlineStr">
        <is>
          <t>reference</t>
        </is>
      </c>
      <c r="E1" s="1" t="inlineStr">
        <is>
          <t>date</t>
        </is>
      </c>
      <c r="F1" s="1" t="inlineStr">
        <is>
          <t>title</t>
        </is>
      </c>
      <c r="G1" s="1" t="inlineStr">
        <is>
          <t>source_url</t>
        </is>
      </c>
      <c r="H1" s="1" t="inlineStr">
        <is>
          <t>note</t>
        </is>
      </c>
    </row>
    <row r="2">
      <c r="A2" s="2" t="n">
        <v>64</v>
      </c>
      <c r="B2" s="2" t="inlineStr">
        <is>
          <t>Artificial Intelligence Act</t>
        </is>
      </c>
      <c r="C2" s="2" t="inlineStr">
        <is>
          <t>32024R1689</t>
        </is>
      </c>
      <c r="D2" s="2" t="inlineStr">
        <is>
          <t>C(2025) 884</t>
        </is>
      </c>
      <c r="E2" s="2" t="inlineStr">
        <is>
          <t>2025-02-04</t>
        </is>
      </c>
      <c r="F2" s="2" t="inlineStr">
        <is>
          <t>Commission Guidelines on prohibited artificial intelligence practices established by Regulation (EU) 2024/1689 (AI Act)</t>
        </is>
      </c>
      <c r="G2" s="2" t="inlineStr">
        <is>
          <t>https://digital-strategy.ec.europa.eu/en/library/commission-publishes-guidelines-prohibited-artificial-intelligence-ai-practices-defined-ai-act</t>
        </is>
      </c>
      <c r="H2" s="2" t="inlineStr">
        <is>
          <t>Not linked in EUR-Lex metadata; found by web search, not linked in EUR-Lex; not measured</t>
        </is>
      </c>
    </row>
    <row r="3">
      <c r="A3" s="2" t="n">
        <v>64</v>
      </c>
      <c r="B3" s="2" t="inlineStr">
        <is>
          <t>Artificial Intelligence Act</t>
        </is>
      </c>
      <c r="C3" s="2" t="inlineStr">
        <is>
          <t>32024R1689</t>
        </is>
      </c>
      <c r="D3" s="2" t="inlineStr">
        <is>
          <t>C(2025) 924</t>
        </is>
      </c>
      <c r="E3" s="2" t="inlineStr">
        <is>
          <t>2025-02-06</t>
        </is>
      </c>
      <c r="F3" s="2" t="inlineStr">
        <is>
          <t>Commission Guidelines on the definition of an artificial intelligence system established by Regulation (EU) 2024/1689 (AI Act)</t>
        </is>
      </c>
      <c r="G3" s="2" t="inlineStr">
        <is>
          <t>https://digital-strategy.ec.europa.eu/en/library/commission-publishes-guidelines-ai-system-definition-facilitate-first-ai-acts-rules-application</t>
        </is>
      </c>
      <c r="H3" s="2" t="inlineStr">
        <is>
          <t>Not linked in EUR-Lex metadata; found by web search, not linked in EUR-Lex; not measured</t>
        </is>
      </c>
    </row>
    <row r="4">
      <c r="A4" s="2" t="n">
        <v>64</v>
      </c>
      <c r="B4" s="2" t="inlineStr">
        <is>
          <t>Artificial Intelligence Act</t>
        </is>
      </c>
      <c r="C4" s="2" t="inlineStr">
        <is>
          <t>32024R1689</t>
        </is>
      </c>
      <c r="D4" s="2" t="inlineStr"/>
      <c r="E4" s="2" t="inlineStr">
        <is>
          <t>2025-07-18</t>
        </is>
      </c>
      <c r="F4" s="2" t="inlineStr">
        <is>
          <t>Guidelines on the scope of the obligations for providers of general-purpose AI models under the AI Act</t>
        </is>
      </c>
      <c r="G4" s="2" t="inlineStr">
        <is>
          <t>https://digital-strategy.ec.europa.eu/en/policies/guidelines-gpai-providers</t>
        </is>
      </c>
      <c r="H4" s="2" t="inlineStr">
        <is>
          <t>Reference number not verified; found by web search, not linked in EUR-Lex; not measured</t>
        </is>
      </c>
    </row>
    <row r="5">
      <c r="A5" s="2" t="n">
        <v>58</v>
      </c>
      <c r="B5" s="2" t="inlineStr">
        <is>
          <t>Data Governance Act</t>
        </is>
      </c>
      <c r="C5" s="2" t="inlineStr">
        <is>
          <t>32022R0868</t>
        </is>
      </c>
      <c r="D5" s="2" t="inlineStr"/>
      <c r="E5" s="2" t="inlineStr">
        <is>
          <t>2024-09-24</t>
        </is>
      </c>
      <c r="F5" s="2" t="inlineStr">
        <is>
          <t>Commission guidance on the Data Governance Act</t>
        </is>
      </c>
      <c r="G5" s="2" t="inlineStr">
        <is>
          <t>https://digital-strategy.ec.europa.eu/en/policies/data-governance-act-explained</t>
        </is>
      </c>
      <c r="H5" s="2" t="inlineStr">
        <is>
          <t>Non-binding staff guidance; found by web search, not linked in EUR-Lex; not measured</t>
        </is>
      </c>
    </row>
    <row r="6">
      <c r="A6" s="2" t="n">
        <v>83</v>
      </c>
      <c r="B6" s="2" t="inlineStr">
        <is>
          <t>Cyber Resilience Act</t>
        </is>
      </c>
      <c r="C6" s="2" t="inlineStr">
        <is>
          <t>32024R2847</t>
        </is>
      </c>
      <c r="D6" s="2" t="inlineStr"/>
      <c r="E6" s="2" t="inlineStr">
        <is>
          <t>2026-03</t>
        </is>
      </c>
      <c r="F6" s="2" t="inlineStr">
        <is>
          <t>Commission FAQs on the Cyber Resilience Act (living document)</t>
        </is>
      </c>
      <c r="G6" s="2" t="inlineStr">
        <is>
          <t>https://digital-strategy.ec.europa.eu/en/policies/cra-faqs</t>
        </is>
      </c>
      <c r="H6" s="2" t="inlineStr">
        <is>
          <t>Date approximate (reported late March 2026); found by web search, not linked in EUR-Lex; not measured</t>
        </is>
      </c>
    </row>
    <row r="7">
      <c r="A7" s="2" t="n">
        <v>83</v>
      </c>
      <c r="B7" s="2" t="inlineStr">
        <is>
          <t>Cyber Resilience Act</t>
        </is>
      </c>
      <c r="C7" s="2" t="inlineStr">
        <is>
          <t>32024R2847</t>
        </is>
      </c>
      <c r="D7" s="2" t="inlineStr">
        <is>
          <t>C(2026) 5252</t>
        </is>
      </c>
      <c r="E7" s="2" t="inlineStr">
        <is>
          <t>2026-07-27</t>
        </is>
      </c>
      <c r="F7" s="2" t="inlineStr">
        <is>
          <t>Commission guidance on the application of Regulation (EU) 2024/2847 (CRA)</t>
        </is>
      </c>
      <c r="G7" s="2" t="inlineStr">
        <is>
          <t>https://digital-strategy.ec.europa.eu/en/policies/cyber-resilience-act</t>
        </is>
      </c>
      <c r="H7" s="2" t="inlineStr">
        <is>
          <t>Reported by secondary sources; Article 26 CRA guidance; found by web search, not linked in EUR-Lex; not measured</t>
        </is>
      </c>
    </row>
  </sheetData>
  <autoFilter ref="A1:H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8" customWidth="1" min="4" max="4"/>
    <col width="70" customWidth="1" min="5" max="5"/>
    <col width="11" customWidth="1" min="6" max="6"/>
    <col width="8" customWidth="1" min="7" max="7"/>
    <col width="4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60" customWidth="1" min="22" max="22"/>
  </cols>
  <sheetData>
    <row r="1" ht="45" customHeight="1">
      <c r="A1" s="1" t="inlineStr">
        <is>
          <t>parent_row_id</t>
        </is>
      </c>
      <c r="B1" s="1" t="inlineStr">
        <is>
          <t>parent_name</t>
        </is>
      </c>
      <c r="C1" s="1" t="inlineStr">
        <is>
          <t>parent_celex</t>
        </is>
      </c>
      <c r="D1" s="1" t="inlineStr">
        <is>
          <t>agency</t>
        </is>
      </c>
      <c r="E1" s="1" t="inlineStr">
        <is>
          <t>title</t>
        </is>
      </c>
      <c r="F1" s="1" t="inlineStr">
        <is>
          <t>date</t>
        </is>
      </c>
      <c r="G1" s="1" t="inlineStr">
        <is>
          <t>status</t>
        </is>
      </c>
      <c r="H1" s="1" t="inlineStr">
        <is>
          <t>pdf_url</t>
        </is>
      </c>
      <c r="I1" s="1" t="inlineStr">
        <is>
          <t>pages</t>
        </is>
      </c>
      <c r="J1" s="1" t="inlineStr">
        <is>
          <t>words_total</t>
        </is>
      </c>
      <c r="K1" s="1" t="inlineStr">
        <is>
          <t>restrictions_total</t>
        </is>
      </c>
      <c r="L1" s="1" t="inlineStr">
        <is>
          <t>r_obligation</t>
        </is>
      </c>
      <c r="M1" s="1" t="inlineStr">
        <is>
          <t>r_prohibition</t>
        </is>
      </c>
      <c r="N1" s="1" t="inlineStr">
        <is>
          <t>r_restricted_permission</t>
        </is>
      </c>
      <c r="O1" s="1" t="inlineStr">
        <is>
          <t>r_explicit_requirement</t>
        </is>
      </c>
      <c r="P1" s="1" t="inlineStr">
        <is>
          <t>r_duty_of_result</t>
        </is>
      </c>
      <c r="Q1" s="1" t="inlineStr">
        <is>
          <t>addr_private_parties</t>
        </is>
      </c>
      <c r="R1" s="1" t="inlineStr">
        <is>
          <t>addr_member_states</t>
        </is>
      </c>
      <c r="S1" s="1" t="inlineStr">
        <is>
          <t>addr_eu_institutions</t>
        </is>
      </c>
      <c r="T1" s="1" t="inlineStr">
        <is>
          <t>addr_unclear</t>
        </is>
      </c>
      <c r="U1" s="1" t="inlineStr">
        <is>
          <t>should_count</t>
        </is>
      </c>
      <c r="V1" s="1" t="inlineStr">
        <is>
          <t>note</t>
        </is>
      </c>
    </row>
    <row r="2">
      <c r="A2" s="2" t="n">
        <v>9</v>
      </c>
      <c r="B2" s="2" t="inlineStr">
        <is>
          <t>ePrivacy Directive</t>
        </is>
      </c>
      <c r="C2" s="2" t="inlineStr">
        <is>
          <t>32002L0058</t>
        </is>
      </c>
      <c r="D2" s="2" t="inlineStr">
        <is>
          <t>EDPB</t>
        </is>
      </c>
      <c r="E2" s="2" t="inlineStr">
        <is>
          <t>Guidelines 2/2023 on Technical Scope of Art. 5(3) of ePrivacy Directive</t>
        </is>
      </c>
      <c r="F2" s="2" t="inlineStr">
        <is>
          <t>2024-10-16</t>
        </is>
      </c>
      <c r="G2" s="2" t="inlineStr">
        <is>
          <t>final</t>
        </is>
      </c>
      <c r="H2" s="2" t="inlineStr">
        <is>
          <t>https://www.edpb.europa.eu/system/files/documents/2024-10/edpb_guidelines_202302_technical_scope_art_53_eprivacydirective_v2_en_0.pdf</t>
        </is>
      </c>
      <c r="I2" s="2" t="n">
        <v>15</v>
      </c>
      <c r="J2" s="2" t="n">
        <v>6414</v>
      </c>
      <c r="K2" s="2" t="n">
        <v>12</v>
      </c>
      <c r="L2" s="2" t="n">
        <v>6</v>
      </c>
      <c r="M2" s="2" t="n">
        <v>6</v>
      </c>
      <c r="N2" s="2" t="n">
        <v>0</v>
      </c>
      <c r="O2" s="2" t="n">
        <v>0</v>
      </c>
      <c r="P2" s="2" t="n">
        <v>0</v>
      </c>
      <c r="Q2" s="2" t="n">
        <v>8</v>
      </c>
      <c r="R2" s="2" t="n">
        <v>0</v>
      </c>
      <c r="S2" s="2" t="n">
        <v>1</v>
      </c>
      <c r="T2" s="2" t="n">
        <v>3</v>
      </c>
      <c r="U2" s="2" t="n">
        <v>12</v>
      </c>
      <c r="V2" s="2" t="inlineStr">
        <is>
          <t>non-binding guidance; 'should' is its usual verb (should_count)</t>
        </is>
      </c>
    </row>
    <row r="3">
      <c r="A3" s="2" t="n">
        <v>20</v>
      </c>
      <c r="B3" s="2" t="inlineStr">
        <is>
          <t>General Data Protection Regulation</t>
        </is>
      </c>
      <c r="C3" s="2" t="inlineStr">
        <is>
          <t>32016R0679</t>
        </is>
      </c>
      <c r="D3" s="2" t="inlineStr">
        <is>
          <t>EDPB</t>
        </is>
      </c>
      <c r="E3" s="2" t="inlineStr">
        <is>
          <t>Right to data portability</t>
        </is>
      </c>
      <c r="F3" s="2" t="inlineStr">
        <is>
          <t>2018-05-25</t>
        </is>
      </c>
      <c r="G3" s="2" t="inlineStr">
        <is>
          <t>final</t>
        </is>
      </c>
      <c r="H3" s="2" t="inlineStr">
        <is>
          <t>https://www.edpb.europa.eu/documents/guideline/right-to-data-portability_en</t>
        </is>
      </c>
      <c r="I3" s="2" t="n"/>
      <c r="J3" s="2" t="n"/>
      <c r="K3" s="2" t="n"/>
      <c r="L3" s="2" t="n"/>
      <c r="M3" s="2" t="n"/>
      <c r="N3" s="2" t="n"/>
      <c r="O3" s="2" t="n"/>
      <c r="P3" s="2" t="n"/>
      <c r="Q3" s="2" t="n"/>
      <c r="R3" s="2" t="n"/>
      <c r="S3" s="2" t="n"/>
      <c r="T3" s="2" t="n"/>
      <c r="U3" s="2" t="n"/>
      <c r="V3" s="2" t="inlineStr">
        <is>
          <t>not measured: PDF on a domain not reachable from this environment; non-binding guidance; 'should' is its usual verb (should_count)</t>
        </is>
      </c>
    </row>
    <row r="4">
      <c r="A4" s="2" t="n">
        <v>20</v>
      </c>
      <c r="B4" s="2" t="inlineStr">
        <is>
          <t>General Data Protection Regulation</t>
        </is>
      </c>
      <c r="C4" s="2" t="inlineStr">
        <is>
          <t>32016R0679</t>
        </is>
      </c>
      <c r="D4" s="2" t="inlineStr">
        <is>
          <t>EDPB</t>
        </is>
      </c>
      <c r="E4" s="2" t="inlineStr">
        <is>
          <t>Transparency</t>
        </is>
      </c>
      <c r="F4" s="2" t="inlineStr">
        <is>
          <t>2018-05-25</t>
        </is>
      </c>
      <c r="G4" s="2" t="inlineStr">
        <is>
          <t>final</t>
        </is>
      </c>
      <c r="H4" s="2" t="inlineStr">
        <is>
          <t>https://www.edpb.europa.eu/system/files/2023-09/wp260rev01_en.pdf</t>
        </is>
      </c>
      <c r="I4" s="2" t="n"/>
      <c r="J4" s="2" t="n"/>
      <c r="K4" s="2" t="n"/>
      <c r="L4" s="2" t="n"/>
      <c r="M4" s="2" t="n"/>
      <c r="N4" s="2" t="n"/>
      <c r="O4" s="2" t="n"/>
      <c r="P4" s="2" t="n"/>
      <c r="Q4" s="2" t="n"/>
      <c r="R4" s="2" t="n"/>
      <c r="S4" s="2" t="n"/>
      <c r="T4" s="2" t="n"/>
      <c r="U4" s="2" t="n"/>
      <c r="V4" s="2" t="inlineStr">
        <is>
          <t>not measured: HTTP Error 404: Not Found; non-binding guidance; 'should' is its usual verb (should_count)</t>
        </is>
      </c>
    </row>
    <row r="5">
      <c r="A5" s="2" t="n">
        <v>20</v>
      </c>
      <c r="B5" s="2" t="inlineStr">
        <is>
          <t>General Data Protection Regulation</t>
        </is>
      </c>
      <c r="C5" s="2" t="inlineStr">
        <is>
          <t>32016R0679</t>
        </is>
      </c>
      <c r="D5" s="2" t="inlineStr">
        <is>
          <t>EDPB</t>
        </is>
      </c>
      <c r="E5" s="2" t="inlineStr">
        <is>
          <t>Data Protection Officer</t>
        </is>
      </c>
      <c r="F5" s="2" t="inlineStr">
        <is>
          <t>2018-05-25</t>
        </is>
      </c>
      <c r="G5" s="2" t="inlineStr">
        <is>
          <t>final</t>
        </is>
      </c>
      <c r="H5" s="2" t="inlineStr">
        <is>
          <t>https://www.edpb.europa.eu/documents/guideline/data-protection-officer_en</t>
        </is>
      </c>
      <c r="I5" s="2" t="n"/>
      <c r="J5" s="2" t="n"/>
      <c r="K5" s="2" t="n"/>
      <c r="L5" s="2" t="n"/>
      <c r="M5" s="2" t="n"/>
      <c r="N5" s="2" t="n"/>
      <c r="O5" s="2" t="n"/>
      <c r="P5" s="2" t="n"/>
      <c r="Q5" s="2" t="n"/>
      <c r="R5" s="2" t="n"/>
      <c r="S5" s="2" t="n"/>
      <c r="T5" s="2" t="n"/>
      <c r="U5" s="2" t="n"/>
      <c r="V5" s="2" t="inlineStr">
        <is>
          <t>not measured: PDF on a domain not reachable from this environment; non-binding guidance; 'should' is its usual verb (should_count)</t>
        </is>
      </c>
    </row>
    <row r="6">
      <c r="A6" s="2" t="n">
        <v>20</v>
      </c>
      <c r="B6" s="2" t="inlineStr">
        <is>
          <t>General Data Protection Regulation</t>
        </is>
      </c>
      <c r="C6" s="2" t="inlineStr">
        <is>
          <t>32016R0679</t>
        </is>
      </c>
      <c r="D6" s="2" t="inlineStr">
        <is>
          <t>EDPB</t>
        </is>
      </c>
      <c r="E6" s="2" t="inlineStr">
        <is>
          <t>Guidelines 2/2018 on derogations of Article 49 under Regulation 2016/679</t>
        </is>
      </c>
      <c r="F6" s="2" t="inlineStr">
        <is>
          <t>2018-05-25</t>
        </is>
      </c>
      <c r="G6" s="2" t="inlineStr">
        <is>
          <t>final</t>
        </is>
      </c>
      <c r="H6" s="2" t="inlineStr">
        <is>
          <t>https://www.edpb.europa.eu/system/files/documents/files/file1/edpb_guidelines_2_2018_derogations_en.pdf</t>
        </is>
      </c>
      <c r="I6" s="2" t="n">
        <v>17</v>
      </c>
      <c r="J6" s="2" t="n">
        <v>8771</v>
      </c>
      <c r="K6" s="2" t="n">
        <v>62</v>
      </c>
      <c r="L6" s="2" t="n">
        <v>42</v>
      </c>
      <c r="M6" s="2" t="n">
        <v>5</v>
      </c>
      <c r="N6" s="2" t="n">
        <v>8</v>
      </c>
      <c r="O6" s="2" t="n">
        <v>7</v>
      </c>
      <c r="P6" s="2" t="n">
        <v>0</v>
      </c>
      <c r="Q6" s="2" t="n">
        <v>21</v>
      </c>
      <c r="R6" s="2" t="n">
        <v>0</v>
      </c>
      <c r="S6" s="2" t="n">
        <v>1</v>
      </c>
      <c r="T6" s="2" t="n">
        <v>40</v>
      </c>
      <c r="U6" s="2" t="n">
        <v>24</v>
      </c>
      <c r="V6" s="2" t="inlineStr">
        <is>
          <t>non-binding guidance; 'should' is its usual verb (should_count)</t>
        </is>
      </c>
    </row>
    <row r="7">
      <c r="A7" s="2" t="n">
        <v>20</v>
      </c>
      <c r="B7" s="2" t="inlineStr">
        <is>
          <t>General Data Protection Regulation</t>
        </is>
      </c>
      <c r="C7" s="2" t="inlineStr">
        <is>
          <t>32016R0679</t>
        </is>
      </c>
      <c r="D7" s="2" t="inlineStr">
        <is>
          <t>EDPB</t>
        </is>
      </c>
      <c r="E7" s="2" t="inlineStr">
        <is>
          <t>Data Protection impact assessments High risk processing</t>
        </is>
      </c>
      <c r="F7" s="2" t="inlineStr">
        <is>
          <t>2018-05-25</t>
        </is>
      </c>
      <c r="G7" s="2" t="inlineStr">
        <is>
          <t>final</t>
        </is>
      </c>
      <c r="H7" s="2" t="inlineStr">
        <is>
          <t>https://www.edpb.europa.eu/documents/guideline/data-protection-impact-assessments-high-risk-processing_en</t>
        </is>
      </c>
      <c r="I7" s="2" t="n"/>
      <c r="J7" s="2" t="n"/>
      <c r="K7" s="2" t="n"/>
      <c r="L7" s="2" t="n"/>
      <c r="M7" s="2" t="n"/>
      <c r="N7" s="2" t="n"/>
      <c r="O7" s="2" t="n"/>
      <c r="P7" s="2" t="n"/>
      <c r="Q7" s="2" t="n"/>
      <c r="R7" s="2" t="n"/>
      <c r="S7" s="2" t="n"/>
      <c r="T7" s="2" t="n"/>
      <c r="U7" s="2" t="n"/>
      <c r="V7" s="2" t="inlineStr">
        <is>
          <t>not measured: PDF on a domain not reachable from this environment; non-binding guidance; 'should' is its usual verb (should_count)</t>
        </is>
      </c>
    </row>
    <row r="8">
      <c r="A8" s="2" t="n">
        <v>20</v>
      </c>
      <c r="B8" s="2" t="inlineStr">
        <is>
          <t>General Data Protection Regulation</t>
        </is>
      </c>
      <c r="C8" s="2" t="inlineStr">
        <is>
          <t>32016R0679</t>
        </is>
      </c>
      <c r="D8" s="2" t="inlineStr">
        <is>
          <t>EDPB</t>
        </is>
      </c>
      <c r="E8" s="2" t="inlineStr">
        <is>
          <t>Automated decision-making and profiling</t>
        </is>
      </c>
      <c r="F8" s="2" t="inlineStr">
        <is>
          <t>2018-05-25</t>
        </is>
      </c>
      <c r="G8" s="2" t="inlineStr">
        <is>
          <t>final</t>
        </is>
      </c>
      <c r="H8" s="2" t="inlineStr">
        <is>
          <t>https://www.edpb.europa.eu/documents/guideline/automated-decision-making-and-profiling_en</t>
        </is>
      </c>
      <c r="I8" s="2" t="n"/>
      <c r="J8" s="2" t="n"/>
      <c r="K8" s="2" t="n"/>
      <c r="L8" s="2" t="n"/>
      <c r="M8" s="2" t="n"/>
      <c r="N8" s="2" t="n"/>
      <c r="O8" s="2" t="n"/>
      <c r="P8" s="2" t="n"/>
      <c r="Q8" s="2" t="n"/>
      <c r="R8" s="2" t="n"/>
      <c r="S8" s="2" t="n"/>
      <c r="T8" s="2" t="n"/>
      <c r="U8" s="2" t="n"/>
      <c r="V8" s="2" t="inlineStr">
        <is>
          <t>not measured: PDF on a domain not reachable from this environment; non-binding guidance; 'should' is its usual verb (should_count)</t>
        </is>
      </c>
    </row>
    <row r="9">
      <c r="A9" s="2" t="n">
        <v>20</v>
      </c>
      <c r="B9" s="2" t="inlineStr">
        <is>
          <t>General Data Protection Regulation</t>
        </is>
      </c>
      <c r="C9" s="2" t="inlineStr">
        <is>
          <t>32016R0679</t>
        </is>
      </c>
      <c r="D9" s="2" t="inlineStr">
        <is>
          <t>EDPB</t>
        </is>
      </c>
      <c r="E9" s="2" t="inlineStr">
        <is>
          <t>Guidelines for identifying a controller or processor's lead supervisory authority, WP244 rev.01</t>
        </is>
      </c>
      <c r="F9" s="2" t="inlineStr">
        <is>
          <t>2018-05-25</t>
        </is>
      </c>
      <c r="G9" s="2" t="inlineStr">
        <is>
          <t>final</t>
        </is>
      </c>
      <c r="H9" s="2" t="inlineStr">
        <is>
          <t>https://www.edpb.europa.eu/documents/guideline/guidelines-for-identifying-a-controller-or-processors-lead-supervisory_en</t>
        </is>
      </c>
      <c r="I9" s="2" t="n"/>
      <c r="J9" s="2" t="n"/>
      <c r="K9" s="2" t="n"/>
      <c r="L9" s="2" t="n"/>
      <c r="M9" s="2" t="n"/>
      <c r="N9" s="2" t="n"/>
      <c r="O9" s="2" t="n"/>
      <c r="P9" s="2" t="n"/>
      <c r="Q9" s="2" t="n"/>
      <c r="R9" s="2" t="n"/>
      <c r="S9" s="2" t="n"/>
      <c r="T9" s="2" t="n"/>
      <c r="U9" s="2" t="n"/>
      <c r="V9" s="2" t="inlineStr">
        <is>
          <t>Article 29 Working Party guidelines endorsed by the EDPB; not measured: PDF on a domain not reachable from this environment; non-binding guidance; 'should' is its usual verb (should_count)</t>
        </is>
      </c>
    </row>
    <row r="10">
      <c r="A10" s="2" t="n">
        <v>20</v>
      </c>
      <c r="B10" s="2" t="inlineStr">
        <is>
          <t>General Data Protection Regulation</t>
        </is>
      </c>
      <c r="C10" s="2" t="inlineStr">
        <is>
          <t>32016R0679</t>
        </is>
      </c>
      <c r="D10" s="2" t="inlineStr">
        <is>
          <t>EDPB</t>
        </is>
      </c>
      <c r="E10" s="2" t="inlineStr">
        <is>
          <t>Guidelines on the right to data portability under Regulation 2016/679, WP242 rev.01</t>
        </is>
      </c>
      <c r="F10" s="2" t="inlineStr">
        <is>
          <t>2018-05-25</t>
        </is>
      </c>
      <c r="G10" s="2" t="inlineStr">
        <is>
          <t>final</t>
        </is>
      </c>
      <c r="H10" s="2" t="inlineStr">
        <is>
          <t>https://www.edpb.europa.eu/documents/guideline/guidelines-on-the-right-to-data-portability-under-regulation-2016679-wp242_en</t>
        </is>
      </c>
      <c r="I10" s="2" t="n"/>
      <c r="J10" s="2" t="n"/>
      <c r="K10" s="2" t="n"/>
      <c r="L10" s="2" t="n"/>
      <c r="M10" s="2" t="n"/>
      <c r="N10" s="2" t="n"/>
      <c r="O10" s="2" t="n"/>
      <c r="P10" s="2" t="n"/>
      <c r="Q10" s="2" t="n"/>
      <c r="R10" s="2" t="n"/>
      <c r="S10" s="2" t="n"/>
      <c r="T10" s="2" t="n"/>
      <c r="U10" s="2" t="n"/>
      <c r="V10" s="2" t="inlineStr">
        <is>
          <t>Article 29 Working Party guidelines endorsed by the EDPB; not measured: PDF on a domain not reachable from this environment; non-binding guidance; 'should' is its usual verb (should_count)</t>
        </is>
      </c>
    </row>
    <row r="11">
      <c r="A11" s="2" t="n">
        <v>20</v>
      </c>
      <c r="B11" s="2" t="inlineStr">
        <is>
          <t>General Data Protection Regulation</t>
        </is>
      </c>
      <c r="C11" s="2" t="inlineStr">
        <is>
          <t>32016R0679</t>
        </is>
      </c>
      <c r="D11" s="2" t="inlineStr">
        <is>
          <t>EDPB</t>
        </is>
      </c>
      <c r="E11" s="2" t="inlineStr">
        <is>
          <t>Guidelines 4/2018 on the accreditation of certification bodies under Article 43 of the General Data Protection Regulation (2016/679)</t>
        </is>
      </c>
      <c r="F11" s="2" t="inlineStr">
        <is>
          <t>2018-12-14</t>
        </is>
      </c>
      <c r="G11" s="2" t="inlineStr">
        <is>
          <t>final</t>
        </is>
      </c>
      <c r="H11" s="2" t="inlineStr">
        <is>
          <t>https://www.edpb.europa.eu/system/files/documents/files/file1/edpb_guidelines_201804_v3.0_accreditationcertificationbodies_annex1_en.pdf</t>
        </is>
      </c>
      <c r="I11" s="2" t="n">
        <v>22</v>
      </c>
      <c r="J11" s="2" t="n">
        <v>8074</v>
      </c>
      <c r="K11" s="2" t="n">
        <v>73</v>
      </c>
      <c r="L11" s="2" t="n">
        <v>54</v>
      </c>
      <c r="M11" s="2" t="n">
        <v>1</v>
      </c>
      <c r="N11" s="2" t="n">
        <v>1</v>
      </c>
      <c r="O11" s="2" t="n">
        <v>15</v>
      </c>
      <c r="P11" s="2" t="n">
        <v>2</v>
      </c>
      <c r="Q11" s="2" t="n">
        <v>13</v>
      </c>
      <c r="R11" s="2" t="n">
        <v>8</v>
      </c>
      <c r="S11" s="2" t="n">
        <v>1</v>
      </c>
      <c r="T11" s="2" t="n">
        <v>51</v>
      </c>
      <c r="U11" s="2" t="n">
        <v>39</v>
      </c>
      <c r="V11" s="2" t="inlineStr">
        <is>
          <t>non-binding guidance; 'should' is its usual verb (should_count)</t>
        </is>
      </c>
    </row>
    <row r="12">
      <c r="A12" s="2" t="n">
        <v>20</v>
      </c>
      <c r="B12" s="2" t="inlineStr">
        <is>
          <t>General Data Protection Regulation</t>
        </is>
      </c>
      <c r="C12" s="2" t="inlineStr">
        <is>
          <t>32016R0679</t>
        </is>
      </c>
      <c r="D12" s="2" t="inlineStr">
        <is>
          <t>EDPB</t>
        </is>
      </c>
      <c r="E12" s="2" t="inlineStr">
        <is>
          <t>Guidelines 1/2018 on certification and identifying certification criteria in accordance with Articles 42 and 43 of the Regulation - version adopted after public consultation</t>
        </is>
      </c>
      <c r="F12" s="2" t="inlineStr">
        <is>
          <t>2019-06-04</t>
        </is>
      </c>
      <c r="G12" s="2" t="inlineStr">
        <is>
          <t>final</t>
        </is>
      </c>
      <c r="H12" s="2" t="inlineStr">
        <is>
          <t>https://www.edpb.europa.eu/system/files/documents/files/file1/edpb_guidelines_201801_v3.0_certificationcriteria_annex2_en.pdf</t>
        </is>
      </c>
      <c r="I12" s="2" t="n">
        <v>29</v>
      </c>
      <c r="J12" s="2" t="n">
        <v>9788</v>
      </c>
      <c r="K12" s="2" t="n">
        <v>49</v>
      </c>
      <c r="L12" s="2" t="n">
        <v>41</v>
      </c>
      <c r="M12" s="2" t="n">
        <v>1</v>
      </c>
      <c r="N12" s="2" t="n">
        <v>0</v>
      </c>
      <c r="O12" s="2" t="n">
        <v>7</v>
      </c>
      <c r="P12" s="2" t="n">
        <v>0</v>
      </c>
      <c r="Q12" s="2" t="n">
        <v>0</v>
      </c>
      <c r="R12" s="2" t="n">
        <v>7</v>
      </c>
      <c r="S12" s="2" t="n">
        <v>10</v>
      </c>
      <c r="T12" s="2" t="n">
        <v>32</v>
      </c>
      <c r="U12" s="2" t="n">
        <v>38</v>
      </c>
      <c r="V12" s="2" t="inlineStr">
        <is>
          <t>non-binding guidance; 'should' is its usual verb (should_count)</t>
        </is>
      </c>
    </row>
    <row r="13">
      <c r="A13" s="2" t="n">
        <v>20</v>
      </c>
      <c r="B13" s="2" t="inlineStr">
        <is>
          <t>General Data Protection Regulation</t>
        </is>
      </c>
      <c r="C13" s="2" t="inlineStr">
        <is>
          <t>32016R0679</t>
        </is>
      </c>
      <c r="D13" s="2" t="inlineStr">
        <is>
          <t>EDPB</t>
        </is>
      </c>
      <c r="E13" s="2" t="inlineStr">
        <is>
          <t>Guidelines 1/2019 on Codes of Conduct and Monitoring Bodies under Regulation 2016/679</t>
        </is>
      </c>
      <c r="F13" s="2" t="inlineStr">
        <is>
          <t>2019-06-04</t>
        </is>
      </c>
      <c r="G13" s="2" t="inlineStr">
        <is>
          <t>final</t>
        </is>
      </c>
      <c r="H13" s="2" t="inlineStr">
        <is>
          <t>https://www.edpb.europa.eu/system/files/documents/files/file1/edpb_guidelines_201901_v2.0_codesofconduct_en.pdf</t>
        </is>
      </c>
      <c r="I13" s="2" t="n">
        <v>30</v>
      </c>
      <c r="J13" s="2" t="n">
        <v>11742</v>
      </c>
      <c r="K13" s="2" t="n">
        <v>37</v>
      </c>
      <c r="L13" s="2" t="n">
        <v>27</v>
      </c>
      <c r="M13" s="2" t="n">
        <v>1</v>
      </c>
      <c r="N13" s="2" t="n">
        <v>0</v>
      </c>
      <c r="O13" s="2" t="n">
        <v>8</v>
      </c>
      <c r="P13" s="2" t="n">
        <v>1</v>
      </c>
      <c r="Q13" s="2" t="n">
        <v>6</v>
      </c>
      <c r="R13" s="2" t="n">
        <v>4</v>
      </c>
      <c r="S13" s="2" t="n">
        <v>3</v>
      </c>
      <c r="T13" s="2" t="n">
        <v>24</v>
      </c>
      <c r="U13" s="2" t="n">
        <v>60</v>
      </c>
      <c r="V13" s="2" t="inlineStr">
        <is>
          <t>non-binding guidance; 'should' is its usual verb (should_count)</t>
        </is>
      </c>
    </row>
    <row r="14">
      <c r="A14" s="2" t="n">
        <v>20</v>
      </c>
      <c r="B14" s="2" t="inlineStr">
        <is>
          <t>General Data Protection Regulation</t>
        </is>
      </c>
      <c r="C14" s="2" t="inlineStr">
        <is>
          <t>32016R0679</t>
        </is>
      </c>
      <c r="D14" s="2" t="inlineStr">
        <is>
          <t>EDPB</t>
        </is>
      </c>
      <c r="E14" s="2" t="inlineStr">
        <is>
          <t>Recommendation 01/2019 on the draft list of the European Data Protection Supervisor regarding the processing operations subject to the requirement of a data protection impact assessment (Article 39.4 of Regulation (EU) 2018/1725)</t>
        </is>
      </c>
      <c r="F14" s="2" t="inlineStr">
        <is>
          <t>2019-07-12</t>
        </is>
      </c>
      <c r="G14" s="2" t="inlineStr">
        <is>
          <t>final</t>
        </is>
      </c>
      <c r="H14" s="2" t="inlineStr">
        <is>
          <t>https://www.edpb.europa.eu/system/files/documents/files/file1/edpb_recommendation_201901_edps_39.4_dpia_list_en.pdf</t>
        </is>
      </c>
      <c r="I14" s="2" t="n">
        <v>7</v>
      </c>
      <c r="J14" s="2" t="n">
        <v>2058</v>
      </c>
      <c r="K14" s="2" t="n">
        <v>5</v>
      </c>
      <c r="L14" s="2" t="n">
        <v>2</v>
      </c>
      <c r="M14" s="2" t="n">
        <v>0</v>
      </c>
      <c r="N14" s="2" t="n">
        <v>0</v>
      </c>
      <c r="O14" s="2" t="n">
        <v>3</v>
      </c>
      <c r="P14" s="2" t="n">
        <v>0</v>
      </c>
      <c r="Q14" s="2" t="n">
        <v>0</v>
      </c>
      <c r="R14" s="2" t="n">
        <v>0</v>
      </c>
      <c r="S14" s="2" t="n">
        <v>2</v>
      </c>
      <c r="T14" s="2" t="n">
        <v>3</v>
      </c>
      <c r="U14" s="2" t="n">
        <v>1</v>
      </c>
      <c r="V14" s="2" t="inlineStr">
        <is>
          <t>non-binding guidance; 'should' is its usual verb (should_count)</t>
        </is>
      </c>
    </row>
    <row r="15">
      <c r="A15" s="2" t="n">
        <v>20</v>
      </c>
      <c r="B15" s="2" t="inlineStr">
        <is>
          <t>General Data Protection Regulation</t>
        </is>
      </c>
      <c r="C15" s="2" t="inlineStr">
        <is>
          <t>32016R0679</t>
        </is>
      </c>
      <c r="D15" s="2" t="inlineStr">
        <is>
          <t>EDPB</t>
        </is>
      </c>
      <c r="E15" s="2" t="inlineStr">
        <is>
          <t>Guidelines 2/2019 on the processing of personal data under Article 6(1)(b) GDPR in the context of the provision of online services to data subjects</t>
        </is>
      </c>
      <c r="F15" s="2" t="inlineStr">
        <is>
          <t>2019-10-16</t>
        </is>
      </c>
      <c r="G15" s="2" t="inlineStr">
        <is>
          <t>final</t>
        </is>
      </c>
      <c r="H15" s="2" t="inlineStr">
        <is>
          <t>https://www.edpb.europa.eu/system/files/documents/files/file1/edpb_guidelines-art_6-1-b-adopted_after_public_consultation_en.pdf</t>
        </is>
      </c>
      <c r="I15" s="2" t="n">
        <v>16</v>
      </c>
      <c r="J15" s="2" t="n">
        <v>7481</v>
      </c>
      <c r="K15" s="2" t="n">
        <v>32</v>
      </c>
      <c r="L15" s="2" t="n">
        <v>26</v>
      </c>
      <c r="M15" s="2" t="n">
        <v>3</v>
      </c>
      <c r="N15" s="2" t="n">
        <v>1</v>
      </c>
      <c r="O15" s="2" t="n">
        <v>2</v>
      </c>
      <c r="P15" s="2" t="n">
        <v>0</v>
      </c>
      <c r="Q15" s="2" t="n">
        <v>18</v>
      </c>
      <c r="R15" s="2" t="n">
        <v>0</v>
      </c>
      <c r="S15" s="2" t="n">
        <v>2</v>
      </c>
      <c r="T15" s="2" t="n">
        <v>12</v>
      </c>
      <c r="U15" s="2" t="n">
        <v>12</v>
      </c>
      <c r="V15" s="2" t="inlineStr">
        <is>
          <t>non-binding guidance; 'should' is its usual verb (should_count)</t>
        </is>
      </c>
    </row>
    <row r="16">
      <c r="A16" s="2" t="n">
        <v>20</v>
      </c>
      <c r="B16" s="2" t="inlineStr">
        <is>
          <t>General Data Protection Regulation</t>
        </is>
      </c>
      <c r="C16" s="2" t="inlineStr">
        <is>
          <t>32016R0679</t>
        </is>
      </c>
      <c r="D16" s="2" t="inlineStr">
        <is>
          <t>EDPB</t>
        </is>
      </c>
      <c r="E16" s="2" t="inlineStr">
        <is>
          <t>Guidelines 3/2018 on the territorial scope of the GDPR (Article 3) - version adopted after public consultation</t>
        </is>
      </c>
      <c r="F16" s="2" t="inlineStr">
        <is>
          <t>2019-11-12</t>
        </is>
      </c>
      <c r="G16" s="2" t="inlineStr">
        <is>
          <t>final</t>
        </is>
      </c>
      <c r="H16" s="2" t="inlineStr">
        <is>
          <t>https://www.edpb.europa.eu/system/files/documents/files/file1/edpb_guidelines_3_2018_territorial_scope_after_public_consultation_en_1.pdf</t>
        </is>
      </c>
      <c r="I16" s="2" t="n">
        <v>28</v>
      </c>
      <c r="J16" s="2" t="n">
        <v>15268</v>
      </c>
      <c r="K16" s="2" t="n">
        <v>62</v>
      </c>
      <c r="L16" s="2" t="n">
        <v>46</v>
      </c>
      <c r="M16" s="2" t="n">
        <v>2</v>
      </c>
      <c r="N16" s="2" t="n">
        <v>1</v>
      </c>
      <c r="O16" s="2" t="n">
        <v>13</v>
      </c>
      <c r="P16" s="2" t="n">
        <v>0</v>
      </c>
      <c r="Q16" s="2" t="n">
        <v>30</v>
      </c>
      <c r="R16" s="2" t="n">
        <v>5</v>
      </c>
      <c r="S16" s="2" t="n">
        <v>12</v>
      </c>
      <c r="T16" s="2" t="n">
        <v>15</v>
      </c>
      <c r="U16" s="2" t="n">
        <v>30</v>
      </c>
      <c r="V16" s="2" t="inlineStr">
        <is>
          <t>non-binding guidance; 'should' is its usual verb (should_count)</t>
        </is>
      </c>
    </row>
    <row r="17">
      <c r="A17" s="2" t="n">
        <v>20</v>
      </c>
      <c r="B17" s="2" t="inlineStr">
        <is>
          <t>General Data Protection Regulation</t>
        </is>
      </c>
      <c r="C17" s="2" t="inlineStr">
        <is>
          <t>32016R0679</t>
        </is>
      </c>
      <c r="D17" s="2" t="inlineStr">
        <is>
          <t>EDPB</t>
        </is>
      </c>
      <c r="E17" s="2" t="inlineStr">
        <is>
          <t>Guidelines 3/2019 on processing of personal data through video devices</t>
        </is>
      </c>
      <c r="F17" s="2" t="inlineStr">
        <is>
          <t>2020-01-30</t>
        </is>
      </c>
      <c r="G17" s="2" t="inlineStr">
        <is>
          <t>final</t>
        </is>
      </c>
      <c r="H17" s="2" t="inlineStr">
        <is>
          <t>https://www.edpb.europa.eu/system/files/documents/files/file1/edpb_guidelines_201903_video_devices_en_0.pdf</t>
        </is>
      </c>
      <c r="I17" s="2" t="n">
        <v>33</v>
      </c>
      <c r="J17" s="2" t="n">
        <v>13426</v>
      </c>
      <c r="K17" s="2" t="n">
        <v>90</v>
      </c>
      <c r="L17" s="2" t="n">
        <v>63</v>
      </c>
      <c r="M17" s="2" t="n">
        <v>8</v>
      </c>
      <c r="N17" s="2" t="n">
        <v>1</v>
      </c>
      <c r="O17" s="2" t="n">
        <v>17</v>
      </c>
      <c r="P17" s="2" t="n">
        <v>1</v>
      </c>
      <c r="Q17" s="2" t="n">
        <v>51</v>
      </c>
      <c r="R17" s="2" t="n">
        <v>4</v>
      </c>
      <c r="S17" s="2" t="n">
        <v>0</v>
      </c>
      <c r="T17" s="2" t="n">
        <v>35</v>
      </c>
      <c r="U17" s="2" t="n">
        <v>65</v>
      </c>
      <c r="V17" s="2" t="inlineStr">
        <is>
          <t>non-binding guidance; 'should' is its usual verb (should_count)</t>
        </is>
      </c>
    </row>
    <row r="18">
      <c r="A18" s="2" t="n">
        <v>20</v>
      </c>
      <c r="B18" s="2" t="inlineStr">
        <is>
          <t>General Data Protection Regulation</t>
        </is>
      </c>
      <c r="C18" s="2" t="inlineStr">
        <is>
          <t>32016R0679</t>
        </is>
      </c>
      <c r="D18" s="2" t="inlineStr">
        <is>
          <t>EDPB</t>
        </is>
      </c>
      <c r="E18" s="2" t="inlineStr">
        <is>
          <t>Guidelines 04/2020 on the use of location data and contact tracing tools in the context of the COVID-19 outbreak</t>
        </is>
      </c>
      <c r="F18" s="2" t="inlineStr">
        <is>
          <t>2020-04-21</t>
        </is>
      </c>
      <c r="G18" s="2" t="inlineStr">
        <is>
          <t>final</t>
        </is>
      </c>
      <c r="H18" s="2" t="inlineStr">
        <is>
          <t>https://www.edpb.europa.eu/system/files/documents/files/file1/edpb_guidelines_20200420_contact_tracing_covid_with_annex_en.pdf</t>
        </is>
      </c>
      <c r="I18" s="2" t="n">
        <v>19</v>
      </c>
      <c r="J18" s="2" t="n">
        <v>7048</v>
      </c>
      <c r="K18" s="2" t="n">
        <v>106</v>
      </c>
      <c r="L18" s="2" t="n">
        <v>83</v>
      </c>
      <c r="M18" s="2" t="n">
        <v>21</v>
      </c>
      <c r="N18" s="2" t="n">
        <v>1</v>
      </c>
      <c r="O18" s="2" t="n">
        <v>1</v>
      </c>
      <c r="P18" s="2" t="n">
        <v>0</v>
      </c>
      <c r="Q18" s="2" t="n">
        <v>13</v>
      </c>
      <c r="R18" s="2" t="n">
        <v>6</v>
      </c>
      <c r="S18" s="2" t="n">
        <v>4</v>
      </c>
      <c r="T18" s="2" t="n">
        <v>83</v>
      </c>
      <c r="U18" s="2" t="n">
        <v>67</v>
      </c>
      <c r="V18" s="2" t="inlineStr">
        <is>
          <t>non-binding guidance; 'should' is its usual verb (should_count)</t>
        </is>
      </c>
    </row>
    <row r="19">
      <c r="A19" s="2" t="n">
        <v>20</v>
      </c>
      <c r="B19" s="2" t="inlineStr">
        <is>
          <t>General Data Protection Regulation</t>
        </is>
      </c>
      <c r="C19" s="2" t="inlineStr">
        <is>
          <t>32016R0679</t>
        </is>
      </c>
      <c r="D19" s="2" t="inlineStr">
        <is>
          <t>EDPB</t>
        </is>
      </c>
      <c r="E19" s="2" t="inlineStr">
        <is>
          <t>Guidelines 03/2020 on the processing of data concerning health for the purpose of scientific research in the context of the COVID-19 outbreak</t>
        </is>
      </c>
      <c r="F19" s="2" t="inlineStr">
        <is>
          <t>2020-04-21</t>
        </is>
      </c>
      <c r="G19" s="2" t="inlineStr">
        <is>
          <t>final</t>
        </is>
      </c>
      <c r="H19" s="2" t="inlineStr">
        <is>
          <t>https://www.edpb.europa.eu/system/files/documents/files/file1/edpb_guidelines_202003_healthdatascientificresearchcovid19_en.pdf</t>
        </is>
      </c>
      <c r="I19" s="2" t="n">
        <v>14</v>
      </c>
      <c r="J19" s="2" t="n">
        <v>6108</v>
      </c>
      <c r="K19" s="2" t="n">
        <v>53</v>
      </c>
      <c r="L19" s="2" t="n">
        <v>50</v>
      </c>
      <c r="M19" s="2" t="n">
        <v>2</v>
      </c>
      <c r="N19" s="2" t="n">
        <v>0</v>
      </c>
      <c r="O19" s="2" t="n">
        <v>0</v>
      </c>
      <c r="P19" s="2" t="n">
        <v>1</v>
      </c>
      <c r="Q19" s="2" t="n">
        <v>16</v>
      </c>
      <c r="R19" s="2" t="n">
        <v>1</v>
      </c>
      <c r="S19" s="2" t="n">
        <v>1</v>
      </c>
      <c r="T19" s="2" t="n">
        <v>35</v>
      </c>
      <c r="U19" s="2" t="n">
        <v>18</v>
      </c>
      <c r="V19" s="2" t="inlineStr">
        <is>
          <t>non-binding guidance; 'should' is its usual verb (should_count)</t>
        </is>
      </c>
    </row>
    <row r="20">
      <c r="A20" s="2" t="n">
        <v>20</v>
      </c>
      <c r="B20" s="2" t="inlineStr">
        <is>
          <t>General Data Protection Regulation</t>
        </is>
      </c>
      <c r="C20" s="2" t="inlineStr">
        <is>
          <t>32016R0679</t>
        </is>
      </c>
      <c r="D20" s="2" t="inlineStr">
        <is>
          <t>EDPB</t>
        </is>
      </c>
      <c r="E20" s="2" t="inlineStr">
        <is>
          <t>Guidelines 05/2020 on consent under Regulation 2016/679</t>
        </is>
      </c>
      <c r="F20" s="2" t="inlineStr">
        <is>
          <t>2020-05-04</t>
        </is>
      </c>
      <c r="G20" s="2" t="inlineStr">
        <is>
          <t>final</t>
        </is>
      </c>
      <c r="H20" s="2" t="inlineStr">
        <is>
          <t>https://www.edpb.europa.eu/system/files/documents/files/file1/edpb_guidelines_202005_consent_en.pdf</t>
        </is>
      </c>
      <c r="I20" s="2" t="n">
        <v>33</v>
      </c>
      <c r="J20" s="2" t="n">
        <v>17814</v>
      </c>
      <c r="K20" s="2" t="n">
        <v>105</v>
      </c>
      <c r="L20" s="2" t="n">
        <v>83</v>
      </c>
      <c r="M20" s="2" t="n">
        <v>8</v>
      </c>
      <c r="N20" s="2" t="n">
        <v>0</v>
      </c>
      <c r="O20" s="2" t="n">
        <v>14</v>
      </c>
      <c r="P20" s="2" t="n">
        <v>0</v>
      </c>
      <c r="Q20" s="2" t="n">
        <v>53</v>
      </c>
      <c r="R20" s="2" t="n">
        <v>3</v>
      </c>
      <c r="S20" s="2" t="n">
        <v>2</v>
      </c>
      <c r="T20" s="2" t="n">
        <v>47</v>
      </c>
      <c r="U20" s="2" t="n">
        <v>65</v>
      </c>
      <c r="V20" s="2" t="inlineStr">
        <is>
          <t>non-binding guidance; 'should' is its usual verb (should_count)</t>
        </is>
      </c>
    </row>
    <row r="21">
      <c r="A21" s="2" t="n">
        <v>20</v>
      </c>
      <c r="B21" s="2" t="inlineStr">
        <is>
          <t>General Data Protection Regulation</t>
        </is>
      </c>
      <c r="C21" s="2" t="inlineStr">
        <is>
          <t>32016R0679</t>
        </is>
      </c>
      <c r="D21" s="2" t="inlineStr">
        <is>
          <t>EDPB</t>
        </is>
      </c>
      <c r="E21" s="2" t="inlineStr">
        <is>
          <t>Guidelines 5/2019 on the criteria of the Right to be Forgotten in the search engines cases under the GDPR (part 1)</t>
        </is>
      </c>
      <c r="F21" s="2" t="inlineStr">
        <is>
          <t>2020-07-07</t>
        </is>
      </c>
      <c r="G21" s="2" t="inlineStr">
        <is>
          <t>final</t>
        </is>
      </c>
      <c r="H21" s="2" t="inlineStr">
        <is>
          <t>https://www.edpb.europa.eu/system/files/documents/files/file1/edpb_guidelines_201905_rtbfsearchengines_afterpublicconsultation_en.pdf</t>
        </is>
      </c>
      <c r="I21" s="2" t="n">
        <v>16</v>
      </c>
      <c r="J21" s="2" t="n">
        <v>7977</v>
      </c>
      <c r="K21" s="2" t="n">
        <v>48</v>
      </c>
      <c r="L21" s="2" t="n">
        <v>43</v>
      </c>
      <c r="M21" s="2" t="n">
        <v>1</v>
      </c>
      <c r="N21" s="2" t="n">
        <v>0</v>
      </c>
      <c r="O21" s="2" t="n">
        <v>4</v>
      </c>
      <c r="P21" s="2" t="n">
        <v>0</v>
      </c>
      <c r="Q21" s="2" t="n">
        <v>21</v>
      </c>
      <c r="R21" s="2" t="n">
        <v>11</v>
      </c>
      <c r="S21" s="2" t="n">
        <v>0</v>
      </c>
      <c r="T21" s="2" t="n">
        <v>16</v>
      </c>
      <c r="U21" s="2" t="n">
        <v>18</v>
      </c>
      <c r="V21" s="2" t="inlineStr">
        <is>
          <t>non-binding guidance; 'should' is its usual verb (should_count)</t>
        </is>
      </c>
    </row>
    <row r="22">
      <c r="A22" s="2" t="n">
        <v>20</v>
      </c>
      <c r="B22" s="2" t="inlineStr">
        <is>
          <t>General Data Protection Regulation</t>
        </is>
      </c>
      <c r="C22" s="2" t="inlineStr">
        <is>
          <t>32016R0679</t>
        </is>
      </c>
      <c r="D22" s="2" t="inlineStr">
        <is>
          <t>EDPB</t>
        </is>
      </c>
      <c r="E22" s="2" t="inlineStr">
        <is>
          <t>Guidelines 4/2019 on Article 25 Data Protection by Design and by Default</t>
        </is>
      </c>
      <c r="F22" s="2" t="inlineStr">
        <is>
          <t>2020-10-20</t>
        </is>
      </c>
      <c r="G22" s="2" t="inlineStr">
        <is>
          <t>final</t>
        </is>
      </c>
      <c r="H22" s="2" t="inlineStr">
        <is>
          <t>https://www.edpb.europa.eu/system/files/documents/files/file1/edpb_guidelines_201904_dataprotection_by_design_and_by_default_v2.0_en.pdf</t>
        </is>
      </c>
      <c r="I22" s="2" t="n">
        <v>31</v>
      </c>
      <c r="J22" s="2" t="n">
        <v>14332</v>
      </c>
      <c r="K22" s="2" t="n">
        <v>100</v>
      </c>
      <c r="L22" s="2" t="n">
        <v>79</v>
      </c>
      <c r="M22" s="2" t="n">
        <v>10</v>
      </c>
      <c r="N22" s="2" t="n">
        <v>0</v>
      </c>
      <c r="O22" s="2" t="n">
        <v>10</v>
      </c>
      <c r="P22" s="2" t="n">
        <v>1</v>
      </c>
      <c r="Q22" s="2" t="n">
        <v>60</v>
      </c>
      <c r="R22" s="2" t="n">
        <v>1</v>
      </c>
      <c r="S22" s="2" t="n">
        <v>0</v>
      </c>
      <c r="T22" s="2" t="n">
        <v>39</v>
      </c>
      <c r="U22" s="2" t="n">
        <v>126</v>
      </c>
      <c r="V22" s="2" t="inlineStr">
        <is>
          <t>non-binding guidance; 'should' is its usual verb (should_count)</t>
        </is>
      </c>
    </row>
    <row r="23">
      <c r="A23" s="2" t="n">
        <v>20</v>
      </c>
      <c r="B23" s="2" t="inlineStr">
        <is>
          <t>General Data Protection Regulation</t>
        </is>
      </c>
      <c r="C23" s="2" t="inlineStr">
        <is>
          <t>32016R0679</t>
        </is>
      </c>
      <c r="D23" s="2" t="inlineStr">
        <is>
          <t>EDPB</t>
        </is>
      </c>
      <c r="E23" s="2" t="inlineStr">
        <is>
          <t>Recommendations 02/2020 on the European Essential Guarantees for surveillance measures</t>
        </is>
      </c>
      <c r="F23" s="2" t="inlineStr">
        <is>
          <t>2020-11-10</t>
        </is>
      </c>
      <c r="G23" s="2" t="inlineStr">
        <is>
          <t>final</t>
        </is>
      </c>
      <c r="H23" s="2" t="inlineStr">
        <is>
          <t>https://www.edpb.europa.eu/system/files/documents/files/file1/edpb_recommendations_202002_europeanessentialguaranteessurveillance_en.pdf</t>
        </is>
      </c>
      <c r="I23" s="2" t="n">
        <v>15</v>
      </c>
      <c r="J23" s="2" t="n">
        <v>6789</v>
      </c>
      <c r="K23" s="2" t="n">
        <v>50</v>
      </c>
      <c r="L23" s="2" t="n">
        <v>43</v>
      </c>
      <c r="M23" s="2" t="n">
        <v>2</v>
      </c>
      <c r="N23" s="2" t="n">
        <v>3</v>
      </c>
      <c r="O23" s="2" t="n">
        <v>2</v>
      </c>
      <c r="P23" s="2" t="n">
        <v>0</v>
      </c>
      <c r="Q23" s="2" t="n">
        <v>5</v>
      </c>
      <c r="R23" s="2" t="n">
        <v>12</v>
      </c>
      <c r="S23" s="2" t="n">
        <v>1</v>
      </c>
      <c r="T23" s="2" t="n">
        <v>32</v>
      </c>
      <c r="U23" s="2" t="n">
        <v>20</v>
      </c>
      <c r="V23" s="2" t="inlineStr">
        <is>
          <t>non-binding guidance; 'should' is its usual verb (should_count)</t>
        </is>
      </c>
    </row>
    <row r="24">
      <c r="A24" s="2" t="n">
        <v>20</v>
      </c>
      <c r="B24" s="2" t="inlineStr">
        <is>
          <t>General Data Protection Regulation</t>
        </is>
      </c>
      <c r="C24" s="2" t="inlineStr">
        <is>
          <t>32016R0679</t>
        </is>
      </c>
      <c r="D24" s="2" t="inlineStr">
        <is>
          <t>EDPB</t>
        </is>
      </c>
      <c r="E24" s="2" t="inlineStr">
        <is>
          <t>Guidelines 2/2020 on articles 46 (2) (a) and 46 (3) (b) of Regulation 2016/679 for transfers of personal data between EEA and non-EEA public authorities and bodies</t>
        </is>
      </c>
      <c r="F24" s="2" t="inlineStr">
        <is>
          <t>2020-12-15</t>
        </is>
      </c>
      <c r="G24" s="2" t="inlineStr">
        <is>
          <t>final</t>
        </is>
      </c>
      <c r="H24" s="2" t="inlineStr">
        <is>
          <t>https://www.edpb.europa.eu/system/files/documents/files/file1/edpb_guidelines_202002_art46guidelines_internationaltransferspublicbodies_v2_en.pdf</t>
        </is>
      </c>
      <c r="I24" s="2" t="n">
        <v>19</v>
      </c>
      <c r="J24" s="2" t="n">
        <v>8213</v>
      </c>
      <c r="K24" s="2" t="n">
        <v>69</v>
      </c>
      <c r="L24" s="2" t="n">
        <v>61</v>
      </c>
      <c r="M24" s="2" t="n">
        <v>2</v>
      </c>
      <c r="N24" s="2" t="n">
        <v>2</v>
      </c>
      <c r="O24" s="2" t="n">
        <v>4</v>
      </c>
      <c r="P24" s="2" t="n">
        <v>0</v>
      </c>
      <c r="Q24" s="2" t="n">
        <v>19</v>
      </c>
      <c r="R24" s="2" t="n">
        <v>8</v>
      </c>
      <c r="S24" s="2" t="n">
        <v>5</v>
      </c>
      <c r="T24" s="2" t="n">
        <v>37</v>
      </c>
      <c r="U24" s="2" t="n">
        <v>65</v>
      </c>
      <c r="V24" s="2" t="inlineStr">
        <is>
          <t>non-binding guidance; 'should' is its usual verb (should_count)</t>
        </is>
      </c>
    </row>
    <row r="25">
      <c r="A25" s="2" t="n">
        <v>20</v>
      </c>
      <c r="B25" s="2" t="inlineStr">
        <is>
          <t>General Data Protection Regulation</t>
        </is>
      </c>
      <c r="C25" s="2" t="inlineStr">
        <is>
          <t>32016R0679</t>
        </is>
      </c>
      <c r="D25" s="2" t="inlineStr">
        <is>
          <t>EDPB</t>
        </is>
      </c>
      <c r="E25" s="2" t="inlineStr">
        <is>
          <t>Guidelines 09/2020 on relevant and reasoned objection under Regulation 2016/679</t>
        </is>
      </c>
      <c r="F25" s="2" t="inlineStr">
        <is>
          <t>2021-03-09</t>
        </is>
      </c>
      <c r="G25" s="2" t="inlineStr">
        <is>
          <t>final</t>
        </is>
      </c>
      <c r="H25" s="2" t="inlineStr">
        <is>
          <t>https://www.edpb.europa.eu/system/files/documents/2021-03/edpb_guidelines_202009_rro_final_en.pdf</t>
        </is>
      </c>
      <c r="I25" s="2" t="n">
        <v>12</v>
      </c>
      <c r="J25" s="2" t="n">
        <v>5898</v>
      </c>
      <c r="K25" s="2" t="n">
        <v>16</v>
      </c>
      <c r="L25" s="2" t="n">
        <v>13</v>
      </c>
      <c r="M25" s="2" t="n">
        <v>0</v>
      </c>
      <c r="N25" s="2" t="n">
        <v>1</v>
      </c>
      <c r="O25" s="2" t="n">
        <v>2</v>
      </c>
      <c r="P25" s="2" t="n">
        <v>0</v>
      </c>
      <c r="Q25" s="2" t="n">
        <v>0</v>
      </c>
      <c r="R25" s="2" t="n">
        <v>1</v>
      </c>
      <c r="S25" s="2" t="n">
        <v>2</v>
      </c>
      <c r="T25" s="2" t="n">
        <v>13</v>
      </c>
      <c r="U25" s="2" t="n">
        <v>36</v>
      </c>
      <c r="V25" s="2" t="inlineStr">
        <is>
          <t>non-binding guidance; 'should' is its usual verb (should_count)</t>
        </is>
      </c>
    </row>
    <row r="26">
      <c r="A26" s="2" t="n">
        <v>20</v>
      </c>
      <c r="B26" s="2" t="inlineStr">
        <is>
          <t>General Data Protection Regulation</t>
        </is>
      </c>
      <c r="C26" s="2" t="inlineStr">
        <is>
          <t>32016R0679</t>
        </is>
      </c>
      <c r="D26" s="2" t="inlineStr">
        <is>
          <t>EDPB</t>
        </is>
      </c>
      <c r="E26" s="2" t="inlineStr">
        <is>
          <t>Guidelines 01/2020 on processing personal data in the context of connected vehicles and mobility related applications</t>
        </is>
      </c>
      <c r="F26" s="2" t="inlineStr">
        <is>
          <t>2021-03-09</t>
        </is>
      </c>
      <c r="G26" s="2" t="inlineStr">
        <is>
          <t>final</t>
        </is>
      </c>
      <c r="H26" s="2" t="inlineStr">
        <is>
          <t>https://www.edpb.europa.eu/system/files/documents/2021-03/edpb_guidelines_202001_connected_vehicles_v2.0_adopted_en.pdf</t>
        </is>
      </c>
      <c r="I26" s="2" t="n">
        <v>36</v>
      </c>
      <c r="J26" s="2" t="n">
        <v>16880</v>
      </c>
      <c r="K26" s="2" t="n">
        <v>83</v>
      </c>
      <c r="L26" s="2" t="n">
        <v>58</v>
      </c>
      <c r="M26" s="2" t="n">
        <v>12</v>
      </c>
      <c r="N26" s="2" t="n">
        <v>3</v>
      </c>
      <c r="O26" s="2" t="n">
        <v>10</v>
      </c>
      <c r="P26" s="2" t="n">
        <v>0</v>
      </c>
      <c r="Q26" s="2" t="n">
        <v>35</v>
      </c>
      <c r="R26" s="2" t="n">
        <v>3</v>
      </c>
      <c r="S26" s="2" t="n">
        <v>2</v>
      </c>
      <c r="T26" s="2" t="n">
        <v>43</v>
      </c>
      <c r="U26" s="2" t="n">
        <v>64</v>
      </c>
      <c r="V26" s="2" t="inlineStr">
        <is>
          <t>non-binding guidance; 'should' is its usual verb (should_count)</t>
        </is>
      </c>
    </row>
    <row r="27">
      <c r="A27" s="2" t="n">
        <v>20</v>
      </c>
      <c r="B27" s="2" t="inlineStr">
        <is>
          <t>General Data Protection Regulation</t>
        </is>
      </c>
      <c r="C27" s="2" t="inlineStr">
        <is>
          <t>32016R0679</t>
        </is>
      </c>
      <c r="D27" s="2" t="inlineStr">
        <is>
          <t>EDPB</t>
        </is>
      </c>
      <c r="E27" s="2" t="inlineStr">
        <is>
          <t>Guidelines 8/2020 on the targeting of social media users</t>
        </is>
      </c>
      <c r="F27" s="2" t="inlineStr">
        <is>
          <t>2021-04-13</t>
        </is>
      </c>
      <c r="G27" s="2" t="inlineStr">
        <is>
          <t>final</t>
        </is>
      </c>
      <c r="H27" s="2" t="inlineStr">
        <is>
          <t>https://www.edpb.europa.eu/system/files/documents/2021-04/edpb_guidelines_082020_on_the_targeting_of_social_media_users_en.pdf</t>
        </is>
      </c>
      <c r="I27" s="2" t="n">
        <v>40</v>
      </c>
      <c r="J27" s="2" t="n">
        <v>23164</v>
      </c>
      <c r="K27" s="2" t="n">
        <v>88</v>
      </c>
      <c r="L27" s="2" t="n">
        <v>73</v>
      </c>
      <c r="M27" s="2" t="n">
        <v>5</v>
      </c>
      <c r="N27" s="2" t="n">
        <v>1</v>
      </c>
      <c r="O27" s="2" t="n">
        <v>9</v>
      </c>
      <c r="P27" s="2" t="n">
        <v>0</v>
      </c>
      <c r="Q27" s="2" t="n">
        <v>49</v>
      </c>
      <c r="R27" s="2" t="n">
        <v>0</v>
      </c>
      <c r="S27" s="2" t="n">
        <v>4</v>
      </c>
      <c r="T27" s="2" t="n">
        <v>35</v>
      </c>
      <c r="U27" s="2" t="n">
        <v>64</v>
      </c>
      <c r="V27" s="2" t="inlineStr">
        <is>
          <t>non-binding guidance; 'should' is its usual verb (should_count)</t>
        </is>
      </c>
    </row>
    <row r="28">
      <c r="A28" s="2" t="n">
        <v>20</v>
      </c>
      <c r="B28" s="2" t="inlineStr">
        <is>
          <t>General Data Protection Regulation</t>
        </is>
      </c>
      <c r="C28" s="2" t="inlineStr">
        <is>
          <t>32016R0679</t>
        </is>
      </c>
      <c r="D28" s="2" t="inlineStr">
        <is>
          <t>EDPB</t>
        </is>
      </c>
      <c r="E28" s="2" t="inlineStr">
        <is>
          <t>Recommendations 02/2021 on the legal basis for the storage of credit card data for the sole purpose of facilitating further online transactions</t>
        </is>
      </c>
      <c r="F28" s="2" t="inlineStr">
        <is>
          <t>2021-05-19</t>
        </is>
      </c>
      <c r="G28" s="2" t="inlineStr">
        <is>
          <t>final</t>
        </is>
      </c>
      <c r="H28" s="2" t="inlineStr">
        <is>
          <t>https://www.edpb.europa.eu/system/files/documents/2021-05/recommendations022021_on_storage_of_credit_card_data_en_1.pdf</t>
        </is>
      </c>
      <c r="I28" s="2" t="n">
        <v>4</v>
      </c>
      <c r="J28" s="2" t="n">
        <v>1850</v>
      </c>
      <c r="K28" s="2" t="n">
        <v>10</v>
      </c>
      <c r="L28" s="2" t="n">
        <v>10</v>
      </c>
      <c r="M28" s="2" t="n">
        <v>0</v>
      </c>
      <c r="N28" s="2" t="n">
        <v>0</v>
      </c>
      <c r="O28" s="2" t="n">
        <v>0</v>
      </c>
      <c r="P28" s="2" t="n">
        <v>0</v>
      </c>
      <c r="Q28" s="2" t="n">
        <v>6</v>
      </c>
      <c r="R28" s="2" t="n">
        <v>0</v>
      </c>
      <c r="S28" s="2" t="n">
        <v>0</v>
      </c>
      <c r="T28" s="2" t="n">
        <v>4</v>
      </c>
      <c r="U28" s="2" t="n">
        <v>6</v>
      </c>
      <c r="V28" s="2" t="inlineStr">
        <is>
          <t>non-binding guidance; 'should' is its usual verb (should_count)</t>
        </is>
      </c>
    </row>
    <row r="29">
      <c r="A29" s="2" t="n">
        <v>20</v>
      </c>
      <c r="B29" s="2" t="inlineStr">
        <is>
          <t>General Data Protection Regulation</t>
        </is>
      </c>
      <c r="C29" s="2" t="inlineStr">
        <is>
          <t>32016R0679</t>
        </is>
      </c>
      <c r="D29" s="2" t="inlineStr">
        <is>
          <t>EDPB</t>
        </is>
      </c>
      <c r="E29" s="2" t="inlineStr">
        <is>
          <t>Recommendations 01/2020 on measures that supplement transfer tools to ensure compliance with the EU level of protection of personal data</t>
        </is>
      </c>
      <c r="F29" s="2" t="inlineStr">
        <is>
          <t>2021-06-18</t>
        </is>
      </c>
      <c r="G29" s="2" t="inlineStr">
        <is>
          <t>final</t>
        </is>
      </c>
      <c r="H29" s="2" t="inlineStr">
        <is>
          <t>https://www.edpb.europa.eu/system/files/documents/2021-06/edpb_recommendations_202001vo.2.0_supplementarymeasurestransferstools_en.pdf</t>
        </is>
      </c>
      <c r="I29" s="2" t="n">
        <v>48</v>
      </c>
      <c r="J29" s="2" t="n">
        <v>22552</v>
      </c>
      <c r="K29" s="2" t="n">
        <v>114</v>
      </c>
      <c r="L29" s="2" t="n">
        <v>76</v>
      </c>
      <c r="M29" s="2" t="n">
        <v>17</v>
      </c>
      <c r="N29" s="2" t="n">
        <v>6</v>
      </c>
      <c r="O29" s="2" t="n">
        <v>15</v>
      </c>
      <c r="P29" s="2" t="n">
        <v>0</v>
      </c>
      <c r="Q29" s="2" t="n">
        <v>28</v>
      </c>
      <c r="R29" s="2" t="n">
        <v>6</v>
      </c>
      <c r="S29" s="2" t="n">
        <v>5</v>
      </c>
      <c r="T29" s="2" t="n">
        <v>75</v>
      </c>
      <c r="U29" s="2" t="n">
        <v>57</v>
      </c>
      <c r="V29" s="2" t="inlineStr">
        <is>
          <t>non-binding guidance; 'should' is its usual verb (should_count)</t>
        </is>
      </c>
    </row>
    <row r="30">
      <c r="A30" s="2" t="n">
        <v>20</v>
      </c>
      <c r="B30" s="2" t="inlineStr">
        <is>
          <t>General Data Protection Regulation</t>
        </is>
      </c>
      <c r="C30" s="2" t="inlineStr">
        <is>
          <t>32016R0679</t>
        </is>
      </c>
      <c r="D30" s="2" t="inlineStr">
        <is>
          <t>EDPB</t>
        </is>
      </c>
      <c r="E30" s="2" t="inlineStr">
        <is>
          <t>Guidelines 02/2021 on virtual voice assistants</t>
        </is>
      </c>
      <c r="F30" s="2" t="inlineStr">
        <is>
          <t>2021-07-07</t>
        </is>
      </c>
      <c r="G30" s="2" t="inlineStr">
        <is>
          <t>final</t>
        </is>
      </c>
      <c r="H30" s="2" t="inlineStr">
        <is>
          <t>https://www.edpb.europa.eu/system/files/documents/2021-07/edpb_guidelines_202102_on_vva_v2.0_adopted_en.pdf</t>
        </is>
      </c>
      <c r="I30" s="2" t="n">
        <v>39</v>
      </c>
      <c r="J30" s="2" t="n">
        <v>18626</v>
      </c>
      <c r="K30" s="2" t="n">
        <v>34</v>
      </c>
      <c r="L30" s="2" t="n">
        <v>23</v>
      </c>
      <c r="M30" s="2" t="n">
        <v>2</v>
      </c>
      <c r="N30" s="2" t="n">
        <v>0</v>
      </c>
      <c r="O30" s="2" t="n">
        <v>9</v>
      </c>
      <c r="P30" s="2" t="n">
        <v>0</v>
      </c>
      <c r="Q30" s="2" t="n">
        <v>21</v>
      </c>
      <c r="R30" s="2" t="n">
        <v>1</v>
      </c>
      <c r="S30" s="2" t="n">
        <v>0</v>
      </c>
      <c r="T30" s="2" t="n">
        <v>12</v>
      </c>
      <c r="U30" s="2" t="n">
        <v>156</v>
      </c>
      <c r="V30" s="2" t="inlineStr">
        <is>
          <t>non-binding guidance; 'should' is its usual verb (should_count)</t>
        </is>
      </c>
    </row>
    <row r="31">
      <c r="A31" s="2" t="n">
        <v>20</v>
      </c>
      <c r="B31" s="2" t="inlineStr">
        <is>
          <t>General Data Protection Regulation</t>
        </is>
      </c>
      <c r="C31" s="2" t="inlineStr">
        <is>
          <t>32016R0679</t>
        </is>
      </c>
      <c r="D31" s="2" t="inlineStr">
        <is>
          <t>EDPB</t>
        </is>
      </c>
      <c r="E31" s="2" t="inlineStr">
        <is>
          <t>Guidelines 07/2020 on the concepts of controller and processor in the GDPR</t>
        </is>
      </c>
      <c r="F31" s="2" t="inlineStr">
        <is>
          <t>2021-07-07</t>
        </is>
      </c>
      <c r="G31" s="2" t="inlineStr">
        <is>
          <t>final</t>
        </is>
      </c>
      <c r="H31" s="2" t="inlineStr">
        <is>
          <t>https://www.edpb.europa.eu/system/files/documents/2023-10/EDPB_guidelines_202007_controllerprocessor_final_en.pdf</t>
        </is>
      </c>
      <c r="I31" s="2" t="n">
        <v>51</v>
      </c>
      <c r="J31" s="2" t="n">
        <v>27591</v>
      </c>
      <c r="K31" s="2" t="n">
        <v>168</v>
      </c>
      <c r="L31" s="2" t="n">
        <v>146</v>
      </c>
      <c r="M31" s="2" t="n">
        <v>8</v>
      </c>
      <c r="N31" s="2" t="n">
        <v>3</v>
      </c>
      <c r="O31" s="2" t="n">
        <v>11</v>
      </c>
      <c r="P31" s="2" t="n">
        <v>0</v>
      </c>
      <c r="Q31" s="2" t="n">
        <v>121</v>
      </c>
      <c r="R31" s="2" t="n">
        <v>7</v>
      </c>
      <c r="S31" s="2" t="n">
        <v>1</v>
      </c>
      <c r="T31" s="2" t="n">
        <v>39</v>
      </c>
      <c r="U31" s="2" t="n">
        <v>114</v>
      </c>
      <c r="V31" s="2" t="inlineStr">
        <is>
          <t>non-binding guidance; 'should' is its usual verb (should_count)</t>
        </is>
      </c>
    </row>
    <row r="32">
      <c r="A32" s="2" t="n">
        <v>20</v>
      </c>
      <c r="B32" s="2" t="inlineStr">
        <is>
          <t>General Data Protection Regulation</t>
        </is>
      </c>
      <c r="C32" s="2" t="inlineStr">
        <is>
          <t>32016R0679</t>
        </is>
      </c>
      <c r="D32" s="2" t="inlineStr">
        <is>
          <t>EDPB</t>
        </is>
      </c>
      <c r="E32" s="2" t="inlineStr">
        <is>
          <t>Guidelines 10/2020 on restrictions under Article 23 GDPR</t>
        </is>
      </c>
      <c r="F32" s="2" t="inlineStr">
        <is>
          <t>2021-10-13</t>
        </is>
      </c>
      <c r="G32" s="2" t="inlineStr">
        <is>
          <t>final</t>
        </is>
      </c>
      <c r="H32" s="2" t="inlineStr">
        <is>
          <t>https://www.edpb.europa.eu/system/files/2026-04/edpb_guidelines202010_on_art23_adopted_after_consultation_en.pdf</t>
        </is>
      </c>
      <c r="I32" s="2" t="n">
        <v>20</v>
      </c>
      <c r="J32" s="2" t="n">
        <v>8902</v>
      </c>
      <c r="K32" s="2" t="n">
        <v>40</v>
      </c>
      <c r="L32" s="2" t="n">
        <v>31</v>
      </c>
      <c r="M32" s="2" t="n">
        <v>4</v>
      </c>
      <c r="N32" s="2" t="n">
        <v>1</v>
      </c>
      <c r="O32" s="2" t="n">
        <v>3</v>
      </c>
      <c r="P32" s="2" t="n">
        <v>1</v>
      </c>
      <c r="Q32" s="2" t="n">
        <v>6</v>
      </c>
      <c r="R32" s="2" t="n">
        <v>5</v>
      </c>
      <c r="S32" s="2" t="n">
        <v>2</v>
      </c>
      <c r="T32" s="2" t="n">
        <v>27</v>
      </c>
      <c r="U32" s="2" t="n">
        <v>51</v>
      </c>
      <c r="V32" s="2" t="inlineStr">
        <is>
          <t>non-binding guidance; 'should' is its usual verb (should_count)</t>
        </is>
      </c>
    </row>
    <row r="33">
      <c r="A33" s="2" t="n">
        <v>20</v>
      </c>
      <c r="B33" s="2" t="inlineStr">
        <is>
          <t>General Data Protection Regulation</t>
        </is>
      </c>
      <c r="C33" s="2" t="inlineStr">
        <is>
          <t>32016R0679</t>
        </is>
      </c>
      <c r="D33" s="2" t="inlineStr">
        <is>
          <t>EDPB</t>
        </is>
      </c>
      <c r="E33" s="2" t="inlineStr">
        <is>
          <t>Guidelines 01/2021 on Examples regarding Personal Data Breach Notification</t>
        </is>
      </c>
      <c r="F33" s="2" t="inlineStr">
        <is>
          <t>2022-01-03</t>
        </is>
      </c>
      <c r="G33" s="2" t="inlineStr">
        <is>
          <t>final</t>
        </is>
      </c>
      <c r="H33" s="2" t="inlineStr">
        <is>
          <t>https://www.edpb.europa.eu/system/files/documents/2022-01/edpb_guidelines_012021_pdbnotification_adopted_en.pdf</t>
        </is>
      </c>
      <c r="I33" s="2" t="n">
        <v>32</v>
      </c>
      <c r="J33" s="2" t="n">
        <v>15633</v>
      </c>
      <c r="K33" s="2" t="n">
        <v>27</v>
      </c>
      <c r="L33" s="2" t="n">
        <v>13</v>
      </c>
      <c r="M33" s="2" t="n">
        <v>4</v>
      </c>
      <c r="N33" s="2" t="n">
        <v>0</v>
      </c>
      <c r="O33" s="2" t="n">
        <v>10</v>
      </c>
      <c r="P33" s="2" t="n">
        <v>0</v>
      </c>
      <c r="Q33" s="2" t="n">
        <v>11</v>
      </c>
      <c r="R33" s="2" t="n">
        <v>0</v>
      </c>
      <c r="S33" s="2" t="n">
        <v>0</v>
      </c>
      <c r="T33" s="2" t="n">
        <v>16</v>
      </c>
      <c r="U33" s="2" t="n">
        <v>91</v>
      </c>
      <c r="V33" s="2" t="inlineStr">
        <is>
          <t>non-binding guidance; 'should' is its usual verb (should_count)</t>
        </is>
      </c>
    </row>
    <row r="34">
      <c r="A34" s="2" t="n">
        <v>20</v>
      </c>
      <c r="B34" s="2" t="inlineStr">
        <is>
          <t>General Data Protection Regulation</t>
        </is>
      </c>
      <c r="C34" s="2" t="inlineStr">
        <is>
          <t>32016R0679</t>
        </is>
      </c>
      <c r="D34" s="2" t="inlineStr">
        <is>
          <t>EDPB</t>
        </is>
      </c>
      <c r="E34" s="2" t="inlineStr">
        <is>
          <t>Guidelines 04/2021 on Codes of Conduct as tools for transfers</t>
        </is>
      </c>
      <c r="F34" s="2" t="inlineStr">
        <is>
          <t>2022-02-22</t>
        </is>
      </c>
      <c r="G34" s="2" t="inlineStr">
        <is>
          <t>final</t>
        </is>
      </c>
      <c r="H34" s="2" t="inlineStr">
        <is>
          <t>https://www.edpb.europa.eu/system/files/documents/2022-03/edpb_guidelines_codes_conduct_transfers_after_public_consultation_en_1.pdf</t>
        </is>
      </c>
      <c r="I34" s="2" t="n">
        <v>16</v>
      </c>
      <c r="J34" s="2" t="n">
        <v>6325</v>
      </c>
      <c r="K34" s="2" t="n">
        <v>21</v>
      </c>
      <c r="L34" s="2" t="n">
        <v>15</v>
      </c>
      <c r="M34" s="2" t="n">
        <v>0</v>
      </c>
      <c r="N34" s="2" t="n">
        <v>2</v>
      </c>
      <c r="O34" s="2" t="n">
        <v>4</v>
      </c>
      <c r="P34" s="2" t="n">
        <v>0</v>
      </c>
      <c r="Q34" s="2" t="n">
        <v>9</v>
      </c>
      <c r="R34" s="2" t="n">
        <v>0</v>
      </c>
      <c r="S34" s="2" t="n">
        <v>0</v>
      </c>
      <c r="T34" s="2" t="n">
        <v>12</v>
      </c>
      <c r="U34" s="2" t="n">
        <v>20</v>
      </c>
      <c r="V34" s="2" t="inlineStr">
        <is>
          <t>non-binding guidance; 'should' is its usual verb (should_count)</t>
        </is>
      </c>
    </row>
    <row r="35">
      <c r="A35" s="2" t="n">
        <v>20</v>
      </c>
      <c r="B35" s="2" t="inlineStr">
        <is>
          <t>General Data Protection Regulation</t>
        </is>
      </c>
      <c r="C35" s="2" t="inlineStr">
        <is>
          <t>32016R0679</t>
        </is>
      </c>
      <c r="D35" s="2" t="inlineStr">
        <is>
          <t>EDPB</t>
        </is>
      </c>
      <c r="E35" s="2" t="inlineStr">
        <is>
          <t>Guidelines 02/2022 on the application of Article 60 GDPR</t>
        </is>
      </c>
      <c r="F35" s="2" t="inlineStr">
        <is>
          <t>2022-03-14</t>
        </is>
      </c>
      <c r="G35" s="2" t="inlineStr">
        <is>
          <t>final</t>
        </is>
      </c>
      <c r="H35" s="2" t="inlineStr">
        <is>
          <t>https://www.edpb.europa.eu/system/files/documents/2022-03/guidelines_202202_on_the_application_of_article_60_gdpr_en.pdf</t>
        </is>
      </c>
      <c r="I35" s="2" t="n">
        <v>69</v>
      </c>
      <c r="J35" s="2" t="n">
        <v>31152</v>
      </c>
      <c r="K35" s="2" t="n">
        <v>152</v>
      </c>
      <c r="L35" s="2" t="n">
        <v>111</v>
      </c>
      <c r="M35" s="2" t="n">
        <v>5</v>
      </c>
      <c r="N35" s="2" t="n">
        <v>4</v>
      </c>
      <c r="O35" s="2" t="n">
        <v>32</v>
      </c>
      <c r="P35" s="2" t="n">
        <v>0</v>
      </c>
      <c r="Q35" s="2" t="n">
        <v>14</v>
      </c>
      <c r="R35" s="2" t="n">
        <v>27</v>
      </c>
      <c r="S35" s="2" t="n">
        <v>9</v>
      </c>
      <c r="T35" s="2" t="n">
        <v>102</v>
      </c>
      <c r="U35" s="2" t="n">
        <v>203</v>
      </c>
      <c r="V35" s="2" t="inlineStr">
        <is>
          <t>non-binding guidance; 'should' is its usual verb (should_count)</t>
        </is>
      </c>
    </row>
    <row r="36">
      <c r="A36" s="2" t="n">
        <v>20</v>
      </c>
      <c r="B36" s="2" t="inlineStr">
        <is>
          <t>General Data Protection Regulation</t>
        </is>
      </c>
      <c r="C36" s="2" t="inlineStr">
        <is>
          <t>32016R0679</t>
        </is>
      </c>
      <c r="D36" s="2" t="inlineStr">
        <is>
          <t>EDPB</t>
        </is>
      </c>
      <c r="E36" s="2" t="inlineStr">
        <is>
          <t>Guidelines 06/2022 on the practical implementation of amicable settlements</t>
        </is>
      </c>
      <c r="F36" s="2" t="inlineStr">
        <is>
          <t>2022-05-12</t>
        </is>
      </c>
      <c r="G36" s="2" t="inlineStr">
        <is>
          <t>final</t>
        </is>
      </c>
      <c r="H36" s="2" t="inlineStr">
        <is>
          <t>https://www.edpb.europa.eu/system/files/documents/2022-06/edpb_guidelines_202206_on_the_practical_implementation_of_amicable_settlements_en.pdf</t>
        </is>
      </c>
      <c r="I36" s="2" t="n">
        <v>22</v>
      </c>
      <c r="J36" s="2" t="n">
        <v>9131</v>
      </c>
      <c r="K36" s="2" t="n">
        <v>35</v>
      </c>
      <c r="L36" s="2" t="n">
        <v>25</v>
      </c>
      <c r="M36" s="2" t="n">
        <v>5</v>
      </c>
      <c r="N36" s="2" t="n">
        <v>2</v>
      </c>
      <c r="O36" s="2" t="n">
        <v>3</v>
      </c>
      <c r="P36" s="2" t="n">
        <v>0</v>
      </c>
      <c r="Q36" s="2" t="n">
        <v>3</v>
      </c>
      <c r="R36" s="2" t="n">
        <v>10</v>
      </c>
      <c r="S36" s="2" t="n">
        <v>0</v>
      </c>
      <c r="T36" s="2" t="n">
        <v>22</v>
      </c>
      <c r="U36" s="2" t="n">
        <v>49</v>
      </c>
      <c r="V36" s="2" t="inlineStr">
        <is>
          <t>non-binding guidance; 'should' is its usual verb (should_count)</t>
        </is>
      </c>
    </row>
    <row r="37">
      <c r="A37" s="2" t="n">
        <v>20</v>
      </c>
      <c r="B37" s="2" t="inlineStr">
        <is>
          <t>General Data Protection Regulation</t>
        </is>
      </c>
      <c r="C37" s="2" t="inlineStr">
        <is>
          <t>32016R0679</t>
        </is>
      </c>
      <c r="D37" s="2" t="inlineStr">
        <is>
          <t>EDPB</t>
        </is>
      </c>
      <c r="E37" s="2" t="inlineStr">
        <is>
          <t>Guidelines 03/2022 on deceptive design patterns in social media platform interfaces: how to recognise and avoid them</t>
        </is>
      </c>
      <c r="F37" s="2" t="inlineStr">
        <is>
          <t>2023-02-24</t>
        </is>
      </c>
      <c r="G37" s="2" t="inlineStr">
        <is>
          <t>final</t>
        </is>
      </c>
      <c r="H37" s="2" t="inlineStr">
        <is>
          <t>https://www.edpb.europa.eu/system/files/documents/2023-02/edpb_03-2022_guidelines_on_deceptive_design_patterns_in_social_media_platform_interfaces_v2_en_0.pdf</t>
        </is>
      </c>
      <c r="I37" s="2" t="n">
        <v>74</v>
      </c>
      <c r="J37" s="2" t="n">
        <v>33214</v>
      </c>
      <c r="K37" s="2" t="n">
        <v>120</v>
      </c>
      <c r="L37" s="2" t="n">
        <v>85</v>
      </c>
      <c r="M37" s="2" t="n">
        <v>15</v>
      </c>
      <c r="N37" s="2" t="n">
        <v>2</v>
      </c>
      <c r="O37" s="2" t="n">
        <v>18</v>
      </c>
      <c r="P37" s="2" t="n">
        <v>0</v>
      </c>
      <c r="Q37" s="2" t="n">
        <v>73</v>
      </c>
      <c r="R37" s="2" t="n">
        <v>0</v>
      </c>
      <c r="S37" s="2" t="n">
        <v>2</v>
      </c>
      <c r="T37" s="2" t="n">
        <v>45</v>
      </c>
      <c r="U37" s="2" t="n">
        <v>115</v>
      </c>
      <c r="V37" s="2" t="inlineStr">
        <is>
          <t>non-binding guidance; 'should' is its usual verb (should_count)</t>
        </is>
      </c>
    </row>
    <row r="38">
      <c r="A38" s="2" t="n">
        <v>20</v>
      </c>
      <c r="B38" s="2" t="inlineStr">
        <is>
          <t>General Data Protection Regulation</t>
        </is>
      </c>
      <c r="C38" s="2" t="inlineStr">
        <is>
          <t>32016R0679</t>
        </is>
      </c>
      <c r="D38" s="2" t="inlineStr">
        <is>
          <t>EDPB</t>
        </is>
      </c>
      <c r="E38" s="2" t="inlineStr">
        <is>
          <t>Guidelines 05/2021 on the Interplay between the application of Article 3 and the provisions on international transfers as per Chapter V of the GDPR</t>
        </is>
      </c>
      <c r="F38" s="2" t="inlineStr">
        <is>
          <t>2023-02-24</t>
        </is>
      </c>
      <c r="G38" s="2" t="inlineStr">
        <is>
          <t>final</t>
        </is>
      </c>
      <c r="H38" s="2" t="inlineStr">
        <is>
          <t>https://www.edpb.europa.eu/system/files/documents/2023-02/edpb_guidelines_05-2021_interplay_between_the_application_of_art3-chapter_v_of_the_gdpr_v2_en_0.pdf</t>
        </is>
      </c>
      <c r="I38" s="2" t="n">
        <v>24</v>
      </c>
      <c r="J38" s="2" t="n">
        <v>9889</v>
      </c>
      <c r="K38" s="2" t="n">
        <v>31</v>
      </c>
      <c r="L38" s="2" t="n">
        <v>20</v>
      </c>
      <c r="M38" s="2" t="n">
        <v>4</v>
      </c>
      <c r="N38" s="2" t="n">
        <v>3</v>
      </c>
      <c r="O38" s="2" t="n">
        <v>4</v>
      </c>
      <c r="P38" s="2" t="n">
        <v>0</v>
      </c>
      <c r="Q38" s="2" t="n">
        <v>20</v>
      </c>
      <c r="R38" s="2" t="n">
        <v>1</v>
      </c>
      <c r="S38" s="2" t="n">
        <v>0</v>
      </c>
      <c r="T38" s="2" t="n">
        <v>10</v>
      </c>
      <c r="U38" s="2" t="n">
        <v>20</v>
      </c>
      <c r="V38" s="2" t="inlineStr">
        <is>
          <t>non-binding guidance; 'should' is its usual verb (should_count)</t>
        </is>
      </c>
    </row>
    <row r="39">
      <c r="A39" s="2" t="n">
        <v>20</v>
      </c>
      <c r="B39" s="2" t="inlineStr">
        <is>
          <t>General Data Protection Regulation</t>
        </is>
      </c>
      <c r="C39" s="2" t="inlineStr">
        <is>
          <t>32016R0679</t>
        </is>
      </c>
      <c r="D39" s="2" t="inlineStr">
        <is>
          <t>EDPB</t>
        </is>
      </c>
      <c r="E39" s="2" t="inlineStr">
        <is>
          <t>Guidelines 07/2022 on certification as a tool for transfers</t>
        </is>
      </c>
      <c r="F39" s="2" t="inlineStr">
        <is>
          <t>2023-02-24</t>
        </is>
      </c>
      <c r="G39" s="2" t="inlineStr">
        <is>
          <t>final</t>
        </is>
      </c>
      <c r="H39" s="2" t="inlineStr">
        <is>
          <t>https://www.edpb.europa.eu/system/files/documents/2023-02/edpb_guidelines_07-2022_on_certification_as_a_tool_for_transfers_v2_en_0.pdf</t>
        </is>
      </c>
      <c r="I39" s="2" t="n">
        <v>19</v>
      </c>
      <c r="J39" s="2" t="n">
        <v>7834</v>
      </c>
      <c r="K39" s="2" t="n">
        <v>58</v>
      </c>
      <c r="L39" s="2" t="n">
        <v>50</v>
      </c>
      <c r="M39" s="2" t="n">
        <v>3</v>
      </c>
      <c r="N39" s="2" t="n">
        <v>1</v>
      </c>
      <c r="O39" s="2" t="n">
        <v>2</v>
      </c>
      <c r="P39" s="2" t="n">
        <v>2</v>
      </c>
      <c r="Q39" s="2" t="n">
        <v>12</v>
      </c>
      <c r="R39" s="2" t="n">
        <v>2</v>
      </c>
      <c r="S39" s="2" t="n">
        <v>0</v>
      </c>
      <c r="T39" s="2" t="n">
        <v>44</v>
      </c>
      <c r="U39" s="2" t="n">
        <v>26</v>
      </c>
      <c r="V39" s="2" t="inlineStr">
        <is>
          <t>non-binding guidance; 'should' is its usual verb (should_count)</t>
        </is>
      </c>
    </row>
    <row r="40">
      <c r="A40" s="2" t="n">
        <v>20</v>
      </c>
      <c r="B40" s="2" t="inlineStr">
        <is>
          <t>General Data Protection Regulation</t>
        </is>
      </c>
      <c r="C40" s="2" t="inlineStr">
        <is>
          <t>32016R0679</t>
        </is>
      </c>
      <c r="D40" s="2" t="inlineStr">
        <is>
          <t>EDPB</t>
        </is>
      </c>
      <c r="E40" s="2" t="inlineStr">
        <is>
          <t>Guidelines 9/2022 on personal data breach notification under GDPR</t>
        </is>
      </c>
      <c r="F40" s="2" t="inlineStr">
        <is>
          <t>2023-04-04</t>
        </is>
      </c>
      <c r="G40" s="2" t="inlineStr">
        <is>
          <t>final</t>
        </is>
      </c>
      <c r="H40" s="2" t="inlineStr">
        <is>
          <t>https://www.edpb.europa.eu/system/files/documents/2023-04/edpb_guidelines_202209_personal_data_breach_notification_v2.0_en.pdf</t>
        </is>
      </c>
      <c r="I40" s="2" t="n">
        <v>33</v>
      </c>
      <c r="J40" s="2" t="n">
        <v>16100</v>
      </c>
      <c r="K40" s="2" t="n">
        <v>98</v>
      </c>
      <c r="L40" s="2" t="n">
        <v>48</v>
      </c>
      <c r="M40" s="2" t="n">
        <v>12</v>
      </c>
      <c r="N40" s="2" t="n">
        <v>1</v>
      </c>
      <c r="O40" s="2" t="n">
        <v>37</v>
      </c>
      <c r="P40" s="2" t="n">
        <v>0</v>
      </c>
      <c r="Q40" s="2" t="n">
        <v>49</v>
      </c>
      <c r="R40" s="2" t="n">
        <v>14</v>
      </c>
      <c r="S40" s="2" t="n">
        <v>0</v>
      </c>
      <c r="T40" s="2" t="n">
        <v>35</v>
      </c>
      <c r="U40" s="2" t="n">
        <v>115</v>
      </c>
      <c r="V40" s="2" t="inlineStr">
        <is>
          <t>non-binding guidance; 'should' is its usual verb (should_count)</t>
        </is>
      </c>
    </row>
    <row r="41">
      <c r="A41" s="2" t="n">
        <v>20</v>
      </c>
      <c r="B41" s="2" t="inlineStr">
        <is>
          <t>General Data Protection Regulation</t>
        </is>
      </c>
      <c r="C41" s="2" t="inlineStr">
        <is>
          <t>32016R0679</t>
        </is>
      </c>
      <c r="D41" s="2" t="inlineStr">
        <is>
          <t>EDPB</t>
        </is>
      </c>
      <c r="E41" s="2" t="inlineStr">
        <is>
          <t>Guidelines 01/2022 on data subject rights - Right of access</t>
        </is>
      </c>
      <c r="F41" s="2" t="inlineStr">
        <is>
          <t>2023-04-17</t>
        </is>
      </c>
      <c r="G41" s="2" t="inlineStr">
        <is>
          <t>final</t>
        </is>
      </c>
      <c r="H41" s="2" t="inlineStr">
        <is>
          <t>https://www.edpb.europa.eu/system/files/documents/2023-04/edpb_guidelines_202201_data_subject_rights_access_v2_en.pdf</t>
        </is>
      </c>
      <c r="I41" s="2" t="n">
        <v>63</v>
      </c>
      <c r="J41" s="2" t="n">
        <v>36255</v>
      </c>
      <c r="K41" s="2" t="n">
        <v>207</v>
      </c>
      <c r="L41" s="2" t="n">
        <v>149</v>
      </c>
      <c r="M41" s="2" t="n">
        <v>20</v>
      </c>
      <c r="N41" s="2" t="n">
        <v>7</v>
      </c>
      <c r="O41" s="2" t="n">
        <v>30</v>
      </c>
      <c r="P41" s="2" t="n">
        <v>1</v>
      </c>
      <c r="Q41" s="2" t="n">
        <v>119</v>
      </c>
      <c r="R41" s="2" t="n">
        <v>6</v>
      </c>
      <c r="S41" s="2" t="n">
        <v>4</v>
      </c>
      <c r="T41" s="2" t="n">
        <v>78</v>
      </c>
      <c r="U41" s="2" t="n">
        <v>171</v>
      </c>
      <c r="V41" s="2" t="inlineStr">
        <is>
          <t>non-binding guidance; 'should' is its usual verb (should_count)</t>
        </is>
      </c>
    </row>
    <row r="42">
      <c r="A42" s="2" t="n">
        <v>20</v>
      </c>
      <c r="B42" s="2" t="inlineStr">
        <is>
          <t>General Data Protection Regulation</t>
        </is>
      </c>
      <c r="C42" s="2" t="inlineStr">
        <is>
          <t>32016R0679</t>
        </is>
      </c>
      <c r="D42" s="2" t="inlineStr">
        <is>
          <t>EDPB</t>
        </is>
      </c>
      <c r="E42" s="2" t="inlineStr">
        <is>
          <t>Guidelines 8/2022 on identifying a controller or processor’s lead supervisory authority</t>
        </is>
      </c>
      <c r="F42" s="2" t="inlineStr">
        <is>
          <t>2023-04-17</t>
        </is>
      </c>
      <c r="G42" s="2" t="inlineStr">
        <is>
          <t>final</t>
        </is>
      </c>
      <c r="H42" s="2" t="inlineStr">
        <is>
          <t>https://www.edpb.europa.eu/system/files/documents/2023-04/edpb_guidelines_202208_identifying_lsa_targeted_update_v2_en.pdf</t>
        </is>
      </c>
      <c r="I42" s="2" t="n">
        <v>14</v>
      </c>
      <c r="J42" s="2" t="n">
        <v>5423</v>
      </c>
      <c r="K42" s="2" t="n">
        <v>15</v>
      </c>
      <c r="L42" s="2" t="n">
        <v>13</v>
      </c>
      <c r="M42" s="2" t="n">
        <v>0</v>
      </c>
      <c r="N42" s="2" t="n">
        <v>1</v>
      </c>
      <c r="O42" s="2" t="n">
        <v>1</v>
      </c>
      <c r="P42" s="2" t="n">
        <v>0</v>
      </c>
      <c r="Q42" s="2" t="n">
        <v>7</v>
      </c>
      <c r="R42" s="2" t="n">
        <v>5</v>
      </c>
      <c r="S42" s="2" t="n">
        <v>0</v>
      </c>
      <c r="T42" s="2" t="n">
        <v>3</v>
      </c>
      <c r="U42" s="2" t="n">
        <v>14</v>
      </c>
      <c r="V42" s="2" t="inlineStr">
        <is>
          <t>non-binding guidance; 'should' is its usual verb (should_count)</t>
        </is>
      </c>
    </row>
    <row r="43">
      <c r="A43" s="2" t="n">
        <v>20</v>
      </c>
      <c r="B43" s="2" t="inlineStr">
        <is>
          <t>General Data Protection Regulation</t>
        </is>
      </c>
      <c r="C43" s="2" t="inlineStr">
        <is>
          <t>32016R0679</t>
        </is>
      </c>
      <c r="D43" s="2" t="inlineStr">
        <is>
          <t>EDPB</t>
        </is>
      </c>
      <c r="E43" s="2" t="inlineStr">
        <is>
          <t>Guidelines 05/2022 on the use of facial recognition technology in the area of law enforcement</t>
        </is>
      </c>
      <c r="F43" s="2" t="inlineStr">
        <is>
          <t>2023-05-17</t>
        </is>
      </c>
      <c r="G43" s="2" t="inlineStr">
        <is>
          <t>final</t>
        </is>
      </c>
      <c r="H43" s="2" t="inlineStr">
        <is>
          <t>https://www.edpb.europa.eu/system/files/documents/2023-05/edpb_guidelines_202304_frtlawenforcement_v2_en.pdf</t>
        </is>
      </c>
      <c r="I43" s="2" t="n">
        <v>52</v>
      </c>
      <c r="J43" s="2" t="n">
        <v>26374</v>
      </c>
      <c r="K43" s="2" t="n">
        <v>104</v>
      </c>
      <c r="L43" s="2" t="n">
        <v>77</v>
      </c>
      <c r="M43" s="2" t="n">
        <v>11</v>
      </c>
      <c r="N43" s="2" t="n">
        <v>9</v>
      </c>
      <c r="O43" s="2" t="n">
        <v>7</v>
      </c>
      <c r="P43" s="2" t="n">
        <v>0</v>
      </c>
      <c r="Q43" s="2" t="n">
        <v>35</v>
      </c>
      <c r="R43" s="2" t="n">
        <v>12</v>
      </c>
      <c r="S43" s="2" t="n">
        <v>2</v>
      </c>
      <c r="T43" s="2" t="n">
        <v>55</v>
      </c>
      <c r="U43" s="2" t="n">
        <v>88</v>
      </c>
      <c r="V43" s="2" t="inlineStr">
        <is>
          <t>non-binding guidance; 'should' is its usual verb (should_count)</t>
        </is>
      </c>
    </row>
    <row r="44">
      <c r="A44" s="2" t="n">
        <v>20</v>
      </c>
      <c r="B44" s="2" t="inlineStr">
        <is>
          <t>General Data Protection Regulation</t>
        </is>
      </c>
      <c r="C44" s="2" t="inlineStr">
        <is>
          <t>32016R0679</t>
        </is>
      </c>
      <c r="D44" s="2" t="inlineStr">
        <is>
          <t>EDPB</t>
        </is>
      </c>
      <c r="E44" s="2" t="inlineStr">
        <is>
          <t>Guidelines 03/2021 on the application of Article 65(1)(a) GDPR</t>
        </is>
      </c>
      <c r="F44" s="2" t="inlineStr">
        <is>
          <t>2023-05-24</t>
        </is>
      </c>
      <c r="G44" s="2" t="inlineStr">
        <is>
          <t>final</t>
        </is>
      </c>
      <c r="H44" s="2" t="inlineStr">
        <is>
          <t>https://www.edpb.europa.eu/system/files/documents/2023-06/edpb_guidelines_202103_article65-1-a_v2_en.pdf</t>
        </is>
      </c>
      <c r="I44" s="2" t="n">
        <v>31</v>
      </c>
      <c r="J44" s="2" t="n">
        <v>16483</v>
      </c>
      <c r="K44" s="2" t="n">
        <v>117</v>
      </c>
      <c r="L44" s="2" t="n">
        <v>98</v>
      </c>
      <c r="M44" s="2" t="n">
        <v>4</v>
      </c>
      <c r="N44" s="2" t="n">
        <v>0</v>
      </c>
      <c r="O44" s="2" t="n">
        <v>15</v>
      </c>
      <c r="P44" s="2" t="n">
        <v>0</v>
      </c>
      <c r="Q44" s="2" t="n">
        <v>7</v>
      </c>
      <c r="R44" s="2" t="n">
        <v>14</v>
      </c>
      <c r="S44" s="2" t="n">
        <v>51</v>
      </c>
      <c r="T44" s="2" t="n">
        <v>45</v>
      </c>
      <c r="U44" s="2" t="n">
        <v>49</v>
      </c>
      <c r="V44" s="2" t="inlineStr">
        <is>
          <t>non-binding guidance; 'should' is its usual verb (should_count)</t>
        </is>
      </c>
    </row>
    <row r="45">
      <c r="A45" s="2" t="n">
        <v>20</v>
      </c>
      <c r="B45" s="2" t="inlineStr">
        <is>
          <t>General Data Protection Regulation</t>
        </is>
      </c>
      <c r="C45" s="2" t="inlineStr">
        <is>
          <t>32016R0679</t>
        </is>
      </c>
      <c r="D45" s="2" t="inlineStr">
        <is>
          <t>EDPB</t>
        </is>
      </c>
      <c r="E45" s="2" t="inlineStr">
        <is>
          <t>Guidelines 04/2022 on the calculation of administrative fines under the GDPR</t>
        </is>
      </c>
      <c r="F45" s="2" t="inlineStr">
        <is>
          <t>2023-05-24</t>
        </is>
      </c>
      <c r="G45" s="2" t="inlineStr">
        <is>
          <t>final</t>
        </is>
      </c>
      <c r="H45" s="2" t="inlineStr">
        <is>
          <t>https://www.edpb.europa.eu/system/files/documents/2023-06/edpb_guidelines_042022_calculationofadministrativefines_en.pdf</t>
        </is>
      </c>
      <c r="I45" s="2" t="n">
        <v>48</v>
      </c>
      <c r="J45" s="2" t="n">
        <v>22922</v>
      </c>
      <c r="K45" s="2" t="n">
        <v>91</v>
      </c>
      <c r="L45" s="2" t="n">
        <v>58</v>
      </c>
      <c r="M45" s="2" t="n">
        <v>18</v>
      </c>
      <c r="N45" s="2" t="n">
        <v>1</v>
      </c>
      <c r="O45" s="2" t="n">
        <v>13</v>
      </c>
      <c r="P45" s="2" t="n">
        <v>1</v>
      </c>
      <c r="Q45" s="2" t="n">
        <v>16</v>
      </c>
      <c r="R45" s="2" t="n">
        <v>27</v>
      </c>
      <c r="S45" s="2" t="n">
        <v>4</v>
      </c>
      <c r="T45" s="2" t="n">
        <v>44</v>
      </c>
      <c r="U45" s="2" t="n">
        <v>55</v>
      </c>
      <c r="V45" s="2" t="inlineStr">
        <is>
          <t>non-binding guidance; 'should' is its usual verb (should_count)</t>
        </is>
      </c>
    </row>
    <row r="46">
      <c r="A46" s="2" t="n">
        <v>20</v>
      </c>
      <c r="B46" s="2" t="inlineStr">
        <is>
          <t>General Data Protection Regulation</t>
        </is>
      </c>
      <c r="C46" s="2" t="inlineStr">
        <is>
          <t>32016R0679</t>
        </is>
      </c>
      <c r="D46" s="2" t="inlineStr">
        <is>
          <t>EDPB</t>
        </is>
      </c>
      <c r="E46" s="2" t="inlineStr">
        <is>
          <t>Recommendations 1/2022 on the Application for Approval and on the elements and principles to be found in Controller Binding Corporate Rules (Art. 47 GDPR)</t>
        </is>
      </c>
      <c r="F46" s="2" t="inlineStr">
        <is>
          <t>2023-06-20</t>
        </is>
      </c>
      <c r="G46" s="2" t="inlineStr">
        <is>
          <t>final</t>
        </is>
      </c>
      <c r="H46" s="2" t="inlineStr">
        <is>
          <t>https://www.edpb.europa.eu/system/files/documents/2023-06/edpb_recommendations_20221_bcr-c_v2_en.pdf</t>
        </is>
      </c>
      <c r="I46" s="2" t="n">
        <v>54</v>
      </c>
      <c r="J46" s="2" t="n">
        <v>12581</v>
      </c>
      <c r="K46" s="2" t="n">
        <v>73</v>
      </c>
      <c r="L46" s="2" t="n">
        <v>55</v>
      </c>
      <c r="M46" s="2" t="n">
        <v>4</v>
      </c>
      <c r="N46" s="2" t="n">
        <v>4</v>
      </c>
      <c r="O46" s="2" t="n">
        <v>10</v>
      </c>
      <c r="P46" s="2" t="n">
        <v>0</v>
      </c>
      <c r="Q46" s="2" t="n">
        <v>16</v>
      </c>
      <c r="R46" s="2" t="n">
        <v>0</v>
      </c>
      <c r="S46" s="2" t="n">
        <v>4</v>
      </c>
      <c r="T46" s="2" t="n">
        <v>53</v>
      </c>
      <c r="U46" s="2" t="n">
        <v>112</v>
      </c>
      <c r="V46" s="2" t="inlineStr">
        <is>
          <t>non-binding guidance; 'should' is its usual verb (should_count)</t>
        </is>
      </c>
    </row>
    <row r="47">
      <c r="A47" s="2" t="n">
        <v>20</v>
      </c>
      <c r="B47" s="2" t="inlineStr">
        <is>
          <t>General Data Protection Regulation</t>
        </is>
      </c>
      <c r="C47" s="2" t="inlineStr">
        <is>
          <t>32016R0679</t>
        </is>
      </c>
      <c r="D47" s="2" t="inlineStr">
        <is>
          <t>EDPB</t>
        </is>
      </c>
      <c r="E47" s="2" t="inlineStr">
        <is>
          <t>Recommendations 1/2025 on the 2027 WADA World Anti-Doping Code</t>
        </is>
      </c>
      <c r="F47" s="2" t="inlineStr">
        <is>
          <t>2025-02-13</t>
        </is>
      </c>
      <c r="G47" s="2" t="inlineStr">
        <is>
          <t>final</t>
        </is>
      </c>
      <c r="H47" s="2" t="inlineStr">
        <is>
          <t>https://www.edpb.europa.eu/system/files/documents/2025-02/edpb_recommendations_202501_wada_2027_world_anti-doping_code_en.pdf</t>
        </is>
      </c>
      <c r="I47" s="2" t="n">
        <v>21</v>
      </c>
      <c r="J47" s="2" t="n">
        <v>9356</v>
      </c>
      <c r="K47" s="2" t="n">
        <v>52</v>
      </c>
      <c r="L47" s="2" t="n">
        <v>39</v>
      </c>
      <c r="M47" s="2" t="n">
        <v>6</v>
      </c>
      <c r="N47" s="2" t="n">
        <v>0</v>
      </c>
      <c r="O47" s="2" t="n">
        <v>6</v>
      </c>
      <c r="P47" s="2" t="n">
        <v>1</v>
      </c>
      <c r="Q47" s="2" t="n">
        <v>13</v>
      </c>
      <c r="R47" s="2" t="n">
        <v>2</v>
      </c>
      <c r="S47" s="2" t="n">
        <v>8</v>
      </c>
      <c r="T47" s="2" t="n">
        <v>29</v>
      </c>
      <c r="U47" s="2" t="n">
        <v>32</v>
      </c>
      <c r="V47" s="2" t="inlineStr">
        <is>
          <t>non-binding guidance; 'should' is its usual verb (should_count)</t>
        </is>
      </c>
    </row>
    <row r="48">
      <c r="A48" s="2" t="n">
        <v>20</v>
      </c>
      <c r="B48" s="2" t="inlineStr">
        <is>
          <t>General Data Protection Regulation</t>
        </is>
      </c>
      <c r="C48" s="2" t="inlineStr">
        <is>
          <t>32016R0679</t>
        </is>
      </c>
      <c r="D48" s="2" t="inlineStr">
        <is>
          <t>EDPB</t>
        </is>
      </c>
      <c r="E48" s="2" t="inlineStr">
        <is>
          <t>Guidelines 02/2024 on Article 48 GDPR</t>
        </is>
      </c>
      <c r="F48" s="2" t="inlineStr">
        <is>
          <t>2025-06-05</t>
        </is>
      </c>
      <c r="G48" s="2" t="inlineStr">
        <is>
          <t>final</t>
        </is>
      </c>
      <c r="H48" s="2" t="inlineStr">
        <is>
          <t>https://www.edpb.europa.eu/system/files/documents/2025-06/edpb_guidelines_202402_article48_v2_en.pdf</t>
        </is>
      </c>
      <c r="I48" s="2" t="n">
        <v>13</v>
      </c>
      <c r="J48" s="2" t="n">
        <v>5337</v>
      </c>
      <c r="K48" s="2" t="n">
        <v>37</v>
      </c>
      <c r="L48" s="2" t="n">
        <v>30</v>
      </c>
      <c r="M48" s="2" t="n">
        <v>0</v>
      </c>
      <c r="N48" s="2" t="n">
        <v>4</v>
      </c>
      <c r="O48" s="2" t="n">
        <v>3</v>
      </c>
      <c r="P48" s="2" t="n">
        <v>0</v>
      </c>
      <c r="Q48" s="2" t="n">
        <v>16</v>
      </c>
      <c r="R48" s="2" t="n">
        <v>6</v>
      </c>
      <c r="S48" s="2" t="n">
        <v>2</v>
      </c>
      <c r="T48" s="2" t="n">
        <v>13</v>
      </c>
      <c r="U48" s="2" t="n">
        <v>10</v>
      </c>
      <c r="V48" s="2" t="inlineStr">
        <is>
          <t>non-binding guidance; 'should' is its usual verb (should_count)</t>
        </is>
      </c>
    </row>
    <row r="49">
      <c r="A49" s="2" t="n">
        <v>20</v>
      </c>
      <c r="B49" s="2" t="inlineStr">
        <is>
          <t>General Data Protection Regulation</t>
        </is>
      </c>
      <c r="C49" s="2" t="inlineStr">
        <is>
          <t>32016R0679</t>
        </is>
      </c>
      <c r="D49" s="2" t="inlineStr">
        <is>
          <t>EDPB</t>
        </is>
      </c>
      <c r="E49" s="2" t="inlineStr">
        <is>
          <t>Guidelines 02/2025 on processing of personal data through blockchain technologies</t>
        </is>
      </c>
      <c r="F49" s="2" t="inlineStr">
        <is>
          <t>2026-07-07</t>
        </is>
      </c>
      <c r="G49" s="2" t="inlineStr">
        <is>
          <t>final</t>
        </is>
      </c>
      <c r="H49" s="2" t="inlineStr">
        <is>
          <t>https://www.edpb.europa.eu/system/files/2026-07/edpb_guidelines_202502_blockchain_v2_en.pdf</t>
        </is>
      </c>
      <c r="I49" s="2" t="n">
        <v>27</v>
      </c>
      <c r="J49" s="2" t="n">
        <v>12421</v>
      </c>
      <c r="K49" s="2" t="n">
        <v>34</v>
      </c>
      <c r="L49" s="2" t="n">
        <v>31</v>
      </c>
      <c r="M49" s="2" t="n">
        <v>1</v>
      </c>
      <c r="N49" s="2" t="n">
        <v>0</v>
      </c>
      <c r="O49" s="2" t="n">
        <v>1</v>
      </c>
      <c r="P49" s="2" t="n">
        <v>1</v>
      </c>
      <c r="Q49" s="2" t="n">
        <v>20</v>
      </c>
      <c r="R49" s="2" t="n">
        <v>0</v>
      </c>
      <c r="S49" s="2" t="n">
        <v>0</v>
      </c>
      <c r="T49" s="2" t="n">
        <v>14</v>
      </c>
      <c r="U49" s="2" t="n">
        <v>103</v>
      </c>
      <c r="V49" s="2" t="inlineStr">
        <is>
          <t>non-binding guidance; 'should' is its usual verb (should_count)</t>
        </is>
      </c>
    </row>
    <row r="50">
      <c r="A50" s="2" t="n">
        <v>21</v>
      </c>
      <c r="B50" s="2" t="inlineStr">
        <is>
          <t>Law Enforcement Directive</t>
        </is>
      </c>
      <c r="C50" s="2" t="inlineStr">
        <is>
          <t>32016L0680</t>
        </is>
      </c>
      <c r="D50" s="2" t="inlineStr">
        <is>
          <t>EDPB</t>
        </is>
      </c>
      <c r="E50" s="2" t="inlineStr">
        <is>
          <t>Recommendations 01/2021 on the adequacy referential under the Law Enforcement Directive</t>
        </is>
      </c>
      <c r="F50" s="2" t="inlineStr">
        <is>
          <t>2021-02-02</t>
        </is>
      </c>
      <c r="G50" s="2" t="inlineStr">
        <is>
          <t>final</t>
        </is>
      </c>
      <c r="H50" s="2" t="inlineStr">
        <is>
          <t>https://www.edpb.europa.eu/system/files/documents/files/file1/recommendations012021onart.36led.pdf_en.pdf</t>
        </is>
      </c>
      <c r="I50" s="2" t="n">
        <v>17</v>
      </c>
      <c r="J50" s="2" t="n">
        <v>7848</v>
      </c>
      <c r="K50" s="2" t="n">
        <v>41</v>
      </c>
      <c r="L50" s="2" t="n">
        <v>38</v>
      </c>
      <c r="M50" s="2" t="n">
        <v>1</v>
      </c>
      <c r="N50" s="2" t="n">
        <v>1</v>
      </c>
      <c r="O50" s="2" t="n">
        <v>1</v>
      </c>
      <c r="P50" s="2" t="n">
        <v>0</v>
      </c>
      <c r="Q50" s="2" t="n">
        <v>7</v>
      </c>
      <c r="R50" s="2" t="n">
        <v>7</v>
      </c>
      <c r="S50" s="2" t="n">
        <v>8</v>
      </c>
      <c r="T50" s="2" t="n">
        <v>19</v>
      </c>
      <c r="U50" s="2" t="n">
        <v>87</v>
      </c>
      <c r="V50" s="2" t="inlineStr">
        <is>
          <t>non-binding guidance; 'should' is its usual verb (should_count)</t>
        </is>
      </c>
    </row>
    <row r="51">
      <c r="A51" s="2" t="n">
        <v>21</v>
      </c>
      <c r="B51" s="2" t="inlineStr">
        <is>
          <t>Law Enforcement Directive</t>
        </is>
      </c>
      <c r="C51" s="2" t="inlineStr">
        <is>
          <t>32016L0680</t>
        </is>
      </c>
      <c r="D51" s="2" t="inlineStr">
        <is>
          <t>EDPB</t>
        </is>
      </c>
      <c r="E51" s="2" t="inlineStr">
        <is>
          <t>Guidelines 01/2023 on Article 37 Law Enforcement Directive</t>
        </is>
      </c>
      <c r="F51" s="2" t="inlineStr">
        <is>
          <t>2024-06-19</t>
        </is>
      </c>
      <c r="G51" s="2" t="inlineStr">
        <is>
          <t>final</t>
        </is>
      </c>
      <c r="H51" s="2" t="inlineStr">
        <is>
          <t>https://www.edpb.europa.eu/system/files/documents/2024-06/edpb-guidelines-202301_art_37_led_final_0_en.pdf</t>
        </is>
      </c>
      <c r="I51" s="2" t="n">
        <v>33</v>
      </c>
      <c r="J51" s="2" t="n">
        <v>17682</v>
      </c>
      <c r="K51" s="2" t="n">
        <v>64</v>
      </c>
      <c r="L51" s="2" t="n">
        <v>42</v>
      </c>
      <c r="M51" s="2" t="n">
        <v>9</v>
      </c>
      <c r="N51" s="2" t="n">
        <v>7</v>
      </c>
      <c r="O51" s="2" t="n">
        <v>5</v>
      </c>
      <c r="P51" s="2" t="n">
        <v>1</v>
      </c>
      <c r="Q51" s="2" t="n">
        <v>25</v>
      </c>
      <c r="R51" s="2" t="n">
        <v>18</v>
      </c>
      <c r="S51" s="2" t="n">
        <v>2</v>
      </c>
      <c r="T51" s="2" t="n">
        <v>19</v>
      </c>
      <c r="U51" s="2" t="n">
        <v>97</v>
      </c>
      <c r="V51" s="2" t="inlineStr">
        <is>
          <t>non-binding guidance; 'should' is its usual verb (should_count)</t>
        </is>
      </c>
    </row>
    <row r="52">
      <c r="A52" s="2" t="n">
        <v>23</v>
      </c>
      <c r="B52" s="2" t="inlineStr">
        <is>
          <t>Payment Services Directive 2 (PSD2)</t>
        </is>
      </c>
      <c r="C52" s="2" t="inlineStr">
        <is>
          <t>32015L2366</t>
        </is>
      </c>
      <c r="D52" s="2" t="inlineStr">
        <is>
          <t>EBA</t>
        </is>
      </c>
      <c r="E52" s="2" t="inlineStr">
        <is>
          <t>Guidelines on authorisation and registration under PSD2 (EBA/GL/2017/09)</t>
        </is>
      </c>
      <c r="F52" s="2" t="n"/>
      <c r="G52" s="2" t="inlineStr">
        <is>
          <t>final</t>
        </is>
      </c>
      <c r="H52" s="2" t="inlineStr">
        <is>
          <t>https://www.eba.europa.eu/sites/default/files/documents/10180/1904583/f0e94433-f59b-4c24-9cec-2d6a2277b62c/Final%20Guidelines%20on%20Authorisations%20of%20Payment%20Institutions%20%28EBA-GL-2017-09%29.pdf</t>
        </is>
      </c>
      <c r="I52" s="2" t="n">
        <v>135</v>
      </c>
      <c r="J52" s="2" t="n">
        <v>49636</v>
      </c>
      <c r="K52" s="2" t="n">
        <v>73</v>
      </c>
      <c r="L52" s="2" t="n">
        <v>33</v>
      </c>
      <c r="M52" s="2" t="n">
        <v>8</v>
      </c>
      <c r="N52" s="2" t="n">
        <v>1</v>
      </c>
      <c r="O52" s="2" t="n">
        <v>30</v>
      </c>
      <c r="P52" s="2" t="n">
        <v>1</v>
      </c>
      <c r="Q52" s="2" t="n">
        <v>22</v>
      </c>
      <c r="R52" s="2" t="n">
        <v>10</v>
      </c>
      <c r="S52" s="2" t="n">
        <v>3</v>
      </c>
      <c r="T52" s="2" t="n">
        <v>38</v>
      </c>
      <c r="U52" s="2" t="n">
        <v>328</v>
      </c>
      <c r="V52" s="2" t="inlineStr">
        <is>
          <t>measured on the final report (includes rationale and consultation feedback); non-binding guidance; 'should' is its usual verb (should_count)</t>
        </is>
      </c>
    </row>
    <row r="53">
      <c r="A53" s="2" t="n">
        <v>23</v>
      </c>
      <c r="B53" s="2" t="inlineStr">
        <is>
          <t>Payment Services Directive 2 (PSD2)</t>
        </is>
      </c>
      <c r="C53" s="2" t="inlineStr">
        <is>
          <t>32015L2366</t>
        </is>
      </c>
      <c r="D53" s="2" t="inlineStr">
        <is>
          <t>EBA</t>
        </is>
      </c>
      <c r="E53" s="2" t="inlineStr">
        <is>
          <t>Guidelines on the criteria on how to stipulate the minimum monetary amount of the PII under PSD2 (EBA/GL/2017/08)</t>
        </is>
      </c>
      <c r="F53" s="2" t="n"/>
      <c r="G53" s="2" t="inlineStr">
        <is>
          <t>final</t>
        </is>
      </c>
      <c r="H53" s="2" t="inlineStr">
        <is>
          <t>https://www.eba.europa.eu/documents/10180/1901998/6411f24d-e430-4e05-ab03-1393a3f865cb/Final%20Guidelines%20on%20PII%20under%20PSD2%20(EBA-GL-2017-08).pdf</t>
        </is>
      </c>
      <c r="I53" s="2" t="n">
        <v>66</v>
      </c>
      <c r="J53" s="2" t="n">
        <v>21498</v>
      </c>
      <c r="K53" s="2" t="n">
        <v>49</v>
      </c>
      <c r="L53" s="2" t="n">
        <v>37</v>
      </c>
      <c r="M53" s="2" t="n">
        <v>0</v>
      </c>
      <c r="N53" s="2" t="n">
        <v>0</v>
      </c>
      <c r="O53" s="2" t="n">
        <v>12</v>
      </c>
      <c r="P53" s="2" t="n">
        <v>0</v>
      </c>
      <c r="Q53" s="2" t="n">
        <v>18</v>
      </c>
      <c r="R53" s="2" t="n">
        <v>5</v>
      </c>
      <c r="S53" s="2" t="n">
        <v>12</v>
      </c>
      <c r="T53" s="2" t="n">
        <v>14</v>
      </c>
      <c r="U53" s="2" t="n">
        <v>162</v>
      </c>
      <c r="V53" s="2" t="inlineStr">
        <is>
          <t>measured on the final report (includes rationale and consultation feedback); non-binding guidance; 'should' is its usual verb (should_count)</t>
        </is>
      </c>
    </row>
    <row r="54">
      <c r="A54" s="2" t="n">
        <v>23</v>
      </c>
      <c r="B54" s="2" t="inlineStr">
        <is>
          <t>Payment Services Directive 2 (PSD2)</t>
        </is>
      </c>
      <c r="C54" s="2" t="inlineStr">
        <is>
          <t>32015L2366</t>
        </is>
      </c>
      <c r="D54" s="2" t="inlineStr">
        <is>
          <t>EBA</t>
        </is>
      </c>
      <c r="E54" s="2" t="inlineStr">
        <is>
          <t>Guidelines on the conditions to benefit from an exemption from the contingency mechanism (EBA/GL/2018/07)</t>
        </is>
      </c>
      <c r="F54" s="2" t="n"/>
      <c r="G54" s="2" t="inlineStr">
        <is>
          <t>final</t>
        </is>
      </c>
      <c r="H54" s="2" t="inlineStr">
        <is>
          <t>https://www.eba.europa.eu/sites/default/files/documents/10180/2250578/4e3b9449-ecf9-4756-8006-cbbe74db6d03/Final%20Report%20on%20Guidelines%20on%20the%20exemption%20to%20the%20fall%20back.pdf</t>
        </is>
      </c>
      <c r="I54" s="2" t="n">
        <v>116</v>
      </c>
      <c r="J54" s="2" t="n">
        <v>55442</v>
      </c>
      <c r="K54" s="2" t="n">
        <v>102</v>
      </c>
      <c r="L54" s="2" t="n">
        <v>35</v>
      </c>
      <c r="M54" s="2" t="n">
        <v>21</v>
      </c>
      <c r="N54" s="2" t="n">
        <v>1</v>
      </c>
      <c r="O54" s="2" t="n">
        <v>45</v>
      </c>
      <c r="P54" s="2" t="n">
        <v>0</v>
      </c>
      <c r="Q54" s="2" t="n">
        <v>9</v>
      </c>
      <c r="R54" s="2" t="n">
        <v>3</v>
      </c>
      <c r="S54" s="2" t="n">
        <v>31</v>
      </c>
      <c r="T54" s="2" t="n">
        <v>59</v>
      </c>
      <c r="U54" s="2" t="n">
        <v>483</v>
      </c>
      <c r="V54" s="2" t="inlineStr">
        <is>
          <t>measured on the final report (includes rationale and consultation feedback); non-binding guidance; 'should' is its usual verb (should_count)</t>
        </is>
      </c>
    </row>
    <row r="55">
      <c r="A55" s="2" t="n">
        <v>23</v>
      </c>
      <c r="B55" s="2" t="inlineStr">
        <is>
          <t>Payment Services Directive 2 (PSD2)</t>
        </is>
      </c>
      <c r="C55" s="2" t="inlineStr">
        <is>
          <t>32015L2366</t>
        </is>
      </c>
      <c r="D55" s="2" t="inlineStr">
        <is>
          <t>EBA</t>
        </is>
      </c>
      <c r="E55" s="2" t="inlineStr">
        <is>
          <t>Final revised Guidelines on major incident reporting under PSD2.pdf</t>
        </is>
      </c>
      <c r="F55" s="2" t="inlineStr">
        <is>
          <t>10 June 2021</t>
        </is>
      </c>
      <c r="G55" s="2" t="inlineStr">
        <is>
          <t>final</t>
        </is>
      </c>
      <c r="H55" s="2" t="inlineStr">
        <is>
          <t>https://www.eba.europa.eu/sites/default/files/document_library/Publications/Guidelines/2021/Guidelines%20on%20major%20incident%20reporting%20under%20PSD2%20EBA-GL-2021-03/1014562/Final%20revised%20Guidelines%20on%20major%20incident%20reporting%20under%20PSD2.pdf</t>
        </is>
      </c>
      <c r="I55" s="2" t="n">
        <v>83</v>
      </c>
      <c r="J55" s="2" t="n">
        <v>32884</v>
      </c>
      <c r="K55" s="2" t="n">
        <v>32</v>
      </c>
      <c r="L55" s="2" t="n">
        <v>16</v>
      </c>
      <c r="M55" s="2" t="n">
        <v>6</v>
      </c>
      <c r="N55" s="2" t="n">
        <v>1</v>
      </c>
      <c r="O55" s="2" t="n">
        <v>9</v>
      </c>
      <c r="P55" s="2" t="n">
        <v>0</v>
      </c>
      <c r="Q55" s="2" t="n">
        <v>6</v>
      </c>
      <c r="R55" s="2" t="n">
        <v>7</v>
      </c>
      <c r="S55" s="2" t="n">
        <v>5</v>
      </c>
      <c r="T55" s="2" t="n">
        <v>14</v>
      </c>
      <c r="U55" s="2" t="n">
        <v>323</v>
      </c>
      <c r="V55" s="2" t="inlineStr">
        <is>
          <t>measured on the final report (includes rationale and consultation feedback); non-binding guidance; 'should' is its usual verb (should_count)</t>
        </is>
      </c>
    </row>
    <row r="56">
      <c r="A56" s="2" t="n">
        <v>23</v>
      </c>
      <c r="B56" s="2" t="inlineStr">
        <is>
          <t>Payment Services Directive 2 (PSD2)</t>
        </is>
      </c>
      <c r="C56" s="2" t="inlineStr">
        <is>
          <t>32015L2366</t>
        </is>
      </c>
      <c r="D56" s="2" t="inlineStr">
        <is>
          <t>EBA</t>
        </is>
      </c>
      <c r="E56" s="2" t="inlineStr">
        <is>
          <t>Final report on amending Guidelines on ICT risk and security management</t>
        </is>
      </c>
      <c r="F56" s="2" t="inlineStr">
        <is>
          <t>11 February 2025</t>
        </is>
      </c>
      <c r="G56" s="2" t="inlineStr">
        <is>
          <t>final</t>
        </is>
      </c>
      <c r="H56" s="2" t="inlineStr">
        <is>
          <t>https://www.eba.europa.eu/sites/default/files/2025-02/23684f95-f669-4852-94a0-dac6c2ae67ad/Final%20report%20on%20amending%20GLs%20on%20ICT%20risk%20and%20security.pdf</t>
        </is>
      </c>
      <c r="I56" s="2" t="n">
        <v>10</v>
      </c>
      <c r="J56" s="2" t="n">
        <v>2148</v>
      </c>
      <c r="K56" s="2" t="n">
        <v>5</v>
      </c>
      <c r="L56" s="2" t="n">
        <v>5</v>
      </c>
      <c r="M56" s="2" t="n">
        <v>0</v>
      </c>
      <c r="N56" s="2" t="n">
        <v>0</v>
      </c>
      <c r="O56" s="2" t="n">
        <v>0</v>
      </c>
      <c r="P56" s="2" t="n">
        <v>0</v>
      </c>
      <c r="Q56" s="2" t="n">
        <v>1</v>
      </c>
      <c r="R56" s="2" t="n">
        <v>2</v>
      </c>
      <c r="S56" s="2" t="n">
        <v>0</v>
      </c>
      <c r="T56" s="2" t="n">
        <v>2</v>
      </c>
      <c r="U56" s="2" t="n">
        <v>6</v>
      </c>
      <c r="V56" s="2" t="inlineStr">
        <is>
          <t>measured on the final report (includes rationale and consultation feedback); non-binding guidance; 'should' is its usual verb (should_count)</t>
        </is>
      </c>
    </row>
    <row r="57">
      <c r="A57" s="2" t="n">
        <v>23</v>
      </c>
      <c r="B57" s="2" t="inlineStr">
        <is>
          <t>Payment Services Directive 2 (PSD2)</t>
        </is>
      </c>
      <c r="C57" s="2" t="inlineStr">
        <is>
          <t>32015L2366</t>
        </is>
      </c>
      <c r="D57" s="2" t="inlineStr">
        <is>
          <t>EBA</t>
        </is>
      </c>
      <c r="E57" s="2" t="inlineStr">
        <is>
          <t>EBA GL 2017 17-CT - (updated) - GLs on security measures for operational and security risks of payment services.pdf</t>
        </is>
      </c>
      <c r="F57" s="2" t="inlineStr">
        <is>
          <t>14 January 2020</t>
        </is>
      </c>
      <c r="G57" s="2" t="inlineStr">
        <is>
          <t>final</t>
        </is>
      </c>
      <c r="H57" s="2" t="inlineStr">
        <is>
          <t>https://www.eba.europa.eu/sites/default/files/document_library//EBA%20GL%202017%2017-CT%20-%20%28updated%29%20-%20GLs%20on%20security%20measures%20for%20operational%20and%20security%20risks%20of%20payment%20services.pdf</t>
        </is>
      </c>
      <c r="I57" s="2" t="n">
        <v>7</v>
      </c>
      <c r="J57" s="2" t="n">
        <v>1727</v>
      </c>
      <c r="K57" s="2" t="n">
        <v>4</v>
      </c>
      <c r="L57" s="2" t="n">
        <v>3</v>
      </c>
      <c r="M57" s="2" t="n">
        <v>0</v>
      </c>
      <c r="N57" s="2" t="n">
        <v>0</v>
      </c>
      <c r="O57" s="2" t="n">
        <v>1</v>
      </c>
      <c r="P57" s="2" t="n">
        <v>0</v>
      </c>
      <c r="Q57" s="2" t="n">
        <v>1</v>
      </c>
      <c r="R57" s="2" t="n">
        <v>3</v>
      </c>
      <c r="S57" s="2" t="n">
        <v>0</v>
      </c>
      <c r="T57" s="2" t="n">
        <v>0</v>
      </c>
      <c r="U57" s="2" t="n">
        <v>2</v>
      </c>
      <c r="V57" s="2" t="inlineStr">
        <is>
          <t>measured on the final report (includes rationale and consultation feedback); non-binding guidance; 'should' is its usual verb (should_count)</t>
        </is>
      </c>
    </row>
    <row r="58">
      <c r="A58" s="2" t="n">
        <v>23</v>
      </c>
      <c r="B58" s="2" t="inlineStr">
        <is>
          <t>Payment Services Directive 2 (PSD2)</t>
        </is>
      </c>
      <c r="C58" s="2" t="inlineStr">
        <is>
          <t>32015L2366</t>
        </is>
      </c>
      <c r="D58" s="2" t="inlineStr">
        <is>
          <t>EBA</t>
        </is>
      </c>
      <c r="E58" s="2" t="inlineStr">
        <is>
          <t>Final report on Guidelines on fraud reporting under Article 96(6) PSD2 (EBA-GL-2018-05)</t>
        </is>
      </c>
      <c r="F58" s="2" t="inlineStr">
        <is>
          <t>18 July 2018</t>
        </is>
      </c>
      <c r="G58" s="2" t="inlineStr">
        <is>
          <t>final</t>
        </is>
      </c>
      <c r="H58" s="2" t="inlineStr">
        <is>
          <t>https://www.eba.europa.eu/sites/default/files/documents/10180/2281937/5653b876-90c9-476f-9f44-507f5f3e0a1e/Final%20report%20on%20Guidelines%20on%20fraud%20reporting%20under%20Article%2096%286%29%20PSD2%20%28EBA-GL-2018-05%29.pdf</t>
        </is>
      </c>
      <c r="I58" s="2" t="n">
        <v>141</v>
      </c>
      <c r="J58" s="2" t="n">
        <v>49185</v>
      </c>
      <c r="K58" s="2" t="n">
        <v>87</v>
      </c>
      <c r="L58" s="2" t="n">
        <v>45</v>
      </c>
      <c r="M58" s="2" t="n">
        <v>9</v>
      </c>
      <c r="N58" s="2" t="n">
        <v>1</v>
      </c>
      <c r="O58" s="2" t="n">
        <v>29</v>
      </c>
      <c r="P58" s="2" t="n">
        <v>3</v>
      </c>
      <c r="Q58" s="2" t="n">
        <v>25</v>
      </c>
      <c r="R58" s="2" t="n">
        <v>11</v>
      </c>
      <c r="S58" s="2" t="n">
        <v>12</v>
      </c>
      <c r="T58" s="2" t="n">
        <v>39</v>
      </c>
      <c r="U58" s="2" t="n">
        <v>372</v>
      </c>
      <c r="V58" s="2" t="inlineStr">
        <is>
          <t>measured on the final report (includes rationale and consultation feedback); non-binding guidance; 'should' is its usual verb (should_count)</t>
        </is>
      </c>
    </row>
    <row r="59">
      <c r="A59" s="2" t="n">
        <v>23</v>
      </c>
      <c r="B59" s="2" t="inlineStr">
        <is>
          <t>Payment Services Directive 2 (PSD2)</t>
        </is>
      </c>
      <c r="C59" s="2" t="inlineStr">
        <is>
          <t>32015L2366</t>
        </is>
      </c>
      <c r="D59" s="2" t="inlineStr">
        <is>
          <t>EBA</t>
        </is>
      </c>
      <c r="E59" s="2" t="inlineStr">
        <is>
          <t>Consolidated version of EBA ameding Guidelines on ICT and security risk management</t>
        </is>
      </c>
      <c r="F59" s="2" t="inlineStr">
        <is>
          <t>19 May 2026</t>
        </is>
      </c>
      <c r="G59" s="2" t="inlineStr">
        <is>
          <t>final</t>
        </is>
      </c>
      <c r="H59" s="2" t="inlineStr">
        <is>
          <t>https://www.eba.europa.eu/sites/default/files/2026-05/c8fb6168-0aef-42f6-8da9-114a8baf21b9/Consolidated%20version%20of%20EBA%20ameding%20Guidelines%20on%20ICT%20and%20security%20risk%20management.pdf</t>
        </is>
      </c>
      <c r="I59" s="2" t="n">
        <v>6</v>
      </c>
      <c r="J59" s="2" t="n">
        <v>992</v>
      </c>
      <c r="K59" s="2" t="n">
        <v>5</v>
      </c>
      <c r="L59" s="2" t="n">
        <v>5</v>
      </c>
      <c r="M59" s="2" t="n">
        <v>0</v>
      </c>
      <c r="N59" s="2" t="n">
        <v>0</v>
      </c>
      <c r="O59" s="2" t="n">
        <v>0</v>
      </c>
      <c r="P59" s="2" t="n">
        <v>0</v>
      </c>
      <c r="Q59" s="2" t="n">
        <v>2</v>
      </c>
      <c r="R59" s="2" t="n">
        <v>2</v>
      </c>
      <c r="S59" s="2" t="n">
        <v>0</v>
      </c>
      <c r="T59" s="2" t="n">
        <v>1</v>
      </c>
      <c r="U59" s="2" t="n">
        <v>13</v>
      </c>
      <c r="V59" s="2" t="inlineStr">
        <is>
          <t>measured on the final report (includes rationale and consultation feedback); non-binding guidance; 'should' is its usual verb (should_count)</t>
        </is>
      </c>
    </row>
    <row r="60">
      <c r="A60" s="2" t="n">
        <v>23</v>
      </c>
      <c r="B60" s="2" t="inlineStr">
        <is>
          <t>Payment Services Directive 2 (PSD2)</t>
        </is>
      </c>
      <c r="C60" s="2" t="inlineStr">
        <is>
          <t>32015L2366</t>
        </is>
      </c>
      <c r="D60" s="2" t="inlineStr">
        <is>
          <t>EBA</t>
        </is>
      </c>
      <c r="E60" s="2" t="inlineStr">
        <is>
          <t>Guidelines amending Guidelines on equivalence of confidentiality regimes</t>
        </is>
      </c>
      <c r="F60" s="2" t="inlineStr">
        <is>
          <t>22 December 2025</t>
        </is>
      </c>
      <c r="G60" s="2" t="inlineStr">
        <is>
          <t>final</t>
        </is>
      </c>
      <c r="H60" s="2" t="inlineStr">
        <is>
          <t>https://www.eba.europa.eu/sites/default/files/2025-12/28a8651c-3e1f-4e38-88aa-959185dd1043/Guidelines%20amending%20Guidelines%20on%20equivalence%20of%20confidentiality%20regimes.pdf</t>
        </is>
      </c>
      <c r="I60" s="2" t="n">
        <v>24</v>
      </c>
      <c r="J60" s="2" t="n">
        <v>5780</v>
      </c>
      <c r="K60" s="2" t="n">
        <v>5</v>
      </c>
      <c r="L60" s="2" t="n">
        <v>5</v>
      </c>
      <c r="M60" s="2" t="n">
        <v>0</v>
      </c>
      <c r="N60" s="2" t="n">
        <v>0</v>
      </c>
      <c r="O60" s="2" t="n">
        <v>0</v>
      </c>
      <c r="P60" s="2" t="n">
        <v>0</v>
      </c>
      <c r="Q60" s="2" t="n">
        <v>0</v>
      </c>
      <c r="R60" s="2" t="n">
        <v>2</v>
      </c>
      <c r="S60" s="2" t="n">
        <v>2</v>
      </c>
      <c r="T60" s="2" t="n">
        <v>1</v>
      </c>
      <c r="U60" s="2" t="n">
        <v>9</v>
      </c>
      <c r="V60" s="2" t="inlineStr">
        <is>
          <t>measured on the final report (includes rationale and consultation feedback); non-binding guidance; 'should' is its usual verb (should_count)</t>
        </is>
      </c>
    </row>
    <row r="61">
      <c r="A61" s="2" t="n">
        <v>23</v>
      </c>
      <c r="B61" s="2" t="inlineStr">
        <is>
          <t>Payment Services Directive 2 (PSD2)</t>
        </is>
      </c>
      <c r="C61" s="2" t="inlineStr">
        <is>
          <t>32015L2366</t>
        </is>
      </c>
      <c r="D61" s="2" t="inlineStr">
        <is>
          <t>EBA</t>
        </is>
      </c>
      <c r="E61" s="2" t="inlineStr">
        <is>
          <t>Final report on draft Guidelines on the limited network exclusion under PSD2.pdf</t>
        </is>
      </c>
      <c r="F61" s="2" t="inlineStr">
        <is>
          <t>24 February 2022</t>
        </is>
      </c>
      <c r="G61" s="2" t="inlineStr">
        <is>
          <t>final</t>
        </is>
      </c>
      <c r="H61" s="2" t="inlineStr">
        <is>
          <t>https://www.eba.europa.eu/sites/default/files/document_library/Publications/Guidelines/2022/EBA-GL-2022-02%20GL%20on%20limited%20network%20exclusions/1027516/Final%20report%20on%20draft%20Guidelines%20on%20the%20limited%20network%20exclusion%20under%20PSD2.pdf</t>
        </is>
      </c>
      <c r="I61" s="2" t="n">
        <v>105</v>
      </c>
      <c r="J61" s="2" t="n">
        <v>37081</v>
      </c>
      <c r="K61" s="2" t="n">
        <v>57</v>
      </c>
      <c r="L61" s="2" t="n">
        <v>17</v>
      </c>
      <c r="M61" s="2" t="n">
        <v>11</v>
      </c>
      <c r="N61" s="2" t="n">
        <v>2</v>
      </c>
      <c r="O61" s="2" t="n">
        <v>27</v>
      </c>
      <c r="P61" s="2" t="n">
        <v>0</v>
      </c>
      <c r="Q61" s="2" t="n">
        <v>15</v>
      </c>
      <c r="R61" s="2" t="n">
        <v>5</v>
      </c>
      <c r="S61" s="2" t="n">
        <v>7</v>
      </c>
      <c r="T61" s="2" t="n">
        <v>30</v>
      </c>
      <c r="U61" s="2" t="n">
        <v>342</v>
      </c>
      <c r="V61" s="2" t="inlineStr">
        <is>
          <t>measured on the final report (includes rationale and consultation feedback); non-binding guidance; 'should' is its usual verb (should_count)</t>
        </is>
      </c>
    </row>
    <row r="62">
      <c r="A62" s="2" t="n">
        <v>23</v>
      </c>
      <c r="B62" s="2" t="inlineStr">
        <is>
          <t>Payment Services Directive 2 (PSD2)</t>
        </is>
      </c>
      <c r="C62" s="2" t="inlineStr">
        <is>
          <t>32015L2366</t>
        </is>
      </c>
      <c r="D62" s="2" t="inlineStr">
        <is>
          <t>EBA</t>
        </is>
      </c>
      <c r="E62" s="2" t="inlineStr">
        <is>
          <t>Guidelines on equivalence of confidentiality regimes.pdf</t>
        </is>
      </c>
      <c r="F62" s="2" t="inlineStr">
        <is>
          <t>3 May 2022</t>
        </is>
      </c>
      <c r="G62" s="2" t="inlineStr">
        <is>
          <t>final</t>
        </is>
      </c>
      <c r="H62" s="2" t="inlineStr">
        <is>
          <t>https://www.eba.europa.eu/sites/default/files/document_library/Publications/Guidelines/2022/Guidelines%20on%20the%20equivalence%20of%20confidentiality%20regimes/1032151/Guidelines%20on%20equivalence%20of%20confidentiality%20regimes.pdf</t>
        </is>
      </c>
      <c r="I62" s="2" t="n">
        <v>48</v>
      </c>
      <c r="J62" s="2" t="n">
        <v>10064</v>
      </c>
      <c r="K62" s="2" t="n">
        <v>7</v>
      </c>
      <c r="L62" s="2" t="n">
        <v>7</v>
      </c>
      <c r="M62" s="2" t="n">
        <v>0</v>
      </c>
      <c r="N62" s="2" t="n">
        <v>0</v>
      </c>
      <c r="O62" s="2" t="n">
        <v>0</v>
      </c>
      <c r="P62" s="2" t="n">
        <v>0</v>
      </c>
      <c r="Q62" s="2" t="n">
        <v>0</v>
      </c>
      <c r="R62" s="2" t="n">
        <v>2</v>
      </c>
      <c r="S62" s="2" t="n">
        <v>4</v>
      </c>
      <c r="T62" s="2" t="n">
        <v>1</v>
      </c>
      <c r="U62" s="2" t="n">
        <v>8</v>
      </c>
      <c r="V62" s="2" t="inlineStr">
        <is>
          <t>measured on the final report (includes rationale and consultation feedback); non-binding guidance; 'should' is its usual verb (should_count)</t>
        </is>
      </c>
    </row>
    <row r="63">
      <c r="A63" s="2" t="n">
        <v>23</v>
      </c>
      <c r="B63" s="2" t="inlineStr">
        <is>
          <t>Payment Services Directive 2 (PSD2)</t>
        </is>
      </c>
      <c r="C63" s="2" t="inlineStr">
        <is>
          <t>32015L2366</t>
        </is>
      </c>
      <c r="D63" s="2" t="inlineStr">
        <is>
          <t>EDPB</t>
        </is>
      </c>
      <c r="E63" s="2" t="inlineStr">
        <is>
          <t>Guidelines 06/2020 on the interplay of the Second Payment Services Directive and the GDPR</t>
        </is>
      </c>
      <c r="F63" s="2" t="inlineStr">
        <is>
          <t>2020-12-15</t>
        </is>
      </c>
      <c r="G63" s="2" t="inlineStr">
        <is>
          <t>final</t>
        </is>
      </c>
      <c r="H63" s="2" t="inlineStr">
        <is>
          <t>https://www.edpb.europa.eu/system/files/documents/files/file1/edpb_guidelines_202006_psd2_afterpublicconsultation_en.pdf</t>
        </is>
      </c>
      <c r="I63" s="2" t="n">
        <v>26</v>
      </c>
      <c r="J63" s="2" t="n">
        <v>12410</v>
      </c>
      <c r="K63" s="2" t="n">
        <v>80</v>
      </c>
      <c r="L63" s="2" t="n">
        <v>63</v>
      </c>
      <c r="M63" s="2" t="n">
        <v>10</v>
      </c>
      <c r="N63" s="2" t="n">
        <v>3</v>
      </c>
      <c r="O63" s="2" t="n">
        <v>4</v>
      </c>
      <c r="P63" s="2" t="n">
        <v>0</v>
      </c>
      <c r="Q63" s="2" t="n">
        <v>51</v>
      </c>
      <c r="R63" s="2" t="n">
        <v>4</v>
      </c>
      <c r="S63" s="2" t="n">
        <v>0</v>
      </c>
      <c r="T63" s="2" t="n">
        <v>25</v>
      </c>
      <c r="U63" s="2" t="n">
        <v>51</v>
      </c>
      <c r="V63" s="2" t="inlineStr">
        <is>
          <t>also relates to 32016R0679; non-binding guidance; 'should' is its usual verb (should_count)</t>
        </is>
      </c>
    </row>
    <row r="64">
      <c r="A64" s="2" t="n">
        <v>55</v>
      </c>
      <c r="B64" s="2" t="inlineStr">
        <is>
          <t>DLT Pilot Regime Regulation</t>
        </is>
      </c>
      <c r="C64" s="2" t="inlineStr">
        <is>
          <t>32022R0858</t>
        </is>
      </c>
      <c r="D64" s="2" t="inlineStr">
        <is>
          <t>ESMA</t>
        </is>
      </c>
      <c r="E64" s="2" t="inlineStr">
        <is>
          <t>Guidelines on standard forms, formats and templates to apply for permission to operate a DLT market infrastructure</t>
        </is>
      </c>
      <c r="F64" s="2" t="inlineStr">
        <is>
          <t>2023-03-08</t>
        </is>
      </c>
      <c r="G64" s="2" t="inlineStr">
        <is>
          <t>final</t>
        </is>
      </c>
      <c r="H64" s="2" t="inlineStr">
        <is>
          <t>https://www.esma.europa.eu/sites/default/files/library/ESMA70-460-213_DLTR_GLs_on_application_standard_forms_formats_templates.pdf</t>
        </is>
      </c>
      <c r="I64" s="2" t="n">
        <v>26</v>
      </c>
      <c r="J64" s="2" t="n">
        <v>5059</v>
      </c>
      <c r="K64" s="2" t="n">
        <v>10</v>
      </c>
      <c r="L64" s="2" t="n">
        <v>9</v>
      </c>
      <c r="M64" s="2" t="n">
        <v>0</v>
      </c>
      <c r="N64" s="2" t="n">
        <v>0</v>
      </c>
      <c r="O64" s="2" t="n">
        <v>1</v>
      </c>
      <c r="P64" s="2" t="n">
        <v>0</v>
      </c>
      <c r="Q64" s="2" t="n">
        <v>4</v>
      </c>
      <c r="R64" s="2" t="n">
        <v>3</v>
      </c>
      <c r="S64" s="2" t="n">
        <v>1</v>
      </c>
      <c r="T64" s="2" t="n">
        <v>2</v>
      </c>
      <c r="U64" s="2" t="n">
        <v>24</v>
      </c>
      <c r="V64" s="2" t="inlineStr">
        <is>
          <t>measured on the final report (includes rationale and consultation feedback); non-binding guidance; 'should' is its usual verb (should_count)</t>
        </is>
      </c>
    </row>
    <row r="65">
      <c r="A65" s="2" t="n">
        <v>56</v>
      </c>
      <c r="B65" s="2" t="inlineStr">
        <is>
          <t>Markets in Crypto-Assets (MiCA)</t>
        </is>
      </c>
      <c r="C65" s="2" t="inlineStr">
        <is>
          <t>32023R1114</t>
        </is>
      </c>
      <c r="D65" s="2" t="inlineStr">
        <is>
          <t>EBA</t>
        </is>
      </c>
      <c r="E65" s="2" t="inlineStr">
        <is>
          <t>ESAs Guidelines on templates for explanations and opinions, and the standardised test for the classification of crypto-assets</t>
        </is>
      </c>
      <c r="F65" s="2" t="inlineStr">
        <is>
          <t>10 December 2024</t>
        </is>
      </c>
      <c r="G65" s="2" t="inlineStr">
        <is>
          <t>final</t>
        </is>
      </c>
      <c r="H65" s="2" t="inlineStr">
        <is>
          <t>https://www.eba.europa.eu/sites/default/files/2024-12/f4d876e5-5351-4314-b45f-ac3cd702f95b/Joint%20ESA%20Final%20Report%20on%20Art%2097%20Guidelines%20MiCAR.pdf</t>
        </is>
      </c>
      <c r="I65" s="2" t="n">
        <v>48</v>
      </c>
      <c r="J65" s="2" t="n">
        <v>15008</v>
      </c>
      <c r="K65" s="2" t="n">
        <v>21</v>
      </c>
      <c r="L65" s="2" t="n">
        <v>8</v>
      </c>
      <c r="M65" s="2" t="n">
        <v>3</v>
      </c>
      <c r="N65" s="2" t="n">
        <v>1</v>
      </c>
      <c r="O65" s="2" t="n">
        <v>9</v>
      </c>
      <c r="P65" s="2" t="n">
        <v>0</v>
      </c>
      <c r="Q65" s="2" t="n">
        <v>6</v>
      </c>
      <c r="R65" s="2" t="n">
        <v>2</v>
      </c>
      <c r="S65" s="2" t="n">
        <v>0</v>
      </c>
      <c r="T65" s="2" t="n">
        <v>13</v>
      </c>
      <c r="U65" s="2" t="n">
        <v>98</v>
      </c>
      <c r="V65" s="2" t="inlineStr">
        <is>
          <t>measured on the final report (includes rationale and consultation feedback); non-binding guidance; 'should' is its usual verb (should_count)</t>
        </is>
      </c>
    </row>
    <row r="66">
      <c r="A66" s="2" t="n">
        <v>56</v>
      </c>
      <c r="B66" s="2" t="inlineStr">
        <is>
          <t>Markets in Crypto-Assets (MiCA)</t>
        </is>
      </c>
      <c r="C66" s="2" t="inlineStr">
        <is>
          <t>32023R1114</t>
        </is>
      </c>
      <c r="D66" s="2" t="inlineStr">
        <is>
          <t>EBA</t>
        </is>
      </c>
      <c r="E66" s="2" t="inlineStr">
        <is>
          <t>Final report on Guidelines on reporting on ARTs and EMTs</t>
        </is>
      </c>
      <c r="F66" s="2" t="inlineStr">
        <is>
          <t>18 December 2024</t>
        </is>
      </c>
      <c r="G66" s="2" t="inlineStr">
        <is>
          <t>final</t>
        </is>
      </c>
      <c r="H66" s="2" t="inlineStr">
        <is>
          <t>https://www.eba.europa.eu/sites/default/files/2024-12/907cde4b-7d25-4f41-b1ef-bb0a469f00ac/Final%20report%20on%20Guidelines%20on%20reporting%20on%20ARTs%20and%20EMTs.pdf</t>
        </is>
      </c>
      <c r="I66" s="2" t="n">
        <v>44</v>
      </c>
      <c r="J66" s="2" t="n">
        <v>14025</v>
      </c>
      <c r="K66" s="2" t="n">
        <v>28</v>
      </c>
      <c r="L66" s="2" t="n">
        <v>7</v>
      </c>
      <c r="M66" s="2" t="n">
        <v>1</v>
      </c>
      <c r="N66" s="2" t="n">
        <v>0</v>
      </c>
      <c r="O66" s="2" t="n">
        <v>20</v>
      </c>
      <c r="P66" s="2" t="n">
        <v>0</v>
      </c>
      <c r="Q66" s="2" t="n">
        <v>9</v>
      </c>
      <c r="R66" s="2" t="n">
        <v>8</v>
      </c>
      <c r="S66" s="2" t="n">
        <v>2</v>
      </c>
      <c r="T66" s="2" t="n">
        <v>9</v>
      </c>
      <c r="U66" s="2" t="n">
        <v>78</v>
      </c>
      <c r="V66" s="2" t="inlineStr">
        <is>
          <t>measured on the final report (includes rationale and consultation feedback); non-binding guidance; 'should' is its usual verb (should_count)</t>
        </is>
      </c>
    </row>
    <row r="67">
      <c r="A67" s="2" t="n">
        <v>56</v>
      </c>
      <c r="B67" s="2" t="inlineStr">
        <is>
          <t>Markets in Crypto-Assets (MiCA)</t>
        </is>
      </c>
      <c r="C67" s="2" t="inlineStr">
        <is>
          <t>32023R1114</t>
        </is>
      </c>
      <c r="D67" s="2" t="inlineStr">
        <is>
          <t>EBA</t>
        </is>
      </c>
      <c r="E67" s="2" t="inlineStr">
        <is>
          <t>Final Report on Guidelines on liquidity stress testing under MiCAR</t>
        </is>
      </c>
      <c r="F67" s="2" t="inlineStr">
        <is>
          <t>19 June 2024</t>
        </is>
      </c>
      <c r="G67" s="2" t="inlineStr">
        <is>
          <t>final</t>
        </is>
      </c>
      <c r="H67" s="2" t="inlineStr">
        <is>
          <t>https://www.eba.europa.eu/sites/default/files/2024-06/2bd7add3-35b1-40d7-9c45-67c8cccbe97a/Final%20report%20on%20Guidelines%20on%20liquidity%20stress%20testing%20under%20MiCAR.pdf</t>
        </is>
      </c>
      <c r="I67" s="2" t="n">
        <v>32</v>
      </c>
      <c r="J67" s="2" t="n">
        <v>10228</v>
      </c>
      <c r="K67" s="2" t="n">
        <v>19</v>
      </c>
      <c r="L67" s="2" t="n">
        <v>5</v>
      </c>
      <c r="M67" s="2" t="n">
        <v>1</v>
      </c>
      <c r="N67" s="2" t="n">
        <v>0</v>
      </c>
      <c r="O67" s="2" t="n">
        <v>13</v>
      </c>
      <c r="P67" s="2" t="n">
        <v>0</v>
      </c>
      <c r="Q67" s="2" t="n">
        <v>3</v>
      </c>
      <c r="R67" s="2" t="n">
        <v>4</v>
      </c>
      <c r="S67" s="2" t="n">
        <v>1</v>
      </c>
      <c r="T67" s="2" t="n">
        <v>11</v>
      </c>
      <c r="U67" s="2" t="n">
        <v>58</v>
      </c>
      <c r="V67" s="2" t="inlineStr">
        <is>
          <t>measured on the final report (includes rationale and consultation feedback); non-binding guidance; 'should' is its usual verb (should_count)</t>
        </is>
      </c>
    </row>
    <row r="68">
      <c r="A68" s="2" t="n">
        <v>56</v>
      </c>
      <c r="B68" s="2" t="inlineStr">
        <is>
          <t>Markets in Crypto-Assets (MiCA)</t>
        </is>
      </c>
      <c r="C68" s="2" t="inlineStr">
        <is>
          <t>32023R1114</t>
        </is>
      </c>
      <c r="D68" s="2" t="inlineStr">
        <is>
          <t>EBA</t>
        </is>
      </c>
      <c r="E68" s="2" t="inlineStr">
        <is>
          <t>Joint EBA and ESMA Guidelines on suitability of management body and qualifying holdings under MiCAR</t>
        </is>
      </c>
      <c r="F68" s="2" t="inlineStr">
        <is>
          <t>27 June 2024</t>
        </is>
      </c>
      <c r="G68" s="2" t="inlineStr">
        <is>
          <t>final</t>
        </is>
      </c>
      <c r="H68" s="2" t="inlineStr">
        <is>
          <t>https://www.eba.europa.eu/sites/default/files/2024-06/2a0668ab-5d70-495a-a723-f6568fe8c830/Joint%20GL%20suitability%20members%20management%20body%20and%20QH%20%28MiCAR%29.pdf</t>
        </is>
      </c>
      <c r="I68" s="2" t="n">
        <v>64</v>
      </c>
      <c r="J68" s="2" t="n">
        <v>21929</v>
      </c>
      <c r="K68" s="2" t="n">
        <v>41</v>
      </c>
      <c r="L68" s="2" t="n">
        <v>30</v>
      </c>
      <c r="M68" s="2" t="n">
        <v>2</v>
      </c>
      <c r="N68" s="2" t="n">
        <v>0</v>
      </c>
      <c r="O68" s="2" t="n">
        <v>9</v>
      </c>
      <c r="P68" s="2" t="n">
        <v>0</v>
      </c>
      <c r="Q68" s="2" t="n">
        <v>21</v>
      </c>
      <c r="R68" s="2" t="n">
        <v>9</v>
      </c>
      <c r="S68" s="2" t="n">
        <v>1</v>
      </c>
      <c r="T68" s="2" t="n">
        <v>10</v>
      </c>
      <c r="U68" s="2" t="n">
        <v>180</v>
      </c>
      <c r="V68" s="2" t="inlineStr">
        <is>
          <t>measured on the final report (includes rationale and consultation feedback); non-binding guidance; 'should' is its usual verb (should_count)</t>
        </is>
      </c>
    </row>
    <row r="69">
      <c r="A69" s="2" t="n">
        <v>56</v>
      </c>
      <c r="B69" s="2" t="inlineStr">
        <is>
          <t>Markets in Crypto-Assets (MiCA)</t>
        </is>
      </c>
      <c r="C69" s="2" t="inlineStr">
        <is>
          <t>32023R1114</t>
        </is>
      </c>
      <c r="D69" s="2" t="inlineStr">
        <is>
          <t>EBA</t>
        </is>
      </c>
      <c r="E69" s="2" t="inlineStr">
        <is>
          <t>Amending Guidelines for the identification of global systemically important institutions.pdf</t>
        </is>
      </c>
      <c r="F69" s="2" t="inlineStr">
        <is>
          <t>29 September 2022</t>
        </is>
      </c>
      <c r="G69" s="2" t="inlineStr">
        <is>
          <t>final</t>
        </is>
      </c>
      <c r="H69" s="2" t="inlineStr">
        <is>
          <t>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is>
      </c>
      <c r="I69" s="2" t="n">
        <v>9</v>
      </c>
      <c r="J69" s="2" t="n">
        <v>1968</v>
      </c>
      <c r="K69" s="2" t="n">
        <v>5</v>
      </c>
      <c r="L69" s="2" t="n">
        <v>3</v>
      </c>
      <c r="M69" s="2" t="n">
        <v>0</v>
      </c>
      <c r="N69" s="2" t="n">
        <v>0</v>
      </c>
      <c r="O69" s="2" t="n">
        <v>2</v>
      </c>
      <c r="P69" s="2" t="n">
        <v>0</v>
      </c>
      <c r="Q69" s="2" t="n">
        <v>1</v>
      </c>
      <c r="R69" s="2" t="n">
        <v>2</v>
      </c>
      <c r="S69" s="2" t="n">
        <v>1</v>
      </c>
      <c r="T69" s="2" t="n">
        <v>1</v>
      </c>
      <c r="U69" s="2" t="n">
        <v>7</v>
      </c>
      <c r="V69" s="2" t="inlineStr">
        <is>
          <t>measured on the final report (includes rationale and consultation feedback); non-binding guidance; 'should' is its usual verb (should_count)</t>
        </is>
      </c>
    </row>
    <row r="70">
      <c r="A70" s="2" t="n">
        <v>56</v>
      </c>
      <c r="B70" s="2" t="inlineStr">
        <is>
          <t>Markets in Crypto-Assets (MiCA)</t>
        </is>
      </c>
      <c r="C70" s="2" t="inlineStr">
        <is>
          <t>32023R1114</t>
        </is>
      </c>
      <c r="D70" s="2" t="inlineStr">
        <is>
          <t>EBA</t>
        </is>
      </c>
      <c r="E70" s="2" t="inlineStr">
        <is>
          <t>Final report on Guidelines on the minimum content of the governance arrangements for issuers of asset-referenced tokens</t>
        </is>
      </c>
      <c r="F70" s="2" t="inlineStr">
        <is>
          <t>6 June 2024</t>
        </is>
      </c>
      <c r="G70" s="2" t="inlineStr">
        <is>
          <t>final</t>
        </is>
      </c>
      <c r="H70" s="2" t="inlineStr">
        <is>
          <t>https://www.eba.europa.eu/sites/default/files/2024-06/611ef3d4-4d67-467f-bf0d-4c2b1dd0ef5e/Final%20report%20on%20draft%20Guidelines%20on%20internal%20governance%20of%20issuers%20of%20ARTs.pdf</t>
        </is>
      </c>
      <c r="I70" s="2" t="n">
        <v>67</v>
      </c>
      <c r="J70" s="2" t="n">
        <v>23482</v>
      </c>
      <c r="K70" s="2" t="n">
        <v>31</v>
      </c>
      <c r="L70" s="2" t="n">
        <v>16</v>
      </c>
      <c r="M70" s="2" t="n">
        <v>1</v>
      </c>
      <c r="N70" s="2" t="n">
        <v>0</v>
      </c>
      <c r="O70" s="2" t="n">
        <v>14</v>
      </c>
      <c r="P70" s="2" t="n">
        <v>0</v>
      </c>
      <c r="Q70" s="2" t="n">
        <v>13</v>
      </c>
      <c r="R70" s="2" t="n">
        <v>4</v>
      </c>
      <c r="S70" s="2" t="n">
        <v>2</v>
      </c>
      <c r="T70" s="2" t="n">
        <v>12</v>
      </c>
      <c r="U70" s="2" t="n">
        <v>390</v>
      </c>
      <c r="V70" s="2" t="inlineStr">
        <is>
          <t>measured on the final report (includes rationale and consultation feedback); non-binding guidance; 'should' is its usual verb (should_count)</t>
        </is>
      </c>
    </row>
    <row r="71">
      <c r="A71" s="2" t="n">
        <v>56</v>
      </c>
      <c r="B71" s="2" t="inlineStr">
        <is>
          <t>Markets in Crypto-Assets (MiCA)</t>
        </is>
      </c>
      <c r="C71" s="2" t="inlineStr">
        <is>
          <t>32023R1114</t>
        </is>
      </c>
      <c r="D71" s="2" t="inlineStr">
        <is>
          <t>EBA</t>
        </is>
      </c>
      <c r="E71" s="2" t="inlineStr">
        <is>
          <t>Final report on Guidelines on redemption plans under MiCAR</t>
        </is>
      </c>
      <c r="F71" s="2" t="inlineStr">
        <is>
          <t>9 October 2024</t>
        </is>
      </c>
      <c r="G71" s="2" t="inlineStr">
        <is>
          <t>final</t>
        </is>
      </c>
      <c r="H71" s="2" t="inlineStr">
        <is>
          <t>https://www.eba.europa.eu/sites/default/files/2024-10/f8fda168-4d97-4549-9cfe-46d1d1a27636/Final%20report%20on%20Guidelines%20on%20redemption%20plans%20under%20MiCAR.pdf</t>
        </is>
      </c>
      <c r="I71" s="2" t="n">
        <v>51</v>
      </c>
      <c r="J71" s="2" t="n">
        <v>19431</v>
      </c>
      <c r="K71" s="2" t="n">
        <v>66</v>
      </c>
      <c r="L71" s="2" t="n">
        <v>29</v>
      </c>
      <c r="M71" s="2" t="n">
        <v>5</v>
      </c>
      <c r="N71" s="2" t="n">
        <v>1</v>
      </c>
      <c r="O71" s="2" t="n">
        <v>31</v>
      </c>
      <c r="P71" s="2" t="n">
        <v>0</v>
      </c>
      <c r="Q71" s="2" t="n">
        <v>40</v>
      </c>
      <c r="R71" s="2" t="n">
        <v>3</v>
      </c>
      <c r="S71" s="2" t="n">
        <v>1</v>
      </c>
      <c r="T71" s="2" t="n">
        <v>22</v>
      </c>
      <c r="U71" s="2" t="n">
        <v>162</v>
      </c>
      <c r="V71" s="2" t="inlineStr">
        <is>
          <t>measured on the final report (includes rationale and consultation feedback); non-binding guidance; 'should' is its usual verb (should_count)</t>
        </is>
      </c>
    </row>
    <row r="72">
      <c r="A72" s="2" t="n">
        <v>56</v>
      </c>
      <c r="B72" s="2" t="inlineStr">
        <is>
          <t>Markets in Crypto-Assets (MiCA)</t>
        </is>
      </c>
      <c r="C72" s="2" t="inlineStr">
        <is>
          <t>32023R1114</t>
        </is>
      </c>
      <c r="D72" s="2" t="inlineStr">
        <is>
          <t>ESMA</t>
        </is>
      </c>
      <c r="E72" s="2" t="inlineStr">
        <is>
          <t>Guidelines on the conditions and criteria for the qualification of crypto-assets as financial instruments (final report)</t>
        </is>
      </c>
      <c r="F72" s="2" t="inlineStr">
        <is>
          <t>2024-12-17</t>
        </is>
      </c>
      <c r="G72" s="2" t="inlineStr">
        <is>
          <t>final</t>
        </is>
      </c>
      <c r="H72" s="2" t="inlineStr">
        <is>
          <t>https://www.esma.europa.eu/sites/default/files/2024-12/ESMA75453128700-1323_Final_Report_Guidelines_on_the_conditions_and_criteria_for_the_qualification_of_CAs_as_FIs.pdf</t>
        </is>
      </c>
      <c r="I72" s="2" t="n">
        <v>49</v>
      </c>
      <c r="J72" s="2" t="n">
        <v>19725</v>
      </c>
      <c r="K72" s="2" t="n">
        <v>22</v>
      </c>
      <c r="L72" s="2" t="n">
        <v>15</v>
      </c>
      <c r="M72" s="2" t="n">
        <v>3</v>
      </c>
      <c r="N72" s="2" t="n">
        <v>0</v>
      </c>
      <c r="O72" s="2" t="n">
        <v>4</v>
      </c>
      <c r="P72" s="2" t="n">
        <v>0</v>
      </c>
      <c r="Q72" s="2" t="n">
        <v>8</v>
      </c>
      <c r="R72" s="2" t="n">
        <v>4</v>
      </c>
      <c r="S72" s="2" t="n">
        <v>4</v>
      </c>
      <c r="T72" s="2" t="n">
        <v>6</v>
      </c>
      <c r="U72" s="2" t="n">
        <v>196</v>
      </c>
      <c r="V72" s="2" t="inlineStr">
        <is>
          <t>measured on the final report (includes rationale and consultation feedback); non-binding guidance; 'should' is its usual verb (should_count)</t>
        </is>
      </c>
    </row>
    <row r="73">
      <c r="A73" s="2" t="n">
        <v>56</v>
      </c>
      <c r="B73" s="2" t="inlineStr">
        <is>
          <t>Markets in Crypto-Assets (MiCA)</t>
        </is>
      </c>
      <c r="C73" s="2" t="inlineStr">
        <is>
          <t>32023R1114</t>
        </is>
      </c>
      <c r="D73" s="2" t="inlineStr">
        <is>
          <t>ESMA</t>
        </is>
      </c>
      <c r="E73" s="2" t="inlineStr">
        <is>
          <t>Guidelines on transfer services for crypto-assets under MiCA</t>
        </is>
      </c>
      <c r="F73" s="2" t="inlineStr">
        <is>
          <t>2025-02-26</t>
        </is>
      </c>
      <c r="G73" s="2" t="inlineStr">
        <is>
          <t>final</t>
        </is>
      </c>
      <c r="H73" s="2" t="inlineStr">
        <is>
          <t>https://www.esma.europa.eu/sites/default/files/2025-02/ESMA35-1872330276-2032_Guidelines_on_transfer_services_for_crypto-assets_under_MiCA.pdf</t>
        </is>
      </c>
      <c r="I73" s="2" t="n">
        <v>10</v>
      </c>
      <c r="J73" s="2" t="n">
        <v>2274</v>
      </c>
      <c r="K73" s="2" t="n">
        <v>6</v>
      </c>
      <c r="L73" s="2" t="n">
        <v>5</v>
      </c>
      <c r="M73" s="2" t="n">
        <v>0</v>
      </c>
      <c r="N73" s="2" t="n">
        <v>0</v>
      </c>
      <c r="O73" s="2" t="n">
        <v>1</v>
      </c>
      <c r="P73" s="2" t="n">
        <v>0</v>
      </c>
      <c r="Q73" s="2" t="n">
        <v>2</v>
      </c>
      <c r="R73" s="2" t="n">
        <v>3</v>
      </c>
      <c r="S73" s="2" t="n">
        <v>1</v>
      </c>
      <c r="T73" s="2" t="n">
        <v>0</v>
      </c>
      <c r="U73" s="2" t="n">
        <v>18</v>
      </c>
      <c r="V73" s="2" t="inlineStr">
        <is>
          <t>measured on the final report (includes rationale and consultation feedback); non-binding guidance; 'should' is its usual verb (should_count)</t>
        </is>
      </c>
    </row>
    <row r="74">
      <c r="A74" s="2" t="n">
        <v>56</v>
      </c>
      <c r="B74" s="2" t="inlineStr">
        <is>
          <t>Markets in Crypto-Assets (MiCA)</t>
        </is>
      </c>
      <c r="C74" s="2" t="inlineStr">
        <is>
          <t>32023R1114</t>
        </is>
      </c>
      <c r="D74" s="2" t="inlineStr">
        <is>
          <t>ESMA</t>
        </is>
      </c>
      <c r="E74" s="2" t="inlineStr">
        <is>
          <t>Guidelines on reverse solicitation under MiCA</t>
        </is>
      </c>
      <c r="F74" s="2" t="inlineStr">
        <is>
          <t>2025-02-26</t>
        </is>
      </c>
      <c r="G74" s="2" t="inlineStr">
        <is>
          <t>final</t>
        </is>
      </c>
      <c r="H74" s="2" t="inlineStr">
        <is>
          <t>https://www.esma.europa.eu/sites/default/files/2025-02/ESMA35-1872330276-2030_Guidelines_on_reverse_solicitation_under_MiCA.pdf</t>
        </is>
      </c>
      <c r="I74" s="2" t="n">
        <v>16</v>
      </c>
      <c r="J74" s="2" t="n">
        <v>3536</v>
      </c>
      <c r="K74" s="2" t="n">
        <v>3</v>
      </c>
      <c r="L74" s="2" t="n">
        <v>3</v>
      </c>
      <c r="M74" s="2" t="n">
        <v>0</v>
      </c>
      <c r="N74" s="2" t="n">
        <v>0</v>
      </c>
      <c r="O74" s="2" t="n">
        <v>0</v>
      </c>
      <c r="P74" s="2" t="n">
        <v>0</v>
      </c>
      <c r="Q74" s="2" t="n">
        <v>0</v>
      </c>
      <c r="R74" s="2" t="n">
        <v>3</v>
      </c>
      <c r="S74" s="2" t="n">
        <v>0</v>
      </c>
      <c r="T74" s="2" t="n">
        <v>0</v>
      </c>
      <c r="U74" s="2" t="n">
        <v>25</v>
      </c>
      <c r="V74" s="2" t="inlineStr">
        <is>
          <t>measured on the final report (includes rationale and consultation feedback); non-binding guidance; 'should' is its usual verb (should_count)</t>
        </is>
      </c>
    </row>
    <row r="75">
      <c r="A75" s="2" t="n">
        <v>56</v>
      </c>
      <c r="B75" s="2" t="inlineStr">
        <is>
          <t>Markets in Crypto-Assets (MiCA)</t>
        </is>
      </c>
      <c r="C75" s="2" t="inlineStr">
        <is>
          <t>32023R1114</t>
        </is>
      </c>
      <c r="D75" s="2" t="inlineStr">
        <is>
          <t>ESMA</t>
        </is>
      </c>
      <c r="E75" s="2" t="inlineStr">
        <is>
          <t>Guidelines on maintenance of systems and security access protocols under MiCA</t>
        </is>
      </c>
      <c r="F75" s="2" t="inlineStr">
        <is>
          <t>2025-02-26</t>
        </is>
      </c>
      <c r="G75" s="2" t="inlineStr">
        <is>
          <t>final</t>
        </is>
      </c>
      <c r="H75" s="2" t="inlineStr">
        <is>
          <t>https://www.esma.europa.eu/sites/default/files/2025-02/ESMA75-223375936-6132_Guidelines_on_maintenance_of_systems_and_security_access_protocols_under_MiCA.pdf</t>
        </is>
      </c>
      <c r="I75" s="2" t="n">
        <v>10</v>
      </c>
      <c r="J75" s="2" t="n">
        <v>2161</v>
      </c>
      <c r="K75" s="2" t="n">
        <v>6</v>
      </c>
      <c r="L75" s="2" t="n">
        <v>4</v>
      </c>
      <c r="M75" s="2" t="n">
        <v>0</v>
      </c>
      <c r="N75" s="2" t="n">
        <v>0</v>
      </c>
      <c r="O75" s="2" t="n">
        <v>2</v>
      </c>
      <c r="P75" s="2" t="n">
        <v>0</v>
      </c>
      <c r="Q75" s="2" t="n">
        <v>2</v>
      </c>
      <c r="R75" s="2" t="n">
        <v>4</v>
      </c>
      <c r="S75" s="2" t="n">
        <v>0</v>
      </c>
      <c r="T75" s="2" t="n">
        <v>0</v>
      </c>
      <c r="U75" s="2" t="n">
        <v>37</v>
      </c>
      <c r="V75" s="2" t="inlineStr">
        <is>
          <t>measured on the final report (includes rationale and consultation feedback); non-binding guidance; 'should' is its usual verb (should_count)</t>
        </is>
      </c>
    </row>
    <row r="76">
      <c r="A76" s="2" t="n">
        <v>56</v>
      </c>
      <c r="B76" s="2" t="inlineStr">
        <is>
          <t>Markets in Crypto-Assets (MiCA)</t>
        </is>
      </c>
      <c r="C76" s="2" t="inlineStr">
        <is>
          <t>32023R1114</t>
        </is>
      </c>
      <c r="D76" s="2" t="inlineStr">
        <is>
          <t>ESMA</t>
        </is>
      </c>
      <c r="E76" s="2" t="inlineStr">
        <is>
          <t>Guidelines on certain aspects of the suitability requirements and format of the periodic statement for portfolio management activities under MiCA</t>
        </is>
      </c>
      <c r="F76" s="2" t="inlineStr">
        <is>
          <t>2025-03-26</t>
        </is>
      </c>
      <c r="G76" s="2" t="inlineStr">
        <is>
          <t>final</t>
        </is>
      </c>
      <c r="H76" s="2" t="inlineStr">
        <is>
          <t>https://www.esma.europa.eu/sites/default/files/2025-03/ESMA35-1872330276-2031_Guidelines_on_suitability_and_periodic_statement_MiCA.pdf</t>
        </is>
      </c>
      <c r="I76" s="2" t="n">
        <v>35</v>
      </c>
      <c r="J76" s="2" t="n">
        <v>11143</v>
      </c>
      <c r="K76" s="2" t="n">
        <v>15</v>
      </c>
      <c r="L76" s="2" t="n">
        <v>8</v>
      </c>
      <c r="M76" s="2" t="n">
        <v>2</v>
      </c>
      <c r="N76" s="2" t="n">
        <v>0</v>
      </c>
      <c r="O76" s="2" t="n">
        <v>5</v>
      </c>
      <c r="P76" s="2" t="n">
        <v>0</v>
      </c>
      <c r="Q76" s="2" t="n">
        <v>6</v>
      </c>
      <c r="R76" s="2" t="n">
        <v>3</v>
      </c>
      <c r="S76" s="2" t="n">
        <v>1</v>
      </c>
      <c r="T76" s="2" t="n">
        <v>5</v>
      </c>
      <c r="U76" s="2" t="n">
        <v>165</v>
      </c>
      <c r="V76" s="2" t="inlineStr">
        <is>
          <t>measured on the final report (includes rationale and consultation feedback); non-binding guidance; 'should' is its usual verb (should_count)</t>
        </is>
      </c>
    </row>
    <row r="77">
      <c r="A77" s="2" t="n">
        <v>56</v>
      </c>
      <c r="B77" s="2" t="inlineStr">
        <is>
          <t>Markets in Crypto-Assets (MiCA)</t>
        </is>
      </c>
      <c r="C77" s="2" t="inlineStr">
        <is>
          <t>32023R1114</t>
        </is>
      </c>
      <c r="D77" s="2" t="inlineStr">
        <is>
          <t>ESMA</t>
        </is>
      </c>
      <c r="E77" s="2" t="inlineStr">
        <is>
          <t>Guidelines on supervisory practices to prevent and detect market abuse under MiCA</t>
        </is>
      </c>
      <c r="F77" s="2" t="inlineStr">
        <is>
          <t>2025-07-09</t>
        </is>
      </c>
      <c r="G77" s="2" t="inlineStr">
        <is>
          <t>final</t>
        </is>
      </c>
      <c r="H77" s="2" t="inlineStr">
        <is>
          <t>https://www.esma.europa.eu/sites/default/files/2025-07/ESMA75-453128700-1039_Guidelines_on_supervisory_practices_to_prevent_and_detect_market_abuse__MiCA_.pdf</t>
        </is>
      </c>
      <c r="I77" s="2" t="n">
        <v>14</v>
      </c>
      <c r="J77" s="2" t="n">
        <v>3257</v>
      </c>
      <c r="K77" s="2" t="n">
        <v>3</v>
      </c>
      <c r="L77" s="2" t="n">
        <v>3</v>
      </c>
      <c r="M77" s="2" t="n">
        <v>0</v>
      </c>
      <c r="N77" s="2" t="n">
        <v>0</v>
      </c>
      <c r="O77" s="2" t="n">
        <v>0</v>
      </c>
      <c r="P77" s="2" t="n">
        <v>0</v>
      </c>
      <c r="Q77" s="2" t="n">
        <v>0</v>
      </c>
      <c r="R77" s="2" t="n">
        <v>1</v>
      </c>
      <c r="S77" s="2" t="n">
        <v>2</v>
      </c>
      <c r="T77" s="2" t="n">
        <v>0</v>
      </c>
      <c r="U77" s="2" t="n">
        <v>31</v>
      </c>
      <c r="V77" s="2" t="inlineStr">
        <is>
          <t>measured on the final report (includes rationale and consultation feedback); non-binding guidance; 'should' is its usual verb (should_count)</t>
        </is>
      </c>
    </row>
    <row r="78">
      <c r="A78" s="2" t="n">
        <v>56</v>
      </c>
      <c r="B78" s="2" t="inlineStr">
        <is>
          <t>Markets in Crypto-Assets (MiCA)</t>
        </is>
      </c>
      <c r="C78" s="2" t="inlineStr">
        <is>
          <t>32023R1114</t>
        </is>
      </c>
      <c r="D78" s="2" t="inlineStr">
        <is>
          <t>ESMA</t>
        </is>
      </c>
      <c r="E78" s="2" t="inlineStr">
        <is>
          <t>Guidelines for the criteria on the assessment of knowledge and competence under the Markets in Crypto Assets Regulation (MiCA)</t>
        </is>
      </c>
      <c r="F78" s="2" t="inlineStr">
        <is>
          <t>2026-01-28</t>
        </is>
      </c>
      <c r="G78" s="2" t="inlineStr">
        <is>
          <t>final</t>
        </is>
      </c>
      <c r="H78" s="2" t="inlineStr">
        <is>
          <t>https://www.esma.europa.eu/sites/default/files/2026-01/ESMA35-24871704-2922_Guidelines_for_the_criteria_on_the_assessment_of_knowledge_and_competence_under_MiCA.pdf</t>
        </is>
      </c>
      <c r="I78" s="2" t="n">
        <v>19</v>
      </c>
      <c r="J78" s="2" t="n">
        <v>4633</v>
      </c>
      <c r="K78" s="2" t="n">
        <v>9</v>
      </c>
      <c r="L78" s="2" t="n">
        <v>3</v>
      </c>
      <c r="M78" s="2" t="n">
        <v>2</v>
      </c>
      <c r="N78" s="2" t="n">
        <v>0</v>
      </c>
      <c r="O78" s="2" t="n">
        <v>4</v>
      </c>
      <c r="P78" s="2" t="n">
        <v>0</v>
      </c>
      <c r="Q78" s="2" t="n">
        <v>5</v>
      </c>
      <c r="R78" s="2" t="n">
        <v>3</v>
      </c>
      <c r="S78" s="2" t="n">
        <v>0</v>
      </c>
      <c r="T78" s="2" t="n">
        <v>1</v>
      </c>
      <c r="U78" s="2" t="n">
        <v>39</v>
      </c>
      <c r="V78" s="2" t="inlineStr">
        <is>
          <t>measured on the final report (includes rationale and consultation feedback); non-binding guidance; 'should' is its usual verb (should_count)</t>
        </is>
      </c>
    </row>
    <row r="79">
      <c r="A79" s="2" t="n">
        <v>57</v>
      </c>
      <c r="B79" s="2" t="inlineStr">
        <is>
          <t>Digital Operational Resilience Act (DORA)</t>
        </is>
      </c>
      <c r="C79" s="2" t="inlineStr">
        <is>
          <t>32022R2554</t>
        </is>
      </c>
      <c r="D79" s="2" t="inlineStr">
        <is>
          <t>EBA</t>
        </is>
      </c>
      <c r="E79" s="2" t="inlineStr">
        <is>
          <t>Joint Guidelines on the estimation of aggregated costs/losses caused by major ICT-related incidents</t>
        </is>
      </c>
      <c r="F79" s="2" t="inlineStr">
        <is>
          <t>17 July 2024</t>
        </is>
      </c>
      <c r="G79" s="2" t="inlineStr">
        <is>
          <t>final</t>
        </is>
      </c>
      <c r="H79" s="2" t="inlineStr">
        <is>
          <t>https://www.eba.europa.eu/sites/default/files/2024-07/48958acb-1c6d-40f0-9784-961713759972/JC%202024-34%20-%20Final%20report%20GL%20on%20costs%20and%20losses.pdf</t>
        </is>
      </c>
      <c r="I79" s="2" t="n">
        <v>26</v>
      </c>
      <c r="J79" s="2" t="n">
        <v>9658</v>
      </c>
      <c r="K79" s="2" t="n">
        <v>26</v>
      </c>
      <c r="L79" s="2" t="n">
        <v>17</v>
      </c>
      <c r="M79" s="2" t="n">
        <v>2</v>
      </c>
      <c r="N79" s="2" t="n">
        <v>0</v>
      </c>
      <c r="O79" s="2" t="n">
        <v>7</v>
      </c>
      <c r="P79" s="2" t="n">
        <v>0</v>
      </c>
      <c r="Q79" s="2" t="n">
        <v>9</v>
      </c>
      <c r="R79" s="2" t="n">
        <v>2</v>
      </c>
      <c r="S79" s="2" t="n">
        <v>1</v>
      </c>
      <c r="T79" s="2" t="n">
        <v>14</v>
      </c>
      <c r="U79" s="2" t="n">
        <v>77</v>
      </c>
      <c r="V79" s="2" t="inlineStr">
        <is>
          <t>measured on the final report (includes rationale and consultation feedback); non-binding guidance; 'should' is its usual verb (should_count)</t>
        </is>
      </c>
    </row>
    <row r="80">
      <c r="A80" s="2" t="n">
        <v>57</v>
      </c>
      <c r="B80" s="2" t="inlineStr">
        <is>
          <t>Digital Operational Resilience Act (DORA)</t>
        </is>
      </c>
      <c r="C80" s="2" t="inlineStr">
        <is>
          <t>32022R2554</t>
        </is>
      </c>
      <c r="D80" s="2" t="inlineStr">
        <is>
          <t>EBA</t>
        </is>
      </c>
      <c r="E80" s="2" t="inlineStr">
        <is>
          <t>Joint Guidelines on oversight cooperation</t>
        </is>
      </c>
      <c r="F80" s="2" t="inlineStr">
        <is>
          <t>17 July 2024</t>
        </is>
      </c>
      <c r="G80" s="2" t="inlineStr">
        <is>
          <t>final</t>
        </is>
      </c>
      <c r="H80" s="2" t="inlineStr">
        <is>
          <t>https://www.eba.europa.eu/sites/default/files/2024-07/e0701aa1-d1a5-4996-8b30-5a933d15058e/JC%202024-36%20-%20Final%20report%20on%20GL%20on%20oversight%20cooperation.pdf</t>
        </is>
      </c>
      <c r="I80" s="2" t="n">
        <v>36</v>
      </c>
      <c r="J80" s="2" t="n">
        <v>11629</v>
      </c>
      <c r="K80" s="2" t="n">
        <v>37</v>
      </c>
      <c r="L80" s="2" t="n">
        <v>30</v>
      </c>
      <c r="M80" s="2" t="n">
        <v>1</v>
      </c>
      <c r="N80" s="2" t="n">
        <v>0</v>
      </c>
      <c r="O80" s="2" t="n">
        <v>5</v>
      </c>
      <c r="P80" s="2" t="n">
        <v>1</v>
      </c>
      <c r="Q80" s="2" t="n">
        <v>9</v>
      </c>
      <c r="R80" s="2" t="n">
        <v>6</v>
      </c>
      <c r="S80" s="2" t="n">
        <v>1</v>
      </c>
      <c r="T80" s="2" t="n">
        <v>21</v>
      </c>
      <c r="U80" s="2" t="n">
        <v>67</v>
      </c>
      <c r="V80" s="2" t="inlineStr">
        <is>
          <t>joint guidelines, also published by ESMA; measured on the final report (includes rationale and consultation feedback); non-binding guidance; 'should' is its usual verb (should_count)</t>
        </is>
      </c>
    </row>
    <row r="81">
      <c r="A81" s="2" t="n">
        <v>60</v>
      </c>
      <c r="B81" s="2" t="inlineStr">
        <is>
          <t>Digital Services Act</t>
        </is>
      </c>
      <c r="C81" s="2" t="inlineStr">
        <is>
          <t>32022R2065</t>
        </is>
      </c>
      <c r="D81" s="2" t="inlineStr">
        <is>
          <t>EDPB</t>
        </is>
      </c>
      <c r="E81" s="2" t="inlineStr">
        <is>
          <t>Guidelines 3/2025 on the interplay between the DSA and the GDPR</t>
        </is>
      </c>
      <c r="F81" s="2" t="inlineStr">
        <is>
          <t>2026-09-17</t>
        </is>
      </c>
      <c r="G81" s="2" t="inlineStr">
        <is>
          <t>final</t>
        </is>
      </c>
      <c r="H81" s="2" t="inlineStr">
        <is>
          <t>https://www.edpb.europa.eu/system/files/2026-09/edpb_guidelines_202503_interplay-dsa-gdpr_v2_en.pdf</t>
        </is>
      </c>
      <c r="I81" s="2" t="n">
        <v>41</v>
      </c>
      <c r="J81" s="2" t="n">
        <v>24977</v>
      </c>
      <c r="K81" s="2" t="n">
        <v>102</v>
      </c>
      <c r="L81" s="2" t="n">
        <v>71</v>
      </c>
      <c r="M81" s="2" t="n">
        <v>17</v>
      </c>
      <c r="N81" s="2" t="n">
        <v>2</v>
      </c>
      <c r="O81" s="2" t="n">
        <v>10</v>
      </c>
      <c r="P81" s="2" t="n">
        <v>2</v>
      </c>
      <c r="Q81" s="2" t="n">
        <v>49</v>
      </c>
      <c r="R81" s="2" t="n">
        <v>5</v>
      </c>
      <c r="S81" s="2" t="n">
        <v>7</v>
      </c>
      <c r="T81" s="2" t="n">
        <v>41</v>
      </c>
      <c r="U81" s="2" t="n">
        <v>109</v>
      </c>
      <c r="V81" s="2" t="inlineStr">
        <is>
          <t>also relates to 32016R0679; non-binding guidance; 'should' is its usual verb (should_count)</t>
        </is>
      </c>
    </row>
  </sheetData>
  <autoFilter ref="A1:V8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5"/>
  <sheetViews>
    <sheetView workbookViewId="0">
      <selection pane="topRight"/>
      <selection pane="bottomLeft"/>
      <selection pane="bottomRight" activeCell="A1" sqref="A1"/>
    </sheetView>
  </sheetViews>
  <sheetFormatPr baseColWidth="8" defaultRowHeight="15"/>
  <cols>
    <col width="22" customWidth="1" min="1" max="1"/>
    <col width="24" customWidth="1" min="2" max="2"/>
    <col width="8" customWidth="1" min="3" max="3"/>
    <col width="10" customWidth="1" min="4" max="4"/>
    <col width="12" customWidth="1" min="5" max="5"/>
    <col width="10" customWidth="1" min="6" max="6"/>
    <col width="10" customWidth="1" min="7" max="7"/>
    <col width="10" customWidth="1" min="8" max="8"/>
    <col width="12" customWidth="1" min="9" max="9"/>
    <col width="10" customWidth="1" min="10" max="10"/>
    <col width="10" customWidth="1" min="11" max="11"/>
    <col width="14" customWidth="1" min="12" max="12"/>
    <col width="10" customWidth="1" min="13" max="13"/>
    <col width="12" customWidth="1" min="14" max="14"/>
    <col width="14" customWidth="1" min="15" max="15"/>
    <col width="80" customWidth="1" min="16" max="16"/>
  </cols>
  <sheetData>
    <row r="1" ht="45" customHeight="1">
      <c r="A1" s="1" t="inlineStr">
        <is>
          <t>benchmark</t>
        </is>
      </c>
      <c r="B1" s="1" t="inlineStr">
        <is>
          <t>variant</t>
        </is>
      </c>
      <c r="C1" s="1" t="inlineStr">
        <is>
          <t>pages</t>
        </is>
      </c>
      <c r="D1" s="1" t="inlineStr">
        <is>
          <t>words</t>
        </is>
      </c>
      <c r="E1" s="1" t="inlineStr">
        <is>
          <t>restrictions_total</t>
        </is>
      </c>
      <c r="F1" s="1" t="inlineStr">
        <is>
          <t>obligation</t>
        </is>
      </c>
      <c r="G1" s="1" t="inlineStr">
        <is>
          <t>prohibition</t>
        </is>
      </c>
      <c r="H1" s="1" t="inlineStr">
        <is>
          <t>explicit_requirement</t>
        </is>
      </c>
      <c r="I1" s="1" t="inlineStr">
        <is>
          <t>restrictions_per_1000_words</t>
        </is>
      </c>
      <c r="J1" s="1" t="inlineStr">
        <is>
          <t>private_parties</t>
        </is>
      </c>
      <c r="K1" s="1" t="inlineStr">
        <is>
          <t>US_States</t>
        </is>
      </c>
      <c r="L1" s="1" t="inlineStr">
        <is>
          <t>federal_government_regulators</t>
        </is>
      </c>
      <c r="M1" s="1" t="inlineStr">
        <is>
          <t>unclear</t>
        </is>
      </c>
      <c r="N1" s="1" t="inlineStr">
        <is>
          <t>validation_precision</t>
        </is>
      </c>
      <c r="O1" s="1" t="inlineStr">
        <is>
          <t>precision_adjusted_restrictions</t>
        </is>
      </c>
      <c r="P1" s="1" t="inlineStr">
        <is>
          <t>note</t>
        </is>
      </c>
    </row>
    <row r="2">
      <c r="A2" s="2" t="inlineStr">
        <is>
          <t>SOX</t>
        </is>
      </c>
      <c r="B2" s="2" t="inlineStr">
        <is>
          <t>all text</t>
        </is>
      </c>
      <c r="C2" s="2" t="n">
        <v>66</v>
      </c>
      <c r="D2" s="2" t="n">
        <v>29466</v>
      </c>
      <c r="E2" s="2" t="n">
        <v>240</v>
      </c>
      <c r="F2" s="2" t="n">
        <v>195</v>
      </c>
      <c r="G2" s="2" t="n">
        <v>32</v>
      </c>
      <c r="H2" s="2" t="n">
        <v>13</v>
      </c>
      <c r="I2" s="2" t="n">
        <v>8.1</v>
      </c>
      <c r="J2" s="2" t="n">
        <v>35</v>
      </c>
      <c r="K2" s="2" t="n">
        <v>4</v>
      </c>
      <c r="L2" s="2" t="n">
        <v>134</v>
      </c>
      <c r="M2" s="2" t="n">
        <v>67</v>
      </c>
      <c r="N2" s="2" t="n">
        <v>0.68</v>
      </c>
      <c r="O2" s="2">
        <f>E2*N2</f>
        <v/>
      </c>
      <c r="P2" s="2" t="inlineStr">
        <is>
          <t>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is>
      </c>
    </row>
    <row r="3">
      <c r="A3" s="2" t="inlineStr">
        <is>
          <t>SOX</t>
        </is>
      </c>
      <c r="B3" s="2" t="inlineStr">
        <is>
          <t>excluding inserted text</t>
        </is>
      </c>
      <c r="C3" s="2" t="n">
        <v>66</v>
      </c>
      <c r="D3" s="2" t="n">
        <v>20086</v>
      </c>
      <c r="E3" s="2" t="n">
        <v>172</v>
      </c>
      <c r="F3" s="2" t="n">
        <v>145</v>
      </c>
      <c r="G3" s="2" t="n">
        <v>22</v>
      </c>
      <c r="H3" s="2" t="n">
        <v>5</v>
      </c>
      <c r="I3" s="2" t="n">
        <v>8.6</v>
      </c>
      <c r="J3" s="2" t="n">
        <v>18</v>
      </c>
      <c r="K3" s="2" t="n">
        <v>1</v>
      </c>
      <c r="L3" s="2" t="n">
        <v>115</v>
      </c>
      <c r="M3" s="2" t="n">
        <v>38</v>
      </c>
      <c r="N3" s="2" t="n">
        <v>0.68</v>
      </c>
      <c r="O3" s="2">
        <f>E3*N3</f>
        <v/>
      </c>
      <c r="P3" s="2" t="inlineStr">
        <is>
          <t>Excludes text inserted into other statutes (in quotation marks), mirroring how quoted amending text is skipped for EU acts</t>
        </is>
      </c>
    </row>
    <row r="4">
      <c r="A4" s="2" t="n"/>
      <c r="B4" s="2" t="n"/>
      <c r="C4" s="2" t="n"/>
      <c r="D4" s="2" t="n"/>
      <c r="E4" s="2" t="n"/>
      <c r="F4" s="2" t="n"/>
      <c r="G4" s="2" t="n"/>
      <c r="H4" s="2" t="n"/>
      <c r="I4" s="2" t="n"/>
      <c r="J4" s="2" t="n"/>
      <c r="K4" s="2" t="n"/>
      <c r="L4" s="2" t="n"/>
      <c r="M4" s="2" t="n"/>
      <c r="N4" s="2" t="n"/>
      <c r="O4" s="2" t="n"/>
      <c r="P4" s="2" t="n"/>
    </row>
    <row r="5">
      <c r="A5" s="2" t="inlineStr">
        <is>
          <t>EU comparison (105 adopted acts, original texts)</t>
        </is>
      </c>
      <c r="B5" s="2" t="inlineStr">
        <is>
          <t>mean per act</t>
        </is>
      </c>
      <c r="C5" s="2" t="n"/>
      <c r="D5" s="2" t="n">
        <v>14601</v>
      </c>
      <c r="E5" s="2" t="n">
        <v>207</v>
      </c>
      <c r="F5" s="2" t="n"/>
      <c r="G5" s="2" t="n"/>
      <c r="H5" s="2" t="n"/>
      <c r="I5" s="2" t="n">
        <v>14</v>
      </c>
      <c r="J5" s="2" t="n"/>
      <c r="K5" s="2" t="n"/>
      <c r="L5" s="2" t="n"/>
      <c r="M5" s="2" t="n"/>
      <c r="N5" s="2" t="n">
        <v>0.84</v>
      </c>
      <c r="O5" s="2">
        <f>E4*N4</f>
        <v/>
      </c>
      <c r="P5" s="2" t="inlineStr">
        <is>
          <t>Words = articles + annexes (no recitals), comparable to a US statute's text</t>
        </is>
      </c>
    </row>
  </sheetData>
  <autoFilter ref="A1:P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3" customWidth="1" min="3" max="3"/>
    <col width="18" customWidth="1" min="4" max="4"/>
    <col width="40" customWidth="1" min="5" max="5"/>
    <col width="45" customWidth="1" min="6" max="6"/>
    <col width="14" customWidth="1" min="7" max="7"/>
    <col width="70" customWidth="1" min="8" max="8"/>
    <col width="22" customWidth="1" min="9" max="9"/>
    <col width="16" customWidth="1" min="10" max="10"/>
    <col width="30" customWidth="1" min="11" max="11"/>
  </cols>
  <sheetData>
    <row r="1" ht="45" customHeight="1">
      <c r="A1" s="1" t="inlineStr">
        <is>
          <t>parent_row_id</t>
        </is>
      </c>
      <c r="B1" s="1" t="inlineStr">
        <is>
          <t>parent_name</t>
        </is>
      </c>
      <c r="C1" s="1" t="inlineStr">
        <is>
          <t>proposal_celex</t>
        </is>
      </c>
      <c r="D1" s="1" t="inlineStr">
        <is>
          <t>type</t>
        </is>
      </c>
      <c r="E1" s="1" t="inlineStr">
        <is>
          <t>objective</t>
        </is>
      </c>
      <c r="F1" s="1" t="inlineStr">
        <is>
          <t>indicator / promised impact</t>
        </is>
      </c>
      <c r="G1" s="1" t="inlineStr">
        <is>
          <t>target or baseline</t>
        </is>
      </c>
      <c r="H1" s="1" t="inlineStr">
        <is>
          <t>evidence found</t>
        </is>
      </c>
      <c r="I1" s="1" t="inlineStr">
        <is>
          <t>status</t>
        </is>
      </c>
      <c r="J1" s="1" t="inlineStr">
        <is>
          <t>status_group</t>
        </is>
      </c>
      <c r="K1" s="1" t="inlineStr">
        <is>
          <t>sources</t>
        </is>
      </c>
    </row>
    <row r="2">
      <c r="A2" s="7" t="n">
        <v>1</v>
      </c>
      <c r="B2" s="7" t="inlineStr">
        <is>
          <t>Frequency Bands Directive (GSM)</t>
        </is>
      </c>
      <c r="C2" s="7" t="inlineStr">
        <is>
          <t>51987PC0035(02)</t>
        </is>
      </c>
      <c r="D2" s="7" t="inlineStr">
        <is>
          <t>note</t>
        </is>
      </c>
      <c r="E2" s="7" t="inlineStr">
        <is>
          <t>The 1987 proposal predates financial statements with indicators; no monitoring indicators or review clause were set</t>
        </is>
      </c>
      <c r="F2" s="7" t="inlineStr"/>
      <c r="G2" s="7" t="inlineStr"/>
      <c r="H2" s="7" t="inlineStr"/>
      <c r="I2" s="7" t="inlineStr"/>
      <c r="J2" s="7" t="inlineStr"/>
      <c r="K2" s="7" t="inlineStr"/>
    </row>
    <row r="3">
      <c r="A3" s="7" t="n">
        <v>1</v>
      </c>
      <c r="B3" s="7" t="inlineStr">
        <is>
          <t>Frequency Bands Directive (GSM)</t>
        </is>
      </c>
      <c r="C3" s="7" t="inlineStr">
        <is>
          <t>51987PC0035(02)</t>
        </is>
      </c>
      <c r="D3" s="7" t="inlineStr">
        <is>
          <t>objective (recitals)</t>
        </is>
      </c>
      <c r="E3" s="7" t="inlineStr">
        <is>
          <t>Coordinated pan-European digital mobile service</t>
        </is>
      </c>
      <c r="F3" s="7" t="inlineStr">
        <is>
          <t>Reserve 890-915/935-960 MHz for a single pan-European digital system (GSM) so terminals and networks work across borders</t>
        </is>
      </c>
      <c r="G3" s="7" t="inlineStr"/>
      <c r="H3" s="7" t="inlineStr">
        <is>
          <t>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is>
      </c>
      <c r="I3" s="7" t="inlineStr">
        <is>
          <t>mixed evidence</t>
        </is>
      </c>
      <c r="J3" s="7" t="inlineStr">
        <is>
          <t>mixed evidence</t>
        </is>
      </c>
      <c r="K3" s="7" t="inlineStr">
        <is>
          <t>Gruber &amp; Verboven 2001a, 2001b</t>
        </is>
      </c>
    </row>
    <row r="4">
      <c r="A4" s="7" t="n">
        <v>1</v>
      </c>
      <c r="B4" s="7" t="inlineStr">
        <is>
          <t>Frequency Bands Directive (GSM)</t>
        </is>
      </c>
      <c r="C4" s="7" t="inlineStr">
        <is>
          <t>51987PC0035(02)</t>
        </is>
      </c>
      <c r="D4" s="7" t="inlineStr">
        <is>
          <t>expected impact (2009 amendment)</t>
        </is>
      </c>
      <c r="E4" s="7" t="inlineStr">
        <is>
          <t>Spectrum flexibility</t>
        </is>
      </c>
      <c r="F4" s="7" t="inlineStr">
        <is>
          <t>Opening the 900 MHz band to UMTS and later technologies (Directive 2009/114/EC)</t>
        </is>
      </c>
      <c r="G4" s="7" t="inlineStr">
        <is>
          <t>Industry capital savings up to EUR 1.6bn (Commission estimate)</t>
        </is>
      </c>
      <c r="H4" s="7" t="inlineStr">
        <is>
          <t>Not evaluated ex post; the figure is a Commission forecast reported in the trade press.</t>
        </is>
      </c>
      <c r="I4" s="7" t="inlineStr">
        <is>
          <t>not measured</t>
        </is>
      </c>
      <c r="J4" s="7" t="inlineStr">
        <is>
          <t>not measured</t>
        </is>
      </c>
      <c r="K4" s="7" t="inlineStr">
        <is>
          <t>telecoms.com 2009</t>
        </is>
      </c>
    </row>
    <row r="5">
      <c r="A5" s="7" t="n">
        <v>2</v>
      </c>
      <c r="B5" s="7" t="inlineStr">
        <is>
          <t>Unfair Contract Terms Directive</t>
        </is>
      </c>
      <c r="C5" s="7" t="inlineStr">
        <is>
          <t>51990PC0322</t>
        </is>
      </c>
      <c r="D5" s="7" t="inlineStr">
        <is>
          <t>note</t>
        </is>
      </c>
      <c r="E5" s="7" t="inlineStr">
        <is>
          <t>The 1990 proposal has no indicators section; Article 9 required a Commission report five years after transposition</t>
        </is>
      </c>
      <c r="F5" s="7" t="inlineStr"/>
      <c r="G5" s="7" t="inlineStr"/>
      <c r="H5" s="7" t="inlineStr"/>
      <c r="I5" s="7" t="inlineStr"/>
      <c r="J5" s="7" t="inlineStr"/>
      <c r="K5" s="7" t="inlineStr"/>
    </row>
    <row r="6">
      <c r="A6" s="7" t="n">
        <v>2</v>
      </c>
      <c r="B6" s="7" t="inlineStr">
        <is>
          <t>Unfair Contract Terms Directive</t>
        </is>
      </c>
      <c r="C6" s="7" t="inlineStr">
        <is>
          <t>51990PC0322</t>
        </is>
      </c>
      <c r="D6" s="7" t="inlineStr">
        <is>
          <t>objective (recitals)</t>
        </is>
      </c>
      <c r="E6" s="7" t="inlineStr">
        <is>
          <t>Consumer protection</t>
        </is>
      </c>
      <c r="F6" s="7" t="inlineStr">
        <is>
          <t>Unfair standard terms not binding on consumers; plain, intelligible drafting</t>
        </is>
      </c>
      <c r="G6" s="7" t="inlineStr"/>
      <c r="H6" s="7" t="inlineStr">
        <is>
          <t>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is>
      </c>
      <c r="I6" s="7" t="inlineStr">
        <is>
          <t>reported as activity</t>
        </is>
      </c>
      <c r="J6" s="7" t="inlineStr">
        <is>
          <t>reported as activity</t>
        </is>
      </c>
      <c r="K6" s="7" t="inlineStr">
        <is>
          <t>COM(2000) 248; SWD(2017) 209; SWD(2024) 230; Loos &amp; Luzak 2016</t>
        </is>
      </c>
    </row>
    <row r="7">
      <c r="A7" s="7" t="n">
        <v>2</v>
      </c>
      <c r="B7" s="7" t="inlineStr">
        <is>
          <t>Unfair Contract Terms Directive</t>
        </is>
      </c>
      <c r="C7" s="7" t="inlineStr">
        <is>
          <t>51990PC0322</t>
        </is>
      </c>
      <c r="D7" s="7" t="inlineStr">
        <is>
          <t>objective (recitals)</t>
        </is>
      </c>
      <c r="E7" s="7" t="inlineStr">
        <is>
          <t>Single market</t>
        </is>
      </c>
      <c r="F7" s="7" t="inlineStr">
        <is>
          <t>Common minimum rules to encourage cross-border purchases</t>
        </is>
      </c>
      <c r="G7" s="7" t="inlineStr"/>
      <c r="H7" s="7" t="inlineStr">
        <is>
          <t>No measurement of cross-border effects attributable to the Directive found.</t>
        </is>
      </c>
      <c r="I7" s="7" t="inlineStr">
        <is>
          <t>not measured</t>
        </is>
      </c>
      <c r="J7" s="7" t="inlineStr">
        <is>
          <t>not measured</t>
        </is>
      </c>
      <c r="K7" s="7" t="inlineStr"/>
    </row>
    <row r="8">
      <c r="A8" s="7" t="n">
        <v>2</v>
      </c>
      <c r="B8" s="7" t="inlineStr">
        <is>
          <t>Unfair Contract Terms Directive</t>
        </is>
      </c>
      <c r="C8" s="7" t="inlineStr">
        <is>
          <t>51990PC0322</t>
        </is>
      </c>
      <c r="D8" s="7" t="inlineStr">
        <is>
          <t>cost (evaluation)</t>
        </is>
      </c>
      <c r="E8" s="7" t="inlineStr">
        <is>
          <t>Compliance costs</t>
        </is>
      </c>
      <c r="F8" s="7" t="inlineStr">
        <is>
          <t>Proportionate costs for traders</t>
        </is>
      </c>
      <c r="G8" s="7" t="inlineStr"/>
      <c r="H8" s="7" t="inlineStr">
        <is>
          <t>2024 fitness check: combined compliance costs of UCPD, CRD and UCTD about EUR 511-737m a year; only 10-18% of traders report high costs.</t>
        </is>
      </c>
      <c r="I8" s="7" t="inlineStr">
        <is>
          <t>measured</t>
        </is>
      </c>
      <c r="J8" s="7" t="inlineStr">
        <is>
          <t>measured</t>
        </is>
      </c>
      <c r="K8" s="7" t="inlineStr">
        <is>
          <t>SWD(2024) 230</t>
        </is>
      </c>
    </row>
    <row r="9">
      <c r="A9" s="7" t="n">
        <v>3</v>
      </c>
      <c r="B9" s="7" t="inlineStr">
        <is>
          <t>Satellite and Cable Directive</t>
        </is>
      </c>
      <c r="C9" s="7" t="inlineStr">
        <is>
          <t>51991PC0276</t>
        </is>
      </c>
      <c r="D9" s="7" t="inlineStr">
        <is>
          <t>note</t>
        </is>
      </c>
      <c r="E9" s="7" t="inlineStr">
        <is>
          <t>The 1991 proposal has no indicators section; the Directive required a Commission report on its application</t>
        </is>
      </c>
      <c r="F9" s="7" t="inlineStr"/>
      <c r="G9" s="7" t="inlineStr"/>
      <c r="H9" s="7" t="inlineStr"/>
      <c r="I9" s="7" t="inlineStr"/>
      <c r="J9" s="7" t="inlineStr"/>
      <c r="K9" s="7" t="inlineStr"/>
    </row>
    <row r="10">
      <c r="A10" s="7" t="n">
        <v>3</v>
      </c>
      <c r="B10" s="7" t="inlineStr">
        <is>
          <t>Satellite and Cable Directive</t>
        </is>
      </c>
      <c r="C10" s="7" t="inlineStr">
        <is>
          <t>51991PC0276</t>
        </is>
      </c>
      <c r="D10" s="7" t="inlineStr">
        <is>
          <t>objective (recitals)</t>
        </is>
      </c>
      <c r="E10" s="7" t="inlineStr">
        <is>
          <t>Cross-border broadcasting</t>
        </is>
      </c>
      <c r="F10" s="7" t="inlineStr">
        <is>
          <t>Country-of-origin rule for satellite broadcasts to ease rights clearance and cross-border reception</t>
        </is>
      </c>
      <c r="G10" s="7" t="inlineStr"/>
      <c r="H10" s="7" t="inlineStr">
        <is>
          <t>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is>
      </c>
      <c r="I10" s="7" t="inlineStr">
        <is>
          <t>reported as activity</t>
        </is>
      </c>
      <c r="J10" s="7" t="inlineStr">
        <is>
          <t>reported as activity</t>
        </is>
      </c>
      <c r="K10" s="7" t="inlineStr">
        <is>
          <t>COM(2002) 430; SWD(2016) 308</t>
        </is>
      </c>
    </row>
    <row r="11">
      <c r="A11" s="7" t="n">
        <v>3</v>
      </c>
      <c r="B11" s="7" t="inlineStr">
        <is>
          <t>Satellite and Cable Directive</t>
        </is>
      </c>
      <c r="C11" s="7" t="inlineStr">
        <is>
          <t>51991PC0276</t>
        </is>
      </c>
      <c r="D11" s="7" t="inlineStr">
        <is>
          <t>objective (recitals)</t>
        </is>
      </c>
      <c r="E11" s="7" t="inlineStr">
        <is>
          <t>Cable retransmission</t>
        </is>
      </c>
      <c r="F11" s="7" t="inlineStr">
        <is>
          <t>Mandatory collective management to clear retransmission rights</t>
        </is>
      </c>
      <c r="G11" s="7" t="inlineStr"/>
      <c r="H11" s="7" t="inlineStr">
        <is>
          <t>Reported as contributing to cross-border retransmission; some rightholders say they lose income; long mediation disputes.</t>
        </is>
      </c>
      <c r="I11" s="7" t="inlineStr">
        <is>
          <t>reported as activity</t>
        </is>
      </c>
      <c r="J11" s="7" t="inlineStr">
        <is>
          <t>reported as activity</t>
        </is>
      </c>
      <c r="K11" s="7" t="inlineStr">
        <is>
          <t>COM(2002) 430</t>
        </is>
      </c>
    </row>
    <row r="12">
      <c r="A12" s="7" t="n">
        <v>3</v>
      </c>
      <c r="B12" s="7" t="inlineStr">
        <is>
          <t>Satellite and Cable Directive</t>
        </is>
      </c>
      <c r="C12" s="7" t="inlineStr">
        <is>
          <t>51991PC0276</t>
        </is>
      </c>
      <c r="D12" s="7" t="inlineStr">
        <is>
          <t>baseline (2016 IA)</t>
        </is>
      </c>
      <c r="E12" s="7" t="inlineStr">
        <is>
          <t>Online availability</t>
        </is>
      </c>
      <c r="F12" s="7" t="inlineStr">
        <is>
          <t>Cross-border availability of broadcasters' online services</t>
        </is>
      </c>
      <c r="G12" s="7" t="inlineStr">
        <is>
          <t>82% of public and 62% of commercial broadcasters geo-block at least one online service (sector inquiry)</t>
        </is>
      </c>
      <c r="H12" s="7" t="inlineStr">
        <is>
          <t>Led to Directive (EU) 2019/789; its review was due June 2025 (not found).</t>
        </is>
      </c>
      <c r="I12" s="7" t="inlineStr">
        <is>
          <t>not measured</t>
        </is>
      </c>
      <c r="J12" s="7" t="inlineStr">
        <is>
          <t>not measured</t>
        </is>
      </c>
      <c r="K12" s="7" t="inlineStr">
        <is>
          <t>SWD(2016) 301</t>
        </is>
      </c>
    </row>
    <row r="13">
      <c r="A13" s="7" t="n">
        <v>4</v>
      </c>
      <c r="B13" s="7" t="inlineStr">
        <is>
          <t>Database Directive</t>
        </is>
      </c>
      <c r="C13" s="7" t="inlineStr">
        <is>
          <t>51992PC0024</t>
        </is>
      </c>
      <c r="D13" s="7" t="inlineStr">
        <is>
          <t>note</t>
        </is>
      </c>
      <c r="E13" s="7" t="inlineStr">
        <is>
          <t>The 1992 proposal (COM(92) 24) predates impact assessments and set no indicators. Article 16(3) required periodic Commission reviews of whether the sui generis right led to abuse of a dominant position or other interference with free competition</t>
        </is>
      </c>
      <c r="F13" s="7" t="inlineStr"/>
      <c r="G13" s="7" t="inlineStr"/>
      <c r="H13" s="7" t="inlineStr"/>
      <c r="I13" s="7" t="inlineStr"/>
      <c r="J13" s="7" t="inlineStr"/>
      <c r="K13" s="7" t="inlineStr"/>
    </row>
    <row r="14">
      <c r="A14" s="7" t="n">
        <v>4</v>
      </c>
      <c r="B14" s="7" t="inlineStr">
        <is>
          <t>Database Directive</t>
        </is>
      </c>
      <c r="C14" s="7" t="inlineStr">
        <is>
          <t>51992PC0024</t>
        </is>
      </c>
      <c r="D14" s="7" t="inlineStr">
        <is>
          <t>objective (proposal / recitals)</t>
        </is>
      </c>
      <c r="E14" s="7" t="inlineStr">
        <is>
          <t>Stimulate investment in and production of databases in Europe</t>
        </is>
      </c>
      <c r="F14" s="7" t="inlineStr">
        <is>
          <t>Growth in EU database production and competitiveness vs the US</t>
        </is>
      </c>
      <c r="G14" s="7" t="inlineStr"/>
      <c r="H14" s="7" t="inlineStr">
        <is>
          <t>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is>
      </c>
      <c r="I14" s="7" t="inlineStr">
        <is>
          <t>measured</t>
        </is>
      </c>
      <c r="J14" s="7" t="inlineStr">
        <is>
          <t>measured</t>
        </is>
      </c>
      <c r="K14" s="7" t="inlineStr">
        <is>
          <t>DG MARKT 2005; SWD(2018) 146/147</t>
        </is>
      </c>
    </row>
    <row r="15">
      <c r="A15" s="7" t="n">
        <v>4</v>
      </c>
      <c r="B15" s="7" t="inlineStr">
        <is>
          <t>Database Directive</t>
        </is>
      </c>
      <c r="C15" s="7" t="inlineStr">
        <is>
          <t>51992PC0024</t>
        </is>
      </c>
      <c r="D15" s="7" t="inlineStr">
        <is>
          <t>objective (proposal / recitals)</t>
        </is>
      </c>
      <c r="E15" s="7" t="inlineStr">
        <is>
          <t>Harmonise national protection regimes</t>
        </is>
      </c>
      <c r="F15" s="7" t="inlineStr">
        <is>
          <t>Reduced fragmentation of database protection</t>
        </is>
      </c>
      <c r="G15" s="7" t="inlineStr"/>
      <c r="H15" s="7" t="inlineStr">
        <is>
          <t>Commission's 2018 evaluation judges harmonisation effective, helped by CJEU case law; based on qualitative assessment and stakeholder input.</t>
        </is>
      </c>
      <c r="I15" s="7" t="inlineStr">
        <is>
          <t>reported as activity</t>
        </is>
      </c>
      <c r="J15" s="7" t="inlineStr">
        <is>
          <t>reported as activity</t>
        </is>
      </c>
      <c r="K15" s="7" t="inlineStr">
        <is>
          <t>SWD(2018) 146/147</t>
        </is>
      </c>
    </row>
    <row r="16">
      <c r="A16" s="7" t="n">
        <v>4</v>
      </c>
      <c r="B16" s="7" t="inlineStr">
        <is>
          <t>Database Directive</t>
        </is>
      </c>
      <c r="C16" s="7" t="inlineStr">
        <is>
          <t>51992PC0024</t>
        </is>
      </c>
      <c r="D16" s="7" t="inlineStr">
        <is>
          <t>objective (Art. 16(3))</t>
        </is>
      </c>
      <c r="E16" s="7" t="inlineStr">
        <is>
          <t>Balance between makers and users; no significant interference with competition</t>
        </is>
      </c>
      <c r="F16" s="7" t="inlineStr"/>
      <c r="G16" s="7" t="inlineStr"/>
      <c r="H16" s="7" t="inlineStr">
        <is>
          <t>2018 evaluation found costs and benefits 'moderate', benefits 'seem to be higher', no significant regulatory burdens; after the 2004 CJEU rulings the right does not cover by-product data, limiting effects on the data economy. Not quantified.</t>
        </is>
      </c>
      <c r="I16" s="7" t="inlineStr">
        <is>
          <t>partially measured</t>
        </is>
      </c>
      <c r="J16" s="7" t="inlineStr">
        <is>
          <t>partially measured</t>
        </is>
      </c>
      <c r="K16" s="7" t="inlineStr">
        <is>
          <t>SWD(2018) 146/147; Technopolis/JIIP 2018</t>
        </is>
      </c>
    </row>
    <row r="17">
      <c r="A17" s="7" t="n">
        <v>6</v>
      </c>
      <c r="B17" s="7" t="inlineStr">
        <is>
          <t>Price Indication Directive</t>
        </is>
      </c>
      <c r="C17" s="7" t="inlineStr">
        <is>
          <t>51995PC0276</t>
        </is>
      </c>
      <c r="D17" s="7" t="inlineStr">
        <is>
          <t>note</t>
        </is>
      </c>
      <c r="E17" s="7" t="inlineStr">
        <is>
          <t>The 1995 proposal has no indicators section; the Directive required a Commission report on its application, particularly by small retailers</t>
        </is>
      </c>
      <c r="F17" s="7" t="inlineStr"/>
      <c r="G17" s="7" t="inlineStr"/>
      <c r="H17" s="7" t="inlineStr"/>
      <c r="I17" s="7" t="inlineStr"/>
      <c r="J17" s="7" t="inlineStr"/>
      <c r="K17" s="7" t="inlineStr"/>
    </row>
    <row r="18">
      <c r="A18" s="7" t="n">
        <v>6</v>
      </c>
      <c r="B18" s="7" t="inlineStr">
        <is>
          <t>Price Indication Directive</t>
        </is>
      </c>
      <c r="C18" s="7" t="inlineStr">
        <is>
          <t>51995PC0276</t>
        </is>
      </c>
      <c r="D18" s="7" t="inlineStr">
        <is>
          <t>objective (recitals)</t>
        </is>
      </c>
      <c r="E18" s="7" t="inlineStr">
        <is>
          <t>Price transparency</t>
        </is>
      </c>
      <c r="F18" s="7" t="inlineStr">
        <is>
          <t>Selling price and unit price shown for all products to ease comparison</t>
        </is>
      </c>
      <c r="G18" s="7" t="inlineStr"/>
      <c r="H18" s="7" t="inlineStr">
        <is>
          <t>2006 communication: transposed in all Member States without major problems, but exemptions diverge widely. 2017 fitness check: rules largely fit for purpose.</t>
        </is>
      </c>
      <c r="I18" s="7" t="inlineStr">
        <is>
          <t>reported as activity</t>
        </is>
      </c>
      <c r="J18" s="7" t="inlineStr">
        <is>
          <t>reported as activity</t>
        </is>
      </c>
      <c r="K18" s="7" t="inlineStr">
        <is>
          <t>COM(2006) 325; SWD(2017) 209</t>
        </is>
      </c>
    </row>
    <row r="19">
      <c r="A19" s="7" t="n">
        <v>6</v>
      </c>
      <c r="B19" s="7" t="inlineStr">
        <is>
          <t>Price Indication Directive</t>
        </is>
      </c>
      <c r="C19" s="7" t="inlineStr">
        <is>
          <t>51995PC0276</t>
        </is>
      </c>
      <c r="D19" s="7" t="inlineStr">
        <is>
          <t>objective (2019 amendment, Art. 6a)</t>
        </is>
      </c>
      <c r="E19" s="7" t="inlineStr">
        <is>
          <t>Genuine price reductions</t>
        </is>
      </c>
      <c r="F19" s="7" t="inlineStr">
        <is>
          <t>Announced reductions must show the lowest price of the previous 30 days</t>
        </is>
      </c>
      <c r="G19" s="7" t="inlineStr"/>
      <c r="H19" s="7" t="inlineStr">
        <is>
          <t>Nov 2022 CPC sweep: 23% of 16,000 price-reduction announcements on 176 websites breached Art. 6a, on at least 43% of sites; Swedish 2023 check: 70% of firms with reductions infringed.</t>
        </is>
      </c>
      <c r="I19" s="7" t="inlineStr">
        <is>
          <t>partially measured</t>
        </is>
      </c>
      <c r="J19" s="7" t="inlineStr">
        <is>
          <t>partially measured</t>
        </is>
      </c>
      <c r="K19" s="7" t="inlineStr">
        <is>
          <t>COM(2024) 258</t>
        </is>
      </c>
    </row>
    <row r="20">
      <c r="A20" s="7" t="n">
        <v>8</v>
      </c>
      <c r="B20" s="7" t="inlineStr">
        <is>
          <t>E-commerce Directive</t>
        </is>
      </c>
      <c r="C20" s="7" t="inlineStr">
        <is>
          <t>51998PC0586</t>
        </is>
      </c>
      <c r="D20" s="7" t="inlineStr">
        <is>
          <t>note</t>
        </is>
      </c>
      <c r="E20" s="7" t="inlineStr">
        <is>
          <t>The 1998 proposal predates impact assessments and financial-statement indicators; no quantified targets were set. Art. 21 required a report every two years (only the 2003 report was issued); a full evaluation was annexed to the 2020 DSA impact assessment</t>
        </is>
      </c>
      <c r="F20" s="7" t="inlineStr"/>
      <c r="G20" s="7" t="inlineStr"/>
      <c r="H20" s="7" t="inlineStr"/>
      <c r="I20" s="7" t="inlineStr"/>
      <c r="J20" s="7" t="inlineStr"/>
      <c r="K20" s="7" t="inlineStr"/>
    </row>
    <row r="21">
      <c r="A21" s="7" t="n">
        <v>8</v>
      </c>
      <c r="B21" s="7" t="inlineStr">
        <is>
          <t>E-commerce Directive</t>
        </is>
      </c>
      <c r="C21" s="7" t="inlineStr">
        <is>
          <t>51998PC0586</t>
        </is>
      </c>
      <c r="D21" s="7" t="inlineStr">
        <is>
          <t>objective (proposal)</t>
        </is>
      </c>
      <c r="E21" s="7" t="inlineStr">
        <is>
          <t>Internal market for information society services</t>
        </is>
      </c>
      <c r="F21" s="7" t="inlineStr">
        <is>
          <t>Free cross-border provision of online services under the country-of-origin principle</t>
        </is>
      </c>
      <c r="G21" s="7" t="inlineStr"/>
      <c r="H21" s="7" t="inlineStr">
        <is>
          <t>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is>
      </c>
      <c r="I21" s="7" t="inlineStr">
        <is>
          <t>partially measured</t>
        </is>
      </c>
      <c r="J21" s="7" t="inlineStr">
        <is>
          <t>partially measured</t>
        </is>
      </c>
      <c r="K21" s="7" t="inlineStr">
        <is>
          <t>SWD(2020) 348 Annex 5</t>
        </is>
      </c>
    </row>
    <row r="22">
      <c r="A22" s="7" t="n">
        <v>8</v>
      </c>
      <c r="B22" s="7" t="inlineStr">
        <is>
          <t>E-commerce Directive</t>
        </is>
      </c>
      <c r="C22" s="7" t="inlineStr">
        <is>
          <t>51998PC0586</t>
        </is>
      </c>
      <c r="D22" s="7" t="inlineStr">
        <is>
          <t>objective (proposal)</t>
        </is>
      </c>
      <c r="E22" s="7" t="inlineStr">
        <is>
          <t>Legal certainty for intermediaries (liability safe harbours)</t>
        </is>
      </c>
      <c r="F22" s="7" t="inlineStr">
        <is>
          <t>Conditional liability exemptions for mere conduit, caching and hosting; no general monitoring obligation</t>
        </is>
      </c>
      <c r="G22" s="7" t="inlineStr"/>
      <c r="H22" s="7" t="inlineStr">
        <is>
          <t>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is>
      </c>
      <c r="I22" s="7" t="inlineStr">
        <is>
          <t>mixed evidence</t>
        </is>
      </c>
      <c r="J22" s="7" t="inlineStr">
        <is>
          <t>mixed evidence</t>
        </is>
      </c>
      <c r="K22" s="7" t="inlineStr">
        <is>
          <t>SWD(2020) 348; Oxera 2015; Erickson &amp; Kretschmer 2020</t>
        </is>
      </c>
    </row>
    <row r="23">
      <c r="A23" s="7" t="n">
        <v>8</v>
      </c>
      <c r="B23" s="7" t="inlineStr">
        <is>
          <t>E-commerce Directive</t>
        </is>
      </c>
      <c r="C23" s="7" t="inlineStr">
        <is>
          <t>51998PC0586</t>
        </is>
      </c>
      <c r="D23" s="7" t="inlineStr">
        <is>
          <t>objective (proposal)</t>
        </is>
      </c>
      <c r="E23" s="7" t="inlineStr">
        <is>
          <t>Consumer trust (information, commercial communications, e-contracts)</t>
        </is>
      </c>
      <c r="F23" s="7" t="inlineStr">
        <is>
          <t>Transparency and consumer-facing provisions build trust</t>
        </is>
      </c>
      <c r="G23" s="7" t="inlineStr"/>
      <c r="H23" s="7" t="inlineStr">
        <is>
          <t>2020 evaluation: these provisions are still relevant and largely complied with, but not measured with outcome data.</t>
        </is>
      </c>
      <c r="I23" s="7" t="inlineStr">
        <is>
          <t>reported as activity</t>
        </is>
      </c>
      <c r="J23" s="7" t="inlineStr">
        <is>
          <t>reported as activity</t>
        </is>
      </c>
      <c r="K23" s="7" t="inlineStr">
        <is>
          <t>SWD(2020) 348</t>
        </is>
      </c>
    </row>
    <row r="24">
      <c r="A24" s="7" t="n">
        <v>7</v>
      </c>
      <c r="B24" s="7" t="inlineStr">
        <is>
          <t>Information Society (InfoSoc) Directive</t>
        </is>
      </c>
      <c r="C24" s="7" t="inlineStr">
        <is>
          <t>51997PC0628</t>
        </is>
      </c>
      <c r="D24" s="7" t="inlineStr">
        <is>
          <t>note</t>
        </is>
      </c>
      <c r="E24" s="7" t="inlineStr">
        <is>
          <t>The 1997 proposal (COM(97) 628) predates the Commission's impact assessment and financial-statement indicator system; it set no measurable targets. Monitoring relied on the Article 12 review clause</t>
        </is>
      </c>
      <c r="F24" s="7" t="inlineStr"/>
      <c r="G24" s="7" t="inlineStr"/>
      <c r="H24" s="7" t="inlineStr"/>
      <c r="I24" s="7" t="inlineStr"/>
      <c r="J24" s="7" t="inlineStr"/>
      <c r="K24" s="7" t="inlineStr"/>
    </row>
    <row r="25">
      <c r="A25" s="7" t="n">
        <v>7</v>
      </c>
      <c r="B25" s="7" t="inlineStr">
        <is>
          <t>Information Society (InfoSoc) Directive</t>
        </is>
      </c>
      <c r="C25" s="7" t="inlineStr">
        <is>
          <t>51997PC0628</t>
        </is>
      </c>
      <c r="D25" s="7" t="inlineStr">
        <is>
          <t>objective (proposal / recitals)</t>
        </is>
      </c>
      <c r="E25" s="7" t="inlineStr">
        <is>
          <t>Harmonisation of rights and exceptions</t>
        </is>
      </c>
      <c r="F25" s="7" t="inlineStr">
        <is>
          <t>Reduce legal fragmentation across Member States so that online content services can operate cross-border</t>
        </is>
      </c>
      <c r="G25" s="7" t="inlineStr"/>
      <c r="H25" s="7" t="inlineStr">
        <is>
          <t>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is>
      </c>
      <c r="I25" s="7" t="inlineStr">
        <is>
          <t>mixed evidence</t>
        </is>
      </c>
      <c r="J25" s="7" t="inlineStr">
        <is>
          <t>mixed evidence</t>
        </is>
      </c>
      <c r="K25" s="7" t="inlineStr">
        <is>
          <t>IViR 2007; SEC(2007) 1556; SWD(2016) 301</t>
        </is>
      </c>
    </row>
    <row r="26">
      <c r="A26" s="7" t="n">
        <v>7</v>
      </c>
      <c r="B26" s="7" t="inlineStr">
        <is>
          <t>Information Society (InfoSoc) Directive</t>
        </is>
      </c>
      <c r="C26" s="7" t="inlineStr">
        <is>
          <t>51997PC0628</t>
        </is>
      </c>
      <c r="D26" s="7" t="inlineStr">
        <is>
          <t>objective (proposal / recitals)</t>
        </is>
      </c>
      <c r="E26" s="7" t="inlineStr">
        <is>
          <t>Growth and innovation in online content services</t>
        </is>
      </c>
      <c r="F26" s="7" t="inlineStr">
        <is>
          <t>Foster investment in creativity and new online business models</t>
        </is>
      </c>
      <c r="G26" s="7" t="inlineStr"/>
      <c r="H26" s="7" t="inlineStr">
        <is>
          <t>Never measured quantitatively. The IViR evaluation concluded the Directive had 'at best only partly achieved' its goal of promoting growth and innovation in online content services. No causal study isolates the Directive's effect on creative output or investment.</t>
        </is>
      </c>
      <c r="I26" s="7" t="inlineStr">
        <is>
          <t>not measured</t>
        </is>
      </c>
      <c r="J26" s="7" t="inlineStr">
        <is>
          <t>not measured</t>
        </is>
      </c>
      <c r="K26" s="7" t="inlineStr">
        <is>
          <t>IViR 2007</t>
        </is>
      </c>
    </row>
    <row r="27">
      <c r="A27" s="7" t="n">
        <v>7</v>
      </c>
      <c r="B27" s="7" t="inlineStr">
        <is>
          <t>Information Society (InfoSoc) Directive</t>
        </is>
      </c>
      <c r="C27" s="7" t="inlineStr">
        <is>
          <t>51997PC0628</t>
        </is>
      </c>
      <c r="D27" s="7" t="inlineStr">
        <is>
          <t>objective (proposal / recitals)</t>
        </is>
      </c>
      <c r="E27" s="7" t="inlineStr">
        <is>
          <t>Technological protection measures (DRM)</t>
        </is>
      </c>
      <c r="F27" s="7" t="inlineStr">
        <is>
          <t>Legal protection of DRM to support new digital distribution models while safeguarding exceptions (Art. 6(4))</t>
        </is>
      </c>
      <c r="G27" s="7" t="inlineStr"/>
      <c r="H27" s="7" t="inlineStr">
        <is>
          <t>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is>
      </c>
      <c r="I27" s="7" t="inlineStr">
        <is>
          <t>mixed evidence</t>
        </is>
      </c>
      <c r="J27" s="7" t="inlineStr">
        <is>
          <t>mixed evidence</t>
        </is>
      </c>
      <c r="K27" s="7" t="inlineStr">
        <is>
          <t>IViR 2007; SEC(2007) 1556; Zhang 2018</t>
        </is>
      </c>
    </row>
    <row r="28">
      <c r="A28" s="7" t="n">
        <v>7</v>
      </c>
      <c r="B28" s="7" t="inlineStr">
        <is>
          <t>Information Society (InfoSoc) Directive</t>
        </is>
      </c>
      <c r="C28" s="7" t="inlineStr">
        <is>
          <t>51997PC0628</t>
        </is>
      </c>
      <c r="D28" s="7" t="inlineStr">
        <is>
          <t>expected impact (implicit)</t>
        </is>
      </c>
      <c r="E28" s="7" t="inlineStr">
        <is>
          <t>Research and innovation uses</t>
        </is>
      </c>
      <c r="F28" s="7" t="inlineStr">
        <is>
          <t>Exceptions allow scientific research uses without hampering innovation</t>
        </is>
      </c>
      <c r="G28" s="7" t="inlineStr"/>
      <c r="H28" s="7" t="inlineStr">
        <is>
          <t>Cross-country bibliometric evidence links copyright regimes that require rightholder consent for data mining (as in most EU states under the InfoSoc list) to a markedly smaller share of data-mining research output (Handke et al. 2015).</t>
        </is>
      </c>
      <c r="I28" s="7" t="inlineStr">
        <is>
          <t>partially measured</t>
        </is>
      </c>
      <c r="J28" s="7" t="inlineStr">
        <is>
          <t>partially measured</t>
        </is>
      </c>
      <c r="K28" s="7" t="inlineStr">
        <is>
          <t>Handke, Guibault &amp; Vallbe 2015</t>
        </is>
      </c>
    </row>
    <row r="29">
      <c r="A29" s="7" t="n">
        <v>10</v>
      </c>
      <c r="B29" s="7" t="inlineStr">
        <is>
          <t>Radio Spectrum Decision</t>
        </is>
      </c>
      <c r="C29" s="7" t="inlineStr">
        <is>
          <t>52000PC0407</t>
        </is>
      </c>
      <c r="D29" s="7" t="inlineStr">
        <is>
          <t>note</t>
        </is>
      </c>
      <c r="E29" s="7" t="inlineStr">
        <is>
          <t>The 2000 proposal has no indicators section; Article 9 required annual Commission reports on spectrum developments</t>
        </is>
      </c>
      <c r="F29" s="7" t="inlineStr"/>
      <c r="G29" s="7" t="inlineStr"/>
      <c r="H29" s="7" t="inlineStr"/>
      <c r="I29" s="7" t="inlineStr"/>
      <c r="J29" s="7" t="inlineStr"/>
      <c r="K29" s="7" t="inlineStr"/>
    </row>
    <row r="30">
      <c r="A30" s="7" t="n">
        <v>10</v>
      </c>
      <c r="B30" s="7" t="inlineStr">
        <is>
          <t>Radio Spectrum Decision</t>
        </is>
      </c>
      <c r="C30" s="7" t="inlineStr">
        <is>
          <t>52000PC0407</t>
        </is>
      </c>
      <c r="D30" s="7" t="inlineStr">
        <is>
          <t>objective</t>
        </is>
      </c>
      <c r="E30" s="7" t="inlineStr">
        <is>
          <t>Harmonised spectrum availability</t>
        </is>
      </c>
      <c r="F30" s="7" t="inlineStr">
        <is>
          <t>Technical harmonisation decisions via the Radio Spectrum Committee</t>
        </is>
      </c>
      <c r="G30" s="7" t="inlineStr"/>
      <c r="H30" s="7" t="inlineStr">
        <is>
          <t>14 harmonisation decisions for wireless broadband 2007-2015; 990 MHz harmonised by 2014 and up to 1,268 MHz by 2015, more than other world regions; all measures put to the committee received a positive opinion.</t>
        </is>
      </c>
      <c r="I30" s="7" t="inlineStr">
        <is>
          <t>reported as activity</t>
        </is>
      </c>
      <c r="J30" s="7" t="inlineStr">
        <is>
          <t>reported as activity</t>
        </is>
      </c>
      <c r="K30" s="7" t="inlineStr">
        <is>
          <t>COM(2014) 228; SWD(2016) 313</t>
        </is>
      </c>
    </row>
    <row r="31">
      <c r="A31" s="7" t="n">
        <v>10</v>
      </c>
      <c r="B31" s="7" t="inlineStr">
        <is>
          <t>Radio Spectrum Decision</t>
        </is>
      </c>
      <c r="C31" s="7" t="inlineStr">
        <is>
          <t>52000PC0407</t>
        </is>
      </c>
      <c r="D31" s="7" t="inlineStr">
        <is>
          <t>target (RSPP 2012, built on the RSD)</t>
        </is>
      </c>
      <c r="E31" s="7" t="inlineStr">
        <is>
          <t>Wireless broadband spectrum</t>
        </is>
      </c>
      <c r="F31" s="7" t="inlineStr">
        <is>
          <t>At least 1,200 MHz for wireless broadband by 2015</t>
        </is>
      </c>
      <c r="G31" s="7" t="inlineStr">
        <is>
          <t>1,200 MHz</t>
        </is>
      </c>
      <c r="H31" s="7" t="inlineStr">
        <is>
          <t>Harmonised: about 1,268 MHz; but Member States had on average assigned only 708 MHz in 2015 (+77% since 2010).</t>
        </is>
      </c>
      <c r="I31" s="7" t="inlineStr">
        <is>
          <t>partially measured</t>
        </is>
      </c>
      <c r="J31" s="7" t="inlineStr">
        <is>
          <t>partially measured</t>
        </is>
      </c>
      <c r="K31" s="7" t="inlineStr">
        <is>
          <t>SWD(2016) 313</t>
        </is>
      </c>
    </row>
    <row r="32">
      <c r="A32" s="7" t="n">
        <v>10</v>
      </c>
      <c r="B32" s="7" t="inlineStr">
        <is>
          <t>Radio Spectrum Decision</t>
        </is>
      </c>
      <c r="C32" s="7" t="inlineStr">
        <is>
          <t>52000PC0407</t>
        </is>
      </c>
      <c r="D32" s="7" t="inlineStr">
        <is>
          <t>outcome (2026 IA)</t>
        </is>
      </c>
      <c r="E32" s="7" t="inlineStr">
        <is>
          <t>Timely assignment</t>
        </is>
      </c>
      <c r="F32" s="7" t="inlineStr">
        <is>
          <t>Coordinated availability of harmonised bands across Member States</t>
        </is>
      </c>
      <c r="G32" s="7" t="inlineStr">
        <is>
          <t>5G pioneer bands deadline 31 Dec 2020</t>
        </is>
      </c>
      <c r="H32" s="7" t="inlineStr">
        <is>
          <t>Assignment of 5G pioneer bands spanned over a decade; about half of Member States missed the 2020 deadline; Commission links late assignment to slower 5G coverage.</t>
        </is>
      </c>
      <c r="I32" s="7" t="inlineStr">
        <is>
          <t>measured</t>
        </is>
      </c>
      <c r="J32" s="7" t="inlineStr">
        <is>
          <t>measured</t>
        </is>
      </c>
      <c r="K32" s="7" t="inlineStr">
        <is>
          <t>SWD(2026) 13</t>
        </is>
      </c>
    </row>
    <row r="33">
      <c r="A33" s="7" t="n">
        <v>9</v>
      </c>
      <c r="B33" s="7" t="inlineStr">
        <is>
          <t>ePrivacy Directive</t>
        </is>
      </c>
      <c r="C33" s="7" t="inlineStr">
        <is>
          <t>52000PC0385</t>
        </is>
      </c>
      <c r="D33" s="7" t="inlineStr">
        <is>
          <t>note</t>
        </is>
      </c>
      <c r="E33" s="7" t="inlineStr">
        <is>
          <t>2000 proposal (COM(2000) 385) predates standard indicators sections; no quantified objectives or indicators were set</t>
        </is>
      </c>
      <c r="F33" s="7" t="inlineStr"/>
      <c r="G33" s="7" t="inlineStr"/>
      <c r="H33" s="7" t="inlineStr"/>
      <c r="I33" s="7" t="inlineStr"/>
      <c r="J33" s="7" t="inlineStr"/>
      <c r="K33" s="7" t="inlineStr"/>
    </row>
    <row r="34">
      <c r="A34" s="7" t="n">
        <v>9</v>
      </c>
      <c r="B34" s="7" t="inlineStr">
        <is>
          <t>ePrivacy Directive</t>
        </is>
      </c>
      <c r="C34" s="7" t="inlineStr">
        <is>
          <t>52000PC0385</t>
        </is>
      </c>
      <c r="D34" s="7" t="inlineStr">
        <is>
          <t>expected impact (evaluation criteria)</t>
        </is>
      </c>
      <c r="E34" s="7" t="inlineStr">
        <is>
          <t>Confidentiality of communications / user control (cookie rule)</t>
        </is>
      </c>
      <c r="F34" s="7" t="inlineStr">
        <is>
          <t>Effectiveness of consent rules</t>
        </is>
      </c>
      <c r="G34" s="7" t="inlineStr"/>
      <c r="H34" s="7" t="inlineStr">
        <is>
          <t>Commission REFIT evaluation (2017): cookie rule 'not fully effective' - users accept tracking without understanding it, some cookies set without consent; rule also over-inclusive for non-privacy-intrusive cookies.</t>
        </is>
      </c>
      <c r="I34" s="7" t="inlineStr">
        <is>
          <t>measured (qualitative) - not achieved</t>
        </is>
      </c>
      <c r="J34" s="7" t="inlineStr">
        <is>
          <t>measured</t>
        </is>
      </c>
      <c r="K34" s="7" t="inlineStr">
        <is>
          <t>SWD(2017) 5/6</t>
        </is>
      </c>
    </row>
    <row r="35">
      <c r="A35" s="7" t="n">
        <v>9</v>
      </c>
      <c r="B35" s="7" t="inlineStr">
        <is>
          <t>ePrivacy Directive</t>
        </is>
      </c>
      <c r="C35" s="7" t="inlineStr">
        <is>
          <t>52000PC0385</t>
        </is>
      </c>
      <c r="D35" s="7" t="inlineStr">
        <is>
          <t>expected impact (evaluation criteria)</t>
        </is>
      </c>
      <c r="E35" s="7" t="inlineStr">
        <is>
          <t>Efficiency</t>
        </is>
      </c>
      <c r="F35" s="7" t="inlineStr">
        <is>
          <t>Compliance costs</t>
        </is>
      </c>
      <c r="G35" s="7" t="inlineStr"/>
      <c r="H35" s="7" t="inlineStr">
        <is>
          <t>Supporting study estimates about EUR 658 per business; Commission notes robust cost data largely do not exist.</t>
        </is>
      </c>
      <c r="I35" s="7" t="inlineStr">
        <is>
          <t>partially measured</t>
        </is>
      </c>
      <c r="J35" s="7" t="inlineStr">
        <is>
          <t>partially measured</t>
        </is>
      </c>
      <c r="K35" s="7" t="inlineStr">
        <is>
          <t>SWD(2017) 6</t>
        </is>
      </c>
    </row>
    <row r="36">
      <c r="A36" s="7" t="n">
        <v>5</v>
      </c>
      <c r="B36" s="7" t="inlineStr">
        <is>
          <t>Community Design Regulation</t>
        </is>
      </c>
      <c r="C36" s="7" t="inlineStr">
        <is>
          <t>51993PC0342</t>
        </is>
      </c>
      <c r="D36" s="7" t="inlineStr">
        <is>
          <t>note</t>
        </is>
      </c>
      <c r="E36" s="7" t="inlineStr">
        <is>
          <t>The 1993 proposal has no indicators section</t>
        </is>
      </c>
      <c r="F36" s="7" t="inlineStr"/>
      <c r="G36" s="7" t="inlineStr"/>
      <c r="H36" s="7" t="inlineStr"/>
      <c r="I36" s="7" t="inlineStr"/>
      <c r="J36" s="7" t="inlineStr"/>
      <c r="K36" s="7" t="inlineStr"/>
    </row>
    <row r="37">
      <c r="A37" s="7" t="n">
        <v>5</v>
      </c>
      <c r="B37" s="7" t="inlineStr">
        <is>
          <t>Community Design Regulation</t>
        </is>
      </c>
      <c r="C37" s="7" t="inlineStr">
        <is>
          <t>51993PC0342</t>
        </is>
      </c>
      <c r="D37" s="7" t="inlineStr">
        <is>
          <t>objective</t>
        </is>
      </c>
      <c r="E37" s="7" t="inlineStr">
        <is>
          <t>Simple, affordable EU-wide design protection</t>
        </is>
      </c>
      <c r="F37" s="7" t="inlineStr">
        <is>
          <t>Unitary registered and unregistered Community design administered by EUIPO</t>
        </is>
      </c>
      <c r="G37" s="7" t="inlineStr"/>
      <c r="H37" s="7" t="inlineStr">
        <is>
          <t>Steady growth in filings (nearly 1.5m registered Community designs 2003-2019); 2020 evaluation: registration cheaper, simpler and faster than national routes, but system underused and partly outdated for digital designs.</t>
        </is>
      </c>
      <c r="I37" s="7" t="inlineStr">
        <is>
          <t>reported as activity</t>
        </is>
      </c>
      <c r="J37" s="7" t="inlineStr">
        <is>
          <t>reported as activity</t>
        </is>
      </c>
      <c r="K37" s="7" t="inlineStr">
        <is>
          <t>SWD(2020) 264; EUIPO design focus report 2010-2019 (via search)</t>
        </is>
      </c>
    </row>
    <row r="38">
      <c r="A38" s="7" t="n">
        <v>5</v>
      </c>
      <c r="B38" s="7" t="inlineStr">
        <is>
          <t>Community Design Regulation</t>
        </is>
      </c>
      <c r="C38" s="7" t="inlineStr">
        <is>
          <t>51993PC0342</t>
        </is>
      </c>
      <c r="D38" s="7" t="inlineStr">
        <is>
          <t>objective</t>
        </is>
      </c>
      <c r="E38" s="7" t="inlineStr">
        <is>
          <t>Single market for products embodying designs</t>
        </is>
      </c>
      <c r="F38" s="7" t="inlineStr">
        <is>
          <t>Undistorted competition</t>
        </is>
      </c>
      <c r="G38" s="7" t="inlineStr"/>
      <c r="H38" s="7" t="inlineStr">
        <is>
          <t>Broadly achieved except spare parts: 12 Member States liberalised, others keep manufacturers' monopoly; market fragmented.</t>
        </is>
      </c>
      <c r="I38" s="7" t="inlineStr">
        <is>
          <t>reported as activity</t>
        </is>
      </c>
      <c r="J38" s="7" t="inlineStr">
        <is>
          <t>reported as activity</t>
        </is>
      </c>
      <c r="K38" s="7" t="inlineStr">
        <is>
          <t>SWD(2020) 264; SWD(2022) 368</t>
        </is>
      </c>
    </row>
    <row r="39">
      <c r="A39" s="7" t="n">
        <v>5</v>
      </c>
      <c r="B39" s="7" t="inlineStr">
        <is>
          <t>Community Design Regulation</t>
        </is>
      </c>
      <c r="C39" s="7" t="inlineStr">
        <is>
          <t>51993PC0342</t>
        </is>
      </c>
      <c r="D39" s="7" t="inlineStr">
        <is>
          <t>expected impact (2022 IA)</t>
        </is>
      </c>
      <c r="E39" s="7" t="inlineStr">
        <is>
          <t>Spare parts liberalisation and fee cuts</t>
        </is>
      </c>
      <c r="F39" s="7" t="inlineStr">
        <is>
          <t>Consumer savings from opening must-match spare parts market; fee savings</t>
        </is>
      </c>
      <c r="G39" s="7" t="inlineStr">
        <is>
          <t>EUR 340-544m consumer savings after 10 years; EUR 6m/yr fee savings</t>
        </is>
      </c>
      <c r="H39" s="7" t="inlineStr">
        <is>
          <t>Reform adopted 2024; not yet evaluated.</t>
        </is>
      </c>
      <c r="I39" s="7" t="inlineStr">
        <is>
          <t>not measured</t>
        </is>
      </c>
      <c r="J39" s="7" t="inlineStr">
        <is>
          <t>not measured</t>
        </is>
      </c>
      <c r="K39" s="7" t="inlineStr">
        <is>
          <t>SWD(2022) 368</t>
        </is>
      </c>
    </row>
    <row r="40">
      <c r="A40" s="7" t="n">
        <v>12</v>
      </c>
      <c r="B40" s="7" t="inlineStr">
        <is>
          <t>IPR Enforcement Directive</t>
        </is>
      </c>
      <c r="C40" s="7" t="inlineStr">
        <is>
          <t>52003PC0046</t>
        </is>
      </c>
      <c r="D40" s="7" t="inlineStr">
        <is>
          <t>note</t>
        </is>
      </c>
      <c r="E40" s="7" t="inlineStr">
        <is>
          <t>The 2003 proposal has no indicators section; Article 18 required a Commission report three years after transposition</t>
        </is>
      </c>
      <c r="F40" s="7" t="inlineStr"/>
      <c r="G40" s="7" t="inlineStr"/>
      <c r="H40" s="7" t="inlineStr"/>
      <c r="I40" s="7" t="inlineStr"/>
      <c r="J40" s="7" t="inlineStr"/>
      <c r="K40" s="7" t="inlineStr"/>
    </row>
    <row r="41">
      <c r="A41" s="7" t="n">
        <v>12</v>
      </c>
      <c r="B41" s="7" t="inlineStr">
        <is>
          <t>IPR Enforcement Directive</t>
        </is>
      </c>
      <c r="C41" s="7" t="inlineStr">
        <is>
          <t>52003PC0046</t>
        </is>
      </c>
      <c r="D41" s="7" t="inlineStr">
        <is>
          <t>objective</t>
        </is>
      </c>
      <c r="E41" s="7" t="inlineStr">
        <is>
          <t>Effective civil enforcement of IP rights</t>
        </is>
      </c>
      <c r="F41" s="7" t="inlineStr">
        <is>
          <t>Harmonised measures: evidence, right of information, injunctions, damages, legal costs</t>
        </is>
      </c>
      <c r="G41" s="7" t="inlineStr"/>
      <c r="H41" s="7" t="inlineStr">
        <is>
          <t>2010 report: 'substantial and positive effect'. 2017 evaluation: improved enforcement conceptually, but econometric models found no statistically measurable effect on litigation indicators; application diverges across courts.</t>
        </is>
      </c>
      <c r="I41" s="7" t="inlineStr">
        <is>
          <t>mixed evidence</t>
        </is>
      </c>
      <c r="J41" s="7" t="inlineStr">
        <is>
          <t>mixed evidence</t>
        </is>
      </c>
      <c r="K41" s="7" t="inlineStr">
        <is>
          <t>COM(2010) 779; SWD(2017) 431</t>
        </is>
      </c>
    </row>
    <row r="42">
      <c r="A42" s="7" t="n">
        <v>12</v>
      </c>
      <c r="B42" s="7" t="inlineStr">
        <is>
          <t>IPR Enforcement Directive</t>
        </is>
      </c>
      <c r="C42" s="7" t="inlineStr">
        <is>
          <t>52003PC0046</t>
        </is>
      </c>
      <c r="D42" s="7" t="inlineStr">
        <is>
          <t>outcome</t>
        </is>
      </c>
      <c r="E42" s="7" t="inlineStr">
        <is>
          <t>Reduce infringement (piracy, counterfeiting)</t>
        </is>
      </c>
      <c r="F42" s="7" t="inlineStr"/>
      <c r="G42" s="7" t="inlineStr"/>
      <c r="H42" s="7" t="inlineStr">
        <is>
          <t>Sweden's 2009 implementation cut internet traffic 18% and raised music sales (physical +27%, digital +48%) over six months, with no effect on films; effects faded later. Commission notes counterfeiting still rising EU-wide.</t>
        </is>
      </c>
      <c r="I42" s="7" t="inlineStr">
        <is>
          <t>partially measured</t>
        </is>
      </c>
      <c r="J42" s="7" t="inlineStr">
        <is>
          <t>partially measured</t>
        </is>
      </c>
      <c r="K42" s="7" t="inlineStr">
        <is>
          <t>Adermon &amp; Liang 2014; SWD(2017) 431</t>
        </is>
      </c>
    </row>
    <row r="43">
      <c r="A43" s="7" t="n">
        <v>12</v>
      </c>
      <c r="B43" s="7" t="inlineStr">
        <is>
          <t>IPR Enforcement Directive</t>
        </is>
      </c>
      <c r="C43" s="7" t="inlineStr">
        <is>
          <t>52003PC0046</t>
        </is>
      </c>
      <c r="D43" s="7" t="inlineStr">
        <is>
          <t>cost (evaluation)</t>
        </is>
      </c>
      <c r="E43" s="7" t="inlineStr">
        <is>
          <t>No undue burden</t>
        </is>
      </c>
      <c r="F43" s="7" t="inlineStr"/>
      <c r="G43" s="7" t="inlineStr"/>
      <c r="H43" s="7" t="inlineStr">
        <is>
          <t>Evaluation study found no incremental direct costs from the Directive; average firm spends about EUR 115,000 a year on IP enforcement overall.</t>
        </is>
      </c>
      <c r="I43" s="7" t="inlineStr">
        <is>
          <t>measured</t>
        </is>
      </c>
      <c r="J43" s="7" t="inlineStr">
        <is>
          <t>measured</t>
        </is>
      </c>
      <c r="K43" s="7" t="inlineStr">
        <is>
          <t>SWD(2017) 431</t>
        </is>
      </c>
    </row>
    <row r="44">
      <c r="A44" s="7" t="n">
        <v>11</v>
      </c>
      <c r="B44" s="7" t="inlineStr">
        <is>
          <t>EC Merger Regulation</t>
        </is>
      </c>
      <c r="C44" s="7" t="inlineStr">
        <is>
          <t>COM(2002) 711</t>
        </is>
      </c>
      <c r="D44" s="7" t="inlineStr">
        <is>
          <t>note</t>
        </is>
      </c>
      <c r="E44" s="7" t="inlineStr">
        <is>
          <t>The recast proposal (COM(2002) 711, following Green Paper COM(2001) 745) predates the financial-statement indicator system and set no quantified targets. Article 1(4)-(5) required a Commission report on thresholds and referrals (delivered as COM(2009) 281)</t>
        </is>
      </c>
      <c r="F44" s="7" t="inlineStr"/>
      <c r="G44" s="7" t="inlineStr"/>
      <c r="H44" s="7" t="inlineStr"/>
      <c r="I44" s="7" t="inlineStr"/>
      <c r="J44" s="7" t="inlineStr"/>
      <c r="K44" s="7" t="inlineStr"/>
    </row>
    <row r="45">
      <c r="A45" s="7" t="n">
        <v>11</v>
      </c>
      <c r="B45" s="7" t="inlineStr">
        <is>
          <t>EC Merger Regulation</t>
        </is>
      </c>
      <c r="C45" s="7" t="inlineStr">
        <is>
          <t>COM(2002) 711</t>
        </is>
      </c>
      <c r="D45" s="7" t="inlineStr">
        <is>
          <t>objective (proposal / recitals)</t>
        </is>
      </c>
      <c r="E45" s="7" t="inlineStr">
        <is>
          <t>Prevent concentrations that significantly impede effective competition (SIEC test)</t>
        </is>
      </c>
      <c r="F45" s="7" t="inlineStr">
        <is>
          <t>Avoided price increases / reversal of market-power gains</t>
        </is>
      </c>
      <c r="G45" s="7" t="inlineStr"/>
      <c r="H45" s="7" t="inlineStr">
        <is>
          <t>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is>
      </c>
      <c r="I45" s="7" t="inlineStr">
        <is>
          <t>mixed evidence</t>
        </is>
      </c>
      <c r="J45" s="7" t="inlineStr">
        <is>
          <t>mixed evidence</t>
        </is>
      </c>
      <c r="K45" s="7" t="inlineStr">
        <is>
          <t>Verouden et al. 2026; Duso et al. 2011; Genakos et al. 2018; Affeldt et al. 2021</t>
        </is>
      </c>
    </row>
    <row r="46">
      <c r="A46" s="7" t="n">
        <v>11</v>
      </c>
      <c r="B46" s="7" t="inlineStr">
        <is>
          <t>EC Merger Regulation</t>
        </is>
      </c>
      <c r="C46" s="7" t="inlineStr">
        <is>
          <t>COM(2002) 711</t>
        </is>
      </c>
      <c r="D46" s="7" t="inlineStr">
        <is>
          <t>objective (proposal / recitals)</t>
        </is>
      </c>
      <c r="E46" s="7" t="inlineStr">
        <is>
          <t>One-stop shop and efficient case allocation via referrals</t>
        </is>
      </c>
      <c r="F46" s="7" t="inlineStr"/>
      <c r="G46" s="7" t="inlineStr"/>
      <c r="H46" s="7" t="inlineStr">
        <is>
          <t>2021 evaluation: referral mechanisms 'generally served their objectives well', avoiding many parallel national reviews; 2009 report found thresholds and referrals broadly effective.</t>
        </is>
      </c>
      <c r="I46" s="7" t="inlineStr">
        <is>
          <t>reported as activity</t>
        </is>
      </c>
      <c r="J46" s="7" t="inlineStr">
        <is>
          <t>reported as activity</t>
        </is>
      </c>
      <c r="K46" s="7" t="inlineStr">
        <is>
          <t>SWD(2021) 66/67; COM(2009) 281</t>
        </is>
      </c>
    </row>
    <row r="47">
      <c r="A47" s="7" t="n">
        <v>11</v>
      </c>
      <c r="B47" s="7" t="inlineStr">
        <is>
          <t>EC Merger Regulation</t>
        </is>
      </c>
      <c r="C47" s="7" t="inlineStr">
        <is>
          <t>COM(2002) 711</t>
        </is>
      </c>
      <c r="D47" s="7" t="inlineStr">
        <is>
          <t>objective (2013 simplification)</t>
        </is>
      </c>
      <c r="E47" s="7" t="inlineStr">
        <is>
          <t>Reduce administrative burden</t>
        </is>
      </c>
      <c r="F47" s="7" t="inlineStr">
        <is>
          <t>Share of cases under simplified procedure; burden on parties</t>
        </is>
      </c>
      <c r="G47" s="7" t="inlineStr"/>
      <c r="H47" s="7" t="inlineStr">
        <is>
          <t>2021 evaluation found the 2013 simplification package increased use of the simplified procedure and reduced burden, without quantified savings in the executive summary.</t>
        </is>
      </c>
      <c r="I47" s="7" t="inlineStr">
        <is>
          <t>partially measured</t>
        </is>
      </c>
      <c r="J47" s="7" t="inlineStr">
        <is>
          <t>partially measured</t>
        </is>
      </c>
      <c r="K47" s="7" t="inlineStr">
        <is>
          <t>SWD(2021) 66/67</t>
        </is>
      </c>
    </row>
    <row r="48">
      <c r="A48" s="7" t="n">
        <v>11</v>
      </c>
      <c r="B48" s="7" t="inlineStr">
        <is>
          <t>EC Merger Regulation</t>
        </is>
      </c>
      <c r="C48" s="7" t="inlineStr">
        <is>
          <t>COM(2002) 711</t>
        </is>
      </c>
      <c r="D48" s="7" t="inlineStr">
        <is>
          <t>objective</t>
        </is>
      </c>
      <c r="E48" s="7" t="inlineStr">
        <is>
          <t>Jurisdiction captures all significant concentrations</t>
        </is>
      </c>
      <c r="F48" s="7" t="inlineStr">
        <is>
          <t>Below-threshold acquisitions of innovative/nascent firms ('killer acquisitions')</t>
        </is>
      </c>
      <c r="G48" s="7" t="inlineStr"/>
      <c r="H48" s="7" t="inlineStr">
        <is>
          <t>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is>
      </c>
      <c r="I48" s="7" t="inlineStr">
        <is>
          <t>mixed evidence</t>
        </is>
      </c>
      <c r="J48" s="7" t="inlineStr">
        <is>
          <t>mixed evidence</t>
        </is>
      </c>
      <c r="K48" s="7" t="inlineStr">
        <is>
          <t>SWD(2021) 66/67; CJEU C-611/22 P; Cunningham et al. 2021</t>
        </is>
      </c>
    </row>
    <row r="49">
      <c r="A49" s="7" t="n">
        <v>13</v>
      </c>
      <c r="B49" s="7" t="inlineStr">
        <is>
          <t>Unfair Commercial Practices Directive</t>
        </is>
      </c>
      <c r="C49" s="7" t="inlineStr">
        <is>
          <t>52003PC0356</t>
        </is>
      </c>
      <c r="D49" s="7" t="inlineStr">
        <is>
          <t>note</t>
        </is>
      </c>
      <c r="E49" s="7" t="inlineStr">
        <is>
          <t>The 2003 UCPD proposal predates the legislative financial statement indicator sections; it set no monitoring indicators. The extended impact assessment framed success as more cross-border marketing and shopping and greater consumer confidence</t>
        </is>
      </c>
      <c r="F49" s="7" t="inlineStr"/>
      <c r="G49" s="7" t="inlineStr"/>
      <c r="H49" s="7" t="inlineStr"/>
      <c r="I49" s="7" t="inlineStr"/>
      <c r="J49" s="7" t="inlineStr"/>
      <c r="K49" s="7" t="inlineStr"/>
    </row>
    <row r="50">
      <c r="A50" s="7" t="n">
        <v>13</v>
      </c>
      <c r="B50" s="7" t="inlineStr">
        <is>
          <t>Unfair Commercial Practices Directive</t>
        </is>
      </c>
      <c r="C50" s="7" t="inlineStr">
        <is>
          <t>52003PC0356</t>
        </is>
      </c>
      <c r="D50" s="7" t="inlineStr">
        <is>
          <t>expected impact (impact assessment)</t>
        </is>
      </c>
      <c r="E50" s="7" t="inlineStr">
        <is>
          <t>Internal market / consumer confidence</t>
        </is>
      </c>
      <c r="F50" s="7" t="inlineStr">
        <is>
          <t>More consumers buying cross-border and more firms marketing cross-border by replacing fragmented national fairness rules</t>
        </is>
      </c>
      <c r="G50" s="7" t="inlineStr">
        <is>
          <t>Baseline: 13% of consumers made a cross-border purchase in the previous 12 months (Eurobarometer 2002)</t>
        </is>
      </c>
      <c r="H50" s="7" t="inlineStr">
        <is>
          <t>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is>
      </c>
      <c r="I50" s="7" t="inlineStr">
        <is>
          <t>partially measured</t>
        </is>
      </c>
      <c r="J50" s="7" t="inlineStr">
        <is>
          <t>partially measured</t>
        </is>
      </c>
      <c r="K50" s="7" t="inlineStr">
        <is>
          <t>SEC(2003) 724; Rösner, Haucap &amp; Heimeshoff 2020; COM(2013) 139; Eurostat isoc_ec_ibos</t>
        </is>
      </c>
    </row>
    <row r="51">
      <c r="A51" s="7" t="n">
        <v>13</v>
      </c>
      <c r="B51" s="7" t="inlineStr">
        <is>
          <t>Unfair Commercial Practices Directive</t>
        </is>
      </c>
      <c r="C51" s="7" t="inlineStr">
        <is>
          <t>52003PC0356</t>
        </is>
      </c>
      <c r="D51" s="7" t="inlineStr">
        <is>
          <t>expected impact (impact assessment)</t>
        </is>
      </c>
      <c r="E51" s="7" t="inlineStr">
        <is>
          <t>Consumer protection</t>
        </is>
      </c>
      <c r="F51" s="7" t="inlineStr">
        <is>
          <t>Fewer unfair (misleading/aggressive) practices and lower consumer detriment</t>
        </is>
      </c>
      <c r="G51" s="7" t="inlineStr"/>
      <c r="H51" s="7" t="inlineStr">
        <is>
          <t>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is>
      </c>
      <c r="I51" s="7" t="inlineStr">
        <is>
          <t>measured (outcome not improving online)</t>
        </is>
      </c>
      <c r="J51" s="7" t="inlineStr">
        <is>
          <t>measured</t>
        </is>
      </c>
      <c r="K51" s="7" t="inlineStr">
        <is>
          <t>SWD(2024) 230/231; Lupiáñez-Villanueva et al. 2022; CPC sweep 2023; COM(2013) 139</t>
        </is>
      </c>
    </row>
    <row r="52">
      <c r="A52" s="7" t="n">
        <v>13</v>
      </c>
      <c r="B52" s="7" t="inlineStr">
        <is>
          <t>Unfair Commercial Practices Directive</t>
        </is>
      </c>
      <c r="C52" s="7" t="inlineStr">
        <is>
          <t>52003PC0356</t>
        </is>
      </c>
      <c r="D52" s="7" t="inlineStr">
        <is>
          <t>expected impact (impact assessment)</t>
        </is>
      </c>
      <c r="E52" s="7" t="inlineStr">
        <is>
          <t>Burden on business</t>
        </is>
      </c>
      <c r="F52" s="7" t="inlineStr">
        <is>
          <t>Simpler regulatory environment, lower compliance costs for cross-border traders</t>
        </is>
      </c>
      <c r="G52" s="7" t="inlineStr"/>
      <c r="H52" s="7" t="inlineStr">
        <is>
          <t>2017 Fitness Check judged compliance costs very proportionate, including for SMEs. 2024 Fitness Check estimates adjustment and administrative costs of the three core consumer directives at about EUR 511-737m a year EU-wide; only 10-18% of traders report high costs.</t>
        </is>
      </c>
      <c r="I52" s="7" t="inlineStr">
        <is>
          <t>partially measured</t>
        </is>
      </c>
      <c r="J52" s="7" t="inlineStr">
        <is>
          <t>partially measured</t>
        </is>
      </c>
      <c r="K52" s="7" t="inlineStr">
        <is>
          <t>SWD(2017) 209 (REFIT scoreboard); SWD(2024) 231</t>
        </is>
      </c>
    </row>
    <row r="53">
      <c r="A53" s="7" t="n">
        <v>13</v>
      </c>
      <c r="B53" s="7" t="inlineStr">
        <is>
          <t>Unfair Commercial Practices Directive</t>
        </is>
      </c>
      <c r="C53" s="7" t="inlineStr">
        <is>
          <t>52003PC0356</t>
        </is>
      </c>
      <c r="D53" s="7" t="inlineStr">
        <is>
          <t>expected impact (impact assessment)</t>
        </is>
      </c>
      <c r="E53" s="7" t="inlineStr">
        <is>
          <t>Enforcement</t>
        </is>
      </c>
      <c r="F53" s="7" t="inlineStr">
        <is>
          <t>Effective and consistent enforcement across Member States</t>
        </is>
      </c>
      <c r="G53" s="7" t="inlineStr"/>
      <c r="H53" s="7" t="inlineStr">
        <is>
          <t>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is>
      </c>
      <c r="I53" s="7" t="inlineStr">
        <is>
          <t>reported as activity</t>
        </is>
      </c>
      <c r="J53" s="7" t="inlineStr">
        <is>
          <t>reported as activity</t>
        </is>
      </c>
      <c r="K53" s="7" t="inlineStr">
        <is>
          <t>SWD(2024) 231; COM(2024) 258</t>
        </is>
      </c>
    </row>
    <row r="54">
      <c r="A54" s="7" t="n">
        <v>14</v>
      </c>
      <c r="B54" s="7" t="inlineStr">
        <is>
          <t>Common VAT system Directive</t>
        </is>
      </c>
      <c r="C54" s="7" t="inlineStr">
        <is>
          <t>52004PC0246</t>
        </is>
      </c>
      <c r="D54" s="7" t="inlineStr">
        <is>
          <t>note</t>
        </is>
      </c>
      <c r="E54" s="7" t="inlineStr">
        <is>
          <t>The 2004 proposal was a recast of the Sixth VAT Directive with no indicators; evidence concerns later digital amendments (e-services 2015, e-commerce package 2021, VAT in the Digital Age 2025)</t>
        </is>
      </c>
      <c r="F54" s="7" t="inlineStr"/>
      <c r="G54" s="7" t="inlineStr"/>
      <c r="H54" s="7" t="inlineStr"/>
      <c r="I54" s="7" t="inlineStr"/>
      <c r="J54" s="7" t="inlineStr"/>
      <c r="K54" s="7" t="inlineStr"/>
    </row>
    <row r="55">
      <c r="A55" s="7" t="n">
        <v>14</v>
      </c>
      <c r="B55" s="7" t="inlineStr">
        <is>
          <t>Common VAT system Directive</t>
        </is>
      </c>
      <c r="C55" s="7" t="inlineStr">
        <is>
          <t>52004PC0246</t>
        </is>
      </c>
      <c r="D55" s="7" t="inlineStr">
        <is>
          <t>expected impact (2016 IA)</t>
        </is>
      </c>
      <c r="E55" s="7" t="inlineStr">
        <is>
          <t>E-commerce VAT: revenue and compliance</t>
        </is>
      </c>
      <c r="F55" s="7" t="inlineStr">
        <is>
          <t>Extend one-stop shop, abolish EUR 22 import exemption</t>
        </is>
      </c>
      <c r="G55" s="7" t="inlineStr">
        <is>
          <t>Status quo losses EUR 7bn/yr by 2020; preferred option cuts business VAT admin burden 42% (EUR 1.8bn)</t>
        </is>
      </c>
      <c r="H55" s="7" t="inlineStr">
        <is>
          <t>OSS/IOSS VAT declared rose from EUR 26.3bn (2023) to EUR 33.1bn (2024), about EUR 88bn in 2021-2024; MOSS for e-services collected about EUR 3bn in 2015 and saved firms ~EUR 500m. Revenue is gross collection through the schemes, not a net causal effect.</t>
        </is>
      </c>
      <c r="I55" s="7" t="inlineStr">
        <is>
          <t>partially measured</t>
        </is>
      </c>
      <c r="J55" s="7" t="inlineStr">
        <is>
          <t>partially measured</t>
        </is>
      </c>
      <c r="K55" s="7" t="inlineStr">
        <is>
          <t>SWD(2016) 379; Commission OSS report 2025</t>
        </is>
      </c>
    </row>
    <row r="56">
      <c r="A56" s="7" t="n">
        <v>14</v>
      </c>
      <c r="B56" s="7" t="inlineStr">
        <is>
          <t>Common VAT system Directive</t>
        </is>
      </c>
      <c r="C56" s="7" t="inlineStr">
        <is>
          <t>52004PC0246</t>
        </is>
      </c>
      <c r="D56" s="7" t="inlineStr">
        <is>
          <t>expected impact (2022 IA)</t>
        </is>
      </c>
      <c r="E56" s="7" t="inlineStr">
        <is>
          <t>VAT in the Digital Age</t>
        </is>
      </c>
      <c r="F56" s="7" t="inlineStr">
        <is>
          <t>Digital reporting, platform deemed supplier, single registration</t>
        </is>
      </c>
      <c r="G56" s="7" t="inlineStr">
        <is>
          <t>Net impact EUR 172-214bn 2023-2032; extra VAT EUR 135-177bn; business savings EUR 50.6bn</t>
        </is>
      </c>
      <c r="H56" s="7" t="inlineStr">
        <is>
          <t>Adopted 2025; phased in to 2035; not yet measured.</t>
        </is>
      </c>
      <c r="I56" s="7" t="inlineStr">
        <is>
          <t>not measured</t>
        </is>
      </c>
      <c r="J56" s="7" t="inlineStr">
        <is>
          <t>not measured</t>
        </is>
      </c>
      <c r="K56" s="7" t="inlineStr">
        <is>
          <t>SWD(2022) 393</t>
        </is>
      </c>
    </row>
    <row r="57">
      <c r="A57" s="7" t="n">
        <v>14</v>
      </c>
      <c r="B57" s="7" t="inlineStr">
        <is>
          <t>Common VAT system Directive</t>
        </is>
      </c>
      <c r="C57" s="7" t="inlineStr">
        <is>
          <t>52004PC0246</t>
        </is>
      </c>
      <c r="D57" s="7" t="inlineStr">
        <is>
          <t>outcome (independent research)</t>
        </is>
      </c>
      <c r="E57" s="7" t="inlineStr">
        <is>
          <t>Pass-through of VAT to consumer prices</t>
        </is>
      </c>
      <c r="F57" s="7" t="inlineStr"/>
      <c r="G57" s="7" t="inlineStr"/>
      <c r="H57" s="7" t="inlineStr">
        <is>
          <t>Using EU VAT changes 1996-2015, prices respond about twice as much to VAT increases as to decreases.</t>
        </is>
      </c>
      <c r="I57" s="7" t="inlineStr">
        <is>
          <t>measured</t>
        </is>
      </c>
      <c r="J57" s="7" t="inlineStr">
        <is>
          <t>measured</t>
        </is>
      </c>
      <c r="K57" s="7" t="inlineStr">
        <is>
          <t>Benzarti et al. 2020</t>
        </is>
      </c>
    </row>
    <row r="58">
      <c r="A58" s="7" t="n">
        <v>17</v>
      </c>
      <c r="B58" s="7" t="inlineStr">
        <is>
          <t>Toys Safety Directive</t>
        </is>
      </c>
      <c r="C58" s="7" t="inlineStr">
        <is>
          <t>52008PC0009</t>
        </is>
      </c>
      <c r="D58" s="7" t="inlineStr">
        <is>
          <t>note</t>
        </is>
      </c>
      <c r="E58" s="7" t="inlineStr">
        <is>
          <t>The 2008 proposal has no indicators section; the 2020 evaluation notes the Directive set no monitoring indicators, so data are incomplete and not comparable</t>
        </is>
      </c>
      <c r="F58" s="7" t="inlineStr"/>
      <c r="G58" s="7" t="inlineStr"/>
      <c r="H58" s="7" t="inlineStr"/>
      <c r="I58" s="7" t="inlineStr"/>
      <c r="J58" s="7" t="inlineStr"/>
      <c r="K58" s="7" t="inlineStr"/>
    </row>
    <row r="59">
      <c r="A59" s="7" t="n">
        <v>17</v>
      </c>
      <c r="B59" s="7" t="inlineStr">
        <is>
          <t>Toys Safety Directive</t>
        </is>
      </c>
      <c r="C59" s="7" t="inlineStr">
        <is>
          <t>52008PC0009</t>
        </is>
      </c>
      <c r="D59" s="7" t="inlineStr">
        <is>
          <t>objective (2008 IA)</t>
        </is>
      </c>
      <c r="E59" s="7" t="inlineStr">
        <is>
          <t>Child safety</t>
        </is>
      </c>
      <c r="F59" s="7" t="inlineStr">
        <is>
          <t>Stricter chemical and other safety requirements; fewer accidents</t>
        </is>
      </c>
      <c r="G59" s="7" t="inlineStr"/>
      <c r="H59" s="7" t="inlineStr">
        <is>
          <t>No data on accidents or injuries; one in three toy samples inspected by market surveillance is non-compliant; chemical limits judged deficient (age limit 36 months, CMR derogations).</t>
        </is>
      </c>
      <c r="I59" s="7" t="inlineStr">
        <is>
          <t>not measured</t>
        </is>
      </c>
      <c r="J59" s="7" t="inlineStr">
        <is>
          <t>not measured</t>
        </is>
      </c>
      <c r="K59" s="7" t="inlineStr">
        <is>
          <t>SWD(2020) 287</t>
        </is>
      </c>
    </row>
    <row r="60">
      <c r="A60" s="7" t="n">
        <v>17</v>
      </c>
      <c r="B60" s="7" t="inlineStr">
        <is>
          <t>Toys Safety Directive</t>
        </is>
      </c>
      <c r="C60" s="7" t="inlineStr">
        <is>
          <t>52008PC0009</t>
        </is>
      </c>
      <c r="D60" s="7" t="inlineStr">
        <is>
          <t>objective (2008 IA)</t>
        </is>
      </c>
      <c r="E60" s="7" t="inlineStr">
        <is>
          <t>Internal market</t>
        </is>
      </c>
      <c r="F60" s="7" t="inlineStr">
        <is>
          <t>Free movement of toys</t>
        </is>
      </c>
      <c r="G60" s="7" t="inlineStr"/>
      <c r="H60" s="7" t="inlineStr">
        <is>
          <t>Intra-EU toy exports rose about 60% after full application in 2013; number of toy companies +10% in 5 years (not attributed causally).</t>
        </is>
      </c>
      <c r="I60" s="7" t="inlineStr">
        <is>
          <t>partially measured</t>
        </is>
      </c>
      <c r="J60" s="7" t="inlineStr">
        <is>
          <t>partially measured</t>
        </is>
      </c>
      <c r="K60" s="7" t="inlineStr">
        <is>
          <t>SWD(2020) 287</t>
        </is>
      </c>
    </row>
    <row r="61">
      <c r="A61" s="7" t="n">
        <v>17</v>
      </c>
      <c r="B61" s="7" t="inlineStr">
        <is>
          <t>Toys Safety Directive</t>
        </is>
      </c>
      <c r="C61" s="7" t="inlineStr">
        <is>
          <t>52008PC0009</t>
        </is>
      </c>
      <c r="D61" s="7" t="inlineStr">
        <is>
          <t>cost (evaluation)</t>
        </is>
      </c>
      <c r="E61" s="7" t="inlineStr">
        <is>
          <t>Proportionate costs</t>
        </is>
      </c>
      <c r="F61" s="7" t="inlineStr"/>
      <c r="G61" s="7" t="inlineStr"/>
      <c r="H61" s="7" t="inlineStr">
        <is>
          <t>One-off costs about 2% of annual turnover, recovered within about 3 years; recurring costs ~7% higher than predecessor; adaptations ~1% of turnover.</t>
        </is>
      </c>
      <c r="I61" s="7" t="inlineStr">
        <is>
          <t>measured</t>
        </is>
      </c>
      <c r="J61" s="7" t="inlineStr">
        <is>
          <t>measured</t>
        </is>
      </c>
      <c r="K61" s="7" t="inlineStr">
        <is>
          <t>SWD(2020) 287</t>
        </is>
      </c>
    </row>
    <row r="62">
      <c r="A62" s="7" t="n">
        <v>17</v>
      </c>
      <c r="B62" s="7" t="inlineStr">
        <is>
          <t>Toys Safety Directive</t>
        </is>
      </c>
      <c r="C62" s="7" t="inlineStr">
        <is>
          <t>52008PC0009</t>
        </is>
      </c>
      <c r="D62" s="7" t="inlineStr">
        <is>
          <t>expected impact (2023 IA)</t>
        </is>
      </c>
      <c r="E62" s="7" t="inlineStr">
        <is>
          <t>Replacement Toy Safety Regulation</t>
        </is>
      </c>
      <c r="F62" s="7" t="inlineStr">
        <is>
          <t>Generic bans on most harmful chemicals; digital product passport</t>
        </is>
      </c>
      <c r="G62" s="7" t="inlineStr">
        <is>
          <t>Health benefits EUR 240m-1.2bn/yr (endocrine disruptors alone); one-off costs EUR 23.5-397m</t>
        </is>
      </c>
      <c r="H62" s="7" t="inlineStr">
        <is>
          <t>Not yet applicable.</t>
        </is>
      </c>
      <c r="I62" s="7" t="inlineStr">
        <is>
          <t>not measured</t>
        </is>
      </c>
      <c r="J62" s="7" t="inlineStr">
        <is>
          <t>not measured</t>
        </is>
      </c>
      <c r="K62" s="7" t="inlineStr">
        <is>
          <t>SWD(2023) 269</t>
        </is>
      </c>
    </row>
    <row r="63">
      <c r="A63" s="7" t="n">
        <v>16</v>
      </c>
      <c r="B63" s="7" t="inlineStr">
        <is>
          <t>European Statistics Regulation</t>
        </is>
      </c>
      <c r="C63" s="7" t="inlineStr">
        <is>
          <t>52007PC0625</t>
        </is>
      </c>
      <c r="D63" s="7" t="inlineStr">
        <is>
          <t>note</t>
        </is>
      </c>
      <c r="E63" s="7" t="inlineStr">
        <is>
          <t>The 2007 proposal has no indicators section; monitoring relies on the Code of Practice peer reviews and statistical programme evaluations</t>
        </is>
      </c>
      <c r="F63" s="7" t="inlineStr"/>
      <c r="G63" s="7" t="inlineStr"/>
      <c r="H63" s="7" t="inlineStr"/>
      <c r="I63" s="7" t="inlineStr"/>
      <c r="J63" s="7" t="inlineStr"/>
      <c r="K63" s="7" t="inlineStr"/>
    </row>
    <row r="64">
      <c r="A64" s="7" t="n">
        <v>16</v>
      </c>
      <c r="B64" s="7" t="inlineStr">
        <is>
          <t>European Statistics Regulation</t>
        </is>
      </c>
      <c r="C64" s="7" t="inlineStr">
        <is>
          <t>52007PC0625</t>
        </is>
      </c>
      <c r="D64" s="7" t="inlineStr">
        <is>
          <t>objective</t>
        </is>
      </c>
      <c r="E64" s="7" t="inlineStr">
        <is>
          <t>Reliable, independent European statistics</t>
        </is>
      </c>
      <c r="F64" s="7" t="inlineStr">
        <is>
          <t>Compliance with the European Statistics Code of Practice</t>
        </is>
      </c>
      <c r="G64" s="7" t="inlineStr"/>
      <c r="H64" s="7" t="inlineStr">
        <is>
          <t>ECA 2012: Code not yet fully implemented, weak verification and enforcement. 2013-15 peer reviews: 707 recommendations (65 to achieve compliance), professional independence a recurring issue.</t>
        </is>
      </c>
      <c r="I64" s="7" t="inlineStr">
        <is>
          <t>partially measured</t>
        </is>
      </c>
      <c r="J64" s="7" t="inlineStr">
        <is>
          <t>partially measured</t>
        </is>
      </c>
      <c r="K64" s="7" t="inlineStr">
        <is>
          <t>ECA SR 12/2012; COM(2016) 114</t>
        </is>
      </c>
    </row>
    <row r="65">
      <c r="A65" s="7" t="n">
        <v>16</v>
      </c>
      <c r="B65" s="7" t="inlineStr">
        <is>
          <t>European Statistics Regulation</t>
        </is>
      </c>
      <c r="C65" s="7" t="inlineStr">
        <is>
          <t>52007PC0625</t>
        </is>
      </c>
      <c r="D65" s="7" t="inlineStr">
        <is>
          <t>expected impact (2023 IA, amendment)</t>
        </is>
      </c>
      <c r="E65" s="7" t="inlineStr">
        <is>
          <t>Timely statistics using new data sources</t>
        </is>
      </c>
      <c r="F65" s="7" t="inlineStr">
        <is>
          <t>Access to privately held and administrative data; crisis response</t>
        </is>
      </c>
      <c r="G65" s="7" t="inlineStr">
        <is>
          <t>Benefits EUR 1.5bn/yr (EUR 577m to business) vs costs EUR 757m/yr</t>
        </is>
      </c>
      <c r="H65" s="7" t="inlineStr">
        <is>
          <t>Amendment adopted as Regulation (EU) 2024/3018; evaluation due five years after implementation.</t>
        </is>
      </c>
      <c r="I65" s="7" t="inlineStr">
        <is>
          <t>not measured</t>
        </is>
      </c>
      <c r="J65" s="7" t="inlineStr">
        <is>
          <t>not measured</t>
        </is>
      </c>
      <c r="K65" s="7" t="inlineStr">
        <is>
          <t>SWD(2023) 240</t>
        </is>
      </c>
    </row>
    <row r="66">
      <c r="A66" s="7" t="n">
        <v>15</v>
      </c>
      <c r="B66" s="7" t="inlineStr">
        <is>
          <t>Audiovisual Media Services Directive</t>
        </is>
      </c>
      <c r="C66" s="7" t="inlineStr">
        <is>
          <t>52009PC0185</t>
        </is>
      </c>
      <c r="D66" s="7" t="inlineStr">
        <is>
          <t>note</t>
        </is>
      </c>
      <c r="E66" s="7" t="inlineStr">
        <is>
          <t>The 2009 proposal was a codification with no indicators; monitoring is through biennial Member State reports on European works (Arts 13, 16, 17). The 2016 evaluation found no effective monitoring system</t>
        </is>
      </c>
      <c r="F66" s="7" t="inlineStr"/>
      <c r="G66" s="7" t="inlineStr"/>
      <c r="H66" s="7" t="inlineStr"/>
      <c r="I66" s="7" t="inlineStr"/>
      <c r="J66" s="7" t="inlineStr"/>
      <c r="K66" s="7" t="inlineStr"/>
    </row>
    <row r="67">
      <c r="A67" s="7" t="n">
        <v>15</v>
      </c>
      <c r="B67" s="7" t="inlineStr">
        <is>
          <t>Audiovisual Media Services Directive</t>
        </is>
      </c>
      <c r="C67" s="7" t="inlineStr">
        <is>
          <t>52009PC0185</t>
        </is>
      </c>
      <c r="D67" s="7" t="inlineStr">
        <is>
          <t>objective</t>
        </is>
      </c>
      <c r="E67" s="7" t="inlineStr">
        <is>
          <t>Promote European works (linear TV)</t>
        </is>
      </c>
      <c r="F67" s="7" t="inlineStr">
        <is>
          <t>Majority of transmission time for European works; 10% for independent works</t>
        </is>
      </c>
      <c r="G67" s="7" t="inlineStr">
        <is>
          <t>majority share</t>
        </is>
      </c>
      <c r="H67" s="7" t="inlineStr">
        <is>
          <t>Member States report 68-69% European works on TV (2020-21), down from 72.6% (2019); an independent sample study found only 38%, and under 3% independent European works vs 40-41% reported.</t>
        </is>
      </c>
      <c r="I67" s="7" t="inlineStr">
        <is>
          <t>mixed evidence</t>
        </is>
      </c>
      <c r="J67" s="7" t="inlineStr">
        <is>
          <t>mixed evidence</t>
        </is>
      </c>
      <c r="K67" s="7" t="inlineStr">
        <is>
          <t>COM(2024) 261</t>
        </is>
      </c>
    </row>
    <row r="68">
      <c r="A68" s="7" t="n">
        <v>15</v>
      </c>
      <c r="B68" s="7" t="inlineStr">
        <is>
          <t>Audiovisual Media Services Directive</t>
        </is>
      </c>
      <c r="C68" s="7" t="inlineStr">
        <is>
          <t>52009PC0185</t>
        </is>
      </c>
      <c r="D68" s="7" t="inlineStr">
        <is>
          <t>objective (2018 amendment)</t>
        </is>
      </c>
      <c r="E68" s="7" t="inlineStr">
        <is>
          <t>Promote European works (on demand)</t>
        </is>
      </c>
      <c r="F68" s="7" t="inlineStr">
        <is>
          <t>At least 30% European works in VOD catalogues, with prominence</t>
        </is>
      </c>
      <c r="G68" s="7" t="inlineStr">
        <is>
          <t>30%</t>
        </is>
      </c>
      <c r="H68" s="7" t="inlineStr">
        <is>
          <t>Member States report 63-64% (2020-21); independent snapshot of 1,062 services (2023) found 35%; methods differ and data incomplete.</t>
        </is>
      </c>
      <c r="I68" s="7" t="inlineStr">
        <is>
          <t>mixed evidence</t>
        </is>
      </c>
      <c r="J68" s="7" t="inlineStr">
        <is>
          <t>mixed evidence</t>
        </is>
      </c>
      <c r="K68" s="7" t="inlineStr">
        <is>
          <t>COM(2024) 261</t>
        </is>
      </c>
    </row>
    <row r="69">
      <c r="A69" s="7" t="n">
        <v>15</v>
      </c>
      <c r="B69" s="7" t="inlineStr">
        <is>
          <t>Audiovisual Media Services Directive</t>
        </is>
      </c>
      <c r="C69" s="7" t="inlineStr">
        <is>
          <t>52009PC0185</t>
        </is>
      </c>
      <c r="D69" s="7" t="inlineStr">
        <is>
          <t>objective</t>
        </is>
      </c>
      <c r="E69" s="7" t="inlineStr">
        <is>
          <t>Single market (country of origin)</t>
        </is>
      </c>
      <c r="F69" s="7" t="inlineStr">
        <is>
          <t>Providers regulated only where established</t>
        </is>
      </c>
      <c r="G69" s="7" t="inlineStr"/>
      <c r="H69" s="7" t="inlineStr">
        <is>
          <t>2016 evaluation: perceived as effective, brought legal certainty and economies of scale; robust economic data lacking.</t>
        </is>
      </c>
      <c r="I69" s="7" t="inlineStr">
        <is>
          <t>reported as activity</t>
        </is>
      </c>
      <c r="J69" s="7" t="inlineStr">
        <is>
          <t>reported as activity</t>
        </is>
      </c>
      <c r="K69" s="7" t="inlineStr">
        <is>
          <t>SWD(2016) 170</t>
        </is>
      </c>
    </row>
    <row r="70">
      <c r="A70" s="7" t="n">
        <v>15</v>
      </c>
      <c r="B70" s="7" t="inlineStr">
        <is>
          <t>Audiovisual Media Services Directive</t>
        </is>
      </c>
      <c r="C70" s="7" t="inlineStr">
        <is>
          <t>52009PC0185</t>
        </is>
      </c>
      <c r="D70" s="7" t="inlineStr">
        <is>
          <t>expected impact (2016 IA)</t>
        </is>
      </c>
      <c r="E70" s="7" t="inlineStr">
        <is>
          <t>Protection of minors on video-sharing platforms</t>
        </is>
      </c>
      <c r="F70" s="7" t="inlineStr"/>
      <c r="G70" s="7" t="inlineStr"/>
      <c r="H70" s="7" t="inlineStr">
        <is>
          <t>Costs and benefits not quantified; no outcome measurement found.</t>
        </is>
      </c>
      <c r="I70" s="7" t="inlineStr">
        <is>
          <t>not measured</t>
        </is>
      </c>
      <c r="J70" s="7" t="inlineStr">
        <is>
          <t>not measured</t>
        </is>
      </c>
      <c r="K70" s="7" t="inlineStr">
        <is>
          <t>SWD(2016) 168</t>
        </is>
      </c>
    </row>
    <row r="71">
      <c r="A71" s="7" t="n">
        <v>19</v>
      </c>
      <c r="B71" s="7" t="inlineStr">
        <is>
          <t>Administrative cooperation in taxation (DAC)</t>
        </is>
      </c>
      <c r="C71" s="7" t="inlineStr">
        <is>
          <t>52009PC0029</t>
        </is>
      </c>
      <c r="D71" s="7" t="inlineStr">
        <is>
          <t>note</t>
        </is>
      </c>
      <c r="E71" s="7" t="inlineStr">
        <is>
          <t>The 2009 DAC proposal (COM(2009) 29) contains no financial-statement indicators; the Directive relies on five-yearly Commission reports under Article 27 and Member State statistics</t>
        </is>
      </c>
      <c r="F71" s="7" t="inlineStr"/>
      <c r="G71" s="7" t="inlineStr"/>
      <c r="H71" s="7" t="inlineStr"/>
      <c r="I71" s="7" t="inlineStr"/>
      <c r="J71" s="7" t="inlineStr"/>
      <c r="K71" s="7" t="inlineStr"/>
    </row>
    <row r="72">
      <c r="A72" s="7" t="n">
        <v>19</v>
      </c>
      <c r="B72" s="7" t="inlineStr">
        <is>
          <t>Administrative cooperation in taxation (DAC)</t>
        </is>
      </c>
      <c r="C72" s="7" t="inlineStr">
        <is>
          <t>52009PC0029</t>
        </is>
      </c>
      <c r="D72" s="7" t="inlineStr">
        <is>
          <t>evaluation question</t>
        </is>
      </c>
      <c r="E72" s="7" t="inlineStr">
        <is>
          <t>Fight tax fraud, evasion and avoidance</t>
        </is>
      </c>
      <c r="F72" s="7" t="inlineStr">
        <is>
          <t>Tax benefits generated by exchanged information</t>
        </is>
      </c>
      <c r="G72" s="7" t="inlineStr"/>
      <c r="H72" s="7" t="inlineStr">
        <is>
          <t>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is>
      </c>
      <c r="I72" s="7" t="inlineStr">
        <is>
          <t>partially measured</t>
        </is>
      </c>
      <c r="J72" s="7" t="inlineStr">
        <is>
          <t>partially measured</t>
        </is>
      </c>
      <c r="K72" s="7" t="inlineStr">
        <is>
          <t>SWD(2019) 327; COM(2025) 695</t>
        </is>
      </c>
    </row>
    <row r="73">
      <c r="A73" s="7" t="n">
        <v>19</v>
      </c>
      <c r="B73" s="7" t="inlineStr">
        <is>
          <t>Administrative cooperation in taxation (DAC)</t>
        </is>
      </c>
      <c r="C73" s="7" t="inlineStr">
        <is>
          <t>52009PC0029</t>
        </is>
      </c>
      <c r="D73" s="7" t="inlineStr">
        <is>
          <t>evaluation question</t>
        </is>
      </c>
      <c r="E73" s="7" t="inlineStr">
        <is>
          <t>Efficiency</t>
        </is>
      </c>
      <c r="F73" s="7" t="inlineStr">
        <is>
          <t>Costs to tax administrations and business</t>
        </is>
      </c>
      <c r="G73" s="7" t="inlineStr"/>
      <c r="H73" s="7" t="inlineStr">
        <is>
          <t>2019: cumulative cost about EUR 230m (EUR 90m Member States, EUR 140m financial institutions). 2025: recurring costs about EUR 646m a year, EUR 604m borne by business (EUR 550m DAC2 reporting).</t>
        </is>
      </c>
      <c r="I73" s="7" t="inlineStr">
        <is>
          <t>measured</t>
        </is>
      </c>
      <c r="J73" s="7" t="inlineStr">
        <is>
          <t>measured</t>
        </is>
      </c>
      <c r="K73" s="7" t="inlineStr">
        <is>
          <t>SWD(2019) 327; COM(2025) 695</t>
        </is>
      </c>
    </row>
    <row r="74">
      <c r="A74" s="7" t="n">
        <v>19</v>
      </c>
      <c r="B74" s="7" t="inlineStr">
        <is>
          <t>Administrative cooperation in taxation (DAC)</t>
        </is>
      </c>
      <c r="C74" s="7" t="inlineStr">
        <is>
          <t>52009PC0029</t>
        </is>
      </c>
      <c r="D74" s="7" t="inlineStr">
        <is>
          <t>evaluation question</t>
        </is>
      </c>
      <c r="E74" s="7" t="inlineStr">
        <is>
          <t>Use of exchanged information</t>
        </is>
      </c>
      <c r="F74" s="7" t="inlineStr">
        <is>
          <t>Matching and use rates of data received</t>
        </is>
      </c>
      <c r="G74" s="7" t="inlineStr">
        <is>
          <t>Target: 100% matching</t>
        </is>
      </c>
      <c r="H74" s="7" t="inlineStr">
        <is>
          <t>5-15% of DAC1-4 data still cannot be matched to taxpayers; Member States do not systematically monitor or publish outcomes (ECA 2021). TADEUS KPIs agreed but not binding.</t>
        </is>
      </c>
      <c r="I74" s="7" t="inlineStr">
        <is>
          <t>partially measured</t>
        </is>
      </c>
      <c r="J74" s="7" t="inlineStr">
        <is>
          <t>partially measured</t>
        </is>
      </c>
      <c r="K74" s="7" t="inlineStr">
        <is>
          <t>COM(2025) 695; ECA SR 03/2021</t>
        </is>
      </c>
    </row>
    <row r="75">
      <c r="A75" s="7" t="n">
        <v>19</v>
      </c>
      <c r="B75" s="7" t="inlineStr">
        <is>
          <t>Administrative cooperation in taxation (DAC)</t>
        </is>
      </c>
      <c r="C75" s="7" t="inlineStr">
        <is>
          <t>52009PC0029</t>
        </is>
      </c>
      <c r="D75" s="7" t="inlineStr">
        <is>
          <t>evaluation question</t>
        </is>
      </c>
      <c r="E75" s="7" t="inlineStr">
        <is>
          <t>Reduce offshore tax evasion</t>
        </is>
      </c>
      <c r="F75" s="7" t="inlineStr">
        <is>
          <t>Deposits held in tax havens</t>
        </is>
      </c>
      <c r="G75" s="7" t="inlineStr"/>
      <c r="H75" s="7" t="inlineStr">
        <is>
          <t>Independent difference-in-differences study of the OECD Common Reporting Standard (implemented in the EU by DAC2) finds an 11.5% fall in cross-border deposits in tax havens, but relocation to non-participating jurisdictions (notably the US).</t>
        </is>
      </c>
      <c r="I75" s="7" t="inlineStr">
        <is>
          <t>measured</t>
        </is>
      </c>
      <c r="J75" s="7" t="inlineStr">
        <is>
          <t>measured</t>
        </is>
      </c>
      <c r="K75" s="7" t="inlineStr">
        <is>
          <t>Casi, Spengel &amp; Stage 2020</t>
        </is>
      </c>
    </row>
    <row r="76">
      <c r="A76" s="7" t="n">
        <v>18</v>
      </c>
      <c r="B76" s="7" t="inlineStr">
        <is>
          <t>Consumer Rights Directive</t>
        </is>
      </c>
      <c r="C76" s="7" t="inlineStr">
        <is>
          <t>52008PC0614</t>
        </is>
      </c>
      <c r="D76" s="7" t="inlineStr">
        <is>
          <t>note</t>
        </is>
      </c>
      <c r="E76" s="7" t="inlineStr">
        <is>
          <t>The 2008 CRD proposal contains no legislative financial statement indicators; Article 30 required a Commission report by December 2016, delivered as the 2017 evaluation</t>
        </is>
      </c>
      <c r="F76" s="7" t="inlineStr"/>
      <c r="G76" s="7" t="inlineStr"/>
      <c r="H76" s="7" t="inlineStr"/>
      <c r="I76" s="7" t="inlineStr"/>
      <c r="J76" s="7" t="inlineStr"/>
      <c r="K76" s="7" t="inlineStr"/>
    </row>
    <row r="77">
      <c r="A77" s="7" t="n">
        <v>18</v>
      </c>
      <c r="B77" s="7" t="inlineStr">
        <is>
          <t>Consumer Rights Directive</t>
        </is>
      </c>
      <c r="C77" s="7" t="inlineStr">
        <is>
          <t>52008PC0614</t>
        </is>
      </c>
      <c r="D77" s="7" t="inlineStr">
        <is>
          <t>expected impact (impact assessment)</t>
        </is>
      </c>
      <c r="E77" s="7" t="inlineStr">
        <is>
          <t>Internal market</t>
        </is>
      </c>
      <c r="F77" s="7" t="inlineStr">
        <is>
          <t>Lower compliance costs for cross-border traders by replacing minimum with (largely) full harmonisation</t>
        </is>
      </c>
      <c r="G77" s="7" t="inlineStr">
        <is>
          <t>Baseline: 60% of traders saw extra costs of complying with different national consumer laws as an important obstacle to cross-border B2C trade (Eurobarometer 2008)</t>
        </is>
      </c>
      <c r="H77" s="7" t="inlineStr">
        <is>
          <t>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is>
      </c>
      <c r="I77" s="7" t="inlineStr">
        <is>
          <t>not measured</t>
        </is>
      </c>
      <c r="J77" s="7" t="inlineStr">
        <is>
          <t>not measured</t>
        </is>
      </c>
      <c r="K77" s="7" t="inlineStr">
        <is>
          <t>SEC(2008) 2544/2545; SWD(2017) 169/170; BIS 2013 IA; UK statutory report 2019; Eurostat isoc_ec_ibos</t>
        </is>
      </c>
    </row>
    <row r="78">
      <c r="A78" s="7" t="n">
        <v>18</v>
      </c>
      <c r="B78" s="7" t="inlineStr">
        <is>
          <t>Consumer Rights Directive</t>
        </is>
      </c>
      <c r="C78" s="7" t="inlineStr">
        <is>
          <t>52008PC0614</t>
        </is>
      </c>
      <c r="D78" s="7" t="inlineStr">
        <is>
          <t>expected impact (impact assessment)</t>
        </is>
      </c>
      <c r="E78" s="7" t="inlineStr">
        <is>
          <t>Consumer protection</t>
        </is>
      </c>
      <c r="F78" s="7" t="inlineStr">
        <is>
          <t>Effective pre-contractual information and 14-day withdrawal right in distance and off-premises sales</t>
        </is>
      </c>
      <c r="G78" s="7" t="inlineStr"/>
      <c r="H78" s="7" t="inlineStr">
        <is>
          <t>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is>
      </c>
      <c r="I78" s="7" t="inlineStr">
        <is>
          <t>partially measured</t>
        </is>
      </c>
      <c r="J78" s="7" t="inlineStr">
        <is>
          <t>partially measured</t>
        </is>
      </c>
      <c r="K78" s="7" t="inlineStr">
        <is>
          <t>SWD(2017) 169; SWD(2024) 231</t>
        </is>
      </c>
    </row>
    <row r="79">
      <c r="A79" s="7" t="n">
        <v>18</v>
      </c>
      <c r="B79" s="7" t="inlineStr">
        <is>
          <t>Consumer Rights Directive</t>
        </is>
      </c>
      <c r="C79" s="7" t="inlineStr">
        <is>
          <t>52008PC0614</t>
        </is>
      </c>
      <c r="D79" s="7" t="inlineStr">
        <is>
          <t>expected impact (impact assessment)</t>
        </is>
      </c>
      <c r="E79" s="7" t="inlineStr">
        <is>
          <t>Burden on business</t>
        </is>
      </c>
      <c r="F79" s="7" t="inlineStr">
        <is>
          <t>Proportionate compliance costs</t>
        </is>
      </c>
      <c r="G79" s="7" t="inlineStr"/>
      <c r="H79" s="7" t="inlineStr">
        <is>
          <t>2024 Fitness Check: costs of UCPD, CRD and UCTD together about EUR 511-737m a year; only 10-18% of traders report high costs. In the 2017 CRD survey a majority of traders said information requirements raised costs, and 44% cited reimbursement rules tied to withdrawal.</t>
        </is>
      </c>
      <c r="I79" s="7" t="inlineStr">
        <is>
          <t>partially measured</t>
        </is>
      </c>
      <c r="J79" s="7" t="inlineStr">
        <is>
          <t>partially measured</t>
        </is>
      </c>
      <c r="K79" s="7" t="inlineStr">
        <is>
          <t>SWD(2024) 231; SWD(2017) 169</t>
        </is>
      </c>
    </row>
    <row r="80">
      <c r="A80" s="7" t="n">
        <v>108</v>
      </c>
      <c r="B80" s="7" t="inlineStr">
        <is>
          <t>European Standardisation Regulation</t>
        </is>
      </c>
      <c r="C80" s="7" t="inlineStr">
        <is>
          <t>52011PC0315</t>
        </is>
      </c>
      <c r="D80" s="7" t="inlineStr">
        <is>
          <t>LFS indicator (1.4.4)</t>
        </is>
      </c>
      <c r="E80" s="7" t="inlineStr">
        <is>
          <t>Faster delivery of standards</t>
        </is>
      </c>
      <c r="F80" s="7" t="inlineStr">
        <is>
          <t>Time between ESO acceptance of a standardisation request and adoption of the standard</t>
        </is>
      </c>
      <c r="G80" s="7" t="inlineStr"/>
      <c r="H80" s="7" t="inlineStr">
        <is>
          <t>2025 evaluation: 'moderately effective' in reducing development time, but harmonised standards still take on average six years (three for drafting and consensus). 2022 report: median 100 days from ESO adoption to delivery to the Commission; formal objections take on average 1,084 days.</t>
        </is>
      </c>
      <c r="I80" s="7" t="inlineStr">
        <is>
          <t>measured</t>
        </is>
      </c>
      <c r="J80" s="7" t="inlineStr">
        <is>
          <t>measured</t>
        </is>
      </c>
      <c r="K80" s="7" t="inlineStr">
        <is>
          <t>SWD(2025) 171; COM(2022) 30</t>
        </is>
      </c>
    </row>
    <row r="81">
      <c r="A81" s="7" t="n">
        <v>108</v>
      </c>
      <c r="B81" s="7" t="inlineStr">
        <is>
          <t>European Standardisation Regulation</t>
        </is>
      </c>
      <c r="C81" s="7" t="inlineStr">
        <is>
          <t>52011PC0315</t>
        </is>
      </c>
      <c r="D81" s="7" t="inlineStr">
        <is>
          <t>LFS indicator (1.4.4)</t>
        </is>
      </c>
      <c r="E81" s="7" t="inlineStr">
        <is>
          <t>Responsiveness to Commission requests</t>
        </is>
      </c>
      <c r="F81" s="7" t="inlineStr">
        <is>
          <t>Number of European standards adopted following a Commission request</t>
        </is>
      </c>
      <c r="G81" s="7" t="inlineStr"/>
      <c r="H81" s="7" t="inlineStr">
        <is>
          <t>2015-2020: 44 standardisation requests issued, 6 rejected by the ESOs (13.6%); only 27.6% of HAS consultant assessments of draft harmonised standards were positive. No outcome-based count of standards linked to effects.</t>
        </is>
      </c>
      <c r="I81" s="7" t="inlineStr">
        <is>
          <t>reported as activity</t>
        </is>
      </c>
      <c r="J81" s="7" t="inlineStr">
        <is>
          <t>reported as activity</t>
        </is>
      </c>
      <c r="K81" s="7" t="inlineStr">
        <is>
          <t>COM(2022) 30</t>
        </is>
      </c>
    </row>
    <row r="82">
      <c r="A82" s="7" t="n">
        <v>108</v>
      </c>
      <c r="B82" s="7" t="inlineStr">
        <is>
          <t>European Standardisation Regulation</t>
        </is>
      </c>
      <c r="C82" s="7" t="inlineStr">
        <is>
          <t>52011PC0315</t>
        </is>
      </c>
      <c r="D82" s="7" t="inlineStr">
        <is>
          <t>LFS indicator (1.4.4)</t>
        </is>
      </c>
      <c r="E82" s="7" t="inlineStr">
        <is>
          <t>Inclusiveness</t>
        </is>
      </c>
      <c r="F82" s="7" t="inlineStr">
        <is>
          <t>Participation of SME, consumer, environmental and trade-union organisations (Annex III)</t>
        </is>
      </c>
      <c r="G82" s="7" t="inlineStr"/>
      <c r="H82" s="7" t="inlineStr">
        <is>
          <t>Annex III organisations funded (EUR 20m 2015-2019); CEN-CENELEC gave them a formal right of opinion in 2017; ETSI criticised as less inclusive. 2025 evaluation: 'moderately effective' but real influence limited by lack of resources.</t>
        </is>
      </c>
      <c r="I82" s="7" t="inlineStr">
        <is>
          <t>reported as activity</t>
        </is>
      </c>
      <c r="J82" s="7" t="inlineStr">
        <is>
          <t>reported as activity</t>
        </is>
      </c>
      <c r="K82" s="7" t="inlineStr">
        <is>
          <t>COM(2022) 30; SWD(2025) 171</t>
        </is>
      </c>
    </row>
    <row r="83">
      <c r="A83" s="7" t="n">
        <v>108</v>
      </c>
      <c r="B83" s="7" t="inlineStr">
        <is>
          <t>European Standardisation Regulation</t>
        </is>
      </c>
      <c r="C83" s="7" t="inlineStr">
        <is>
          <t>52011PC0315</t>
        </is>
      </c>
      <c r="D83" s="7" t="inlineStr">
        <is>
          <t>LFS indicator (1.4.4)</t>
        </is>
      </c>
      <c r="E83" s="7" t="inlineStr">
        <is>
          <t>Governance</t>
        </is>
      </c>
      <c r="F83" s="7" t="inlineStr">
        <is>
          <t>Effect of governance changes on number, speed and participation</t>
        </is>
      </c>
      <c r="G83" s="7" t="inlineStr"/>
      <c r="H83" s="7" t="inlineStr">
        <is>
          <t>Evaluation found new CJEU-driven procedures made the process more burdensome; cost-benefit analysis suggests benefits exceed costs but data described as lacking.</t>
        </is>
      </c>
      <c r="I83" s="7" t="inlineStr">
        <is>
          <t>mixed evidence</t>
        </is>
      </c>
      <c r="J83" s="7" t="inlineStr">
        <is>
          <t>mixed evidence</t>
        </is>
      </c>
      <c r="K83" s="7" t="inlineStr">
        <is>
          <t>SWD(2025) 171</t>
        </is>
      </c>
    </row>
    <row r="84">
      <c r="A84" s="7" t="n">
        <v>109</v>
      </c>
      <c r="B84" s="7" t="inlineStr">
        <is>
          <t>Electromagnetic Compatibility Directive</t>
        </is>
      </c>
      <c r="C84" s="7" t="inlineStr">
        <is>
          <t>52011PC0765</t>
        </is>
      </c>
      <c r="D84" s="7" t="inlineStr">
        <is>
          <t>note</t>
        </is>
      </c>
      <c r="E84" s="7" t="inlineStr">
        <is>
          <t>The 2011 proposal (part of the New Legislative Framework alignment package) has no financial-statement indicators; it relied on the impact assessment for the NLF alignment package and later REFIT evaluation</t>
        </is>
      </c>
      <c r="F84" s="7" t="inlineStr"/>
      <c r="G84" s="7" t="inlineStr"/>
      <c r="H84" s="7" t="inlineStr"/>
      <c r="I84" s="7" t="inlineStr"/>
      <c r="J84" s="7" t="inlineStr"/>
      <c r="K84" s="7" t="inlineStr"/>
    </row>
    <row r="85">
      <c r="A85" s="7" t="n">
        <v>109</v>
      </c>
      <c r="B85" s="7" t="inlineStr">
        <is>
          <t>Electromagnetic Compatibility Directive</t>
        </is>
      </c>
      <c r="C85" s="7" t="inlineStr">
        <is>
          <t>52011PC0765</t>
        </is>
      </c>
      <c r="D85" s="7" t="inlineStr">
        <is>
          <t>evaluation question</t>
        </is>
      </c>
      <c r="E85" s="7" t="inlineStr">
        <is>
          <t>Avoid electromagnetic disturbance between equipment</t>
        </is>
      </c>
      <c r="F85" s="7" t="inlineStr">
        <is>
          <t>Interference problems and product compliance</t>
        </is>
      </c>
      <c r="G85" s="7" t="inlineStr"/>
      <c r="H85" s="7" t="inlineStr">
        <is>
          <t>2023 REFIT evaluation: Directive 'successfully reduced interference', but market surveillance authorities report too many cheap non-compliant products, especially bought online from third countries. No EU-wide compliance rate reported.</t>
        </is>
      </c>
      <c r="I85" s="7" t="inlineStr">
        <is>
          <t>reported as activity</t>
        </is>
      </c>
      <c r="J85" s="7" t="inlineStr">
        <is>
          <t>reported as activity</t>
        </is>
      </c>
      <c r="K85" s="7" t="inlineStr">
        <is>
          <t>SWD(2023) 7/8</t>
        </is>
      </c>
    </row>
    <row r="86">
      <c r="A86" s="7" t="n">
        <v>109</v>
      </c>
      <c r="B86" s="7" t="inlineStr">
        <is>
          <t>Electromagnetic Compatibility Directive</t>
        </is>
      </c>
      <c r="C86" s="7" t="inlineStr">
        <is>
          <t>52011PC0765</t>
        </is>
      </c>
      <c r="D86" s="7" t="inlineStr">
        <is>
          <t>evaluation question</t>
        </is>
      </c>
      <c r="E86" s="7" t="inlineStr">
        <is>
          <t>Free movement / efficiency</t>
        </is>
      </c>
      <c r="F86" s="7" t="inlineStr">
        <is>
          <t>Compliance costs vs benefits</t>
        </is>
      </c>
      <c r="G86" s="7" t="inlineStr"/>
      <c r="H86" s="7" t="inlineStr">
        <is>
          <t>Evaluation concludes benefits outweigh costs for each stakeholder group; industry estimates compliance costs at 5-10% of total production costs, relatively higher for SMEs. Based on stakeholder input, not measured outcomes.</t>
        </is>
      </c>
      <c r="I86" s="7" t="inlineStr">
        <is>
          <t>partially measured</t>
        </is>
      </c>
      <c r="J86" s="7" t="inlineStr">
        <is>
          <t>partially measured</t>
        </is>
      </c>
      <c r="K86" s="7" t="inlineStr">
        <is>
          <t>SWD(2023) 7/8</t>
        </is>
      </c>
    </row>
    <row r="87">
      <c r="A87" s="7" t="n">
        <v>110</v>
      </c>
      <c r="B87" s="7" t="inlineStr">
        <is>
          <t>Radio Equipment Directive</t>
        </is>
      </c>
      <c r="C87" s="7" t="inlineStr">
        <is>
          <t>52012PC0584</t>
        </is>
      </c>
      <c r="D87" s="7" t="inlineStr">
        <is>
          <t>LFS indicator (1.4.4)</t>
        </is>
      </c>
      <c r="E87" s="7" t="inlineStr">
        <is>
          <t>Compliance</t>
        </is>
      </c>
      <c r="F87" s="7" t="inlineStr">
        <is>
          <t>Administrative and technical compliance ratios (periodic Member State reports)</t>
        </is>
      </c>
      <c r="G87" s="7" t="inlineStr">
        <is>
          <t>Baseline (IA): 28-56% compliance with essential requirements in market surveillance campaigns; of 6,168 R&amp;TTE items inspected, 68% met essential requirements</t>
        </is>
      </c>
      <c r="H87" s="7" t="inlineStr">
        <is>
          <t>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is>
      </c>
      <c r="I87" s="7" t="inlineStr">
        <is>
          <t>partially measured</t>
        </is>
      </c>
      <c r="J87" s="7" t="inlineStr">
        <is>
          <t>partially measured</t>
        </is>
      </c>
      <c r="K87" s="7" t="inlineStr">
        <is>
          <t>SWD(2012) 329; COM(2018) 740; COM(2024) 158</t>
        </is>
      </c>
    </row>
    <row r="88">
      <c r="A88" s="7" t="n">
        <v>110</v>
      </c>
      <c r="B88" s="7" t="inlineStr">
        <is>
          <t>Radio Equipment Directive</t>
        </is>
      </c>
      <c r="C88" s="7" t="inlineStr">
        <is>
          <t>52012PC0584</t>
        </is>
      </c>
      <c r="D88" s="7" t="inlineStr">
        <is>
          <t>LFS indicator (1.4.4)</t>
        </is>
      </c>
      <c r="E88" s="7" t="inlineStr">
        <is>
          <t>Administrative simplification</t>
        </is>
      </c>
      <c r="F88" s="7" t="inlineStr">
        <is>
          <t>Induced administrative cost and burden; number of interpretation issues</t>
        </is>
      </c>
      <c r="G88" s="7" t="inlineStr"/>
      <c r="H88" s="7" t="inlineStr">
        <is>
          <t>No quantified burden estimate in either operation report; interpretation issues handled via guidance and expert group.</t>
        </is>
      </c>
      <c r="I88" s="7" t="inlineStr">
        <is>
          <t>not measured</t>
        </is>
      </c>
      <c r="J88" s="7" t="inlineStr">
        <is>
          <t>not measured</t>
        </is>
      </c>
      <c r="K88" s="7" t="inlineStr">
        <is>
          <t>COM(2018) 740; COM(2024) 158</t>
        </is>
      </c>
    </row>
    <row r="89">
      <c r="A89" s="7" t="n">
        <v>110</v>
      </c>
      <c r="B89" s="7" t="inlineStr">
        <is>
          <t>Radio Equipment Directive</t>
        </is>
      </c>
      <c r="C89" s="7" t="inlineStr">
        <is>
          <t>52012PC0584</t>
        </is>
      </c>
      <c r="D89" s="7" t="inlineStr">
        <is>
          <t>LFS indicator (1.4.4)</t>
        </is>
      </c>
      <c r="E89" s="7" t="inlineStr">
        <is>
          <t>Regulatory barriers to innovation</t>
        </is>
      </c>
      <c r="F89" s="7" t="inlineStr">
        <is>
          <t>Perceived simplicity of introducing innovations</t>
        </is>
      </c>
      <c r="G89" s="7" t="inlineStr"/>
      <c r="H89" s="7" t="inlineStr">
        <is>
          <t>Only stakeholder survey views in the 2024 report; no systematic measure.</t>
        </is>
      </c>
      <c r="I89" s="7" t="inlineStr">
        <is>
          <t>not measured</t>
        </is>
      </c>
      <c r="J89" s="7" t="inlineStr">
        <is>
          <t>not measured</t>
        </is>
      </c>
      <c r="K89" s="7" t="inlineStr">
        <is>
          <t>COM(2024) 158</t>
        </is>
      </c>
    </row>
    <row r="90">
      <c r="A90" s="7" t="n">
        <v>110</v>
      </c>
      <c r="B90" s="7" t="inlineStr">
        <is>
          <t>Radio Equipment Directive</t>
        </is>
      </c>
      <c r="C90" s="7" t="inlineStr">
        <is>
          <t>52012PC0584</t>
        </is>
      </c>
      <c r="D90" s="7" t="inlineStr">
        <is>
          <t>expected impact (impact assessment)</t>
        </is>
      </c>
      <c r="E90" s="7" t="inlineStr">
        <is>
          <t>Reduce harmful interference</t>
        </is>
      </c>
      <c r="F90" s="7" t="inlineStr">
        <is>
          <t>Prevention of harmful interference</t>
        </is>
      </c>
      <c r="G90" s="7" t="inlineStr"/>
      <c r="H90" s="7" t="inlineStr">
        <is>
          <t>Not separately measured.</t>
        </is>
      </c>
      <c r="I90" s="7" t="inlineStr">
        <is>
          <t>not measured</t>
        </is>
      </c>
      <c r="J90" s="7" t="inlineStr">
        <is>
          <t>not measured</t>
        </is>
      </c>
      <c r="K90" s="7" t="inlineStr">
        <is>
          <t>SWD(2012) 329</t>
        </is>
      </c>
    </row>
    <row r="91">
      <c r="A91" s="7" t="n">
        <v>111</v>
      </c>
      <c r="B91" s="7" t="inlineStr">
        <is>
          <t>E-invoicing Directive</t>
        </is>
      </c>
      <c r="C91" s="7" t="inlineStr">
        <is>
          <t>52013PC0449</t>
        </is>
      </c>
      <c r="D91" s="7" t="inlineStr">
        <is>
          <t>note</t>
        </is>
      </c>
      <c r="E91" s="7" t="inlineStr">
        <is>
          <t>The 2013 proposal (COM(2013) 449) has no financial-statement indicators; Article 12 required a Commission report on effects on the internal market and uptake</t>
        </is>
      </c>
      <c r="F91" s="7" t="inlineStr"/>
      <c r="G91" s="7" t="inlineStr"/>
      <c r="H91" s="7" t="inlineStr"/>
      <c r="I91" s="7" t="inlineStr"/>
      <c r="J91" s="7" t="inlineStr"/>
      <c r="K91" s="7" t="inlineStr"/>
    </row>
    <row r="92">
      <c r="A92" s="7" t="n">
        <v>111</v>
      </c>
      <c r="B92" s="7" t="inlineStr">
        <is>
          <t>E-invoicing Directive</t>
        </is>
      </c>
      <c r="C92" s="7" t="inlineStr">
        <is>
          <t>52013PC0449</t>
        </is>
      </c>
      <c r="D92" s="7" t="inlineStr">
        <is>
          <t>expected impact (impact assessment)</t>
        </is>
      </c>
      <c r="E92" s="7" t="inlineStr">
        <is>
          <t>Savings in public procurement</t>
        </is>
      </c>
      <c r="F92" s="7" t="inlineStr">
        <is>
          <t>Annual savings if all public procurement invoices were electronic</t>
        </is>
      </c>
      <c r="G92" s="7" t="inlineStr">
        <is>
          <t>EUR 1.5-2.3bn a year (potential, full uptake)</t>
        </is>
      </c>
      <c r="H92" s="7" t="inlineStr">
        <is>
          <t>2024 evaluation does not quantify EU-wide savings; 17 of 23 surveyed Member States say benefits outweigh costs.</t>
        </is>
      </c>
      <c r="I92" s="7" t="inlineStr">
        <is>
          <t>not measured</t>
        </is>
      </c>
      <c r="J92" s="7" t="inlineStr">
        <is>
          <t>not measured</t>
        </is>
      </c>
      <c r="K92" s="7" t="inlineStr">
        <is>
          <t>SWD(2013) 222; SWD(2024) 39/40</t>
        </is>
      </c>
    </row>
    <row r="93">
      <c r="A93" s="7" t="n">
        <v>111</v>
      </c>
      <c r="B93" s="7" t="inlineStr">
        <is>
          <t>E-invoicing Directive</t>
        </is>
      </c>
      <c r="C93" s="7" t="inlineStr">
        <is>
          <t>52013PC0449</t>
        </is>
      </c>
      <c r="D93" s="7" t="inlineStr">
        <is>
          <t>expected impact (impact assessment)</t>
        </is>
      </c>
      <c r="E93" s="7" t="inlineStr">
        <is>
          <t>Interoperability</t>
        </is>
      </c>
      <c r="F93" s="7" t="inlineStr">
        <is>
          <t>Adoption of a European e-invoicing standard and its acceptance by public authorities</t>
        </is>
      </c>
      <c r="G93" s="7" t="inlineStr"/>
      <c r="H93" s="7" t="inlineStr">
        <is>
          <t>European standard (EN 16931) published 2017; accepted at central level in all Member States except Cyprus and Slovakia, but only partly at sub-central level; transmission-level interoperability still lacking.</t>
        </is>
      </c>
      <c r="I93" s="7" t="inlineStr">
        <is>
          <t>partially measured</t>
        </is>
      </c>
      <c r="J93" s="7" t="inlineStr">
        <is>
          <t>partially measured</t>
        </is>
      </c>
      <c r="K93" s="7" t="inlineStr">
        <is>
          <t>SWD(2024) 39/40</t>
        </is>
      </c>
    </row>
    <row r="94">
      <c r="A94" s="7" t="n">
        <v>111</v>
      </c>
      <c r="B94" s="7" t="inlineStr">
        <is>
          <t>E-invoicing Directive</t>
        </is>
      </c>
      <c r="C94" s="7" t="inlineStr">
        <is>
          <t>52013PC0449</t>
        </is>
      </c>
      <c r="D94" s="7" t="inlineStr">
        <is>
          <t>expected impact (impact assessment)</t>
        </is>
      </c>
      <c r="E94" s="7" t="inlineStr">
        <is>
          <t>Uptake</t>
        </is>
      </c>
      <c r="F94" s="7" t="inlineStr">
        <is>
          <t>Uptake of e-invoicing in public procurement (B2G)</t>
        </is>
      </c>
      <c r="G94" s="7" t="inlineStr"/>
      <c r="H94" s="7" t="inlineStr">
        <is>
          <t>High uptake only where governments mandate e-invoices or are digitally mature (e.g. Estonia, Finland, Sweden); no EU-wide uptake rate in executive summary.</t>
        </is>
      </c>
      <c r="I94" s="7" t="inlineStr">
        <is>
          <t>partially measured</t>
        </is>
      </c>
      <c r="J94" s="7" t="inlineStr">
        <is>
          <t>partially measured</t>
        </is>
      </c>
      <c r="K94" s="7" t="inlineStr">
        <is>
          <t>SWD(2024) 39/40</t>
        </is>
      </c>
    </row>
    <row r="95">
      <c r="A95" s="7" t="n">
        <v>25</v>
      </c>
      <c r="B95" s="7" t="inlineStr">
        <is>
          <t>Technology Transfer Block Exemption</t>
        </is>
      </c>
      <c r="C95" s="7" t="n"/>
      <c r="D95" s="7" t="inlineStr">
        <is>
          <t>note</t>
        </is>
      </c>
      <c r="E95" s="7" t="inlineStr">
        <is>
          <t>Commission Regulation adopted without a legislative proposal or financial statement; no monitoring indicators. Assessed through the 2022-2024 evaluation and the 2026 impact assessment for its replacement</t>
        </is>
      </c>
      <c r="F95" s="7" t="inlineStr"/>
      <c r="G95" s="7" t="inlineStr"/>
      <c r="H95" s="7" t="inlineStr"/>
      <c r="I95" s="7" t="inlineStr"/>
      <c r="J95" s="7" t="inlineStr"/>
      <c r="K95" s="7" t="inlineStr"/>
    </row>
    <row r="96">
      <c r="A96" s="7" t="n">
        <v>25</v>
      </c>
      <c r="B96" s="7" t="inlineStr">
        <is>
          <t>Technology Transfer Block Exemption</t>
        </is>
      </c>
      <c r="C96" s="7" t="n"/>
      <c r="D96" s="7" t="inlineStr">
        <is>
          <t>evaluation question</t>
        </is>
      </c>
      <c r="E96" s="7" t="inlineStr">
        <is>
          <t>Legal certainty and lower compliance costs for licensing</t>
        </is>
      </c>
      <c r="F96" s="7" t="inlineStr">
        <is>
          <t>Stakeholder-reported legal certainty and compliance costs</t>
        </is>
      </c>
      <c r="G96" s="7" t="inlineStr"/>
      <c r="H96" s="7" t="inlineStr">
        <is>
          <t>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is>
      </c>
      <c r="I96" s="7" t="inlineStr">
        <is>
          <t>reported as activity</t>
        </is>
      </c>
      <c r="J96" s="7" t="inlineStr">
        <is>
          <t>reported as activity</t>
        </is>
      </c>
      <c r="K96" s="7" t="inlineStr">
        <is>
          <t>SWD(2024) 268</t>
        </is>
      </c>
    </row>
    <row r="97">
      <c r="A97" s="7" t="n">
        <v>25</v>
      </c>
      <c r="B97" s="7" t="inlineStr">
        <is>
          <t>Technology Transfer Block Exemption</t>
        </is>
      </c>
      <c r="C97" s="7" t="n"/>
      <c r="D97" s="7" t="inlineStr">
        <is>
          <t>expected impact (impact assessment, successor TTBER)</t>
        </is>
      </c>
      <c r="E97" s="7" t="inlineStr">
        <is>
          <t>Simplify threshold assessment</t>
        </is>
      </c>
      <c r="F97" s="7" t="inlineStr">
        <is>
          <t>Cost of applying market-share thresholds per licensing agreement</t>
        </is>
      </c>
      <c r="G97" s="7" t="inlineStr">
        <is>
          <t>-15 to -40% (forecast)</t>
        </is>
      </c>
      <c r="H97" s="7" t="inlineStr">
        <is>
          <t>Forecast only; new TTBER applies from May 2026.</t>
        </is>
      </c>
      <c r="I97" s="7" t="inlineStr">
        <is>
          <t>not measured</t>
        </is>
      </c>
      <c r="J97" s="7" t="inlineStr">
        <is>
          <t>not measured</t>
        </is>
      </c>
      <c r="K97" s="7" t="inlineStr">
        <is>
          <t>SWD(2026) 114/116</t>
        </is>
      </c>
    </row>
    <row r="98">
      <c r="A98" s="7" t="n">
        <v>25</v>
      </c>
      <c r="B98" s="7" t="inlineStr">
        <is>
          <t>Technology Transfer Block Exemption</t>
        </is>
      </c>
      <c r="C98" s="7" t="n"/>
      <c r="D98" s="7" t="inlineStr">
        <is>
          <t>expected impact (impact assessment, successor TTBER)</t>
        </is>
      </c>
      <c r="E98" s="7" t="inlineStr">
        <is>
          <t>Facilitate data licensing</t>
        </is>
      </c>
      <c r="F98" s="7" t="inlineStr">
        <is>
          <t>Compliance assessment costs for covered data licensing agreements</t>
        </is>
      </c>
      <c r="G98" s="7" t="inlineStr">
        <is>
          <t>up to -33% (forecast)</t>
        </is>
      </c>
      <c r="H98" s="7" t="inlineStr">
        <is>
          <t>Forecast only.</t>
        </is>
      </c>
      <c r="I98" s="7" t="inlineStr">
        <is>
          <t>not measured</t>
        </is>
      </c>
      <c r="J98" s="7" t="inlineStr">
        <is>
          <t>not measured</t>
        </is>
      </c>
      <c r="K98" s="7" t="inlineStr">
        <is>
          <t>SWD(2026) 114/116</t>
        </is>
      </c>
    </row>
    <row r="99">
      <c r="A99" s="7" t="n">
        <v>22</v>
      </c>
      <c r="B99" s="7" t="inlineStr">
        <is>
          <t>eIDAS Regulation</t>
        </is>
      </c>
      <c r="C99" s="7" t="inlineStr">
        <is>
          <t>52012PC0238</t>
        </is>
      </c>
      <c r="D99" s="7" t="inlineStr">
        <is>
          <t>specific objective</t>
        </is>
      </c>
      <c r="E99" s="7" t="inlineStr">
        <is>
          <t>Enhance trust in pan-European electronic transactions and ensure cross-border legal recognition of electronic identification, authentication, signature and related trust services</t>
        </is>
      </c>
      <c r="F99" s="7" t="inlineStr"/>
      <c r="G99" s="7" t="inlineStr"/>
      <c r="H99" s="7" t="inlineStr"/>
      <c r="I99" s="7" t="inlineStr"/>
      <c r="J99" s="7" t="inlineStr"/>
      <c r="K99" s="7" t="inlineStr"/>
    </row>
    <row r="100">
      <c r="A100" s="7" t="n">
        <v>22</v>
      </c>
      <c r="B100" s="7" t="inlineStr">
        <is>
          <t>eIDAS Regulation</t>
        </is>
      </c>
      <c r="C100" s="7" t="inlineStr">
        <is>
          <t>52012PC0238</t>
        </is>
      </c>
      <c r="D100" s="7" t="inlineStr">
        <is>
          <t>indicator (LFS 1.4.4)</t>
        </is>
      </c>
      <c r="E100" s="7" t="inlineStr">
        <is>
          <t>eID coverage</t>
        </is>
      </c>
      <c r="F100" s="7" t="inlineStr">
        <is>
          <t>Electronic identification schemes notified to the Commission</t>
        </is>
      </c>
      <c r="G100" s="7" t="inlineStr"/>
      <c r="H100" s="7" t="inlineStr">
        <is>
          <t>Measured: 19 schemes from 14 Member States by early 2021, covering 59% of the EU population. Commission list (updated Feb 2026) shows notified schemes for 24 of 27 Member States (none for Greece, Hungary, Ireland), plus Liechtenstein and Norway.</t>
        </is>
      </c>
      <c r="I100" s="7" t="inlineStr">
        <is>
          <t>measured</t>
        </is>
      </c>
      <c r="J100" s="7" t="inlineStr">
        <is>
          <t>measured</t>
        </is>
      </c>
      <c r="K100" s="7" t="inlineStr">
        <is>
          <t>COM(2021) 290; WK 163/2021; Commission eID overview</t>
        </is>
      </c>
    </row>
    <row r="101">
      <c r="A101" s="7" t="n">
        <v>22</v>
      </c>
      <c r="B101" s="7" t="inlineStr">
        <is>
          <t>eIDAS Regulation</t>
        </is>
      </c>
      <c r="C101" s="7" t="inlineStr">
        <is>
          <t>52012PC0238</t>
        </is>
      </c>
      <c r="D101" s="7" t="inlineStr">
        <is>
          <t>indicator (LFS 1.4.4)</t>
        </is>
      </c>
      <c r="E101" s="7" t="inlineStr">
        <is>
          <t>Cross-border use</t>
        </is>
      </c>
      <c r="F101" s="7" t="inlineStr">
        <is>
          <t>Extent to which eIAS are used by end-users for national and cross-border transactions</t>
        </is>
      </c>
      <c r="G101" s="7" t="inlineStr"/>
      <c r="H101" s="7" t="inlineStr">
        <is>
          <t>Measured once: 100 to 30,000 successful cross-border authentications a year, against millions domestically; only 14% of seven key public services for cross-border users offered eIDAS login (2020). No later series found.</t>
        </is>
      </c>
      <c r="I101" s="7" t="inlineStr">
        <is>
          <t>measured</t>
        </is>
      </c>
      <c r="J101" s="7" t="inlineStr">
        <is>
          <t>measured</t>
        </is>
      </c>
      <c r="K101" s="7" t="inlineStr">
        <is>
          <t>WK 163/2021 (Commission evaluation results)</t>
        </is>
      </c>
    </row>
    <row r="102">
      <c r="A102" s="7" t="n">
        <v>22</v>
      </c>
      <c r="B102" s="7" t="inlineStr">
        <is>
          <t>eIDAS Regulation</t>
        </is>
      </c>
      <c r="C102" s="7" t="inlineStr">
        <is>
          <t>52012PC0238</t>
        </is>
      </c>
      <c r="D102" s="7" t="inlineStr">
        <is>
          <t>indicator (LFS 1.4.4)</t>
        </is>
      </c>
      <c r="E102" s="7" t="inlineStr">
        <is>
          <t>Public and private services</t>
        </is>
      </c>
      <c r="F102" s="7" t="inlineStr">
        <is>
          <t>Services accessible with notified eID in the public and private sector</t>
        </is>
      </c>
      <c r="G102" s="7" t="inlineStr"/>
      <c r="H102" s="7" t="inlineStr">
        <is>
          <t>Public: 67% of Member States could accept notified eIDs (2020). Private: 17 Member States had a national eID open to private providers but only 12 had notified one; evaluation found private-sector use very limited.</t>
        </is>
      </c>
      <c r="I102" s="7" t="inlineStr">
        <is>
          <t>partially measured</t>
        </is>
      </c>
      <c r="J102" s="7" t="inlineStr">
        <is>
          <t>partially measured</t>
        </is>
      </c>
      <c r="K102" s="7" t="inlineStr">
        <is>
          <t>SWD(2021) 130; WK 163/2021</t>
        </is>
      </c>
    </row>
    <row r="103">
      <c r="A103" s="7" t="n">
        <v>22</v>
      </c>
      <c r="B103" s="7" t="inlineStr">
        <is>
          <t>eIDAS Regulation</t>
        </is>
      </c>
      <c r="C103" s="7" t="inlineStr">
        <is>
          <t>52012PC0238</t>
        </is>
      </c>
      <c r="D103" s="7" t="inlineStr">
        <is>
          <t>indicator (LFS 1.4.4)</t>
        </is>
      </c>
      <c r="E103" s="7" t="inlineStr">
        <is>
          <t>Trust services market</t>
        </is>
      </c>
      <c r="F103" s="7" t="inlineStr">
        <is>
          <t>Existence of eIAS suppliers active in multiple Member States</t>
        </is>
      </c>
      <c r="G103" s="7" t="inlineStr"/>
      <c r="H103" s="7" t="inlineStr">
        <is>
          <t>202 active qualified trust service providers in 29 of 30 EU/EEA countries (2021), concentrated in Spain, France, Italy, Germany; evaluation found take-up of trust services increased but supervision and interpretation still diverge.</t>
        </is>
      </c>
      <c r="I103" s="7" t="inlineStr">
        <is>
          <t>partially measured</t>
        </is>
      </c>
      <c r="J103" s="7" t="inlineStr">
        <is>
          <t>partially measured</t>
        </is>
      </c>
      <c r="K103" s="7" t="inlineStr">
        <is>
          <t>SWD(2021) 130</t>
        </is>
      </c>
    </row>
    <row r="104">
      <c r="A104" s="7" t="n">
        <v>22</v>
      </c>
      <c r="B104" s="7" t="inlineStr">
        <is>
          <t>eIDAS Regulation</t>
        </is>
      </c>
      <c r="C104" s="7" t="inlineStr">
        <is>
          <t>52012PC0238</t>
        </is>
      </c>
      <c r="D104" s="7" t="inlineStr">
        <is>
          <t>indicator (LFS 1.4.4)</t>
        </is>
      </c>
      <c r="E104" s="7" t="inlineStr">
        <is>
          <t>Efficiency</t>
        </is>
      </c>
      <c r="F104" s="7" t="inlineStr">
        <is>
          <t>Costs vs benefits (evaluation criterion)</t>
        </is>
      </c>
      <c r="G104" s="7" t="inlineStr"/>
      <c r="H104" s="7" t="inlineStr">
        <is>
          <t>Evaluation's baseline cost-benefit analysis: quantifiable costs so far higher than benefits, because eID uptake was too low for benefits to materialise; costs fall mainly on public authorities.</t>
        </is>
      </c>
      <c r="I104" s="7" t="inlineStr">
        <is>
          <t>measured</t>
        </is>
      </c>
      <c r="J104" s="7" t="inlineStr">
        <is>
          <t>measured</t>
        </is>
      </c>
      <c r="K104" s="7" t="inlineStr">
        <is>
          <t>COM(2021) 290; SWD(2021) 130</t>
        </is>
      </c>
    </row>
    <row r="105">
      <c r="A105" s="7" t="n">
        <v>23</v>
      </c>
      <c r="B105" s="7" t="inlineStr">
        <is>
          <t>Payment Services Directive 2 (PSD2)</t>
        </is>
      </c>
      <c r="C105" s="7" t="inlineStr">
        <is>
          <t>52013PC0547</t>
        </is>
      </c>
      <c r="D105" s="7" t="inlineStr">
        <is>
          <t>specific objective</t>
        </is>
      </c>
      <c r="E105" s="7" t="inlineStr">
        <is>
          <t>Develop an EU-wide market for electronic payments</t>
        </is>
      </c>
      <c r="F105" s="7" t="inlineStr"/>
      <c r="G105" s="7" t="inlineStr"/>
      <c r="H105" s="7" t="inlineStr"/>
      <c r="I105" s="7" t="inlineStr"/>
      <c r="J105" s="7" t="inlineStr"/>
      <c r="K105" s="7" t="inlineStr"/>
    </row>
    <row r="106">
      <c r="A106" s="7" t="n">
        <v>23</v>
      </c>
      <c r="B106" s="7" t="inlineStr">
        <is>
          <t>Payment Services Directive 2 (PSD2)</t>
        </is>
      </c>
      <c r="C106" s="7" t="inlineStr">
        <is>
          <t>52013PC0547</t>
        </is>
      </c>
      <c r="D106" s="7" t="inlineStr">
        <is>
          <t>specific objective</t>
        </is>
      </c>
      <c r="E106" s="7" t="inlineStr">
        <is>
          <t>Address standardisation and interoperability gaps for card, internet and mobile payments</t>
        </is>
      </c>
      <c r="F106" s="7" t="inlineStr"/>
      <c r="G106" s="7" t="inlineStr"/>
      <c r="H106" s="7" t="inlineStr"/>
      <c r="I106" s="7" t="inlineStr"/>
      <c r="J106" s="7" t="inlineStr"/>
      <c r="K106" s="7" t="inlineStr"/>
    </row>
    <row r="107">
      <c r="A107" s="7" t="n">
        <v>23</v>
      </c>
      <c r="B107" s="7" t="inlineStr">
        <is>
          <t>Payment Services Directive 2 (PSD2)</t>
        </is>
      </c>
      <c r="C107" s="7" t="inlineStr">
        <is>
          <t>52013PC0547</t>
        </is>
      </c>
      <c r="D107" s="7" t="inlineStr">
        <is>
          <t>specific objective</t>
        </is>
      </c>
      <c r="E107" s="7" t="inlineStr">
        <is>
          <t>Eliminate hurdles for competition, in particular for card and internet payments</t>
        </is>
      </c>
      <c r="F107" s="7" t="inlineStr"/>
      <c r="G107" s="7" t="inlineStr"/>
      <c r="H107" s="7" t="inlineStr"/>
      <c r="I107" s="7" t="inlineStr"/>
      <c r="J107" s="7" t="inlineStr"/>
      <c r="K107" s="7" t="inlineStr"/>
    </row>
    <row r="108">
      <c r="A108" s="7" t="n">
        <v>23</v>
      </c>
      <c r="B108" s="7" t="inlineStr">
        <is>
          <t>Payment Services Directive 2 (PSD2)</t>
        </is>
      </c>
      <c r="C108" s="7" t="inlineStr">
        <is>
          <t>52013PC0547</t>
        </is>
      </c>
      <c r="D108" s="7" t="inlineStr">
        <is>
          <t>specific objective</t>
        </is>
      </c>
      <c r="E108" s="7" t="inlineStr">
        <is>
          <t>Align charging and steering practices across the EU</t>
        </is>
      </c>
      <c r="F108" s="7" t="inlineStr"/>
      <c r="G108" s="7" t="inlineStr"/>
      <c r="H108" s="7" t="inlineStr"/>
      <c r="I108" s="7" t="inlineStr"/>
      <c r="J108" s="7" t="inlineStr"/>
      <c r="K108" s="7" t="inlineStr"/>
    </row>
    <row r="109">
      <c r="A109" s="7" t="n">
        <v>23</v>
      </c>
      <c r="B109" s="7" t="inlineStr">
        <is>
          <t>Payment Services Directive 2 (PSD2)</t>
        </is>
      </c>
      <c r="C109" s="7" t="inlineStr">
        <is>
          <t>52013PC0547</t>
        </is>
      </c>
      <c r="D109" s="7" t="inlineStr">
        <is>
          <t>specific objective</t>
        </is>
      </c>
      <c r="E109" s="7" t="inlineStr">
        <is>
          <t>Cover emerging payment services and instruments</t>
        </is>
      </c>
      <c r="F109" s="7" t="inlineStr"/>
      <c r="G109" s="7" t="inlineStr"/>
      <c r="H109" s="7" t="inlineStr"/>
      <c r="I109" s="7" t="inlineStr"/>
      <c r="J109" s="7" t="inlineStr"/>
      <c r="K109" s="7" t="inlineStr"/>
    </row>
    <row r="110">
      <c r="A110" s="7" t="n">
        <v>23</v>
      </c>
      <c r="B110" s="7" t="inlineStr">
        <is>
          <t>Payment Services Directive 2 (PSD2)</t>
        </is>
      </c>
      <c r="C110" s="7" t="inlineStr">
        <is>
          <t>52013PC0547</t>
        </is>
      </c>
      <c r="D110" s="7" t="inlineStr">
        <is>
          <t>specific objective</t>
        </is>
      </c>
      <c r="E110" s="7" t="inlineStr">
        <is>
          <t>Ensure consistent application of licensing and supervision across Member States</t>
        </is>
      </c>
      <c r="F110" s="7" t="inlineStr"/>
      <c r="G110" s="7" t="inlineStr"/>
      <c r="H110" s="7" t="inlineStr"/>
      <c r="I110" s="7" t="inlineStr"/>
      <c r="J110" s="7" t="inlineStr"/>
      <c r="K110" s="7" t="inlineStr"/>
    </row>
    <row r="111">
      <c r="A111" s="7" t="n">
        <v>23</v>
      </c>
      <c r="B111" s="7" t="inlineStr">
        <is>
          <t>Payment Services Directive 2 (PSD2)</t>
        </is>
      </c>
      <c r="C111" s="7" t="inlineStr">
        <is>
          <t>52013PC0547</t>
        </is>
      </c>
      <c r="D111" s="7" t="inlineStr">
        <is>
          <t>specific objective</t>
        </is>
      </c>
      <c r="E111" s="7" t="inlineStr">
        <is>
          <t>Ensure adequate and consistent consumer protection</t>
        </is>
      </c>
      <c r="F111" s="7" t="inlineStr"/>
      <c r="G111" s="7" t="inlineStr"/>
      <c r="H111" s="7" t="inlineStr"/>
      <c r="I111" s="7" t="inlineStr"/>
      <c r="J111" s="7" t="inlineStr"/>
      <c r="K111" s="7" t="inlineStr"/>
    </row>
    <row r="112">
      <c r="A112" s="7" t="n">
        <v>23</v>
      </c>
      <c r="B112" s="7" t="inlineStr">
        <is>
          <t>Payment Services Directive 2 (PSD2)</t>
        </is>
      </c>
      <c r="C112" s="7" t="inlineStr">
        <is>
          <t>52013PC0547</t>
        </is>
      </c>
      <c r="D112" s="7" t="inlineStr">
        <is>
          <t>indicator (LFS 1.4.4)</t>
        </is>
      </c>
      <c r="E112" s="7" t="inlineStr">
        <is>
          <t>All objectives</t>
        </is>
      </c>
      <c r="F112" s="7" t="inlineStr">
        <is>
          <t>Commission assessment of implementation and impact, based on a conformity check and a market study (no quantified indicators set)</t>
        </is>
      </c>
      <c r="G112" s="7" t="inlineStr"/>
      <c r="H112" s="7" t="inlineStr">
        <is>
          <t>Done: Commission review COM(2023) 365 and evaluation (with SWD(2023) 231). Finds 'varying degrees of success'.</t>
        </is>
      </c>
      <c r="I112" s="7" t="inlineStr">
        <is>
          <t>measured (qualitative review)</t>
        </is>
      </c>
      <c r="J112" s="7" t="inlineStr">
        <is>
          <t>measured</t>
        </is>
      </c>
      <c r="K112" s="7" t="inlineStr">
        <is>
          <t>COM(2023) 365</t>
        </is>
      </c>
    </row>
    <row r="113">
      <c r="A113" s="7" t="n">
        <v>23</v>
      </c>
      <c r="B113" s="7" t="inlineStr">
        <is>
          <t>Payment Services Directive 2 (PSD2)</t>
        </is>
      </c>
      <c r="C113" s="7" t="inlineStr">
        <is>
          <t>52013PC0547</t>
        </is>
      </c>
      <c r="D113" s="7" t="inlineStr">
        <is>
          <t>expected impact (LFS 1.4.3)</t>
        </is>
      </c>
      <c r="E113" s="7" t="inlineStr">
        <is>
          <t>Security</t>
        </is>
      </c>
      <c r="F113" s="7" t="inlineStr">
        <is>
          <t>Secure payment services (strong customer authentication)</t>
        </is>
      </c>
      <c r="G113" s="7" t="inlineStr"/>
      <c r="H113" s="7" t="inlineStr">
        <is>
          <t>Clear success: SCA-authenticated remote card payments show 70-80% lower fraud than non-SCA ones.</t>
        </is>
      </c>
      <c r="I113" s="7" t="inlineStr">
        <is>
          <t>measured</t>
        </is>
      </c>
      <c r="J113" s="7" t="inlineStr">
        <is>
          <t>measured</t>
        </is>
      </c>
      <c r="K113" s="7" t="inlineStr">
        <is>
          <t>COM(2023) 365</t>
        </is>
      </c>
    </row>
    <row r="114">
      <c r="A114" s="7" t="n">
        <v>23</v>
      </c>
      <c r="B114" s="7" t="inlineStr">
        <is>
          <t>Payment Services Directive 2 (PSD2)</t>
        </is>
      </c>
      <c r="C114" s="7" t="inlineStr">
        <is>
          <t>52013PC0547</t>
        </is>
      </c>
      <c r="D114" s="7" t="inlineStr">
        <is>
          <t>expected impact (LFS 1.4.3)</t>
        </is>
      </c>
      <c r="E114" s="7" t="inlineStr">
        <is>
          <t>Competition and innovation</t>
        </is>
      </c>
      <c r="F114" s="7" t="inlineStr">
        <is>
          <t>Facilitate innovative payment services (open banking, new entrants)</t>
        </is>
      </c>
      <c r="G114" s="7" t="inlineStr"/>
      <c r="H114" s="7" t="inlineStr">
        <is>
          <t>Mixed: hundreds of new non-bank providers with millions of clients, but open-banking uptake uneven and data-access interfaces of variable quality; banks report high API costs. Cross-country evidence: open-banking policies spur fintech investment (Babina et al.).</t>
        </is>
      </c>
      <c r="I114" s="7" t="inlineStr">
        <is>
          <t>mixed evidence</t>
        </is>
      </c>
      <c r="J114" s="7" t="inlineStr">
        <is>
          <t>mixed evidence</t>
        </is>
      </c>
      <c r="K114" s="7" t="inlineStr">
        <is>
          <t>COM(2023) 365; Babina et al. 2024</t>
        </is>
      </c>
    </row>
    <row r="115">
      <c r="A115" s="7" t="n">
        <v>23</v>
      </c>
      <c r="B115" s="7" t="inlineStr">
        <is>
          <t>Payment Services Directive 2 (PSD2)</t>
        </is>
      </c>
      <c r="C115" s="7" t="inlineStr">
        <is>
          <t>52013PC0547</t>
        </is>
      </c>
      <c r="D115" s="7" t="inlineStr">
        <is>
          <t>expected impact (LFS 1.4.3)</t>
        </is>
      </c>
      <c r="E115" s="7" t="inlineStr">
        <is>
          <t>Prices</t>
        </is>
      </c>
      <c r="F115" s="7" t="inlineStr">
        <is>
          <t>Downward convergence of costs and prices for payment users</t>
        </is>
      </c>
      <c r="G115" s="7" t="inlineStr"/>
      <c r="H115" s="7" t="inlineStr">
        <is>
          <t>Not achieved yet: anticipated cost reductions for merchants from cheaper payment methods 'have not yet fully materialised'; card systems remain largely national; no pan-European solution yet.</t>
        </is>
      </c>
      <c r="I115" s="7" t="inlineStr">
        <is>
          <t>not achieved (per Commission)</t>
        </is>
      </c>
      <c r="J115" s="7" t="inlineStr">
        <is>
          <t>measured</t>
        </is>
      </c>
      <c r="K115" s="7" t="inlineStr">
        <is>
          <t>COM(2023) 365</t>
        </is>
      </c>
    </row>
    <row r="116">
      <c r="A116" s="7" t="n">
        <v>23</v>
      </c>
      <c r="B116" s="7" t="inlineStr">
        <is>
          <t>Payment Services Directive 2 (PSD2)</t>
        </is>
      </c>
      <c r="C116" s="7" t="inlineStr">
        <is>
          <t>52013PC0547</t>
        </is>
      </c>
      <c r="D116" s="7" t="inlineStr">
        <is>
          <t>expected impact (LFS 1.4.3)</t>
        </is>
      </c>
      <c r="E116" s="7" t="inlineStr">
        <is>
          <t>Charging practices</t>
        </is>
      </c>
      <c r="F116" s="7" t="inlineStr">
        <is>
          <t>Align surcharging and steering practices</t>
        </is>
      </c>
      <c r="G116" s="7" t="inlineStr"/>
      <c r="H116" s="7" t="inlineStr">
        <is>
          <t>Surcharging ban covers 95% of EU payments; Commission sees no need for further alignment.</t>
        </is>
      </c>
      <c r="I116" s="7" t="inlineStr">
        <is>
          <t>measured</t>
        </is>
      </c>
      <c r="J116" s="7" t="inlineStr">
        <is>
          <t>measured</t>
        </is>
      </c>
      <c r="K116" s="7" t="inlineStr">
        <is>
          <t>COM(2023) 365</t>
        </is>
      </c>
    </row>
    <row r="117">
      <c r="A117" s="7" t="n">
        <v>24</v>
      </c>
      <c r="B117" s="7" t="inlineStr">
        <is>
          <t>Open Internet Access Regulation</t>
        </is>
      </c>
      <c r="C117" s="7" t="inlineStr">
        <is>
          <t>52013PC0627</t>
        </is>
      </c>
      <c r="D117" s="7" t="inlineStr">
        <is>
          <t>note</t>
        </is>
      </c>
      <c r="E117" s="7" t="inlineStr">
        <is>
          <t>The 2013 'Connected Continent' proposal (COM(2013) 627) had no financial-statement indicators or monitoring section for the open internet provisions; the impact assessment promised an evaluation after four years. Review clause (Art. 9) led to Commission reports in 2019 and 2023</t>
        </is>
      </c>
      <c r="F117" s="7" t="inlineStr"/>
      <c r="G117" s="7" t="inlineStr"/>
      <c r="H117" s="7" t="inlineStr"/>
      <c r="I117" s="7" t="inlineStr"/>
      <c r="J117" s="7" t="inlineStr"/>
      <c r="K117" s="7" t="inlineStr"/>
    </row>
    <row r="118">
      <c r="A118" s="7" t="n">
        <v>24</v>
      </c>
      <c r="B118" s="7" t="inlineStr">
        <is>
          <t>Open Internet Access Regulation</t>
        </is>
      </c>
      <c r="C118" s="7" t="inlineStr">
        <is>
          <t>52013PC0627</t>
        </is>
      </c>
      <c r="D118" s="7" t="inlineStr">
        <is>
          <t>expected impact (impact assessment)</t>
        </is>
      </c>
      <c r="E118" s="7" t="inlineStr">
        <is>
          <t>Open internet for end-users</t>
        </is>
      </c>
      <c r="F118" s="7" t="inlineStr">
        <is>
          <t>No blocking, throttling or discrimination of traffic; end-users' right to access content of their choice</t>
        </is>
      </c>
      <c r="G118" s="7" t="inlineStr"/>
      <c r="H118" s="7" t="inlineStr">
        <is>
          <t>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is>
      </c>
      <c r="I118" s="7" t="inlineStr">
        <is>
          <t>reported as activity</t>
        </is>
      </c>
      <c r="J118" s="7" t="inlineStr">
        <is>
          <t>reported as activity</t>
        </is>
      </c>
      <c r="K118" s="7" t="inlineStr">
        <is>
          <t>COM(2019) 203; COM(2023) 233; epicenter.works 2019</t>
        </is>
      </c>
    </row>
    <row r="119">
      <c r="A119" s="7" t="n">
        <v>24</v>
      </c>
      <c r="B119" s="7" t="inlineStr">
        <is>
          <t>Open Internet Access Regulation</t>
        </is>
      </c>
      <c r="C119" s="7" t="inlineStr">
        <is>
          <t>52013PC0627</t>
        </is>
      </c>
      <c r="D119" s="7" t="inlineStr">
        <is>
          <t>expected impact (impact assessment)</t>
        </is>
      </c>
      <c r="E119" s="7" t="inlineStr">
        <is>
          <t>Single market for electronic communications (whole package)</t>
        </is>
      </c>
      <c r="F119" s="7" t="inlineStr">
        <is>
          <t>Direct benefit of a telecoms single market about EUR 110bn a year</t>
        </is>
      </c>
      <c r="G119" s="7" t="inlineStr">
        <is>
          <t>EUR 110bn p.a.</t>
        </is>
      </c>
      <c r="H119" s="7" t="inlineStr">
        <is>
          <t>Not evaluated; the figure covered the whole Connected Continent package, most of which was not adopted.</t>
        </is>
      </c>
      <c r="I119" s="7" t="inlineStr">
        <is>
          <t>not measured</t>
        </is>
      </c>
      <c r="J119" s="7" t="inlineStr">
        <is>
          <t>not measured</t>
        </is>
      </c>
      <c r="K119" s="7" t="inlineStr">
        <is>
          <t>SWD(2013) 332</t>
        </is>
      </c>
    </row>
    <row r="120">
      <c r="A120" s="7" t="n">
        <v>24</v>
      </c>
      <c r="B120" s="7" t="inlineStr">
        <is>
          <t>Open Internet Access Regulation</t>
        </is>
      </c>
      <c r="C120" s="7" t="inlineStr">
        <is>
          <t>52013PC0627</t>
        </is>
      </c>
      <c r="D120" s="7" t="inlineStr">
        <is>
          <t>expected impact (impact assessment)</t>
        </is>
      </c>
      <c r="E120" s="7" t="inlineStr">
        <is>
          <t>Investment by internet access providers</t>
        </is>
      </c>
      <c r="F120" s="7" t="inlineStr">
        <is>
          <t>Rules should not deter network investment</t>
        </is>
      </c>
      <c r="G120" s="7" t="inlineStr"/>
      <c r="H120" s="7" t="inlineStr">
        <is>
          <t>Commission (2019): regulation 'does not seem to affect' ISP investment (stakeholder-based). OECD panel study (Briglauer et al. 2022) finds strict net neutrality rules significantly slow fibre investment and take-up. Evidence conflicts.</t>
        </is>
      </c>
      <c r="I120" s="7" t="inlineStr">
        <is>
          <t>mixed evidence</t>
        </is>
      </c>
      <c r="J120" s="7" t="inlineStr">
        <is>
          <t>mixed evidence</t>
        </is>
      </c>
      <c r="K120" s="7" t="inlineStr">
        <is>
          <t>COM(2019) 203; Briglauer et al. 2022</t>
        </is>
      </c>
    </row>
    <row r="121">
      <c r="A121" s="7" t="n">
        <v>24</v>
      </c>
      <c r="B121" s="7" t="inlineStr">
        <is>
          <t>Open Internet Access Regulation</t>
        </is>
      </c>
      <c r="C121" s="7" t="inlineStr">
        <is>
          <t>52013PC0627</t>
        </is>
      </c>
      <c r="D121" s="7" t="inlineStr">
        <is>
          <t>expected impact (impact assessment)</t>
        </is>
      </c>
      <c r="E121" s="7" t="inlineStr">
        <is>
          <t>Prices and choice for consumers (zero-rating)</t>
        </is>
      </c>
      <c r="F121" s="7" t="inlineStr">
        <is>
          <t>Commercial practices must not limit end-user rights</t>
        </is>
      </c>
      <c r="G121" s="7" t="inlineStr"/>
      <c r="H121" s="7" t="inlineStr">
        <is>
          <t>Mixed: epicenter.works found mobile data prices rose about 2% in markets with zero-rating vs fell about 8% elsewhere (2015-16); Austrian regulator RTR (11,000+ tariffs, 15 countries, 2015-18) found no systematic effect on data caps or price per GB.</t>
        </is>
      </c>
      <c r="I121" s="7" t="inlineStr">
        <is>
          <t>mixed evidence</t>
        </is>
      </c>
      <c r="J121" s="7" t="inlineStr">
        <is>
          <t>mixed evidence</t>
        </is>
      </c>
      <c r="K121" s="7" t="inlineStr">
        <is>
          <t>epicenter.works 2019; Király &amp; Schwarz (RTR) 2019</t>
        </is>
      </c>
    </row>
    <row r="122">
      <c r="A122" s="7" t="n">
        <v>21</v>
      </c>
      <c r="B122" s="7" t="inlineStr">
        <is>
          <t>Law Enforcement Directive</t>
        </is>
      </c>
      <c r="C122" s="7" t="inlineStr">
        <is>
          <t>52012PC0010</t>
        </is>
      </c>
      <c r="D122" s="7" t="inlineStr">
        <is>
          <t>note</t>
        </is>
      </c>
      <c r="E122" s="7" t="inlineStr">
        <is>
          <t>The 2012 LED proposal (COM(2012) 10) has no financial-statement indicators; monitoring relies on four-yearly Commission reports under Article 62 (first 2022, second due 2026)</t>
        </is>
      </c>
      <c r="F122" s="7" t="inlineStr"/>
      <c r="G122" s="7" t="inlineStr"/>
      <c r="H122" s="7" t="inlineStr"/>
      <c r="I122" s="7" t="inlineStr"/>
      <c r="J122" s="7" t="inlineStr"/>
      <c r="K122" s="7" t="inlineStr"/>
    </row>
    <row r="123">
      <c r="A123" s="7" t="n">
        <v>21</v>
      </c>
      <c r="B123" s="7" t="inlineStr">
        <is>
          <t>Law Enforcement Directive</t>
        </is>
      </c>
      <c r="C123" s="7" t="inlineStr">
        <is>
          <t>52012PC0010</t>
        </is>
      </c>
      <c r="D123" s="7" t="inlineStr">
        <is>
          <t>evaluation question</t>
        </is>
      </c>
      <c r="E123" s="7" t="inlineStr">
        <is>
          <t>Harmonised, high level of protection in policing and criminal justice</t>
        </is>
      </c>
      <c r="F123" s="7" t="inlineStr">
        <is>
          <t>Transposition and conformity of national laws</t>
        </is>
      </c>
      <c r="G123" s="7" t="inlineStr">
        <is>
          <t>Deadline 6 May 2018</t>
        </is>
      </c>
      <c r="H123" s="7" t="inlineStr">
        <is>
          <t>Two-thirds of Member States missed the deadline; infringement cases against 19 Member States (2018), later one against Germany (2022). Transposition complete by 2019-2022 but gaps on storage limits, legal basis and supervisory powers.</t>
        </is>
      </c>
      <c r="I123" s="7" t="inlineStr">
        <is>
          <t>measured</t>
        </is>
      </c>
      <c r="J123" s="7" t="inlineStr">
        <is>
          <t>measured</t>
        </is>
      </c>
      <c r="K123" s="7" t="inlineStr">
        <is>
          <t>COM(2022) 364</t>
        </is>
      </c>
    </row>
    <row r="124">
      <c r="A124" s="7" t="n">
        <v>21</v>
      </c>
      <c r="B124" s="7" t="inlineStr">
        <is>
          <t>Law Enforcement Directive</t>
        </is>
      </c>
      <c r="C124" s="7" t="inlineStr">
        <is>
          <t>52012PC0010</t>
        </is>
      </c>
      <c r="D124" s="7" t="inlineStr">
        <is>
          <t>evaluation question</t>
        </is>
      </c>
      <c r="E124" s="7" t="inlineStr">
        <is>
          <t>Effective rights for individuals</t>
        </is>
      </c>
      <c r="F124" s="7" t="inlineStr">
        <is>
          <t>Complaints and supervisory activity</t>
        </is>
      </c>
      <c r="G124" s="7" t="inlineStr"/>
      <c r="H124" s="7" t="inlineStr">
        <is>
          <t>More than a third of supervisory authorities reported more complaints; most inadmissible, some led to erasure/rectification orders; representative complaints rarely used. Council (2025) finds DPOs improved awareness but access requests and DPIAs burdensome.</t>
        </is>
      </c>
      <c r="I124" s="7" t="inlineStr">
        <is>
          <t>reported as activity</t>
        </is>
      </c>
      <c r="J124" s="7" t="inlineStr">
        <is>
          <t>reported as activity</t>
        </is>
      </c>
      <c r="K124" s="7" t="inlineStr">
        <is>
          <t>COM(2022) 364; Council ST 15616/25</t>
        </is>
      </c>
    </row>
    <row r="125">
      <c r="A125" s="7" t="n">
        <v>21</v>
      </c>
      <c r="B125" s="7" t="inlineStr">
        <is>
          <t>Law Enforcement Directive</t>
        </is>
      </c>
      <c r="C125" s="7" t="inlineStr">
        <is>
          <t>52012PC0010</t>
        </is>
      </c>
      <c r="D125" s="7" t="inlineStr">
        <is>
          <t>evaluation question</t>
        </is>
      </c>
      <c r="E125" s="7" t="inlineStr">
        <is>
          <t>Facilitate exchange of data between law-enforcement authorities</t>
        </is>
      </c>
      <c r="F125" s="7" t="inlineStr">
        <is>
          <t>Volume/ease of cross-border data exchange</t>
        </is>
      </c>
      <c r="G125" s="7" t="inlineStr"/>
      <c r="H125" s="7" t="inlineStr">
        <is>
          <t>Not measured; Council reports international transfer rules (Art. 37) hard to use in practice.</t>
        </is>
      </c>
      <c r="I125" s="7" t="inlineStr">
        <is>
          <t>not measured</t>
        </is>
      </c>
      <c r="J125" s="7" t="inlineStr">
        <is>
          <t>not measured</t>
        </is>
      </c>
      <c r="K125" s="7" t="inlineStr">
        <is>
          <t>Council ST 15616/25</t>
        </is>
      </c>
    </row>
    <row r="126">
      <c r="A126" s="7" t="n">
        <v>26</v>
      </c>
      <c r="B126" s="7" t="inlineStr">
        <is>
          <t>Trade Secrets Directive</t>
        </is>
      </c>
      <c r="C126" s="7" t="inlineStr">
        <is>
          <t>52013PC0813</t>
        </is>
      </c>
      <c r="D126" s="7" t="inlineStr">
        <is>
          <t>note</t>
        </is>
      </c>
      <c r="E126" s="7" t="inlineStr">
        <is>
          <t>The 2013 proposal (COM(2013) 813) has no financial-statement indicators; Article 18 requires an EUIPO litigation report (2021), a Commission intermediate report (2022) and an impact evaluation (2026)</t>
        </is>
      </c>
      <c r="F126" s="7" t="inlineStr"/>
      <c r="G126" s="7" t="inlineStr"/>
      <c r="H126" s="7" t="inlineStr"/>
      <c r="I126" s="7" t="inlineStr"/>
      <c r="J126" s="7" t="inlineStr"/>
      <c r="K126" s="7" t="inlineStr"/>
    </row>
    <row r="127">
      <c r="A127" s="7" t="n">
        <v>26</v>
      </c>
      <c r="B127" s="7" t="inlineStr">
        <is>
          <t>Trade Secrets Directive</t>
        </is>
      </c>
      <c r="C127" s="7" t="inlineStr">
        <is>
          <t>52013PC0813</t>
        </is>
      </c>
      <c r="D127" s="7" t="inlineStr">
        <is>
          <t>expected impact (impact assessment)</t>
        </is>
      </c>
      <c r="E127" s="7" t="inlineStr">
        <is>
          <t>Better incentives for cross-border innovation and knowledge-sharing</t>
        </is>
      </c>
      <c r="F127" s="7" t="inlineStr">
        <is>
          <t>Willingness to share trade secrets; spending on protective measures</t>
        </is>
      </c>
      <c r="G127" s="7" t="inlineStr">
        <is>
          <t>Baseline (2012 survey): 40% of EU firms would refrain from sharing trade secrets for fear of misuse; 35% reported higher protection spending after misappropriation</t>
        </is>
      </c>
      <c r="H127" s="7" t="inlineStr">
        <is>
          <t>No follow-up survey or measurement found.</t>
        </is>
      </c>
      <c r="I127" s="7" t="inlineStr">
        <is>
          <t>not measured</t>
        </is>
      </c>
      <c r="J127" s="7" t="inlineStr">
        <is>
          <t>not measured</t>
        </is>
      </c>
      <c r="K127" s="7" t="inlineStr">
        <is>
          <t>SWD(2013) 471/472</t>
        </is>
      </c>
    </row>
    <row r="128">
      <c r="A128" s="7" t="n">
        <v>26</v>
      </c>
      <c r="B128" s="7" t="inlineStr">
        <is>
          <t>Trade Secrets Directive</t>
        </is>
      </c>
      <c r="C128" s="7" t="inlineStr">
        <is>
          <t>52013PC0813</t>
        </is>
      </c>
      <c r="D128" s="7" t="inlineStr">
        <is>
          <t>expected impact (impact assessment)</t>
        </is>
      </c>
      <c r="E128" s="7" t="inlineStr">
        <is>
          <t>Effective legal redress across the EU</t>
        </is>
      </c>
      <c r="F128" s="7" t="inlineStr">
        <is>
          <t>Litigation patterns and remedies</t>
        </is>
      </c>
      <c r="G128" s="7" t="inlineStr"/>
      <c r="H128" s="7" t="inlineStr">
        <is>
          <t>EUIPO study of ~700 national judgments (2017-Oct 2022): litigation volumes and fora vary widely between Member States; cross-border disputes rare; most disputed secrets commercial (62%) rather than technical (33%).</t>
        </is>
      </c>
      <c r="I128" s="7" t="inlineStr">
        <is>
          <t>reported as activity</t>
        </is>
      </c>
      <c r="J128" s="7" t="inlineStr">
        <is>
          <t>reported as activity</t>
        </is>
      </c>
      <c r="K128" s="7" t="inlineStr">
        <is>
          <t>Borghi, Cogo &amp; Khan / EUIPO 2023</t>
        </is>
      </c>
    </row>
    <row r="129">
      <c r="A129" s="7" t="n">
        <v>26</v>
      </c>
      <c r="B129" s="7" t="inlineStr">
        <is>
          <t>Trade Secrets Directive</t>
        </is>
      </c>
      <c r="C129" s="7" t="inlineStr">
        <is>
          <t>52013PC0813</t>
        </is>
      </c>
      <c r="D129" s="7" t="inlineStr">
        <is>
          <t>expected impact (impact assessment)</t>
        </is>
      </c>
      <c r="E129" s="7" t="inlineStr">
        <is>
          <t>Innovation, employee mobility, freedom of expression</t>
        </is>
      </c>
      <c r="F129" s="7" t="inlineStr">
        <is>
          <t>Effects on R&amp;D, mobility and whistleblowing</t>
        </is>
      </c>
      <c r="G129" s="7" t="inlineStr"/>
      <c r="H129" s="7" t="inlineStr">
        <is>
          <t>No Commission impact evaluation or independent empirical study of these effects found.</t>
        </is>
      </c>
      <c r="I129" s="7" t="inlineStr">
        <is>
          <t>not measured</t>
        </is>
      </c>
      <c r="J129" s="7" t="inlineStr">
        <is>
          <t>not measured</t>
        </is>
      </c>
      <c r="K129" s="7" t="inlineStr"/>
    </row>
    <row r="130">
      <c r="A130" s="7" t="n">
        <v>20</v>
      </c>
      <c r="B130" s="7" t="inlineStr">
        <is>
          <t>General Data Protection Regulation</t>
        </is>
      </c>
      <c r="C130" s="7" t="inlineStr">
        <is>
          <t>52012PC0011</t>
        </is>
      </c>
      <c r="D130" s="7" t="inlineStr">
        <is>
          <t>specific objective</t>
        </is>
      </c>
      <c r="E130" s="7" t="inlineStr">
        <is>
          <t>Ensure consistent enforcement of data protection rules</t>
        </is>
      </c>
      <c r="F130" s="7" t="inlineStr"/>
      <c r="G130" s="7" t="inlineStr"/>
      <c r="H130" s="7" t="inlineStr"/>
      <c r="I130" s="7" t="inlineStr"/>
      <c r="J130" s="7" t="inlineStr"/>
      <c r="K130" s="7" t="inlineStr"/>
    </row>
    <row r="131">
      <c r="A131" s="7" t="n">
        <v>20</v>
      </c>
      <c r="B131" s="7" t="inlineStr">
        <is>
          <t>General Data Protection Regulation</t>
        </is>
      </c>
      <c r="C131" s="7" t="inlineStr">
        <is>
          <t>52012PC0011</t>
        </is>
      </c>
      <c r="D131" s="7" t="inlineStr">
        <is>
          <t>specific objective</t>
        </is>
      </c>
      <c r="E131" s="7" t="inlineStr">
        <is>
          <t>Rationalise the governance system to help ensure more consistent enforcement</t>
        </is>
      </c>
      <c r="F131" s="7" t="inlineStr"/>
      <c r="G131" s="7" t="inlineStr"/>
      <c r="H131" s="7" t="inlineStr"/>
      <c r="I131" s="7" t="inlineStr"/>
      <c r="J131" s="7" t="inlineStr"/>
      <c r="K131" s="7" t="inlineStr"/>
    </row>
    <row r="132">
      <c r="A132" s="7" t="n">
        <v>20</v>
      </c>
      <c r="B132" s="7" t="inlineStr">
        <is>
          <t>General Data Protection Regulation</t>
        </is>
      </c>
      <c r="C132" s="7" t="inlineStr">
        <is>
          <t>52012PC0011</t>
        </is>
      </c>
      <c r="D132" s="7" t="inlineStr">
        <is>
          <t>indicator (LFS 1.4.4)</t>
        </is>
      </c>
      <c r="E132" s="7" t="inlineStr">
        <is>
          <t>Consistency / internal market</t>
        </is>
      </c>
      <c r="F132" s="7" t="inlineStr">
        <is>
          <t>Time and costs spent by data controllers in complying with legislation in other Member States</t>
        </is>
      </c>
      <c r="G132" s="7" t="inlineStr"/>
      <c r="H132" s="7" t="inlineStr">
        <is>
          <t>Not measured. Commission reports describe fragmentation in national implementation and inconsistent interpretation, but give no cost or time series.</t>
        </is>
      </c>
      <c r="I132" s="7" t="inlineStr">
        <is>
          <t>not measured</t>
        </is>
      </c>
      <c r="J132" s="7" t="inlineStr">
        <is>
          <t>not measured</t>
        </is>
      </c>
      <c r="K132" s="7" t="inlineStr">
        <is>
          <t>COM(2024) 357</t>
        </is>
      </c>
    </row>
    <row r="133">
      <c r="A133" s="7" t="n">
        <v>20</v>
      </c>
      <c r="B133" s="7" t="inlineStr">
        <is>
          <t>General Data Protection Regulation</t>
        </is>
      </c>
      <c r="C133" s="7" t="inlineStr">
        <is>
          <t>52012PC0011</t>
        </is>
      </c>
      <c r="D133" s="7" t="inlineStr">
        <is>
          <t>indicator (LFS 1.4.4)</t>
        </is>
      </c>
      <c r="E133" s="7" t="inlineStr">
        <is>
          <t>Governance</t>
        </is>
      </c>
      <c r="F133" s="7" t="inlineStr">
        <is>
          <t>Resources allocated to data protection authorities</t>
        </is>
      </c>
      <c r="G133" s="7" t="inlineStr"/>
      <c r="H133" s="7" t="inlineStr">
        <is>
          <t>Measured: between 2020 and 2024 all but two authorities gained staff; increase above 25% in 14 Member States (Ireland +79%). Authorities still cite insufficient resources as the main limit on enforcement.</t>
        </is>
      </c>
      <c r="I133" s="7" t="inlineStr">
        <is>
          <t>measured</t>
        </is>
      </c>
      <c r="J133" s="7" t="inlineStr">
        <is>
          <t>measured</t>
        </is>
      </c>
      <c r="K133" s="7" t="inlineStr">
        <is>
          <t>COM(2024) 357</t>
        </is>
      </c>
    </row>
    <row r="134">
      <c r="A134" s="7" t="n">
        <v>20</v>
      </c>
      <c r="B134" s="7" t="inlineStr">
        <is>
          <t>General Data Protection Regulation</t>
        </is>
      </c>
      <c r="C134" s="7" t="inlineStr">
        <is>
          <t>52012PC0011</t>
        </is>
      </c>
      <c r="D134" s="7" t="inlineStr">
        <is>
          <t>indicator (LFS 1.4.4)</t>
        </is>
      </c>
      <c r="E134" s="7" t="inlineStr">
        <is>
          <t>Accountability</t>
        </is>
      </c>
      <c r="F134" s="7" t="inlineStr">
        <is>
          <t>Established data protection officers in public and private organisations</t>
        </is>
      </c>
      <c r="G134" s="7" t="inlineStr"/>
      <c r="H134" s="7" t="inlineStr">
        <is>
          <t>No systematic count reported.</t>
        </is>
      </c>
      <c r="I134" s="7" t="inlineStr">
        <is>
          <t>not measured</t>
        </is>
      </c>
      <c r="J134" s="7" t="inlineStr">
        <is>
          <t>not measured</t>
        </is>
      </c>
      <c r="K134" s="7" t="inlineStr">
        <is>
          <t>COM(2024) 357</t>
        </is>
      </c>
    </row>
    <row r="135">
      <c r="A135" s="7" t="n">
        <v>20</v>
      </c>
      <c r="B135" s="7" t="inlineStr">
        <is>
          <t>General Data Protection Regulation</t>
        </is>
      </c>
      <c r="C135" s="7" t="inlineStr">
        <is>
          <t>52012PC0011</t>
        </is>
      </c>
      <c r="D135" s="7" t="inlineStr">
        <is>
          <t>indicator (LFS 1.4.4)</t>
        </is>
      </c>
      <c r="E135" s="7" t="inlineStr">
        <is>
          <t>Accountability</t>
        </is>
      </c>
      <c r="F135" s="7" t="inlineStr">
        <is>
          <t>Use made of data protection impact assessments</t>
        </is>
      </c>
      <c r="G135" s="7" t="inlineStr"/>
      <c r="H135" s="7" t="inlineStr">
        <is>
          <t>No systematic data; report notes SMEs need templates and guidance for DPIAs.</t>
        </is>
      </c>
      <c r="I135" s="7" t="inlineStr">
        <is>
          <t>not measured</t>
        </is>
      </c>
      <c r="J135" s="7" t="inlineStr">
        <is>
          <t>not measured</t>
        </is>
      </c>
      <c r="K135" s="7" t="inlineStr">
        <is>
          <t>COM(2024) 357</t>
        </is>
      </c>
    </row>
    <row r="136">
      <c r="A136" s="7" t="n">
        <v>20</v>
      </c>
      <c r="B136" s="7" t="inlineStr">
        <is>
          <t>General Data Protection Regulation</t>
        </is>
      </c>
      <c r="C136" s="7" t="inlineStr">
        <is>
          <t>52012PC0011</t>
        </is>
      </c>
      <c r="D136" s="7" t="inlineStr">
        <is>
          <t>indicator (LFS 1.4.4)</t>
        </is>
      </c>
      <c r="E136" s="7" t="inlineStr">
        <is>
          <t>Effective rights</t>
        </is>
      </c>
      <c r="F136" s="7" t="inlineStr">
        <is>
          <t>Number of complaints by data subjects and compensation received</t>
        </is>
      </c>
      <c r="G136" s="7" t="inlineStr"/>
      <c r="H136" s="7" t="inlineStr">
        <is>
          <t>Complaint handling and amicable settlements described; cross-border cooperation ~2,400 case entries; compensation not quantified.</t>
        </is>
      </c>
      <c r="I136" s="7" t="inlineStr">
        <is>
          <t>partially measured</t>
        </is>
      </c>
      <c r="J136" s="7" t="inlineStr">
        <is>
          <t>partially measured</t>
        </is>
      </c>
      <c r="K136" s="7" t="inlineStr">
        <is>
          <t>COM(2024) 357</t>
        </is>
      </c>
    </row>
    <row r="137">
      <c r="A137" s="7" t="n">
        <v>20</v>
      </c>
      <c r="B137" s="7" t="inlineStr">
        <is>
          <t>General Data Protection Regulation</t>
        </is>
      </c>
      <c r="C137" s="7" t="inlineStr">
        <is>
          <t>52012PC0011</t>
        </is>
      </c>
      <c r="D137" s="7" t="inlineStr">
        <is>
          <t>indicator (LFS 1.4.4)</t>
        </is>
      </c>
      <c r="E137" s="7" t="inlineStr">
        <is>
          <t>Enforcement</t>
        </is>
      </c>
      <c r="F137" s="7" t="inlineStr">
        <is>
          <t>Number of cases leading to prosecution of data controllers</t>
        </is>
      </c>
      <c r="G137" s="7" t="inlineStr"/>
      <c r="H137" s="7" t="inlineStr">
        <is>
          <t>Not reported as such; corrective measures vary widely between authorities.</t>
        </is>
      </c>
      <c r="I137" s="7" t="inlineStr">
        <is>
          <t>not measured</t>
        </is>
      </c>
      <c r="J137" s="7" t="inlineStr">
        <is>
          <t>not measured</t>
        </is>
      </c>
      <c r="K137" s="7" t="inlineStr">
        <is>
          <t>COM(2024) 357</t>
        </is>
      </c>
    </row>
    <row r="138">
      <c r="A138" s="7" t="n">
        <v>20</v>
      </c>
      <c r="B138" s="7" t="inlineStr">
        <is>
          <t>General Data Protection Regulation</t>
        </is>
      </c>
      <c r="C138" s="7" t="inlineStr">
        <is>
          <t>52012PC0011</t>
        </is>
      </c>
      <c r="D138" s="7" t="inlineStr">
        <is>
          <t>indicator (LFS 1.4.4)</t>
        </is>
      </c>
      <c r="E138" s="7" t="inlineStr">
        <is>
          <t>Enforcement</t>
        </is>
      </c>
      <c r="F138" s="7" t="inlineStr">
        <is>
          <t>Fines imposed on controllers responsible for breaches</t>
        </is>
      </c>
      <c r="G138" s="7" t="inlineStr"/>
      <c r="H138" s="7" t="inlineStr">
        <is>
          <t>Measured: over 6,680 fines totalling about EUR 4.2bn (Ireland EUR 2.8bn, Luxembourg EUR 746m). Nine binding EDPB dispute-resolution decisions.</t>
        </is>
      </c>
      <c r="I138" s="7" t="inlineStr">
        <is>
          <t>measured</t>
        </is>
      </c>
      <c r="J138" s="7" t="inlineStr">
        <is>
          <t>measured</t>
        </is>
      </c>
      <c r="K138" s="7" t="inlineStr">
        <is>
          <t>COM(2024) 357</t>
        </is>
      </c>
    </row>
    <row r="139">
      <c r="A139" s="7" t="n">
        <v>20</v>
      </c>
      <c r="B139" s="7" t="inlineStr">
        <is>
          <t>General Data Protection Regulation</t>
        </is>
      </c>
      <c r="C139" s="7" t="inlineStr">
        <is>
          <t>52012PC0011</t>
        </is>
      </c>
      <c r="D139" s="7" t="inlineStr">
        <is>
          <t>expected impact (impact assessment)</t>
        </is>
      </c>
      <c r="E139" s="7" t="inlineStr">
        <is>
          <t>Administrative burden</t>
        </is>
      </c>
      <c r="F139" s="7" t="inlineStr">
        <is>
          <t>Net administrative-burden saving of about EUR 2.3bn per year (baseline fragmentation cost about EUR 2.9bn/yr)</t>
        </is>
      </c>
      <c r="G139" s="7" t="inlineStr">
        <is>
          <t>EUR 2.3bn/yr</t>
        </is>
      </c>
      <c r="H139" s="7" t="inlineStr">
        <is>
          <t>Never evaluated. Independent studies instead find substantial compliance and data costs (data costs +22%, tech-firm profits -2.1%).</t>
        </is>
      </c>
      <c r="I139" s="7" t="inlineStr">
        <is>
          <t>not measured (independent evidence points the other way)</t>
        </is>
      </c>
      <c r="J139" s="7" t="inlineStr">
        <is>
          <t>not measured</t>
        </is>
      </c>
      <c r="K139" s="7" t="inlineStr">
        <is>
          <t>SEC(2012) 72/73; Demirer et al.; Frey &amp; Presidente</t>
        </is>
      </c>
    </row>
    <row r="140">
      <c r="A140" s="7" t="n">
        <v>29</v>
      </c>
      <c r="B140" s="7" t="inlineStr">
        <is>
          <t>Company Law Directive</t>
        </is>
      </c>
      <c r="C140" s="7" t="inlineStr">
        <is>
          <t>52015PC0616</t>
        </is>
      </c>
      <c r="D140" s="7" t="inlineStr">
        <is>
          <t>note</t>
        </is>
      </c>
      <c r="E140" s="7" t="inlineStr">
        <is>
          <t>Directive 2017/1132 is a codification (proposal COM(2015) 616) with no impact assessment or indicators. Substantive promises come from later amendments: digitalisation (2019/1151), cross-border mobility (2019/2121) and 'digitalisation 2.0' (2025/25)</t>
        </is>
      </c>
      <c r="F140" s="7" t="inlineStr"/>
      <c r="G140" s="7" t="inlineStr"/>
      <c r="H140" s="7" t="inlineStr"/>
      <c r="I140" s="7" t="inlineStr"/>
      <c r="J140" s="7" t="inlineStr"/>
      <c r="K140" s="7" t="inlineStr"/>
    </row>
    <row r="141">
      <c r="A141" s="7" t="n">
        <v>29</v>
      </c>
      <c r="B141" s="7" t="inlineStr">
        <is>
          <t>Company Law Directive</t>
        </is>
      </c>
      <c r="C141" s="7" t="inlineStr">
        <is>
          <t>52015PC0616</t>
        </is>
      </c>
      <c r="D141" s="7" t="inlineStr">
        <is>
          <t>expected impact (impact assessment, Directive 2019/1151)</t>
        </is>
      </c>
      <c r="E141" s="7" t="inlineStr">
        <is>
          <t>Online company registration and filing</t>
        </is>
      </c>
      <c r="F141" s="7" t="inlineStr">
        <is>
          <t>Savings from online registration for new companies</t>
        </is>
      </c>
      <c r="G141" s="7" t="inlineStr">
        <is>
          <t>EUR 42-84m (forecast)</t>
        </is>
      </c>
      <c r="H141" s="7" t="inlineStr">
        <is>
          <t>Online formation applies since 2021-2023 (with extensions); no ex-post measurement of savings found.</t>
        </is>
      </c>
      <c r="I141" s="7" t="inlineStr">
        <is>
          <t>not measured</t>
        </is>
      </c>
      <c r="J141" s="7" t="inlineStr">
        <is>
          <t>not measured</t>
        </is>
      </c>
      <c r="K141" s="7" t="inlineStr">
        <is>
          <t>SWD(2018) 141/142</t>
        </is>
      </c>
    </row>
    <row r="142">
      <c r="A142" s="7" t="n">
        <v>29</v>
      </c>
      <c r="B142" s="7" t="inlineStr">
        <is>
          <t>Company Law Directive</t>
        </is>
      </c>
      <c r="C142" s="7" t="inlineStr">
        <is>
          <t>52015PC0616</t>
        </is>
      </c>
      <c r="D142" s="7" t="inlineStr">
        <is>
          <t>expected impact (impact assessment, Directive 2019/2121)</t>
        </is>
      </c>
      <c r="E142" s="7" t="inlineStr">
        <is>
          <t>Cross-border conversions, mergers and divisions</t>
        </is>
      </c>
      <c r="F142" s="7" t="inlineStr">
        <is>
          <t>Use of cross-border operations</t>
        </is>
      </c>
      <c r="G142" s="7" t="inlineStr">
        <is>
          <t>Baseline 2000-2019: 4,305 cross-border mergers, 553 conversions, 19 divisions (concentrated in DE, NL, LU)</t>
        </is>
      </c>
      <c r="H142" s="7" t="inlineStr">
        <is>
          <t>Independent counts exist up to 2023 (Biermeyer &amp; Meyer series); no evaluation of the 2019 mobility rules yet.</t>
        </is>
      </c>
      <c r="I142" s="7" t="inlineStr">
        <is>
          <t>partially measured</t>
        </is>
      </c>
      <c r="J142" s="7" t="inlineStr">
        <is>
          <t>partially measured</t>
        </is>
      </c>
      <c r="K142" s="7" t="inlineStr">
        <is>
          <t>Biermeyer &amp; Meyer 2019</t>
        </is>
      </c>
    </row>
    <row r="143">
      <c r="A143" s="7" t="n">
        <v>29</v>
      </c>
      <c r="B143" s="7" t="inlineStr">
        <is>
          <t>Company Law Directive</t>
        </is>
      </c>
      <c r="C143" s="7" t="inlineStr">
        <is>
          <t>52015PC0616</t>
        </is>
      </c>
      <c r="D143" s="7" t="inlineStr">
        <is>
          <t>expected impact (impact assessment, Directive 2025/25)</t>
        </is>
      </c>
      <c r="E143" s="7" t="inlineStr">
        <is>
          <t>Cross-border use of company data</t>
        </is>
      </c>
      <c r="F143" s="7" t="inlineStr">
        <is>
          <t>Recurrent administrative savings for companies</t>
        </is>
      </c>
      <c r="G143" s="7" t="inlineStr">
        <is>
          <t>about EUR 437m a year (forecast); one-off costs ~EUR 311m</t>
        </is>
      </c>
      <c r="H143" s="7" t="inlineStr">
        <is>
          <t>Transposition due 2027; forecast only.</t>
        </is>
      </c>
      <c r="I143" s="7" t="inlineStr">
        <is>
          <t>not measured</t>
        </is>
      </c>
      <c r="J143" s="7" t="inlineStr">
        <is>
          <t>not measured</t>
        </is>
      </c>
      <c r="K143" s="7" t="inlineStr">
        <is>
          <t>SWD(2023) 178/179</t>
        </is>
      </c>
    </row>
    <row r="144">
      <c r="A144" s="7" t="n">
        <v>112</v>
      </c>
      <c r="B144" s="7" t="inlineStr">
        <is>
          <t>Portability Regulation</t>
        </is>
      </c>
      <c r="C144" s="7" t="inlineStr">
        <is>
          <t>52015PC0627</t>
        </is>
      </c>
      <c r="D144" s="7" t="inlineStr">
        <is>
          <t>note</t>
        </is>
      </c>
      <c r="E144" s="7" t="inlineStr">
        <is>
          <t>The proposal has no financial statement indicators; the memorandum only promised two-phase monitoring with attention to SMEs and consumers. The Commission reported on application in SWD(2022) 173 (Article 10 review)</t>
        </is>
      </c>
      <c r="F144" s="7" t="inlineStr"/>
      <c r="G144" s="7" t="inlineStr"/>
      <c r="H144" s="7" t="inlineStr"/>
      <c r="I144" s="7" t="inlineStr"/>
      <c r="J144" s="7" t="inlineStr"/>
      <c r="K144" s="7" t="inlineStr"/>
    </row>
    <row r="145">
      <c r="A145" s="7" t="n">
        <v>112</v>
      </c>
      <c r="B145" s="7" t="inlineStr">
        <is>
          <t>Portability Regulation</t>
        </is>
      </c>
      <c r="C145" s="7" t="inlineStr">
        <is>
          <t>52015PC0627</t>
        </is>
      </c>
      <c r="D145" s="7" t="inlineStr">
        <is>
          <t>expected impact (impact assessment)</t>
        </is>
      </c>
      <c r="E145" s="7" t="inlineStr">
        <is>
          <t>Consumer demand for portability</t>
        </is>
      </c>
      <c r="F145" s="7" t="inlineStr">
        <is>
          <t>Potential users of portability of paid subscriptions: 29 million (5.7% of EU consumers) in 2015, rising to about 72 million (14%) by 2020</t>
        </is>
      </c>
      <c r="G145" s="7" t="inlineStr">
        <is>
          <t>29m (2015) -&gt; ~72m (2020)</t>
        </is>
      </c>
      <c r="H145" s="7" t="inlineStr">
        <is>
          <t>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is>
      </c>
      <c r="I145" s="7" t="inlineStr">
        <is>
          <t>partially measured</t>
        </is>
      </c>
      <c r="J145" s="7" t="inlineStr">
        <is>
          <t>partially measured</t>
        </is>
      </c>
      <c r="K145" s="7" t="inlineStr">
        <is>
          <t>SWD(2015) 270; Flash Eurobarometer 477a; SWD(2022) 173</t>
        </is>
      </c>
    </row>
    <row r="146">
      <c r="A146" s="7" t="n">
        <v>112</v>
      </c>
      <c r="B146" s="7" t="inlineStr">
        <is>
          <t>Portability Regulation</t>
        </is>
      </c>
      <c r="C146" s="7" t="inlineStr">
        <is>
          <t>52015PC0627</t>
        </is>
      </c>
      <c r="D146" s="7" t="inlineStr">
        <is>
          <t>monitoring (memorandum)</t>
        </is>
      </c>
      <c r="E146" s="7" t="inlineStr">
        <is>
          <t>Consumers</t>
        </is>
      </c>
      <c r="F146" s="7" t="inlineStr">
        <is>
          <t>Consumer awareness and satisfaction with portability</t>
        </is>
      </c>
      <c r="G146" s="7" t="inlineStr"/>
      <c r="H146" s="7" t="inlineStr">
        <is>
          <t>Measured once: 52% of respondents aware of portability; 58% of users satisfied (2019). Over 80% of surveyed providers and 23 of 32 consumer bodies received no complaints.</t>
        </is>
      </c>
      <c r="I146" s="7" t="inlineStr">
        <is>
          <t>measured</t>
        </is>
      </c>
      <c r="J146" s="7" t="inlineStr">
        <is>
          <t>measured</t>
        </is>
      </c>
      <c r="K146" s="7" t="inlineStr">
        <is>
          <t>Flash Eurobarometer 477a; SWD(2022) 173</t>
        </is>
      </c>
    </row>
    <row r="147">
      <c r="A147" s="7" t="n">
        <v>112</v>
      </c>
      <c r="B147" s="7" t="inlineStr">
        <is>
          <t>Portability Regulation</t>
        </is>
      </c>
      <c r="C147" s="7" t="inlineStr">
        <is>
          <t>52015PC0627</t>
        </is>
      </c>
      <c r="D147" s="7" t="inlineStr">
        <is>
          <t>monitoring (memorandum)</t>
        </is>
      </c>
      <c r="E147" s="7" t="inlineStr">
        <is>
          <t>Service providers / SMEs</t>
        </is>
      </c>
      <c r="F147" s="7" t="inlineStr">
        <is>
          <t>Compliance and implementation costs for providers, in particular SMEs</t>
        </is>
      </c>
      <c r="G147" s="7" t="inlineStr"/>
      <c r="H147" s="7" t="inlineStr">
        <is>
          <t>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is>
      </c>
      <c r="I147" s="7" t="inlineStr">
        <is>
          <t>reported as activity</t>
        </is>
      </c>
      <c r="J147" s="7" t="inlineStr">
        <is>
          <t>reported as activity</t>
        </is>
      </c>
      <c r="K147" s="7" t="inlineStr">
        <is>
          <t>Visionary Analytics study (2022); SWD(2022) 173</t>
        </is>
      </c>
    </row>
    <row r="148">
      <c r="A148" s="7" t="n">
        <v>112</v>
      </c>
      <c r="B148" s="7" t="inlineStr">
        <is>
          <t>Portability Regulation</t>
        </is>
      </c>
      <c r="C148" s="7" t="inlineStr">
        <is>
          <t>52015PC0627</t>
        </is>
      </c>
      <c r="D148" s="7" t="inlineStr">
        <is>
          <t>expected impact (impact assessment)</t>
        </is>
      </c>
      <c r="E148" s="7" t="inlineStr">
        <is>
          <t>Rightholders</t>
        </is>
      </c>
      <c r="F148" s="7" t="inlineStr">
        <is>
          <t>No significant negative effect on licensing value / rightholder revenues</t>
        </is>
      </c>
      <c r="G148" s="7" t="inlineStr"/>
      <c r="H148" s="7" t="inlineStr">
        <is>
          <t>Study found no significant impact on rightholders' overall revenues (self-reported; no quantitative analysis).</t>
        </is>
      </c>
      <c r="I148" s="7" t="inlineStr">
        <is>
          <t>partially measured</t>
        </is>
      </c>
      <c r="J148" s="7" t="inlineStr">
        <is>
          <t>partially measured</t>
        </is>
      </c>
      <c r="K148" s="7" t="inlineStr">
        <is>
          <t>Visionary Analytics study (2022)</t>
        </is>
      </c>
    </row>
    <row r="149">
      <c r="A149" s="7" t="n">
        <v>31</v>
      </c>
      <c r="B149" s="7" t="inlineStr">
        <is>
          <t>Consumer Protection Cooperation Regulation</t>
        </is>
      </c>
      <c r="C149" s="7" t="inlineStr">
        <is>
          <t>52016PC0283</t>
        </is>
      </c>
      <c r="D149" s="7" t="inlineStr">
        <is>
          <t>LFS indicator (1.4.4)</t>
        </is>
      </c>
      <c r="E149" s="7" t="inlineStr">
        <is>
          <t>Reduce cross-border consumer detriment</t>
        </is>
      </c>
      <c r="F149" s="7" t="inlineStr">
        <is>
          <t>Non-compliance rate</t>
        </is>
      </c>
      <c r="G149" s="7" t="inlineStr">
        <is>
          <t>Baseline (IA): average 37% non-compliance in website screenings; detriment ~EUR 770m in five cross-border online markets</t>
        </is>
      </c>
      <c r="H149" s="7" t="inlineStr">
        <is>
          <t>Sweeps keep finding high non-compliance (e.g. 2022 sweep: 37% of 399 websites used dark patterns); no consistent trend series against the baseline and no updated detriment estimate.</t>
        </is>
      </c>
      <c r="I149" s="7" t="inlineStr">
        <is>
          <t>partially measured</t>
        </is>
      </c>
      <c r="J149" s="7" t="inlineStr">
        <is>
          <t>partially measured</t>
        </is>
      </c>
      <c r="K149" s="7" t="inlineStr">
        <is>
          <t>SWD(2016) 164; COM(2024) 311</t>
        </is>
      </c>
    </row>
    <row r="150">
      <c r="A150" s="7" t="n">
        <v>31</v>
      </c>
      <c r="B150" s="7" t="inlineStr">
        <is>
          <t>Consumer Protection Cooperation Regulation</t>
        </is>
      </c>
      <c r="C150" s="7" t="inlineStr">
        <is>
          <t>52016PC0283</t>
        </is>
      </c>
      <c r="D150" s="7" t="inlineStr">
        <is>
          <t>LFS indicator (1.4.4)</t>
        </is>
      </c>
      <c r="E150" s="7" t="inlineStr">
        <is>
          <t>Efficient cooperation</t>
        </is>
      </c>
      <c r="F150" s="7" t="inlineStr">
        <is>
          <t>Mutual assistance requests where binding time limits were not respected</t>
        </is>
      </c>
      <c r="G150" s="7" t="inlineStr"/>
      <c r="H150" s="7" t="inlineStr">
        <is>
          <t>2024 report describes coordinated-action procedures as 'long and cumbersome' but gives no systematic time-limit compliance figure in the sections reviewed.</t>
        </is>
      </c>
      <c r="I150" s="7" t="inlineStr">
        <is>
          <t>not measured</t>
        </is>
      </c>
      <c r="J150" s="7" t="inlineStr">
        <is>
          <t>not measured</t>
        </is>
      </c>
      <c r="K150" s="7" t="inlineStr">
        <is>
          <t>COM(2024) 311</t>
        </is>
      </c>
    </row>
    <row r="151">
      <c r="A151" s="7" t="n">
        <v>31</v>
      </c>
      <c r="B151" s="7" t="inlineStr">
        <is>
          <t>Consumer Protection Cooperation Regulation</t>
        </is>
      </c>
      <c r="C151" s="7" t="inlineStr">
        <is>
          <t>52016PC0283</t>
        </is>
      </c>
      <c r="D151" s="7" t="inlineStr">
        <is>
          <t>LFS indicator (1.4.4)</t>
        </is>
      </c>
      <c r="E151" s="7" t="inlineStr">
        <is>
          <t>Tackle widespread infringements</t>
        </is>
      </c>
      <c r="F151" s="7" t="inlineStr">
        <is>
          <t>Number of coordinated and common actions; number of alerts</t>
        </is>
      </c>
      <c r="G151" s="7" t="inlineStr"/>
      <c r="H151" s="7" t="inlineStr">
        <is>
          <t>Coordinated actions and alerts counted in the 2024 application report; alerts used unevenly across Member States; outcomes (commitments by major traders) reported qualitatively.</t>
        </is>
      </c>
      <c r="I151" s="7" t="inlineStr">
        <is>
          <t>reported as activity</t>
        </is>
      </c>
      <c r="J151" s="7" t="inlineStr">
        <is>
          <t>reported as activity</t>
        </is>
      </c>
      <c r="K151" s="7" t="inlineStr">
        <is>
          <t>COM(2024) 311</t>
        </is>
      </c>
    </row>
    <row r="152">
      <c r="A152" s="7" t="n">
        <v>31</v>
      </c>
      <c r="B152" s="7" t="inlineStr">
        <is>
          <t>Consumer Protection Cooperation Regulation</t>
        </is>
      </c>
      <c r="C152" s="7" t="inlineStr">
        <is>
          <t>52016PC0283</t>
        </is>
      </c>
      <c r="D152" s="7" t="inlineStr">
        <is>
          <t>LFS indicator (1.4.4)</t>
        </is>
      </c>
      <c r="E152" s="7" t="inlineStr">
        <is>
          <t>Enforcement capacity</t>
        </is>
      </c>
      <c r="F152" s="7" t="inlineStr">
        <is>
          <t>National enforcement plans; benchmarking of CPC resources</t>
        </is>
      </c>
      <c r="G152" s="7" t="inlineStr"/>
      <c r="H152" s="7" t="inlineStr">
        <is>
          <t>Report finds large differences in national resources are a main impediment; limited evidence on use of the new minimum investigation powers.</t>
        </is>
      </c>
      <c r="I152" s="7" t="inlineStr">
        <is>
          <t>reported as activity</t>
        </is>
      </c>
      <c r="J152" s="7" t="inlineStr">
        <is>
          <t>reported as activity</t>
        </is>
      </c>
      <c r="K152" s="7" t="inlineStr">
        <is>
          <t>COM(2024) 311</t>
        </is>
      </c>
    </row>
    <row r="153">
      <c r="A153" s="7" t="n">
        <v>32</v>
      </c>
      <c r="B153" s="7" t="inlineStr">
        <is>
          <t>European Electronic Communications Code</t>
        </is>
      </c>
      <c r="C153" s="7" t="inlineStr">
        <is>
          <t>52016PC0590</t>
        </is>
      </c>
      <c r="D153" s="7" t="inlineStr">
        <is>
          <t>note</t>
        </is>
      </c>
      <c r="E153" s="7" t="inlineStr">
        <is>
          <t>The EECC proposal's financial statement has no indicators section; monitoring was assigned to the Digital Scoreboard/DESI, Commission telecom reports and the Eurobarometer household survey</t>
        </is>
      </c>
      <c r="F153" s="7" t="inlineStr"/>
      <c r="G153" s="7" t="inlineStr"/>
      <c r="H153" s="7" t="inlineStr"/>
      <c r="I153" s="7" t="inlineStr"/>
      <c r="J153" s="7" t="inlineStr"/>
      <c r="K153" s="7" t="inlineStr"/>
    </row>
    <row r="154">
      <c r="A154" s="7" t="n">
        <v>32</v>
      </c>
      <c r="B154" s="7" t="inlineStr">
        <is>
          <t>European Electronic Communications Code</t>
        </is>
      </c>
      <c r="C154" s="7" t="inlineStr">
        <is>
          <t>52016PC0590</t>
        </is>
      </c>
      <c r="D154" s="7" t="inlineStr">
        <is>
          <t>specific objective</t>
        </is>
      </c>
      <c r="E154" s="7" t="inlineStr">
        <is>
          <t>Connectivity</t>
        </is>
      </c>
      <c r="F154" s="7" t="inlineStr">
        <is>
          <t>Ubiquitous very high capacity (VHC) network coverage and take-up; timely 5G deployment</t>
        </is>
      </c>
      <c r="G154" s="7" t="inlineStr">
        <is>
          <t>Gigabit Society 2025 / Digital Decade 2030: gigabit for all, 5G in all populated areas</t>
        </is>
      </c>
      <c r="H154" s="7" t="inlineStr">
        <is>
          <t>Measured (DESI/Digital Decade): fixed VHCN coverage 82.5% of EU households in 2024, fibre-to-the-premises 69.2% (rural 58.8%); 5G coverage 94.3% (rural 79.6%). Progress is real but cannot be attributed to the EECC; mid-band and standalone 5G lag.</t>
        </is>
      </c>
      <c r="I154" s="7" t="inlineStr">
        <is>
          <t>measured</t>
        </is>
      </c>
      <c r="J154" s="7" t="inlineStr">
        <is>
          <t>measured</t>
        </is>
      </c>
      <c r="K154" s="7" t="inlineStr">
        <is>
          <t>SWD(2026) 13 Annex 11; State of the Digital Decade 2025</t>
        </is>
      </c>
    </row>
    <row r="155">
      <c r="A155" s="7" t="n">
        <v>32</v>
      </c>
      <c r="B155" s="7" t="inlineStr">
        <is>
          <t>European Electronic Communications Code</t>
        </is>
      </c>
      <c r="C155" s="7" t="inlineStr">
        <is>
          <t>52016PC0590</t>
        </is>
      </c>
      <c r="D155" s="7" t="inlineStr">
        <is>
          <t>expected impact (impact assessment)</t>
        </is>
      </c>
      <c r="E155" s="7" t="inlineStr">
        <is>
          <t>Growth and jobs</t>
        </is>
      </c>
      <c r="F155" s="7" t="inlineStr">
        <is>
          <t>Cumulative effect of +1.45% GDP and +0.18% employment by 2025; labour productivity +0.8% 2020-2025</t>
        </is>
      </c>
      <c r="G155" s="7" t="inlineStr">
        <is>
          <t>+1.45% GDP; +0.18% jobs</t>
        </is>
      </c>
      <c r="H155" s="7" t="inlineStr">
        <is>
          <t>Not measured. The Commission's 2026 review gives no macroeconomic evaluation; governments and most industry stakeholders argued the EECC missed its connectivity and investment objectives.</t>
        </is>
      </c>
      <c r="I155" s="7" t="inlineStr">
        <is>
          <t>not measured</t>
        </is>
      </c>
      <c r="J155" s="7" t="inlineStr">
        <is>
          <t>not measured</t>
        </is>
      </c>
      <c r="K155" s="7" t="inlineStr">
        <is>
          <t>SWD(2016) 304; COM(2026) 35; SWD(2026) 13</t>
        </is>
      </c>
    </row>
    <row r="156">
      <c r="A156" s="7" t="n">
        <v>32</v>
      </c>
      <c r="B156" s="7" t="inlineStr">
        <is>
          <t>European Electronic Communications Code</t>
        </is>
      </c>
      <c r="C156" s="7" t="inlineStr">
        <is>
          <t>52016PC0590</t>
        </is>
      </c>
      <c r="D156" s="7" t="inlineStr">
        <is>
          <t>expected impact (impact assessment)</t>
        </is>
      </c>
      <c r="E156" s="7" t="inlineStr">
        <is>
          <t>5G spectrum</t>
        </is>
      </c>
      <c r="F156" s="7" t="inlineStr">
        <is>
          <t>More consistent spectrum assignment enabling timely 5G, with total benefits of EUR 146.5bn a year</t>
        </is>
      </c>
      <c r="G156" s="7" t="inlineStr">
        <is>
          <t>EUR 146.5bn/yr</t>
        </is>
      </c>
      <c r="H156" s="7" t="inlineStr">
        <is>
          <t>Not measured as such. Review found spectrum assignment delays and high prices in some auctions; benefit not evaluated.</t>
        </is>
      </c>
      <c r="I156" s="7" t="inlineStr">
        <is>
          <t>not measured</t>
        </is>
      </c>
      <c r="J156" s="7" t="inlineStr">
        <is>
          <t>not measured</t>
        </is>
      </c>
      <c r="K156" s="7" t="inlineStr">
        <is>
          <t>SWD(2016) 304; SWD(2026) 13</t>
        </is>
      </c>
    </row>
    <row r="157">
      <c r="A157" s="7" t="n">
        <v>32</v>
      </c>
      <c r="B157" s="7" t="inlineStr">
        <is>
          <t>European Electronic Communications Code</t>
        </is>
      </c>
      <c r="C157" s="7" t="inlineStr">
        <is>
          <t>52016PC0590</t>
        </is>
      </c>
      <c r="D157" s="7" t="inlineStr">
        <is>
          <t>expected impact (impact assessment)</t>
        </is>
      </c>
      <c r="E157" s="7" t="inlineStr">
        <is>
          <t>Investment tools</t>
        </is>
      </c>
      <c r="F157" s="7" t="inlineStr">
        <is>
          <t>Co-investment (Art. 76) and symmetric access (Art. 61(3)) to spur VHCN investment</t>
        </is>
      </c>
      <c r="G157" s="7" t="inlineStr"/>
      <c r="H157" s="7" t="inlineStr">
        <is>
          <t>Measured as use: no national regulator formally applied the co-investment provision in five years; symmetric in-building access applied in 8 countries; Commission proposes revising or removing Art. 76.</t>
        </is>
      </c>
      <c r="I157" s="7" t="inlineStr">
        <is>
          <t>measured</t>
        </is>
      </c>
      <c r="J157" s="7" t="inlineStr">
        <is>
          <t>measured</t>
        </is>
      </c>
      <c r="K157" s="7" t="inlineStr">
        <is>
          <t>COM(2026) 35</t>
        </is>
      </c>
    </row>
    <row r="158">
      <c r="A158" s="7" t="n">
        <v>32</v>
      </c>
      <c r="B158" s="7" t="inlineStr">
        <is>
          <t>European Electronic Communications Code</t>
        </is>
      </c>
      <c r="C158" s="7" t="inlineStr">
        <is>
          <t>52016PC0590</t>
        </is>
      </c>
      <c r="D158" s="7" t="inlineStr">
        <is>
          <t>implementation milestone</t>
        </is>
      </c>
      <c r="E158" s="7" t="inlineStr">
        <is>
          <t>Single market</t>
        </is>
      </c>
      <c r="F158" s="7" t="inlineStr">
        <is>
          <t>Timely transposition and consistent national rules</t>
        </is>
      </c>
      <c r="G158" s="7" t="inlineStr">
        <is>
          <t>Deadline 21 Dec 2020</t>
        </is>
      </c>
      <c r="H158" s="7" t="inlineStr">
        <is>
          <t>24 infringement procedures opened Feb 2021; 10 Member States referred to the Court of Justice in April 2022. Review finds significant national divergence; Commission proposed replacing the Directive with a Digital Networks Act regulation (Jan 2026).</t>
        </is>
      </c>
      <c r="I158" s="7" t="inlineStr">
        <is>
          <t>reported as activity</t>
        </is>
      </c>
      <c r="J158" s="7" t="inlineStr">
        <is>
          <t>reported as activity</t>
        </is>
      </c>
      <c r="K158" s="7" t="inlineStr">
        <is>
          <t>IP/22/1975; COM(2026) 35</t>
        </is>
      </c>
    </row>
    <row r="159">
      <c r="A159" s="7" t="n">
        <v>30</v>
      </c>
      <c r="B159" s="7" t="inlineStr">
        <is>
          <t>Geo-blocking Regulation</t>
        </is>
      </c>
      <c r="C159" s="7" t="inlineStr">
        <is>
          <t>52016PC0289</t>
        </is>
      </c>
      <c r="D159" s="7" t="inlineStr">
        <is>
          <t>note</t>
        </is>
      </c>
      <c r="E159" s="7" t="inlineStr">
        <is>
          <t>The 2016 proposal has no financial-statement indicators; the memorandum promised periodic reviews and monitoring of 'the effects of the rules'. A full evaluation was launched in February 2025 (period to end-2024) and had not been published at the time of review</t>
        </is>
      </c>
      <c r="F159" s="7" t="inlineStr"/>
      <c r="G159" s="7" t="inlineStr"/>
      <c r="H159" s="7" t="inlineStr"/>
      <c r="I159" s="7" t="inlineStr"/>
      <c r="J159" s="7" t="inlineStr"/>
      <c r="K159" s="7" t="inlineStr"/>
    </row>
    <row r="160">
      <c r="A160" s="7" t="n">
        <v>30</v>
      </c>
      <c r="B160" s="7" t="inlineStr">
        <is>
          <t>Geo-blocking Regulation</t>
        </is>
      </c>
      <c r="C160" s="7" t="inlineStr">
        <is>
          <t>52016PC0289</t>
        </is>
      </c>
      <c r="D160" s="7" t="inlineStr">
        <is>
          <t>expected impact (impact assessment)</t>
        </is>
      </c>
      <c r="E160" s="7" t="inlineStr">
        <is>
          <t>Fewer blocked cross-border purchases</t>
        </is>
      </c>
      <c r="F160" s="7" t="inlineStr">
        <is>
          <t>Share of successful cross-border purchase attempts (baseline: 37% in 2015 mystery shopping)</t>
        </is>
      </c>
      <c r="G160" s="7" t="inlineStr">
        <is>
          <t>Baseline 37% success (2015)</t>
        </is>
      </c>
      <c r="H160" s="7" t="inlineStr">
        <is>
          <t>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is>
      </c>
      <c r="I160" s="7" t="inlineStr">
        <is>
          <t>partially measured</t>
        </is>
      </c>
      <c r="J160" s="7" t="inlineStr">
        <is>
          <t>partially measured</t>
        </is>
      </c>
      <c r="K160" s="7" t="inlineStr">
        <is>
          <t>COM(2020) 766; ECA SR 03/2025</t>
        </is>
      </c>
    </row>
    <row r="161">
      <c r="A161" s="7" t="n">
        <v>30</v>
      </c>
      <c r="B161" s="7" t="inlineStr">
        <is>
          <t>Geo-blocking Regulation</t>
        </is>
      </c>
      <c r="C161" s="7" t="inlineStr">
        <is>
          <t>52016PC0289</t>
        </is>
      </c>
      <c r="D161" s="7" t="inlineStr">
        <is>
          <t>expected impact (impact assessment)</t>
        </is>
      </c>
      <c r="E161" s="7" t="inlineStr">
        <is>
          <t>Cross-border trade</t>
        </is>
      </c>
      <c r="F161" s="7" t="inlineStr">
        <is>
          <t>Net effect on electronics market size about +1.1%, net trade expansion +0.4%</t>
        </is>
      </c>
      <c r="G161" s="7" t="inlineStr">
        <is>
          <t>+1.1% / +0.4%</t>
        </is>
      </c>
      <c r="H161" s="7" t="inlineStr">
        <is>
          <t>JRC event study using website traffic finds cross-border intra-EU e-commerce traffic up 9.2-13% after Dec 2018; no study of actual sales volumes.</t>
        </is>
      </c>
      <c r="I161" s="7" t="inlineStr">
        <is>
          <t>partially measured</t>
        </is>
      </c>
      <c r="J161" s="7" t="inlineStr">
        <is>
          <t>partially measured</t>
        </is>
      </c>
      <c r="K161" s="7" t="inlineStr">
        <is>
          <t>Alaveras, Duch-Brown &amp; Martens 2020</t>
        </is>
      </c>
    </row>
    <row r="162">
      <c r="A162" s="7" t="n">
        <v>30</v>
      </c>
      <c r="B162" s="7" t="inlineStr">
        <is>
          <t>Geo-blocking Regulation</t>
        </is>
      </c>
      <c r="C162" s="7" t="inlineStr">
        <is>
          <t>52016PC0289</t>
        </is>
      </c>
      <c r="D162" s="7" t="inlineStr">
        <is>
          <t>expected impact (impact assessment)</t>
        </is>
      </c>
      <c r="E162" s="7" t="inlineStr">
        <is>
          <t>Prices and consumer welfare</t>
        </is>
      </c>
      <c r="F162" s="7" t="inlineStr">
        <is>
          <t>Prices -0.5% offline and -0.6% online; consumer surplus +0.8%; no price increases in any Member State</t>
        </is>
      </c>
      <c r="G162" s="7" t="inlineStr">
        <is>
          <t>-0.5% / -0.6%; +0.8% consumer surplus</t>
        </is>
      </c>
      <c r="H162" s="7" t="inlineStr">
        <is>
          <t>Not measured ex post. Theory (Bourreau &amp; Manenti 2023) predicts lower prices short-run but possibly lower investment and welfare long-run.</t>
        </is>
      </c>
      <c r="I162" s="7" t="inlineStr">
        <is>
          <t>not measured</t>
        </is>
      </c>
      <c r="J162" s="7" t="inlineStr">
        <is>
          <t>not measured</t>
        </is>
      </c>
      <c r="K162" s="7" t="inlineStr">
        <is>
          <t>SWD(2016) 174; Bourreau &amp; Manenti 2023</t>
        </is>
      </c>
    </row>
    <row r="163">
      <c r="A163" s="7" t="n">
        <v>30</v>
      </c>
      <c r="B163" s="7" t="inlineStr">
        <is>
          <t>Geo-blocking Regulation</t>
        </is>
      </c>
      <c r="C163" s="7" t="inlineStr">
        <is>
          <t>52016PC0289</t>
        </is>
      </c>
      <c r="D163" s="7" t="inlineStr">
        <is>
          <t>expected impact (impact assessment)</t>
        </is>
      </c>
      <c r="E163" s="7" t="inlineStr">
        <is>
          <t>Enforcement</t>
        </is>
      </c>
      <c r="F163" s="7" t="inlineStr">
        <is>
          <t>Enforcement through existing CPC network; limited extra workload</t>
        </is>
      </c>
      <c r="G163" s="7" t="inlineStr"/>
      <c r="H163" s="7" t="inlineStr">
        <is>
          <t>Slow empowerment of national enforcement bodies (2020 review); ECA found penalties ranging from EUR 26 to EUR 5m and unclear jurisdiction.</t>
        </is>
      </c>
      <c r="I163" s="7" t="inlineStr">
        <is>
          <t>reported as activity</t>
        </is>
      </c>
      <c r="J163" s="7" t="inlineStr">
        <is>
          <t>reported as activity</t>
        </is>
      </c>
      <c r="K163" s="7" t="inlineStr">
        <is>
          <t>COM(2020) 766; ECA SR 03/2025</t>
        </is>
      </c>
    </row>
    <row r="164">
      <c r="A164" s="7" t="n">
        <v>36</v>
      </c>
      <c r="B164" s="7" t="inlineStr">
        <is>
          <t>Single Digital Gateway Regulation</t>
        </is>
      </c>
      <c r="C164" s="7" t="inlineStr">
        <is>
          <t>52017PC0256</t>
        </is>
      </c>
      <c r="D164" s="7" t="inlineStr">
        <is>
          <t>LFS indicator (1.4.4)</t>
        </is>
      </c>
      <c r="E164" s="7" t="inlineStr">
        <is>
          <t>Findable information</t>
        </is>
      </c>
      <c r="F164" s="7" t="inlineStr">
        <is>
          <t>Share of users who found the information they were looking for</t>
        </is>
      </c>
      <c r="G164" s="7" t="inlineStr"/>
      <c r="H164" s="7" t="inlineStr">
        <is>
          <t>Your Europe user survey: 77% of businesses and 76% of citizens found what they were looking for (2023 report).</t>
        </is>
      </c>
      <c r="I164" s="7" t="inlineStr">
        <is>
          <t>measured</t>
        </is>
      </c>
      <c r="J164" s="7" t="inlineStr">
        <is>
          <t>measured</t>
        </is>
      </c>
      <c r="K164" s="7" t="inlineStr">
        <is>
          <t>COM(2023) 534</t>
        </is>
      </c>
    </row>
    <row r="165">
      <c r="A165" s="7" t="n">
        <v>36</v>
      </c>
      <c r="B165" s="7" t="inlineStr">
        <is>
          <t>Single Digital Gateway Regulation</t>
        </is>
      </c>
      <c r="C165" s="7" t="inlineStr">
        <is>
          <t>52017PC0256</t>
        </is>
      </c>
      <c r="D165" s="7" t="inlineStr">
        <is>
          <t>LFS indicator (1.4.4)</t>
        </is>
      </c>
      <c r="E165" s="7" t="inlineStr">
        <is>
          <t>Awareness and use</t>
        </is>
      </c>
      <c r="F165" s="7" t="inlineStr">
        <is>
          <t>Trend in average monthly users</t>
        </is>
      </c>
      <c r="G165" s="7" t="inlineStr"/>
      <c r="H165" s="7" t="inlineStr">
        <is>
          <t>Your Europe ~43 million visits in 2022 (third most visited Commission site); national SDG pages &gt;100 million visits a year in 2021-2022.</t>
        </is>
      </c>
      <c r="I165" s="7" t="inlineStr">
        <is>
          <t>measured</t>
        </is>
      </c>
      <c r="J165" s="7" t="inlineStr">
        <is>
          <t>measured</t>
        </is>
      </c>
      <c r="K165" s="7" t="inlineStr">
        <is>
          <t>COM(2023) 534</t>
        </is>
      </c>
    </row>
    <row r="166">
      <c r="A166" s="7" t="n">
        <v>36</v>
      </c>
      <c r="B166" s="7" t="inlineStr">
        <is>
          <t>Single Digital Gateway Regulation</t>
        </is>
      </c>
      <c r="C166" s="7" t="inlineStr">
        <is>
          <t>52017PC0256</t>
        </is>
      </c>
      <c r="D166" s="7" t="inlineStr">
        <is>
          <t>LFS indicator (1.4.4)</t>
        </is>
      </c>
      <c r="E166" s="7" t="inlineStr">
        <is>
          <t>Quality</t>
        </is>
      </c>
      <c r="F166" s="7" t="inlineStr">
        <is>
          <t>Share satisfied with quality</t>
        </is>
      </c>
      <c r="G166" s="7" t="inlineStr"/>
      <c r="H166" s="7" t="inlineStr">
        <is>
          <t>92.5% of citizens and 90.3% of businesses rated the portal satisfactory or better; assistance services 4.3/5 average from ~3,200 feedbacks (self-selected respondents).</t>
        </is>
      </c>
      <c r="I166" s="7" t="inlineStr">
        <is>
          <t>measured</t>
        </is>
      </c>
      <c r="J166" s="7" t="inlineStr">
        <is>
          <t>measured</t>
        </is>
      </c>
      <c r="K166" s="7" t="inlineStr">
        <is>
          <t>COM(2023) 534</t>
        </is>
      </c>
    </row>
    <row r="167">
      <c r="A167" s="7" t="n">
        <v>36</v>
      </c>
      <c r="B167" s="7" t="inlineStr">
        <is>
          <t>Single Digital Gateway Regulation</t>
        </is>
      </c>
      <c r="C167" s="7" t="inlineStr">
        <is>
          <t>52017PC0256</t>
        </is>
      </c>
      <c r="D167" s="7" t="inlineStr">
        <is>
          <t>LFS indicator (1.4.4)</t>
        </is>
      </c>
      <c r="E167" s="7" t="inlineStr">
        <is>
          <t>Core procedures online for cross-border users</t>
        </is>
      </c>
      <c r="F167" s="7" t="inlineStr">
        <is>
          <t>Share of (cross-border) users able to complete procedures fully online</t>
        </is>
      </c>
      <c r="G167" s="7" t="inlineStr">
        <is>
          <t>21 procedures fully online by end-2023</t>
        </is>
      </c>
      <c r="H167" s="7" t="inlineStr">
        <is>
          <t>eGovernment Benchmark (preliminary, 2023): SDG procedures 84% completable online by nationals but only 47% by cross-border users; Once-Only Technical System still being rolled out.</t>
        </is>
      </c>
      <c r="I167" s="7" t="inlineStr">
        <is>
          <t>partially measured</t>
        </is>
      </c>
      <c r="J167" s="7" t="inlineStr">
        <is>
          <t>partially measured</t>
        </is>
      </c>
      <c r="K167" s="7" t="inlineStr">
        <is>
          <t>COM(2023) 534</t>
        </is>
      </c>
    </row>
    <row r="168">
      <c r="A168" s="7" t="n">
        <v>36</v>
      </c>
      <c r="B168" s="7" t="inlineStr">
        <is>
          <t>Single Digital Gateway Regulation</t>
        </is>
      </c>
      <c r="C168" s="7" t="inlineStr">
        <is>
          <t>52017PC0256</t>
        </is>
      </c>
      <c r="D168" s="7" t="inlineStr">
        <is>
          <t>expected impact (impact assessment)</t>
        </is>
      </c>
      <c r="E168" s="7" t="inlineStr">
        <is>
          <t>Reduce costs for businesses</t>
        </is>
      </c>
      <c r="F168" s="7" t="inlineStr">
        <is>
          <t>Annual cost savings for businesses expanding cross-border</t>
        </is>
      </c>
      <c r="G168" s="7" t="inlineStr">
        <is>
          <t>EUR 11-55bn a year (indicative)</t>
        </is>
      </c>
      <c r="H168" s="7" t="inlineStr">
        <is>
          <t>Not measured; the Commission's only ex-post figure is about EUR 2.5m a year in avoided legal-advice costs for Your Europe business users.</t>
        </is>
      </c>
      <c r="I168" s="7" t="inlineStr">
        <is>
          <t>not measured</t>
        </is>
      </c>
      <c r="J168" s="7" t="inlineStr">
        <is>
          <t>not measured</t>
        </is>
      </c>
      <c r="K168" s="7" t="inlineStr">
        <is>
          <t>SWD(2017) 213/214; COM(2023) 534</t>
        </is>
      </c>
    </row>
    <row r="169">
      <c r="A169" s="7" t="n">
        <v>35</v>
      </c>
      <c r="B169" s="7" t="inlineStr">
        <is>
          <t>Data protection by EU institutions Regulation</t>
        </is>
      </c>
      <c r="C169" s="7" t="inlineStr">
        <is>
          <t>52017PC0008</t>
        </is>
      </c>
      <c r="D169" s="7" t="inlineStr">
        <is>
          <t>specific objective</t>
        </is>
      </c>
      <c r="E169" s="7" t="inlineStr">
        <is>
          <t>Ensure consistent application of data protection rules throughout the Union (alignment of EU institutions' rules with the GDPR)</t>
        </is>
      </c>
      <c r="F169" s="7" t="inlineStr"/>
      <c r="G169" s="7" t="inlineStr"/>
      <c r="H169" s="7" t="inlineStr"/>
      <c r="I169" s="7" t="inlineStr"/>
      <c r="J169" s="7" t="inlineStr"/>
      <c r="K169" s="7" t="inlineStr"/>
    </row>
    <row r="170">
      <c r="A170" s="7" t="n">
        <v>35</v>
      </c>
      <c r="B170" s="7" t="inlineStr">
        <is>
          <t>Data protection by EU institutions Regulation</t>
        </is>
      </c>
      <c r="C170" s="7" t="inlineStr">
        <is>
          <t>52017PC0008</t>
        </is>
      </c>
      <c r="D170" s="7" t="inlineStr">
        <is>
          <t>specific objective</t>
        </is>
      </c>
      <c r="E170" s="7" t="inlineStr">
        <is>
          <t>Rationalise the governance model and strengthen compliance and enforcement in EU institutions and bodies</t>
        </is>
      </c>
      <c r="F170" s="7" t="inlineStr"/>
      <c r="G170" s="7" t="inlineStr"/>
      <c r="H170" s="7" t="inlineStr"/>
      <c r="I170" s="7" t="inlineStr"/>
      <c r="J170" s="7" t="inlineStr"/>
      <c r="K170" s="7" t="inlineStr"/>
    </row>
    <row r="171">
      <c r="A171" s="7" t="n">
        <v>35</v>
      </c>
      <c r="B171" s="7" t="inlineStr">
        <is>
          <t>Data protection by EU institutions Regulation</t>
        </is>
      </c>
      <c r="C171" s="7" t="inlineStr">
        <is>
          <t>52017PC0008</t>
        </is>
      </c>
      <c r="D171" s="7" t="inlineStr">
        <is>
          <t>indicator (LFS 1.4.4)</t>
        </is>
      </c>
      <c r="E171" s="7" t="inlineStr">
        <is>
          <t>Governance</t>
        </is>
      </c>
      <c r="F171" s="7" t="inlineStr">
        <is>
          <t>Number of opinions issued by the EDPB and the EDPS</t>
        </is>
      </c>
      <c r="G171" s="7" t="inlineStr"/>
      <c r="H171" s="7" t="inlineStr">
        <is>
          <t>Reported qualitatively: EDPS replies to legislative consultations with opinions and comments; EDPB output growing. No time series tied to the Regulation.</t>
        </is>
      </c>
      <c r="I171" s="7" t="inlineStr">
        <is>
          <t>reported as activity</t>
        </is>
      </c>
      <c r="J171" s="7" t="inlineStr">
        <is>
          <t>reported as activity</t>
        </is>
      </c>
      <c r="K171" s="7" t="inlineStr">
        <is>
          <t>COM(2022) 530</t>
        </is>
      </c>
    </row>
    <row r="172">
      <c r="A172" s="7" t="n">
        <v>35</v>
      </c>
      <c r="B172" s="7" t="inlineStr">
        <is>
          <t>Data protection by EU institutions Regulation</t>
        </is>
      </c>
      <c r="C172" s="7" t="inlineStr">
        <is>
          <t>52017PC0008</t>
        </is>
      </c>
      <c r="D172" s="7" t="inlineStr">
        <is>
          <t>indicator (LFS 1.4.4)</t>
        </is>
      </c>
      <c r="E172" s="7" t="inlineStr">
        <is>
          <t>Accountability</t>
        </is>
      </c>
      <c r="F172" s="7" t="inlineStr">
        <is>
          <t>Breakdown of activities of data protection officers</t>
        </is>
      </c>
      <c r="G172" s="7" t="inlineStr"/>
      <c r="H172" s="7" t="inlineStr">
        <is>
          <t>Survey of 56 EU bodies: 54% gave more resources to DPOs; 84% adapted processes so staff consult DPOs. No breakdown of DPO activities.</t>
        </is>
      </c>
      <c r="I172" s="7" t="inlineStr">
        <is>
          <t>partially measured</t>
        </is>
      </c>
      <c r="J172" s="7" t="inlineStr">
        <is>
          <t>partially measured</t>
        </is>
      </c>
      <c r="K172" s="7" t="inlineStr">
        <is>
          <t>COM(2022) 530</t>
        </is>
      </c>
    </row>
    <row r="173">
      <c r="A173" s="7" t="n">
        <v>35</v>
      </c>
      <c r="B173" s="7" t="inlineStr">
        <is>
          <t>Data protection by EU institutions Regulation</t>
        </is>
      </c>
      <c r="C173" s="7" t="inlineStr">
        <is>
          <t>52017PC0008</t>
        </is>
      </c>
      <c r="D173" s="7" t="inlineStr">
        <is>
          <t>indicator (LFS 1.4.4)</t>
        </is>
      </c>
      <c r="E173" s="7" t="inlineStr">
        <is>
          <t>Accountability</t>
        </is>
      </c>
      <c r="F173" s="7" t="inlineStr">
        <is>
          <t>Use made of data protection impact assessments</t>
        </is>
      </c>
      <c r="G173" s="7" t="inlineStr"/>
      <c r="H173" s="7" t="inlineStr">
        <is>
          <t>Annex table of DPIAs by institution 2019-2021 (most by ECB, EIB and Commission); cases sent to the EDPS fell sharply compared with the old prior-checking system, as intended; 94% of bodies find DPIA criteria adequate.</t>
        </is>
      </c>
      <c r="I173" s="7" t="inlineStr">
        <is>
          <t>measured</t>
        </is>
      </c>
      <c r="J173" s="7" t="inlineStr">
        <is>
          <t>measured</t>
        </is>
      </c>
      <c r="K173" s="7" t="inlineStr">
        <is>
          <t>COM(2022) 530</t>
        </is>
      </c>
    </row>
    <row r="174">
      <c r="A174" s="7" t="n">
        <v>35</v>
      </c>
      <c r="B174" s="7" t="inlineStr">
        <is>
          <t>Data protection by EU institutions Regulation</t>
        </is>
      </c>
      <c r="C174" s="7" t="inlineStr">
        <is>
          <t>52017PC0008</t>
        </is>
      </c>
      <c r="D174" s="7" t="inlineStr">
        <is>
          <t>indicator (LFS 1.4.4)</t>
        </is>
      </c>
      <c r="E174" s="7" t="inlineStr">
        <is>
          <t>Enforcement</t>
        </is>
      </c>
      <c r="F174" s="7" t="inlineStr">
        <is>
          <t>Number of complaints made by data subjects</t>
        </is>
      </c>
      <c r="G174" s="7" t="inlineStr"/>
      <c r="H174" s="7" t="inlineStr">
        <is>
          <t>Report notes inadmissible complaints to the EDPS rose 2019-2021 (mostly aimed at national controllers); no clear trend in requests from individuals because institutions record them differently.</t>
        </is>
      </c>
      <c r="I174" s="7" t="inlineStr">
        <is>
          <t>partially measured</t>
        </is>
      </c>
      <c r="J174" s="7" t="inlineStr">
        <is>
          <t>partially measured</t>
        </is>
      </c>
      <c r="K174" s="7" t="inlineStr">
        <is>
          <t>COM(2022) 530</t>
        </is>
      </c>
    </row>
    <row r="175">
      <c r="A175" s="7" t="n">
        <v>35</v>
      </c>
      <c r="B175" s="7" t="inlineStr">
        <is>
          <t>Data protection by EU institutions Regulation</t>
        </is>
      </c>
      <c r="C175" s="7" t="inlineStr">
        <is>
          <t>52017PC0008</t>
        </is>
      </c>
      <c r="D175" s="7" t="inlineStr">
        <is>
          <t>indicator (LFS 1.4.4)</t>
        </is>
      </c>
      <c r="E175" s="7" t="inlineStr">
        <is>
          <t>Enforcement</t>
        </is>
      </c>
      <c r="F175" s="7" t="inlineStr">
        <is>
          <t>Fines imposed on data controllers responsible for breaches</t>
        </is>
      </c>
      <c r="G175" s="7" t="inlineStr"/>
      <c r="H175" s="7" t="inlineStr">
        <is>
          <t>None: by 2022 the EDPS had used most powers (e.g. temporary processing bans) but had never issued a fine.</t>
        </is>
      </c>
      <c r="I175" s="7" t="inlineStr">
        <is>
          <t>measured (zero)</t>
        </is>
      </c>
      <c r="J175" s="7" t="inlineStr">
        <is>
          <t>measured</t>
        </is>
      </c>
      <c r="K175" s="7" t="inlineStr">
        <is>
          <t>COM(2022) 530</t>
        </is>
      </c>
    </row>
    <row r="176">
      <c r="A176" s="7" t="n">
        <v>35</v>
      </c>
      <c r="B176" s="7" t="inlineStr">
        <is>
          <t>Data protection by EU institutions Regulation</t>
        </is>
      </c>
      <c r="C176" s="7" t="inlineStr">
        <is>
          <t>52017PC0008</t>
        </is>
      </c>
      <c r="D176" s="7" t="inlineStr">
        <is>
          <t>note</t>
        </is>
      </c>
      <c r="E176" s="7" t="inlineStr">
        <is>
          <t>No dedicated impact assessment: the proposal (COM(2017) 8) relied on the GDPR impact assessment and gave no quantified forecasts</t>
        </is>
      </c>
      <c r="F176" s="7" t="inlineStr"/>
      <c r="G176" s="7" t="inlineStr"/>
      <c r="H176" s="7" t="inlineStr"/>
      <c r="I176" s="7" t="inlineStr"/>
      <c r="J176" s="7" t="inlineStr"/>
      <c r="K176" s="7" t="inlineStr"/>
    </row>
    <row r="177">
      <c r="A177" s="7" t="n">
        <v>38</v>
      </c>
      <c r="B177" s="7" t="inlineStr">
        <is>
          <t>Free Flow of Non-Personal Data Regulation</t>
        </is>
      </c>
      <c r="C177" s="7" t="inlineStr">
        <is>
          <t>52017PC0495</t>
        </is>
      </c>
      <c r="D177" s="7" t="inlineStr">
        <is>
          <t>note</t>
        </is>
      </c>
      <c r="E177" s="7" t="inlineStr">
        <is>
          <t>The proposal's financial statement has no indicators section; the memorandum promised an evaluation five years on using indicators from the impact assessment, Eurostat and DESI data</t>
        </is>
      </c>
      <c r="F177" s="7" t="inlineStr"/>
      <c r="G177" s="7" t="inlineStr"/>
      <c r="H177" s="7" t="inlineStr"/>
      <c r="I177" s="7" t="inlineStr"/>
      <c r="J177" s="7" t="inlineStr"/>
      <c r="K177" s="7" t="inlineStr"/>
    </row>
    <row r="178">
      <c r="A178" s="7" t="n">
        <v>38</v>
      </c>
      <c r="B178" s="7" t="inlineStr">
        <is>
          <t>Free Flow of Non-Personal Data Regulation</t>
        </is>
      </c>
      <c r="C178" s="7" t="inlineStr">
        <is>
          <t>52017PC0495</t>
        </is>
      </c>
      <c r="D178" s="7" t="inlineStr">
        <is>
          <t>evaluation question (memorandum)</t>
        </is>
      </c>
      <c r="E178" s="7" t="inlineStr">
        <is>
          <t>Data localisation</t>
        </is>
      </c>
      <c r="F178" s="7" t="inlineStr">
        <is>
          <t>Reduction in the number and range of data localisation restrictions</t>
        </is>
      </c>
      <c r="G178" s="7" t="inlineStr"/>
      <c r="H178" s="7" t="inlineStr">
        <is>
          <t>Not quantified. The 2026 evaluation support study finds limited effectiveness in removing localisation requirements, hampered by the national-security exemption and uncertainty about mixed data sets.</t>
        </is>
      </c>
      <c r="I178" s="7" t="inlineStr">
        <is>
          <t>mixed evidence</t>
        </is>
      </c>
      <c r="J178" s="7" t="inlineStr">
        <is>
          <t>mixed evidence</t>
        </is>
      </c>
      <c r="K178" s="7" t="inlineStr">
        <is>
          <t>Open Evidence et al. 2026 study</t>
        </is>
      </c>
    </row>
    <row r="179">
      <c r="A179" s="7" t="n">
        <v>38</v>
      </c>
      <c r="B179" s="7" t="inlineStr">
        <is>
          <t>Free Flow of Non-Personal Data Regulation</t>
        </is>
      </c>
      <c r="C179" s="7" t="inlineStr">
        <is>
          <t>52017PC0495</t>
        </is>
      </c>
      <c r="D179" s="7" t="inlineStr">
        <is>
          <t>evaluation question (memorandum)</t>
        </is>
      </c>
      <c r="E179" s="7" t="inlineStr">
        <is>
          <t>Regulatory access</t>
        </is>
      </c>
      <c r="F179" s="7" t="inlineStr">
        <is>
          <t>Member States can access data stored abroad for regulatory control</t>
        </is>
      </c>
      <c r="G179" s="7" t="inlineStr"/>
      <c r="H179" s="7" t="inlineStr">
        <is>
          <t>No publicly reported cases under the Article 5 cooperation or penalty mechanisms; authorities report low demand.</t>
        </is>
      </c>
      <c r="I179" s="7" t="inlineStr">
        <is>
          <t>reported as activity (none)</t>
        </is>
      </c>
      <c r="J179" s="7" t="inlineStr">
        <is>
          <t>reported as activity</t>
        </is>
      </c>
      <c r="K179" s="7" t="inlineStr">
        <is>
          <t>SWD(2025) 836</t>
        </is>
      </c>
    </row>
    <row r="180">
      <c r="A180" s="7" t="n">
        <v>38</v>
      </c>
      <c r="B180" s="7" t="inlineStr">
        <is>
          <t>Free Flow of Non-Personal Data Regulation</t>
        </is>
      </c>
      <c r="C180" s="7" t="inlineStr">
        <is>
          <t>52017PC0495</t>
        </is>
      </c>
      <c r="D180" s="7" t="inlineStr">
        <is>
          <t>evaluation question (memorandum)</t>
        </is>
      </c>
      <c r="E180" s="7" t="inlineStr">
        <is>
          <t>Cloud switching</t>
        </is>
      </c>
      <c r="F180" s="7" t="inlineStr">
        <is>
          <t>Better transparency on conditions for data porting (self-regulatory codes)</t>
        </is>
      </c>
      <c r="G180" s="7" t="inlineStr"/>
      <c r="H180" s="7" t="inlineStr">
        <is>
          <t>Codes of conduct had limited uptake and were superseded by binding switching rules in the Data Act (2023); Commission calls Article 6 practically obsolete.</t>
        </is>
      </c>
      <c r="I180" s="7" t="inlineStr">
        <is>
          <t>not achieved (superseded)</t>
        </is>
      </c>
      <c r="J180" s="7" t="inlineStr">
        <is>
          <t>measured</t>
        </is>
      </c>
      <c r="K180" s="7" t="inlineStr">
        <is>
          <t>SWD(2025) 836</t>
        </is>
      </c>
    </row>
    <row r="181">
      <c r="A181" s="7" t="n">
        <v>38</v>
      </c>
      <c r="B181" s="7" t="inlineStr">
        <is>
          <t>Free Flow of Non-Personal Data Regulation</t>
        </is>
      </c>
      <c r="C181" s="7" t="inlineStr">
        <is>
          <t>52017PC0495</t>
        </is>
      </c>
      <c r="D181" s="7" t="inlineStr">
        <is>
          <t>evaluation question (memorandum)</t>
        </is>
      </c>
      <c r="E181" s="7" t="inlineStr">
        <is>
          <t>Trust</t>
        </is>
      </c>
      <c r="F181" s="7" t="inlineStr">
        <is>
          <t>Trust in free flow of non-personal data</t>
        </is>
      </c>
      <c r="G181" s="7" t="inlineStr"/>
      <c r="H181" s="7" t="inlineStr">
        <is>
          <t>Consultation: fewer than 4 in 10 respondents see any objective fully met; weakest scores on trust/security and switching; about half have little or no familiarity with the Regulation.</t>
        </is>
      </c>
      <c r="I181" s="7" t="inlineStr">
        <is>
          <t>partially measured (opinion survey)</t>
        </is>
      </c>
      <c r="J181" s="7" t="inlineStr">
        <is>
          <t>partially measured</t>
        </is>
      </c>
      <c r="K181" s="7" t="inlineStr">
        <is>
          <t>SWD(2025) 836</t>
        </is>
      </c>
    </row>
    <row r="182">
      <c r="A182" s="7" t="n">
        <v>38</v>
      </c>
      <c r="B182" s="7" t="inlineStr">
        <is>
          <t>Free Flow of Non-Personal Data Regulation</t>
        </is>
      </c>
      <c r="C182" s="7" t="inlineStr">
        <is>
          <t>52017PC0495</t>
        </is>
      </c>
      <c r="D182" s="7" t="inlineStr">
        <is>
          <t>expected impact (impact assessment)</t>
        </is>
      </c>
      <c r="E182" s="7" t="inlineStr">
        <is>
          <t>Growth</t>
        </is>
      </c>
      <c r="F182" s="7" t="inlineStr">
        <is>
          <t>GDP gain of up to EUR 8bn a year (0.06% of GDP) from removing localisation restrictions</t>
        </is>
      </c>
      <c r="G182" s="7" t="inlineStr">
        <is>
          <t>up to EUR 8bn/yr</t>
        </is>
      </c>
      <c r="H182" s="7" t="inlineStr">
        <is>
          <t>Never evaluated.</t>
        </is>
      </c>
      <c r="I182" s="7" t="inlineStr">
        <is>
          <t>not measured</t>
        </is>
      </c>
      <c r="J182" s="7" t="inlineStr">
        <is>
          <t>not measured</t>
        </is>
      </c>
      <c r="K182" s="7" t="inlineStr">
        <is>
          <t>SWD(2017) 304; ECIPE 2016</t>
        </is>
      </c>
    </row>
    <row r="183">
      <c r="A183" s="7" t="n">
        <v>40</v>
      </c>
      <c r="B183" s="7" t="inlineStr">
        <is>
          <t>Non-cash payment fraud Directive</t>
        </is>
      </c>
      <c r="C183" s="7" t="inlineStr">
        <is>
          <t>52017PC0489</t>
        </is>
      </c>
      <c r="D183" s="7" t="inlineStr">
        <is>
          <t>note</t>
        </is>
      </c>
      <c r="E183" s="7" t="inlineStr">
        <is>
          <t>The proposal's financial statement has no indicators section; Article 18 required a monitoring programme (set out in SWD(2023) 23) and Article 21 a transposition report (2023) and an impact evaluation by 31 May 2026</t>
        </is>
      </c>
      <c r="F183" s="7" t="inlineStr"/>
      <c r="G183" s="7" t="inlineStr"/>
      <c r="H183" s="7" t="inlineStr"/>
      <c r="I183" s="7" t="inlineStr"/>
      <c r="J183" s="7" t="inlineStr"/>
      <c r="K183" s="7" t="inlineStr"/>
    </row>
    <row r="184">
      <c r="A184" s="7" t="n">
        <v>40</v>
      </c>
      <c r="B184" s="7" t="inlineStr">
        <is>
          <t>Non-cash payment fraud Directive</t>
        </is>
      </c>
      <c r="C184" s="7" t="inlineStr">
        <is>
          <t>52017PC0489</t>
        </is>
      </c>
      <c r="D184" s="7" t="inlineStr">
        <is>
          <t>specific objective (impact assessment)</t>
        </is>
      </c>
      <c r="E184" s="7" t="inlineStr">
        <is>
          <t>Legal framework</t>
        </is>
      </c>
      <c r="F184" s="7" t="inlineStr">
        <is>
          <t>Clear, robust, technology-neutral criminal law framework (incl. virtual currencies, stolen credentials)</t>
        </is>
      </c>
      <c r="G184" s="7" t="inlineStr"/>
      <c r="H184" s="7" t="inlineStr">
        <is>
          <t>Transposition report: 9 Member States on time; infringement cases opened against 16 in July 2021; most provisions transposed, with gaps notably on virtual currency coverage.</t>
        </is>
      </c>
      <c r="I184" s="7" t="inlineStr">
        <is>
          <t>partially measured</t>
        </is>
      </c>
      <c r="J184" s="7" t="inlineStr">
        <is>
          <t>partially measured</t>
        </is>
      </c>
      <c r="K184" s="7" t="inlineStr">
        <is>
          <t>COM(2023) 363</t>
        </is>
      </c>
    </row>
    <row r="185">
      <c r="A185" s="7" t="n">
        <v>40</v>
      </c>
      <c r="B185" s="7" t="inlineStr">
        <is>
          <t>Non-cash payment fraud Directive</t>
        </is>
      </c>
      <c r="C185" s="7" t="inlineStr">
        <is>
          <t>52017PC0489</t>
        </is>
      </c>
      <c r="D185" s="7" t="inlineStr">
        <is>
          <t>specific objective (impact assessment)</t>
        </is>
      </c>
      <c r="E185" s="7" t="inlineStr">
        <is>
          <t>Investigation and prosecution</t>
        </is>
      </c>
      <c r="F185" s="7" t="inlineStr">
        <is>
          <t>Eliminate operational obstacles to cross-border investigation and prosecution</t>
        </is>
      </c>
      <c r="G185" s="7" t="inlineStr"/>
      <c r="H185" s="7" t="inlineStr">
        <is>
          <t>No outcome data published; the impact evaluation due May 2026 was not found.</t>
        </is>
      </c>
      <c r="I185" s="7" t="inlineStr">
        <is>
          <t>not measured</t>
        </is>
      </c>
      <c r="J185" s="7" t="inlineStr">
        <is>
          <t>not measured</t>
        </is>
      </c>
      <c r="K185" s="7" t="inlineStr"/>
    </row>
    <row r="186">
      <c r="A186" s="7" t="n">
        <v>40</v>
      </c>
      <c r="B186" s="7" t="inlineStr">
        <is>
          <t>Non-cash payment fraud Directive</t>
        </is>
      </c>
      <c r="C186" s="7" t="inlineStr">
        <is>
          <t>52017PC0489</t>
        </is>
      </c>
      <c r="D186" s="7" t="inlineStr">
        <is>
          <t>general objective (impact assessment)</t>
        </is>
      </c>
      <c r="E186" s="7" t="inlineStr">
        <is>
          <t>Fraud losses</t>
        </is>
      </c>
      <c r="F186" s="7" t="inlineStr">
        <is>
          <t>Reduce direct losses from non-cash payment fraud and raise trust</t>
        </is>
      </c>
      <c r="G186" s="7" t="inlineStr"/>
      <c r="H186" s="7" t="inlineStr">
        <is>
          <t>Fraud is tracked by the ECB/EBA under PSD2 reporting (EUR 4.3bn in 2022, EUR 2.0bn in H1 2023 across instruments), but these figures cannot be attributed to the Directive.</t>
        </is>
      </c>
      <c r="I186" s="7" t="inlineStr">
        <is>
          <t>measured (not attributable)</t>
        </is>
      </c>
      <c r="J186" s="7" t="inlineStr">
        <is>
          <t>measured</t>
        </is>
      </c>
      <c r="K186" s="7" t="inlineStr">
        <is>
          <t>EBA/ECB 2024</t>
        </is>
      </c>
    </row>
    <row r="187">
      <c r="A187" s="7" t="n">
        <v>40</v>
      </c>
      <c r="B187" s="7" t="inlineStr">
        <is>
          <t>Non-cash payment fraud Directive</t>
        </is>
      </c>
      <c r="C187" s="7" t="inlineStr">
        <is>
          <t>52017PC0489</t>
        </is>
      </c>
      <c r="D187" s="7" t="inlineStr">
        <is>
          <t>expected cost (impact assessment)</t>
        </is>
      </c>
      <c r="E187" s="7" t="inlineStr">
        <is>
          <t>Member State costs</t>
        </is>
      </c>
      <c r="F187" s="7" t="inlineStr">
        <is>
          <t>One-off EUR 561,000 and about EUR 2.3m a year across Member States</t>
        </is>
      </c>
      <c r="G187" s="7" t="inlineStr"/>
      <c r="H187" s="7" t="inlineStr">
        <is>
          <t>Not evaluated.</t>
        </is>
      </c>
      <c r="I187" s="7" t="inlineStr">
        <is>
          <t>not measured</t>
        </is>
      </c>
      <c r="J187" s="7" t="inlineStr">
        <is>
          <t>not measured</t>
        </is>
      </c>
      <c r="K187" s="7" t="inlineStr">
        <is>
          <t>SWD(2017) 298</t>
        </is>
      </c>
    </row>
    <row r="188">
      <c r="A188" s="7" t="n">
        <v>27</v>
      </c>
      <c r="B188" s="7" t="inlineStr">
        <is>
          <t>Digital Content Directive</t>
        </is>
      </c>
      <c r="C188" s="7" t="inlineStr">
        <is>
          <t>52015PC0634</t>
        </is>
      </c>
      <c r="D188" s="7" t="inlineStr">
        <is>
          <t>note</t>
        </is>
      </c>
      <c r="E188" s="7" t="inlineStr">
        <is>
          <t>The proposal's financial statement has no indicators section; the memorandum promised a monitoring and evaluation exercise feeding a review (Article 25 set the review for 12 June 2024), which was not found published</t>
        </is>
      </c>
      <c r="F188" s="7" t="inlineStr"/>
      <c r="G188" s="7" t="inlineStr"/>
      <c r="H188" s="7" t="inlineStr"/>
      <c r="I188" s="7" t="inlineStr"/>
      <c r="J188" s="7" t="inlineStr"/>
      <c r="K188" s="7" t="inlineStr"/>
    </row>
    <row r="189">
      <c r="A189" s="7" t="n">
        <v>27</v>
      </c>
      <c r="B189" s="7" t="inlineStr">
        <is>
          <t>Digital Content Directive</t>
        </is>
      </c>
      <c r="C189" s="7" t="inlineStr">
        <is>
          <t>52015PC0634</t>
        </is>
      </c>
      <c r="D189" s="7" t="inlineStr">
        <is>
          <t>expected impact (impact assessment, joint with Sale of Goods)</t>
        </is>
      </c>
      <c r="E189" s="7" t="inlineStr">
        <is>
          <t>Cross-border trade</t>
        </is>
      </c>
      <c r="F189" s="7" t="inlineStr">
        <is>
          <t>122,000 more businesses selling online across borders; intra-EU exports +0.04% (about EUR 1bn)</t>
        </is>
      </c>
      <c r="G189" s="7" t="inlineStr">
        <is>
          <t>+122,000 firms</t>
        </is>
      </c>
      <c r="H189" s="7" t="inlineStr">
        <is>
          <t>Not evaluated.</t>
        </is>
      </c>
      <c r="I189" s="7" t="inlineStr">
        <is>
          <t>not measured</t>
        </is>
      </c>
      <c r="J189" s="7" t="inlineStr">
        <is>
          <t>not measured</t>
        </is>
      </c>
      <c r="K189" s="7" t="inlineStr">
        <is>
          <t>SWD(2015) 274</t>
        </is>
      </c>
    </row>
    <row r="190">
      <c r="A190" s="7" t="n">
        <v>27</v>
      </c>
      <c r="B190" s="7" t="inlineStr">
        <is>
          <t>Digital Content Directive</t>
        </is>
      </c>
      <c r="C190" s="7" t="inlineStr">
        <is>
          <t>52015PC0634</t>
        </is>
      </c>
      <c r="D190" s="7" t="inlineStr">
        <is>
          <t>expected impact (impact assessment, joint with Sale of Goods)</t>
        </is>
      </c>
      <c r="E190" s="7" t="inlineStr">
        <is>
          <t>Consumers</t>
        </is>
      </c>
      <c r="F190" s="7" t="inlineStr">
        <is>
          <t>8-13 million more consumers buying online cross-border; retail prices -0.25%; household consumption +0.23% (about EUR 18bn)</t>
        </is>
      </c>
      <c r="G190" s="7" t="inlineStr"/>
      <c r="H190" s="7" t="inlineStr">
        <is>
          <t>Not evaluated; cross-border e-commerce has grown, but no study attributes any change to the Directive.</t>
        </is>
      </c>
      <c r="I190" s="7" t="inlineStr">
        <is>
          <t>not measured</t>
        </is>
      </c>
      <c r="J190" s="7" t="inlineStr">
        <is>
          <t>not measured</t>
        </is>
      </c>
      <c r="K190" s="7" t="inlineStr">
        <is>
          <t>SWD(2015) 274</t>
        </is>
      </c>
    </row>
    <row r="191">
      <c r="A191" s="7" t="n">
        <v>27</v>
      </c>
      <c r="B191" s="7" t="inlineStr">
        <is>
          <t>Digital Content Directive</t>
        </is>
      </c>
      <c r="C191" s="7" t="inlineStr">
        <is>
          <t>52015PC0634</t>
        </is>
      </c>
      <c r="D191" s="7" t="inlineStr">
        <is>
          <t>expected impact (impact assessment, joint with Sale of Goods)</t>
        </is>
      </c>
      <c r="E191" s="7" t="inlineStr">
        <is>
          <t>Growth</t>
        </is>
      </c>
      <c r="F191" s="7" t="inlineStr">
        <is>
          <t>EU GDP +0.03% (about EUR 4bn a year, permanent)</t>
        </is>
      </c>
      <c r="G191" s="7" t="inlineStr">
        <is>
          <t>EUR 4bn/yr</t>
        </is>
      </c>
      <c r="H191" s="7" t="inlineStr">
        <is>
          <t>Not evaluated.</t>
        </is>
      </c>
      <c r="I191" s="7" t="inlineStr">
        <is>
          <t>not measured</t>
        </is>
      </c>
      <c r="J191" s="7" t="inlineStr">
        <is>
          <t>not measured</t>
        </is>
      </c>
      <c r="K191" s="7" t="inlineStr">
        <is>
          <t>SWD(2015) 274</t>
        </is>
      </c>
    </row>
    <row r="192">
      <c r="A192" s="7" t="n">
        <v>27</v>
      </c>
      <c r="B192" s="7" t="inlineStr">
        <is>
          <t>Digital Content Directive</t>
        </is>
      </c>
      <c r="C192" s="7" t="inlineStr">
        <is>
          <t>52015PC0634</t>
        </is>
      </c>
      <c r="D192" s="7" t="inlineStr">
        <is>
          <t>problem baseline (impact assessment)</t>
        </is>
      </c>
      <c r="E192" s="7" t="inlineStr">
        <is>
          <t>Consumer detriment</t>
        </is>
      </c>
      <c r="F192" s="7" t="inlineStr">
        <is>
          <t>Detriment from faulty digital content of EUR 9-11bn a year (four content types)</t>
        </is>
      </c>
      <c r="G192" s="7" t="inlineStr">
        <is>
          <t>baseline EUR 9-11bn</t>
        </is>
      </c>
      <c r="H192" s="7" t="inlineStr">
        <is>
          <t>No follow-up measurement.</t>
        </is>
      </c>
      <c r="I192" s="7" t="inlineStr">
        <is>
          <t>not measured</t>
        </is>
      </c>
      <c r="J192" s="7" t="inlineStr">
        <is>
          <t>not measured</t>
        </is>
      </c>
      <c r="K192" s="7" t="inlineStr">
        <is>
          <t>SWD(2015) 275</t>
        </is>
      </c>
    </row>
    <row r="193">
      <c r="A193" s="7" t="n">
        <v>28</v>
      </c>
      <c r="B193" s="7" t="inlineStr">
        <is>
          <t>Sale of Goods Directive</t>
        </is>
      </c>
      <c r="C193" s="7" t="inlineStr">
        <is>
          <t>52015PC0635</t>
        </is>
      </c>
      <c r="D193" s="7" t="inlineStr">
        <is>
          <t>note</t>
        </is>
      </c>
      <c r="E193" s="7" t="inlineStr">
        <is>
          <t>The proposal's financial statement has no indicators section; the memorandum mentions only transposition monitoring. Article 25 required a review report by 12 June 2024, which was not found published</t>
        </is>
      </c>
      <c r="F193" s="7" t="inlineStr"/>
      <c r="G193" s="7" t="inlineStr"/>
      <c r="H193" s="7" t="inlineStr"/>
      <c r="I193" s="7" t="inlineStr"/>
      <c r="J193" s="7" t="inlineStr"/>
      <c r="K193" s="7" t="inlineStr"/>
    </row>
    <row r="194">
      <c r="A194" s="7" t="n">
        <v>28</v>
      </c>
      <c r="B194" s="7" t="inlineStr">
        <is>
          <t>Sale of Goods Directive</t>
        </is>
      </c>
      <c r="C194" s="7" t="inlineStr">
        <is>
          <t>52015PC0635</t>
        </is>
      </c>
      <c r="D194" s="7" t="inlineStr">
        <is>
          <t>expected impact (impact assessment, joint with Digital Content)</t>
        </is>
      </c>
      <c r="E194" s="7" t="inlineStr">
        <is>
          <t>Cross-border trade</t>
        </is>
      </c>
      <c r="F194" s="7" t="inlineStr">
        <is>
          <t>Share of businesses selling online cross-border up by more than 5 percentage points (about 122,000 firms)</t>
        </is>
      </c>
      <c r="G194" s="7" t="inlineStr">
        <is>
          <t>+5 pp</t>
        </is>
      </c>
      <c r="H194" s="7" t="inlineStr">
        <is>
          <t>Not evaluated.</t>
        </is>
      </c>
      <c r="I194" s="7" t="inlineStr">
        <is>
          <t>not measured</t>
        </is>
      </c>
      <c r="J194" s="7" t="inlineStr">
        <is>
          <t>not measured</t>
        </is>
      </c>
      <c r="K194" s="7" t="inlineStr">
        <is>
          <t>SWD(2015) 274</t>
        </is>
      </c>
    </row>
    <row r="195">
      <c r="A195" s="7" t="n">
        <v>28</v>
      </c>
      <c r="B195" s="7" t="inlineStr">
        <is>
          <t>Sale of Goods Directive</t>
        </is>
      </c>
      <c r="C195" s="7" t="inlineStr">
        <is>
          <t>52015PC0635</t>
        </is>
      </c>
      <c r="D195" s="7" t="inlineStr">
        <is>
          <t>expected impact (impact assessment, joint with Digital Content)</t>
        </is>
      </c>
      <c r="E195" s="7" t="inlineStr">
        <is>
          <t>Consumers</t>
        </is>
      </c>
      <c r="F195" s="7" t="inlineStr">
        <is>
          <t>Retail prices -0.25%; 8-13 million more cross-border online shoppers spending EUR 40 more each a year</t>
        </is>
      </c>
      <c r="G195" s="7" t="inlineStr"/>
      <c r="H195" s="7" t="inlineStr">
        <is>
          <t>Not evaluated.</t>
        </is>
      </c>
      <c r="I195" s="7" t="inlineStr">
        <is>
          <t>not measured</t>
        </is>
      </c>
      <c r="J195" s="7" t="inlineStr">
        <is>
          <t>not measured</t>
        </is>
      </c>
      <c r="K195" s="7" t="inlineStr">
        <is>
          <t>SWD(2015) 274</t>
        </is>
      </c>
    </row>
    <row r="196">
      <c r="A196" s="7" t="n">
        <v>28</v>
      </c>
      <c r="B196" s="7" t="inlineStr">
        <is>
          <t>Sale of Goods Directive</t>
        </is>
      </c>
      <c r="C196" s="7" t="inlineStr">
        <is>
          <t>52015PC0635</t>
        </is>
      </c>
      <c r="D196" s="7" t="inlineStr">
        <is>
          <t>expected impact (impact assessment, joint with Digital Content)</t>
        </is>
      </c>
      <c r="E196" s="7" t="inlineStr">
        <is>
          <t>Growth</t>
        </is>
      </c>
      <c r="F196" s="7" t="inlineStr">
        <is>
          <t>EU GDP +0.03% (about EUR 4bn a year)</t>
        </is>
      </c>
      <c r="G196" s="7" t="inlineStr">
        <is>
          <t>EUR 4bn/yr</t>
        </is>
      </c>
      <c r="H196" s="7" t="inlineStr">
        <is>
          <t>Not evaluated.</t>
        </is>
      </c>
      <c r="I196" s="7" t="inlineStr">
        <is>
          <t>not measured</t>
        </is>
      </c>
      <c r="J196" s="7" t="inlineStr">
        <is>
          <t>not measured</t>
        </is>
      </c>
      <c r="K196" s="7" t="inlineStr">
        <is>
          <t>SWD(2015) 274</t>
        </is>
      </c>
    </row>
    <row r="197">
      <c r="A197" s="7" t="n">
        <v>28</v>
      </c>
      <c r="B197" s="7" t="inlineStr">
        <is>
          <t>Sale of Goods Directive</t>
        </is>
      </c>
      <c r="C197" s="7" t="inlineStr">
        <is>
          <t>52015PC0635</t>
        </is>
      </c>
      <c r="D197" s="7" t="inlineStr">
        <is>
          <t>expected cost (impact assessment)</t>
        </is>
      </c>
      <c r="E197" s="7" t="inlineStr">
        <is>
          <t>Business costs</t>
        </is>
      </c>
      <c r="F197" s="7" t="inlineStr">
        <is>
          <t>One-off contract adaptation cost of about EUR 7,000 per firm</t>
        </is>
      </c>
      <c r="G197" s="7" t="inlineStr"/>
      <c r="H197" s="7" t="inlineStr">
        <is>
          <t>Not evaluated.</t>
        </is>
      </c>
      <c r="I197" s="7" t="inlineStr">
        <is>
          <t>not measured</t>
        </is>
      </c>
      <c r="J197" s="7" t="inlineStr">
        <is>
          <t>not measured</t>
        </is>
      </c>
      <c r="K197" s="7" t="inlineStr">
        <is>
          <t>SWD(2015) 275</t>
        </is>
      </c>
    </row>
    <row r="198">
      <c r="A198" s="7" t="n">
        <v>28</v>
      </c>
      <c r="B198" s="7" t="inlineStr">
        <is>
          <t>Sale of Goods Directive</t>
        </is>
      </c>
      <c r="C198" s="7" t="inlineStr">
        <is>
          <t>52015PC0635</t>
        </is>
      </c>
      <c r="D198" s="7" t="inlineStr">
        <is>
          <t>later amendment</t>
        </is>
      </c>
      <c r="E198" s="7" t="inlineStr">
        <is>
          <t>Sustainability</t>
        </is>
      </c>
      <c r="F198" s="7" t="inlineStr">
        <is>
          <t>Right to Repair Directive (EU) 2024/1799 amends the Directive (12-month extension of seller liability when consumers choose repair)</t>
        </is>
      </c>
      <c r="G198" s="7" t="inlineStr"/>
      <c r="H198" s="7" t="inlineStr">
        <is>
          <t>The repair impact assessment reviewed how the remedies work but did not evaluate the Directive's market effects; several Member States said it was too early as the rules had only just applied.</t>
        </is>
      </c>
      <c r="I198" s="7" t="inlineStr">
        <is>
          <t>reported as activity</t>
        </is>
      </c>
      <c r="J198" s="7" t="inlineStr">
        <is>
          <t>reported as activity</t>
        </is>
      </c>
      <c r="K198" s="7" t="inlineStr">
        <is>
          <t>SWD(2023) 59</t>
        </is>
      </c>
    </row>
    <row r="199">
      <c r="A199" s="7" t="n">
        <v>34</v>
      </c>
      <c r="B199" s="7" t="inlineStr">
        <is>
          <t>Satellite and Cable II Directive</t>
        </is>
      </c>
      <c r="C199" s="7" t="inlineStr">
        <is>
          <t>52016PC0594</t>
        </is>
      </c>
      <c r="D199" s="7" t="inlineStr">
        <is>
          <t>note</t>
        </is>
      </c>
      <c r="E199" s="7" t="inlineStr">
        <is>
          <t>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is>
      </c>
      <c r="F199" s="7" t="inlineStr"/>
      <c r="G199" s="7" t="inlineStr"/>
      <c r="H199" s="7" t="inlineStr"/>
      <c r="I199" s="7" t="inlineStr"/>
      <c r="J199" s="7" t="inlineStr"/>
      <c r="K199" s="7" t="inlineStr"/>
    </row>
    <row r="200">
      <c r="A200" s="7" t="n">
        <v>34</v>
      </c>
      <c r="B200" s="7" t="inlineStr">
        <is>
          <t>Satellite and Cable II Directive</t>
        </is>
      </c>
      <c r="C200" s="7" t="inlineStr">
        <is>
          <t>52016PC0594</t>
        </is>
      </c>
      <c r="D200" s="7" t="inlineStr">
        <is>
          <t>monitoring promise (memorandum)</t>
        </is>
      </c>
      <c r="E200" s="7" t="inlineStr">
        <is>
          <t>Cross-border access</t>
        </is>
      </c>
      <c r="F200" s="7" t="inlineStr">
        <is>
          <t>Cross-border availability of TV and radio programmes (incl. broadcasters' ancillary online services)</t>
        </is>
      </c>
      <c r="G200" s="7" t="inlineStr">
        <is>
          <t>baseline at entry into force</t>
        </is>
      </c>
      <c r="H200" s="7" t="inlineStr">
        <is>
          <t>No baseline or monitoring data found.</t>
        </is>
      </c>
      <c r="I200" s="7" t="inlineStr">
        <is>
          <t>not measured</t>
        </is>
      </c>
      <c r="J200" s="7" t="inlineStr">
        <is>
          <t>not measured</t>
        </is>
      </c>
      <c r="K200" s="7" t="inlineStr"/>
    </row>
    <row r="201">
      <c r="A201" s="7" t="n">
        <v>34</v>
      </c>
      <c r="B201" s="7" t="inlineStr">
        <is>
          <t>Satellite and Cable II Directive</t>
        </is>
      </c>
      <c r="C201" s="7" t="inlineStr">
        <is>
          <t>52016PC0594</t>
        </is>
      </c>
      <c r="D201" s="7" t="inlineStr">
        <is>
          <t>expected impact (impact assessment)</t>
        </is>
      </c>
      <c r="E201" s="7" t="inlineStr">
        <is>
          <t>Transaction costs</t>
        </is>
      </c>
      <c r="F201" s="7" t="inlineStr">
        <is>
          <t>Lower rights-clearance costs for broadcasters' cross-border online services and for retransmission over closed networks (e.g. IPTV)</t>
        </is>
      </c>
      <c r="G201" s="7" t="inlineStr"/>
      <c r="H201" s="7" t="inlineStr">
        <is>
          <t>Not quantified ex ante or measured ex post.</t>
        </is>
      </c>
      <c r="I201" s="7" t="inlineStr">
        <is>
          <t>not measured</t>
        </is>
      </c>
      <c r="J201" s="7" t="inlineStr">
        <is>
          <t>not measured</t>
        </is>
      </c>
      <c r="K201" s="7" t="inlineStr">
        <is>
          <t>SWD(2016) 301</t>
        </is>
      </c>
    </row>
    <row r="202">
      <c r="A202" s="7" t="n">
        <v>34</v>
      </c>
      <c r="B202" s="7" t="inlineStr">
        <is>
          <t>Satellite and Cable II Directive</t>
        </is>
      </c>
      <c r="C202" s="7" t="inlineStr">
        <is>
          <t>52016PC0594</t>
        </is>
      </c>
      <c r="D202" s="7" t="inlineStr">
        <is>
          <t>review question (Directive recital 24)</t>
        </is>
      </c>
      <c r="E202" s="7" t="inlineStr">
        <is>
          <t>Consumers and creative sector</t>
        </is>
      </c>
      <c r="F202" s="7" t="inlineStr">
        <is>
          <t>Benefits for consumers, impact on creative industries and on investment in new content</t>
        </is>
      </c>
      <c r="G202" s="7" t="inlineStr"/>
      <c r="H202" s="7" t="inlineStr">
        <is>
          <t>Review report not found.</t>
        </is>
      </c>
      <c r="I202" s="7" t="inlineStr">
        <is>
          <t>not measured</t>
        </is>
      </c>
      <c r="J202" s="7" t="inlineStr">
        <is>
          <t>not measured</t>
        </is>
      </c>
      <c r="K202" s="7" t="inlineStr"/>
    </row>
    <row r="203">
      <c r="A203" s="7" t="n">
        <v>33</v>
      </c>
      <c r="B203" s="7" t="inlineStr">
        <is>
          <t>Copyright in the Digital Single Market Directive</t>
        </is>
      </c>
      <c r="C203" s="7" t="inlineStr">
        <is>
          <t>52016PC0593</t>
        </is>
      </c>
      <c r="D203" s="7" t="inlineStr">
        <is>
          <t>note</t>
        </is>
      </c>
      <c r="E203" s="7" t="inlineStr">
        <is>
          <t>The 2016 proposal has no financial-statement indicators; the memorandum only promised a review (Art. 30: no sooner than 7 June 2026). The impact assessment said indicators would be monitored every 2-3 years, but none has been published</t>
        </is>
      </c>
      <c r="F203" s="7" t="inlineStr"/>
      <c r="G203" s="7" t="inlineStr"/>
      <c r="H203" s="7" t="inlineStr"/>
      <c r="I203" s="7" t="inlineStr"/>
      <c r="J203" s="7" t="inlineStr"/>
      <c r="K203" s="7" t="inlineStr"/>
    </row>
    <row r="204">
      <c r="A204" s="7" t="n">
        <v>33</v>
      </c>
      <c r="B204" s="7" t="inlineStr">
        <is>
          <t>Copyright in the Digital Single Market Directive</t>
        </is>
      </c>
      <c r="C204" s="7" t="inlineStr">
        <is>
          <t>52016PC0593</t>
        </is>
      </c>
      <c r="D204" s="7" t="inlineStr">
        <is>
          <t>expected impact (impact assessment)</t>
        </is>
      </c>
      <c r="E204" s="7" t="inlineStr">
        <is>
          <t>Press publishers' right (Art. 15)</t>
        </is>
      </c>
      <c r="F204" s="7" t="inlineStr">
        <is>
          <t>Stronger bargaining position and more licensing revenue for press publishers</t>
        </is>
      </c>
      <c r="G204" s="7" t="inlineStr"/>
      <c r="H204" s="7" t="inlineStr">
        <is>
          <t>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is>
      </c>
      <c r="I204" s="7" t="inlineStr">
        <is>
          <t>mixed evidence</t>
        </is>
      </c>
      <c r="J204" s="7" t="inlineStr">
        <is>
          <t>mixed evidence</t>
        </is>
      </c>
      <c r="K204" s="7" t="inlineStr">
        <is>
          <t>Autorité de la concurrence 21-D-17, 24-D-03; Calzada &amp; Gil 2020; Athey et al. 2021; JRC draft 2016/17</t>
        </is>
      </c>
    </row>
    <row r="205">
      <c r="A205" s="7" t="n">
        <v>33</v>
      </c>
      <c r="B205" s="7" t="inlineStr">
        <is>
          <t>Copyright in the Digital Single Market Directive</t>
        </is>
      </c>
      <c r="C205" s="7" t="inlineStr">
        <is>
          <t>52016PC0593</t>
        </is>
      </c>
      <c r="D205" s="7" t="inlineStr">
        <is>
          <t>expected impact (impact assessment)</t>
        </is>
      </c>
      <c r="E205" s="7" t="inlineStr">
        <is>
          <t>Use of content by upload platforms (Art. 17)</t>
        </is>
      </c>
      <c r="F205" s="7" t="inlineStr">
        <is>
          <t>Right holders better control and monetise their content; more licensing agreements; limited compliance costs for platforms</t>
        </is>
      </c>
      <c r="G205" s="7" t="inlineStr"/>
      <c r="H205" s="7" t="inlineStr">
        <is>
          <t>Not measured. The Commission's 2024 assessment of the start-up regime (Art. 17(6)) found 'limited evidence': almost no qualifying platforms identified, no platform answered the consultation. No study measures effects on licensing revenue, over-blocking or user uploads.</t>
        </is>
      </c>
      <c r="I205" s="7" t="inlineStr">
        <is>
          <t>not measured</t>
        </is>
      </c>
      <c r="J205" s="7" t="inlineStr">
        <is>
          <t>not measured</t>
        </is>
      </c>
      <c r="K205" s="7" t="inlineStr">
        <is>
          <t>SWD(2024) 259; Doseva et al. 2022</t>
        </is>
      </c>
    </row>
    <row r="206">
      <c r="A206" s="7" t="n">
        <v>33</v>
      </c>
      <c r="B206" s="7" t="inlineStr">
        <is>
          <t>Copyright in the Digital Single Market Directive</t>
        </is>
      </c>
      <c r="C206" s="7" t="inlineStr">
        <is>
          <t>52016PC0593</t>
        </is>
      </c>
      <c r="D206" s="7" t="inlineStr">
        <is>
          <t>expected impact (impact assessment)</t>
        </is>
      </c>
      <c r="E206" s="7" t="inlineStr">
        <is>
          <t>Exceptions (TDM, teaching, preservation)</t>
        </is>
      </c>
      <c r="F206" s="7" t="inlineStr">
        <is>
          <t>More legal certainty and lower rights-clearance costs for researchers, teachers and cultural heritage institutions</t>
        </is>
      </c>
      <c r="G206" s="7" t="inlineStr"/>
      <c r="H206" s="7" t="inlineStr">
        <is>
          <t>No evaluation found.</t>
        </is>
      </c>
      <c r="I206" s="7" t="inlineStr">
        <is>
          <t>not measured</t>
        </is>
      </c>
      <c r="J206" s="7" t="inlineStr">
        <is>
          <t>not measured</t>
        </is>
      </c>
      <c r="K206" s="7" t="inlineStr"/>
    </row>
    <row r="207">
      <c r="A207" s="7" t="n">
        <v>33</v>
      </c>
      <c r="B207" s="7" t="inlineStr">
        <is>
          <t>Copyright in the Digital Single Market Directive</t>
        </is>
      </c>
      <c r="C207" s="7" t="inlineStr">
        <is>
          <t>52016PC0593</t>
        </is>
      </c>
      <c r="D207" s="7" t="inlineStr">
        <is>
          <t>expected impact (impact assessment)</t>
        </is>
      </c>
      <c r="E207" s="7" t="inlineStr">
        <is>
          <t>Transparency and remuneration for creators</t>
        </is>
      </c>
      <c r="F207" s="7" t="inlineStr">
        <is>
          <t>Creators get information to assess and adjust remuneration</t>
        </is>
      </c>
      <c r="G207" s="7" t="inlineStr"/>
      <c r="H207" s="7" t="inlineStr">
        <is>
          <t>No evaluation found.</t>
        </is>
      </c>
      <c r="I207" s="7" t="inlineStr">
        <is>
          <t>not measured</t>
        </is>
      </c>
      <c r="J207" s="7" t="inlineStr">
        <is>
          <t>not measured</t>
        </is>
      </c>
      <c r="K207" s="7" t="inlineStr"/>
    </row>
    <row r="208">
      <c r="A208" s="7" t="n">
        <v>43</v>
      </c>
      <c r="B208" s="7" t="inlineStr">
        <is>
          <t>Open Data Directive (PSI)</t>
        </is>
      </c>
      <c r="C208" s="7" t="inlineStr">
        <is>
          <t>52018PC0234</t>
        </is>
      </c>
      <c r="D208" s="7" t="inlineStr">
        <is>
          <t>note</t>
        </is>
      </c>
      <c r="E208" s="7" t="inlineStr">
        <is>
          <t>The 2018 recast proposal has no LFS indicators; the memorandum says impact will be monitored through the European Data Portal's annual Open Data Maturity 'landscaping' and an evaluation no sooner than 17 July 2025 (Art. 18). No such evaluation had been published by October 2026</t>
        </is>
      </c>
      <c r="F208" s="7" t="inlineStr"/>
      <c r="G208" s="7" t="inlineStr"/>
      <c r="H208" s="7" t="inlineStr"/>
      <c r="I208" s="7" t="inlineStr"/>
      <c r="J208" s="7" t="inlineStr"/>
      <c r="K208" s="7" t="inlineStr"/>
    </row>
    <row r="209">
      <c r="A209" s="7" t="n">
        <v>43</v>
      </c>
      <c r="B209" s="7" t="inlineStr">
        <is>
          <t>Open Data Directive (PSI)</t>
        </is>
      </c>
      <c r="C209" s="7" t="inlineStr">
        <is>
          <t>52018PC0234</t>
        </is>
      </c>
      <c r="D209" s="7" t="inlineStr">
        <is>
          <t>monitoring (memorandum)</t>
        </is>
      </c>
      <c r="E209" s="7" t="inlineStr">
        <is>
          <t>Availability and re-use of public sector data</t>
        </is>
      </c>
      <c r="F209" s="7" t="inlineStr">
        <is>
          <t>Open Data Maturity score (EU-27 average)</t>
        </is>
      </c>
      <c r="G209" s="7" t="inlineStr"/>
      <c r="H209" s="7" t="inlineStr">
        <is>
          <t>Measured: EU-27 average maturity 86% in 2025 (+3 pp on 2024); policy 93%, portal 85%, quality 83%; the 'impact' dimension is least mature at 82%. Self-assessment questionnaire filled in by national administrations, so it tracks activity rather than economic effect.</t>
        </is>
      </c>
      <c r="I209" s="7" t="inlineStr">
        <is>
          <t>reported as activity</t>
        </is>
      </c>
      <c r="J209" s="7" t="inlineStr">
        <is>
          <t>reported as activity</t>
        </is>
      </c>
      <c r="K209" s="7" t="inlineStr">
        <is>
          <t>Open Data Maturity Report 2025</t>
        </is>
      </c>
    </row>
    <row r="210">
      <c r="A210" s="7" t="n">
        <v>43</v>
      </c>
      <c r="B210" s="7" t="inlineStr">
        <is>
          <t>Open Data Directive (PSI)</t>
        </is>
      </c>
      <c r="C210" s="7" t="inlineStr">
        <is>
          <t>52018PC0234</t>
        </is>
      </c>
      <c r="D210" s="7" t="inlineStr">
        <is>
          <t>expected impact (impact assessment)</t>
        </is>
      </c>
      <c r="E210" s="7" t="inlineStr">
        <is>
          <t>Economic value of public sector data</t>
        </is>
      </c>
      <c r="F210" s="7" t="inlineStr">
        <is>
          <t>Direct economic value of PSI EUR 194bn in 2028 (preferred option) vs EUR 150bn baseline and EUR 52bn in 2018</t>
        </is>
      </c>
      <c r="G210" s="7" t="inlineStr">
        <is>
          <t>EUR 194bn (2028)</t>
        </is>
      </c>
      <c r="H210" s="7" t="inlineStr">
        <is>
          <t>Not measured against the forecast. A Commission-funded market study estimated the EU open data market at EUR 184bn in 2019 with a 2025 forecast of EUR 200-334bn, but it uses different definitions and cannot attribute value to the Directive.</t>
        </is>
      </c>
      <c r="I210" s="7" t="inlineStr">
        <is>
          <t>not measured</t>
        </is>
      </c>
      <c r="J210" s="7" t="inlineStr">
        <is>
          <t>not measured</t>
        </is>
      </c>
      <c r="K210" s="7" t="inlineStr">
        <is>
          <t>SWD(2018) 127; data.europa.eu 2020</t>
        </is>
      </c>
    </row>
    <row r="211">
      <c r="A211" s="7" t="n">
        <v>43</v>
      </c>
      <c r="B211" s="7" t="inlineStr">
        <is>
          <t>Open Data Directive (PSI)</t>
        </is>
      </c>
      <c r="C211" s="7" t="inlineStr">
        <is>
          <t>52018PC0234</t>
        </is>
      </c>
      <c r="D211" s="7" t="inlineStr">
        <is>
          <t>expected impact (impact assessment)</t>
        </is>
      </c>
      <c r="E211" s="7" t="inlineStr">
        <is>
          <t>Jobs</t>
        </is>
      </c>
      <c r="F211" s="7" t="inlineStr">
        <is>
          <t>709,000 persons employed in PSI-based activities by 2028 (vs 518,000 baseline)</t>
        </is>
      </c>
      <c r="G211" s="7" t="inlineStr">
        <is>
          <t>709,000</t>
        </is>
      </c>
      <c r="H211" s="7" t="inlineStr">
        <is>
          <t>Not measured.</t>
        </is>
      </c>
      <c r="I211" s="7" t="inlineStr">
        <is>
          <t>not measured</t>
        </is>
      </c>
      <c r="J211" s="7" t="inlineStr">
        <is>
          <t>not measured</t>
        </is>
      </c>
      <c r="K211" s="7" t="inlineStr">
        <is>
          <t>SWD(2018) 127</t>
        </is>
      </c>
    </row>
    <row r="212">
      <c r="A212" s="7" t="n">
        <v>43</v>
      </c>
      <c r="B212" s="7" t="inlineStr">
        <is>
          <t>Open Data Directive (PSI)</t>
        </is>
      </c>
      <c r="C212" s="7" t="inlineStr">
        <is>
          <t>52018PC0234</t>
        </is>
      </c>
      <c r="D212" s="7" t="inlineStr">
        <is>
          <t>expected impact (impact assessment)</t>
        </is>
      </c>
      <c r="E212" s="7" t="inlineStr">
        <is>
          <t>Cost of opening up data</t>
        </is>
      </c>
      <c r="F212" s="7" t="inlineStr">
        <is>
          <t>Cost of making PSI available falls to EUR 2.7-3bn (vs EUR 3.8-4.1bn baseline)</t>
        </is>
      </c>
      <c r="G212" s="7" t="inlineStr"/>
      <c r="H212" s="7" t="inlineStr">
        <is>
          <t>Not measured.</t>
        </is>
      </c>
      <c r="I212" s="7" t="inlineStr">
        <is>
          <t>not measured</t>
        </is>
      </c>
      <c r="J212" s="7" t="inlineStr">
        <is>
          <t>not measured</t>
        </is>
      </c>
      <c r="K212" s="7" t="inlineStr">
        <is>
          <t>SWD(2018) 127</t>
        </is>
      </c>
    </row>
    <row r="213">
      <c r="A213" s="7" t="n">
        <v>43</v>
      </c>
      <c r="B213" s="7" t="inlineStr">
        <is>
          <t>Open Data Directive (PSI)</t>
        </is>
      </c>
      <c r="C213" s="7" t="inlineStr">
        <is>
          <t>52018PC0234</t>
        </is>
      </c>
      <c r="D213" s="7" t="inlineStr">
        <is>
          <t>expected impact (HVD implementing act)</t>
        </is>
      </c>
      <c r="E213" s="7" t="inlineStr">
        <is>
          <t>High-value datasets free via APIs</t>
        </is>
      </c>
      <c r="F213" s="7" t="inlineStr">
        <is>
          <t>Direct effect of HVDs EUR 75bn in 2028 (+EUR 6bn vs baseline); indirect EUR 201bn</t>
        </is>
      </c>
      <c r="G213" s="7" t="inlineStr"/>
      <c r="H213" s="7" t="inlineStr">
        <is>
          <t>HVD Regulation (EU) 2023/138 applicable since June 2024; Open Data Maturity 2025 reports implementation ongoing. No impact measurement yet.</t>
        </is>
      </c>
      <c r="I213" s="7" t="inlineStr">
        <is>
          <t>reported as activity</t>
        </is>
      </c>
      <c r="J213" s="7" t="inlineStr">
        <is>
          <t>reported as activity</t>
        </is>
      </c>
      <c r="K213" s="7" t="inlineStr">
        <is>
          <t>SWD(2022) 432/433; ODM 2025</t>
        </is>
      </c>
    </row>
    <row r="214">
      <c r="A214" s="7" t="n">
        <v>39</v>
      </c>
      <c r="B214" s="7" t="inlineStr">
        <is>
          <t>FDI Screening Regulation</t>
        </is>
      </c>
      <c r="C214" s="7" t="inlineStr">
        <is>
          <t>52017PC0487</t>
        </is>
      </c>
      <c r="D214" s="7" t="inlineStr">
        <is>
          <t>indicator (LFS 1.4.4)</t>
        </is>
      </c>
      <c r="E214" s="7" t="inlineStr">
        <is>
          <t>Monitoring</t>
        </is>
      </c>
      <c r="F214" s="7" t="inlineStr">
        <is>
          <t>Commission report on the application of the Regulation within three years of entry into force (no quantified indicators; LFS specific objectives 'not applicable')</t>
        </is>
      </c>
      <c r="G214" s="7" t="inlineStr"/>
      <c r="H214" s="7" t="inlineStr">
        <is>
          <t>Delivered: evaluation SWD(2024) 23 (Jan 2024) plus five annual reports (latest COM(2025) 632). Led to a revised Regulation agreed Dec 2025 and adopted in 2026, replacing 2019/452.</t>
        </is>
      </c>
      <c r="I214" s="7" t="inlineStr">
        <is>
          <t>reported as activity</t>
        </is>
      </c>
      <c r="J214" s="7" t="inlineStr">
        <is>
          <t>reported as activity</t>
        </is>
      </c>
      <c r="K214" s="7" t="inlineStr">
        <is>
          <t>SWD(2024) 23/24; COM(2025) 632</t>
        </is>
      </c>
    </row>
    <row r="215">
      <c r="A215" s="7" t="n">
        <v>39</v>
      </c>
      <c r="B215" s="7" t="inlineStr">
        <is>
          <t>FDI Screening Regulation</t>
        </is>
      </c>
      <c r="C215" s="7" t="inlineStr">
        <is>
          <t>52017PC0487</t>
        </is>
      </c>
      <c r="D215" s="7" t="inlineStr">
        <is>
          <t>objective (proposal)</t>
        </is>
      </c>
      <c r="E215" s="7" t="inlineStr">
        <is>
          <t>Identify and address FDI risks to security or public order affecting several Member States</t>
        </is>
      </c>
      <c r="F215" s="7" t="inlineStr">
        <is>
          <t>Coverage of national screening mechanisms; cases handled through cooperation mechanism</t>
        </is>
      </c>
      <c r="G215" s="7" t="inlineStr"/>
      <c r="H215" s="7" t="inlineStr">
        <is>
          <t>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is>
      </c>
      <c r="I215" s="7" t="inlineStr">
        <is>
          <t>reported as activity</t>
        </is>
      </c>
      <c r="J215" s="7" t="inlineStr">
        <is>
          <t>reported as activity</t>
        </is>
      </c>
      <c r="K215" s="7" t="inlineStr">
        <is>
          <t>COM(2025) 632; ECA SR 27/2023; SWD(2024) 23</t>
        </is>
      </c>
    </row>
    <row r="216">
      <c r="A216" s="7" t="n">
        <v>39</v>
      </c>
      <c r="B216" s="7" t="inlineStr">
        <is>
          <t>FDI Screening Regulation</t>
        </is>
      </c>
      <c r="C216" s="7" t="inlineStr">
        <is>
          <t>52017PC0487</t>
        </is>
      </c>
      <c r="D216" s="7" t="inlineStr">
        <is>
          <t>objective (proposal)</t>
        </is>
      </c>
      <c r="E216" s="7" t="inlineStr">
        <is>
          <t>Maintain an open investment environment (no chilling of FDI)</t>
        </is>
      </c>
      <c r="F216" s="7" t="inlineStr">
        <is>
          <t>FDI flows into the EU</t>
        </is>
      </c>
      <c r="G216" s="7" t="inlineStr"/>
      <c r="H216" s="7" t="inlineStr">
        <is>
          <t>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is>
      </c>
      <c r="I216" s="7" t="inlineStr">
        <is>
          <t>mixed evidence</t>
        </is>
      </c>
      <c r="J216" s="7" t="inlineStr">
        <is>
          <t>mixed evidence</t>
        </is>
      </c>
      <c r="K216" s="7" t="inlineStr">
        <is>
          <t>SWD(2024) 24; Eichenauer &amp; Wang 2024; Mau 2023; COM(2025) 632</t>
        </is>
      </c>
    </row>
    <row r="217">
      <c r="A217" s="7" t="n">
        <v>39</v>
      </c>
      <c r="B217" s="7" t="inlineStr">
        <is>
          <t>FDI Screening Regulation</t>
        </is>
      </c>
      <c r="C217" s="7" t="inlineStr">
        <is>
          <t>52017PC0487</t>
        </is>
      </c>
      <c r="D217" s="7" t="inlineStr">
        <is>
          <t>objective (proposal)</t>
        </is>
      </c>
      <c r="E217" s="7" t="inlineStr">
        <is>
          <t>Administrative burden reasonable for authorities and investors</t>
        </is>
      </c>
      <c r="F217" s="7" t="inlineStr"/>
      <c r="G217" s="7" t="inlineStr"/>
      <c r="H217" s="7" t="inlineStr">
        <is>
          <t>Evaluation found burden 'reasonable' based on stakeholder views; ECA found many low-risk or ineligible notifications overburden the mechanism. Not quantified.</t>
        </is>
      </c>
      <c r="I217" s="7" t="inlineStr">
        <is>
          <t>partially measured</t>
        </is>
      </c>
      <c r="J217" s="7" t="inlineStr">
        <is>
          <t>partially measured</t>
        </is>
      </c>
      <c r="K217" s="7" t="inlineStr">
        <is>
          <t>SWD(2024) 24; ECA SR 27/2023</t>
        </is>
      </c>
    </row>
    <row r="218">
      <c r="A218" s="7" t="n">
        <v>113</v>
      </c>
      <c r="B218" s="7" t="inlineStr">
        <is>
          <t>.eu Top-Level Domain Regulation</t>
        </is>
      </c>
      <c r="C218" s="7" t="inlineStr">
        <is>
          <t>52018PC0231</t>
        </is>
      </c>
      <c r="D218" s="7" t="inlineStr">
        <is>
          <t>note</t>
        </is>
      </c>
      <c r="E218" s="7" t="inlineStr">
        <is>
          <t>The proposal's financial statement has no indicators section (1.4.4 is about synergies); the Commission must assess the .eu domain five years after application (i.e. by October 2027) and every three years after</t>
        </is>
      </c>
      <c r="F218" s="7" t="inlineStr"/>
      <c r="G218" s="7" t="inlineStr"/>
      <c r="H218" s="7" t="inlineStr"/>
      <c r="I218" s="7" t="inlineStr"/>
      <c r="J218" s="7" t="inlineStr"/>
      <c r="K218" s="7" t="inlineStr"/>
    </row>
    <row r="219">
      <c r="A219" s="7" t="n">
        <v>113</v>
      </c>
      <c r="B219" s="7" t="inlineStr">
        <is>
          <t>.eu Top-Level Domain Regulation</t>
        </is>
      </c>
      <c r="C219" s="7" t="inlineStr">
        <is>
          <t>52018PC0231</t>
        </is>
      </c>
      <c r="D219" s="7" t="inlineStr">
        <is>
          <t>specific objective (impact assessment)</t>
        </is>
      </c>
      <c r="E219" s="7" t="inlineStr">
        <is>
          <t>Attractiveness of .eu</t>
        </is>
      </c>
      <c r="F219" s="7" t="inlineStr">
        <is>
          <t>Promote the attractiveness and uptake of .eu (incl. opening eligibility to EU citizens living outside the EU)</t>
        </is>
      </c>
      <c r="G219" s="7" t="inlineStr"/>
      <c r="H219" s="7" t="inlineStr">
        <is>
          <t>Registrations broadly flat: 3.7m in April 2021 and about 3.79m at end-2025 (EURid figures); Brexit losses offset by pandemic demand; Q3 2025 was the strongest growth quarter.</t>
        </is>
      </c>
      <c r="I219" s="7" t="inlineStr">
        <is>
          <t>measured (registry statistics)</t>
        </is>
      </c>
      <c r="J219" s="7" t="inlineStr">
        <is>
          <t>measured</t>
        </is>
      </c>
      <c r="K219" s="7" t="inlineStr">
        <is>
          <t>COM(2022) 1; EURid quarterly reports</t>
        </is>
      </c>
    </row>
    <row r="220">
      <c r="A220" s="7" t="n">
        <v>113</v>
      </c>
      <c r="B220" s="7" t="inlineStr">
        <is>
          <t>.eu Top-Level Domain Regulation</t>
        </is>
      </c>
      <c r="C220" s="7" t="inlineStr">
        <is>
          <t>52018PC0231</t>
        </is>
      </c>
      <c r="D220" s="7" t="inlineStr">
        <is>
          <t>specific objective (impact assessment)</t>
        </is>
      </c>
      <c r="E220" s="7" t="inlineStr">
        <is>
          <t>Governance</t>
        </is>
      </c>
      <c r="F220" s="7" t="inlineStr">
        <is>
          <t>Governance reflecting best practice and EU public interest (multistakeholder council)</t>
        </is>
      </c>
      <c r="G220" s="7" t="inlineStr"/>
      <c r="H220" s="7" t="inlineStr">
        <is>
          <t>Multistakeholder Council and new registry selection set up under the Regulation (applies since 13 Oct 2022); no assessment of effects yet.</t>
        </is>
      </c>
      <c r="I220" s="7" t="inlineStr">
        <is>
          <t>reported as activity</t>
        </is>
      </c>
      <c r="J220" s="7" t="inlineStr">
        <is>
          <t>reported as activity</t>
        </is>
      </c>
      <c r="K220" s="7" t="inlineStr">
        <is>
          <t>COM(2023) 485</t>
        </is>
      </c>
    </row>
    <row r="221">
      <c r="A221" s="7" t="n">
        <v>113</v>
      </c>
      <c r="B221" s="7" t="inlineStr">
        <is>
          <t>.eu Top-Level Domain Regulation</t>
        </is>
      </c>
      <c r="C221" s="7" t="inlineStr">
        <is>
          <t>52018PC0231</t>
        </is>
      </c>
      <c r="D221" s="7" t="inlineStr">
        <is>
          <t>specific objective (impact assessment)</t>
        </is>
      </c>
      <c r="E221" s="7" t="inlineStr">
        <is>
          <t>Trust and security</t>
        </is>
      </c>
      <c r="F221" s="7" t="inlineStr">
        <is>
          <t>Future-proof, secure namespace</t>
        </is>
      </c>
      <c r="G221" s="7" t="inlineStr"/>
      <c r="H221" s="7" t="inlineStr">
        <is>
          <t>Registry reports 100% availability, abuse-prevention early warning system and know-your-customer checks (2019-2021).</t>
        </is>
      </c>
      <c r="I221" s="7" t="inlineStr">
        <is>
          <t>reported as activity</t>
        </is>
      </c>
      <c r="J221" s="7" t="inlineStr">
        <is>
          <t>reported as activity</t>
        </is>
      </c>
      <c r="K221" s="7" t="inlineStr">
        <is>
          <t>COM(2022) 1</t>
        </is>
      </c>
    </row>
    <row r="222">
      <c r="A222" s="7" t="n">
        <v>114</v>
      </c>
      <c r="B222" s="7" t="inlineStr">
        <is>
          <t>Interoperability of EU information systems (borders and visa) Regulation</t>
        </is>
      </c>
      <c r="C222" s="7" t="inlineStr">
        <is>
          <t>52017PC0793</t>
        </is>
      </c>
      <c r="D222" s="7" t="inlineStr">
        <is>
          <t>indicator (LFS 1.4.4)</t>
        </is>
      </c>
      <c r="E222" s="7" t="inlineStr">
        <is>
          <t>Delivery</t>
        </is>
      </c>
      <c r="F222" s="7" t="inlineStr">
        <is>
          <t>Components ready for operations by target dates (search portal T0+36 months; common identity repository and multiple-identity detector end-2022/2023; shared biometric matching end-2023)</t>
        </is>
      </c>
      <c r="G222" s="7" t="inlineStr">
        <is>
          <t>complete by end-2023</t>
        </is>
      </c>
      <c r="H222" s="7" t="inlineStr">
        <is>
          <t>Far behind schedule: shared biometric matching service launched May 2025; European search portal and common identity repository due June 2026; multiple-identity detector in testing; reporting repository expected Q4 2026.</t>
        </is>
      </c>
      <c r="I222" s="7" t="inlineStr">
        <is>
          <t>measured (delayed)</t>
        </is>
      </c>
      <c r="J222" s="7" t="inlineStr">
        <is>
          <t>measured</t>
        </is>
      </c>
      <c r="K222" s="7" t="inlineStr">
        <is>
          <t>COM(2026) 446</t>
        </is>
      </c>
    </row>
    <row r="223">
      <c r="A223" s="7" t="n">
        <v>114</v>
      </c>
      <c r="B223" s="7" t="inlineStr">
        <is>
          <t>Interoperability of EU information systems (borders and visa) Regulation</t>
        </is>
      </c>
      <c r="C223" s="7" t="inlineStr">
        <is>
          <t>52017PC0793</t>
        </is>
      </c>
      <c r="D223" s="7" t="inlineStr">
        <is>
          <t>indicator (LFS 1.4.4)</t>
        </is>
      </c>
      <c r="E223" s="7" t="inlineStr">
        <is>
          <t>Fast access to data</t>
        </is>
      </c>
      <c r="F223" s="7" t="inlineStr">
        <is>
          <t>Number of searches handled by the European search portal vs total searches</t>
        </is>
      </c>
      <c r="G223" s="7" t="inlineStr"/>
      <c r="H223" s="7" t="inlineStr">
        <is>
          <t>Not yet operational in the reporting period.</t>
        </is>
      </c>
      <c r="I223" s="7" t="inlineStr">
        <is>
          <t>not measured</t>
        </is>
      </c>
      <c r="J223" s="7" t="inlineStr">
        <is>
          <t>not measured</t>
        </is>
      </c>
      <c r="K223" s="7" t="inlineStr">
        <is>
          <t>COM(2026) 446</t>
        </is>
      </c>
    </row>
    <row r="224">
      <c r="A224" s="7" t="n">
        <v>114</v>
      </c>
      <c r="B224" s="7" t="inlineStr">
        <is>
          <t>Interoperability of EU information systems (borders and visa) Regulation</t>
        </is>
      </c>
      <c r="C224" s="7" t="inlineStr">
        <is>
          <t>52017PC0793</t>
        </is>
      </c>
      <c r="D224" s="7" t="inlineStr">
        <is>
          <t>indicator (LFS 1.4.4)</t>
        </is>
      </c>
      <c r="E224" s="7" t="inlineStr">
        <is>
          <t>Identity fraud</t>
        </is>
      </c>
      <c r="F224" s="7" t="inlineStr">
        <is>
          <t>Identities linked to the same biometrics; detected identity fraud cases</t>
        </is>
      </c>
      <c r="G224" s="7" t="inlineStr"/>
      <c r="H224" s="7" t="inlineStr">
        <is>
          <t>Multiple-identity detector not yet operational.</t>
        </is>
      </c>
      <c r="I224" s="7" t="inlineStr">
        <is>
          <t>not measured</t>
        </is>
      </c>
      <c r="J224" s="7" t="inlineStr">
        <is>
          <t>not measured</t>
        </is>
      </c>
      <c r="K224" s="7" t="inlineStr">
        <is>
          <t>COM(2026) 446</t>
        </is>
      </c>
    </row>
    <row r="225">
      <c r="A225" s="7" t="n">
        <v>114</v>
      </c>
      <c r="B225" s="7" t="inlineStr">
        <is>
          <t>Interoperability of EU information systems (borders and visa) Regulation</t>
        </is>
      </c>
      <c r="C225" s="7" t="inlineStr">
        <is>
          <t>52017PC0793</t>
        </is>
      </c>
      <c r="D225" s="7" t="inlineStr">
        <is>
          <t>indicator (LFS 1.4.4)</t>
        </is>
      </c>
      <c r="E225" s="7" t="inlineStr">
        <is>
          <t>Law enforcement access</t>
        </is>
      </c>
      <c r="F225" s="7" t="inlineStr">
        <is>
          <t>Number of step-1 (hit/no-hit) and step-2 accesses for law enforcement</t>
        </is>
      </c>
      <c r="G225" s="7" t="inlineStr"/>
      <c r="H225" s="7" t="inlineStr">
        <is>
          <t>Not yet operational.</t>
        </is>
      </c>
      <c r="I225" s="7" t="inlineStr">
        <is>
          <t>not measured</t>
        </is>
      </c>
      <c r="J225" s="7" t="inlineStr">
        <is>
          <t>not measured</t>
        </is>
      </c>
      <c r="K225" s="7" t="inlineStr"/>
    </row>
    <row r="226">
      <c r="A226" s="7" t="n">
        <v>114</v>
      </c>
      <c r="B226" s="7" t="inlineStr">
        <is>
          <t>Interoperability of EU information systems (borders and visa) Regulation</t>
        </is>
      </c>
      <c r="C226" s="7" t="inlineStr">
        <is>
          <t>52017PC0793</t>
        </is>
      </c>
      <c r="D226" s="7" t="inlineStr">
        <is>
          <t>expected impact (impact assessment)</t>
        </is>
      </c>
      <c r="E226" s="7" t="inlineStr">
        <is>
          <t>Cost savings</t>
        </is>
      </c>
      <c r="F226" s="7" t="inlineStr">
        <is>
          <t>Direct savings of EUR 77.5m a year, mostly for Member State administrations</t>
        </is>
      </c>
      <c r="G226" s="7" t="inlineStr">
        <is>
          <t>EUR 77.5m/yr</t>
        </is>
      </c>
      <c r="H226" s="7" t="inlineStr">
        <is>
          <t>Not measured; components not yet operating.</t>
        </is>
      </c>
      <c r="I226" s="7" t="inlineStr">
        <is>
          <t>not measured</t>
        </is>
      </c>
      <c r="J226" s="7" t="inlineStr">
        <is>
          <t>not measured</t>
        </is>
      </c>
      <c r="K226" s="7" t="inlineStr">
        <is>
          <t>SWD(2017) 474</t>
        </is>
      </c>
    </row>
    <row r="227">
      <c r="A227" s="7" t="n">
        <v>114</v>
      </c>
      <c r="B227" s="7" t="inlineStr">
        <is>
          <t>Interoperability of EU information systems (borders and visa) Regulation</t>
        </is>
      </c>
      <c r="C227" s="7" t="inlineStr">
        <is>
          <t>52017PC0793</t>
        </is>
      </c>
      <c r="D227" s="7" t="inlineStr">
        <is>
          <t>expected cost (impact assessment)</t>
        </is>
      </c>
      <c r="E227" s="7" t="inlineStr">
        <is>
          <t>Costs</t>
        </is>
      </c>
      <c r="F227" s="7" t="inlineStr">
        <is>
          <t>One-off cost EUR 169.8m (about half EU, half Member States); EUR 28.5m a year running costs</t>
        </is>
      </c>
      <c r="G227" s="7" t="inlineStr">
        <is>
          <t>EUR 169.8m one-off</t>
        </is>
      </c>
      <c r="H227" s="7" t="inlineStr">
        <is>
          <t>By 1 Dec 2025 eu-LISA alone had signed contracts worth EUR 170.8m for interoperability (EUR 133.2m paid), already above the whole one-off estimate for the EU and Member States combined.</t>
        </is>
      </c>
      <c r="I227" s="7" t="inlineStr">
        <is>
          <t>partially measured (cost overrun likely)</t>
        </is>
      </c>
      <c r="J227" s="7" t="inlineStr">
        <is>
          <t>partially measured</t>
        </is>
      </c>
      <c r="K227" s="7" t="inlineStr">
        <is>
          <t>COM(2026) 446</t>
        </is>
      </c>
    </row>
    <row r="228">
      <c r="A228" s="7" t="n">
        <v>37</v>
      </c>
      <c r="B228" s="7" t="inlineStr">
        <is>
          <t>Cybersecurity Act</t>
        </is>
      </c>
      <c r="C228" s="7" t="inlineStr">
        <is>
          <t>52017PC0477</t>
        </is>
      </c>
      <c r="D228" s="7" t="inlineStr">
        <is>
          <t>specific objective</t>
        </is>
      </c>
      <c r="E228" s="7" t="inlineStr">
        <is>
          <t>Increase capabilities and preparedness of Member States and businesses; improve cooperation; raise awareness; strengthen trust through certification of ICT products and services</t>
        </is>
      </c>
      <c r="F228" s="7" t="inlineStr"/>
      <c r="G228" s="7" t="inlineStr"/>
      <c r="H228" s="7" t="inlineStr"/>
      <c r="I228" s="7" t="inlineStr"/>
      <c r="J228" s="7" t="inlineStr"/>
      <c r="K228" s="7" t="inlineStr"/>
    </row>
    <row r="229">
      <c r="A229" s="7" t="n">
        <v>37</v>
      </c>
      <c r="B229" s="7" t="inlineStr">
        <is>
          <t>Cybersecurity Act</t>
        </is>
      </c>
      <c r="C229" s="7" t="inlineStr">
        <is>
          <t>52017PC0477</t>
        </is>
      </c>
      <c r="D229" s="7" t="inlineStr">
        <is>
          <t>indicator (LFS 1.4.4)</t>
        </is>
      </c>
      <c r="E229" s="7" t="inlineStr">
        <is>
          <t>ENISA outputs</t>
        </is>
      </c>
      <c r="F229" s="7" t="inlineStr">
        <is>
          <t>Trainings, good practices, threat landscape reports, exercises (e.g. Cyber Europe), support requests handled</t>
        </is>
      </c>
      <c r="G229" s="7" t="inlineStr"/>
      <c r="H229" s="7" t="inlineStr">
        <is>
          <t>Evaluation: ENISA delivered nearly all planned outputs and stakeholders value its work, but 'with no sufficient indicators in place' the assessment relies mainly on interviews and surveys; insufficient resources and hiring problems caused delays.</t>
        </is>
      </c>
      <c r="I229" s="7" t="inlineStr">
        <is>
          <t>reported as activity</t>
        </is>
      </c>
      <c r="J229" s="7" t="inlineStr">
        <is>
          <t>reported as activity</t>
        </is>
      </c>
      <c r="K229" s="7" t="inlineStr">
        <is>
          <t>COM(2026) 9</t>
        </is>
      </c>
    </row>
    <row r="230">
      <c r="A230" s="7" t="n">
        <v>37</v>
      </c>
      <c r="B230" s="7" t="inlineStr">
        <is>
          <t>Cybersecurity Act</t>
        </is>
      </c>
      <c r="C230" s="7" t="inlineStr">
        <is>
          <t>52017PC0477</t>
        </is>
      </c>
      <c r="D230" s="7" t="inlineStr">
        <is>
          <t>indicator (LFS 1.4.4)</t>
        </is>
      </c>
      <c r="E230" s="7" t="inlineStr">
        <is>
          <t>Certification</t>
        </is>
      </c>
      <c r="F230" s="7" t="inlineStr">
        <is>
          <t>Number of certification schemes adopted under the framework</t>
        </is>
      </c>
      <c r="G230" s="7" t="inlineStr"/>
      <c r="H230" s="7" t="inlineStr">
        <is>
          <t>One scheme (EUCC, common criteria) adopted in early 2024, 57 months after initiation; cloud scheme (EUCS) stalled over data-sovereignty disputes; 5G scheme not adopted. Framework judged unable to reduce fragmentation.</t>
        </is>
      </c>
      <c r="I230" s="7" t="inlineStr">
        <is>
          <t>measured (low)</t>
        </is>
      </c>
      <c r="J230" s="7" t="inlineStr">
        <is>
          <t>measured</t>
        </is>
      </c>
      <c r="K230" s="7" t="inlineStr">
        <is>
          <t>COM(2026) 9</t>
        </is>
      </c>
    </row>
    <row r="231">
      <c r="A231" s="7" t="n">
        <v>37</v>
      </c>
      <c r="B231" s="7" t="inlineStr">
        <is>
          <t>Cybersecurity Act</t>
        </is>
      </c>
      <c r="C231" s="7" t="inlineStr">
        <is>
          <t>52017PC0477</t>
        </is>
      </c>
      <c r="D231" s="7" t="inlineStr">
        <is>
          <t>indicator (LFS 1.4.4)</t>
        </is>
      </c>
      <c r="E231" s="7" t="inlineStr">
        <is>
          <t>Certification</t>
        </is>
      </c>
      <c r="F231" s="7" t="inlineStr">
        <is>
          <t>Reduced cost of obtaining an ICT security certificate</t>
        </is>
      </c>
      <c r="G231" s="7" t="inlineStr"/>
      <c r="H231" s="7" t="inlineStr">
        <is>
          <t>Not measured.</t>
        </is>
      </c>
      <c r="I231" s="7" t="inlineStr">
        <is>
          <t>not measured</t>
        </is>
      </c>
      <c r="J231" s="7" t="inlineStr">
        <is>
          <t>not measured</t>
        </is>
      </c>
      <c r="K231" s="7" t="inlineStr">
        <is>
          <t>COM(2026) 9</t>
        </is>
      </c>
    </row>
    <row r="232">
      <c r="A232" s="7" t="n">
        <v>37</v>
      </c>
      <c r="B232" s="7" t="inlineStr">
        <is>
          <t>Cybersecurity Act</t>
        </is>
      </c>
      <c r="C232" s="7" t="inlineStr">
        <is>
          <t>52017PC0477</t>
        </is>
      </c>
      <c r="D232" s="7" t="inlineStr">
        <is>
          <t>indicator (LFS 1.4.4)</t>
        </is>
      </c>
      <c r="E232" s="7" t="inlineStr">
        <is>
          <t>Awareness</t>
        </is>
      </c>
      <c r="F232" s="7" t="inlineStr">
        <is>
          <t>Increase in cyber awareness among EU citizens (e.g. awareness quiz scores)</t>
        </is>
      </c>
      <c r="G232" s="7" t="inlineStr"/>
      <c r="H232" s="7" t="inlineStr">
        <is>
          <t>No time series reported in the evaluation.</t>
        </is>
      </c>
      <c r="I232" s="7" t="inlineStr">
        <is>
          <t>not measured</t>
        </is>
      </c>
      <c r="J232" s="7" t="inlineStr">
        <is>
          <t>not measured</t>
        </is>
      </c>
      <c r="K232" s="7" t="inlineStr">
        <is>
          <t>COM(2026) 9</t>
        </is>
      </c>
    </row>
    <row r="233">
      <c r="A233" s="7" t="n">
        <v>37</v>
      </c>
      <c r="B233" s="7" t="inlineStr">
        <is>
          <t>Cybersecurity Act</t>
        </is>
      </c>
      <c r="C233" s="7" t="inlineStr">
        <is>
          <t>52017PC0477</t>
        </is>
      </c>
      <c r="D233" s="7" t="inlineStr">
        <is>
          <t>expected impact (LFS 1.4.3)</t>
        </is>
      </c>
      <c r="E233" s="7" t="inlineStr">
        <is>
          <t>Economy</t>
        </is>
      </c>
      <c r="F233" s="7" t="inlineStr">
        <is>
          <t>Help reduce the cost of cyber incidents, estimated at 0.41% of EU GDP (about EUR 55bn)</t>
        </is>
      </c>
      <c r="G233" s="7" t="inlineStr">
        <is>
          <t>baseline EUR 55bn</t>
        </is>
      </c>
      <c r="H233" s="7" t="inlineStr">
        <is>
          <t>Not measured or attributed.</t>
        </is>
      </c>
      <c r="I233" s="7" t="inlineStr">
        <is>
          <t>not measured</t>
        </is>
      </c>
      <c r="J233" s="7" t="inlineStr">
        <is>
          <t>not measured</t>
        </is>
      </c>
      <c r="K233" s="7" t="inlineStr">
        <is>
          <t>COM(2017) 477</t>
        </is>
      </c>
    </row>
    <row r="234">
      <c r="A234" s="7" t="n">
        <v>41</v>
      </c>
      <c r="B234" s="7" t="inlineStr">
        <is>
          <t>Market Surveillance Regulation</t>
        </is>
      </c>
      <c r="C234" s="7" t="inlineStr">
        <is>
          <t>52017PC0795</t>
        </is>
      </c>
      <c r="D234" s="7" t="inlineStr">
        <is>
          <t>indicator (LFS 1.4.4)</t>
        </is>
      </c>
      <c r="E234" s="7" t="inlineStr">
        <is>
          <t>Compliance</t>
        </is>
      </c>
      <c r="F234" s="7" t="inlineStr">
        <is>
          <t>Compliance rates by Member State/sector, for e-commerce and imports</t>
        </is>
      </c>
      <c r="G234" s="7" t="inlineStr"/>
      <c r="H234" s="7" t="inlineStr">
        <is>
          <t>Partial: authorities report non-compliance in about 10% of checks (11% in 2019, 9% in 2022), 12% for products under Article 4; no EU-wide compliance-rate series. Commission reports 4.6bn low-value parcels imported in 2024, straining controls.</t>
        </is>
      </c>
      <c r="I234" s="7" t="inlineStr">
        <is>
          <t>partially measured</t>
        </is>
      </c>
      <c r="J234" s="7" t="inlineStr">
        <is>
          <t>partially measured</t>
        </is>
      </c>
      <c r="K234" s="7" t="inlineStr">
        <is>
          <t>COM(2025) 63; COM(2025) 37</t>
        </is>
      </c>
    </row>
    <row r="235">
      <c r="A235" s="7" t="n">
        <v>41</v>
      </c>
      <c r="B235" s="7" t="inlineStr">
        <is>
          <t>Market Surveillance Regulation</t>
        </is>
      </c>
      <c r="C235" s="7" t="inlineStr">
        <is>
          <t>52017PC0795</t>
        </is>
      </c>
      <c r="D235" s="7" t="inlineStr">
        <is>
          <t>indicator (LFS 1.4.4)</t>
        </is>
      </c>
      <c r="E235" s="7" t="inlineStr">
        <is>
          <t>Cooperation</t>
        </is>
      </c>
      <c r="F235" s="7" t="inlineStr">
        <is>
          <t>Number of coordinated control campaigns and results</t>
        </is>
      </c>
      <c r="G235" s="7" t="inlineStr"/>
      <c r="H235" s="7" t="inlineStr">
        <is>
          <t>Joint actions run through the Union Product Compliance Network (e.g. 2023 online check of 215 offers); no aggregate count found.</t>
        </is>
      </c>
      <c r="I235" s="7" t="inlineStr">
        <is>
          <t>reported as activity</t>
        </is>
      </c>
      <c r="J235" s="7" t="inlineStr">
        <is>
          <t>reported as activity</t>
        </is>
      </c>
      <c r="K235" s="7" t="inlineStr">
        <is>
          <t>COM(2025) 63</t>
        </is>
      </c>
    </row>
    <row r="236">
      <c r="A236" s="7" t="n">
        <v>41</v>
      </c>
      <c r="B236" s="7" t="inlineStr">
        <is>
          <t>Market Surveillance Regulation</t>
        </is>
      </c>
      <c r="C236" s="7" t="inlineStr">
        <is>
          <t>52017PC0795</t>
        </is>
      </c>
      <c r="D236" s="7" t="inlineStr">
        <is>
          <t>indicator (LFS 1.4.4)</t>
        </is>
      </c>
      <c r="E236" s="7" t="inlineStr">
        <is>
          <t>Cooperation</t>
        </is>
      </c>
      <c r="F236" s="7" t="inlineStr">
        <is>
          <t>Use of mutual assistance mechanisms and replicated measures</t>
        </is>
      </c>
      <c r="G236" s="7" t="inlineStr"/>
      <c r="H236" s="7" t="inlineStr">
        <is>
          <t>Not reported in available documents; full evaluation (due July 2026) not found.</t>
        </is>
      </c>
      <c r="I236" s="7" t="inlineStr">
        <is>
          <t>not measured</t>
        </is>
      </c>
      <c r="J236" s="7" t="inlineStr">
        <is>
          <t>not measured</t>
        </is>
      </c>
      <c r="K236" s="7" t="inlineStr"/>
    </row>
    <row r="237">
      <c r="A237" s="7" t="n">
        <v>41</v>
      </c>
      <c r="B237" s="7" t="inlineStr">
        <is>
          <t>Market Surveillance Regulation</t>
        </is>
      </c>
      <c r="C237" s="7" t="inlineStr">
        <is>
          <t>52017PC0795</t>
        </is>
      </c>
      <c r="D237" s="7" t="inlineStr">
        <is>
          <t>indicator (LFS 1.4.4)</t>
        </is>
      </c>
      <c r="E237" s="7" t="inlineStr">
        <is>
          <t>Business awareness</t>
        </is>
      </c>
      <c r="F237" s="7" t="inlineStr">
        <is>
          <t>Awareness/understanding of product rules by businesses</t>
        </is>
      </c>
      <c r="G237" s="7" t="inlineStr"/>
      <c r="H237" s="7" t="inlineStr">
        <is>
          <t>Very low economic operator response to the Article 4 study survey; no measure.</t>
        </is>
      </c>
      <c r="I237" s="7" t="inlineStr">
        <is>
          <t>not measured</t>
        </is>
      </c>
      <c r="J237" s="7" t="inlineStr">
        <is>
          <t>not measured</t>
        </is>
      </c>
      <c r="K237" s="7" t="inlineStr">
        <is>
          <t>COM(2025) 63</t>
        </is>
      </c>
    </row>
    <row r="238">
      <c r="A238" s="7" t="n">
        <v>41</v>
      </c>
      <c r="B238" s="7" t="inlineStr">
        <is>
          <t>Market Surveillance Regulation</t>
        </is>
      </c>
      <c r="C238" s="7" t="inlineStr">
        <is>
          <t>52017PC0795</t>
        </is>
      </c>
      <c r="D238" s="7" t="inlineStr">
        <is>
          <t>specific provision (Article 4)</t>
        </is>
      </c>
      <c r="E238" s="7" t="inlineStr">
        <is>
          <t>Responsible operator in the EU</t>
        </is>
      </c>
      <c r="F238" s="7" t="inlineStr">
        <is>
          <t>Products sold in the EU must have an EU-based responsible economic operator</t>
        </is>
      </c>
      <c r="G238" s="7" t="inlineStr"/>
      <c r="H238" s="7" t="inlineStr">
        <is>
          <t>Article 4 report: operator missing in 7% of checks and wrong in 5%; in a 2023 online joint action only 34% of indicated operators could be confirmed; half of authorities saw no change in compliance and none clearly attributable.</t>
        </is>
      </c>
      <c r="I238" s="7" t="inlineStr">
        <is>
          <t>measured (low compliance online)</t>
        </is>
      </c>
      <c r="J238" s="7" t="inlineStr">
        <is>
          <t>measured</t>
        </is>
      </c>
      <c r="K238" s="7" t="inlineStr">
        <is>
          <t>COM(2025) 63</t>
        </is>
      </c>
    </row>
    <row r="239">
      <c r="A239" s="7" t="n">
        <v>41</v>
      </c>
      <c r="B239" s="7" t="inlineStr">
        <is>
          <t>Market Surveillance Regulation</t>
        </is>
      </c>
      <c r="C239" s="7" t="inlineStr">
        <is>
          <t>52017PC0795</t>
        </is>
      </c>
      <c r="D239" s="7" t="inlineStr">
        <is>
          <t>expected cost (impact assessment)</t>
        </is>
      </c>
      <c r="E239" s="7" t="inlineStr">
        <is>
          <t>EU budget</t>
        </is>
      </c>
      <c r="F239" s="7" t="inlineStr">
        <is>
          <t>Union Product Compliance Network about EUR 18m a year</t>
        </is>
      </c>
      <c r="G239" s="7" t="inlineStr"/>
      <c r="H239" s="7" t="inlineStr">
        <is>
          <t>Not evaluated.</t>
        </is>
      </c>
      <c r="I239" s="7" t="inlineStr">
        <is>
          <t>not measured</t>
        </is>
      </c>
      <c r="J239" s="7" t="inlineStr">
        <is>
          <t>not measured</t>
        </is>
      </c>
      <c r="K239" s="7" t="inlineStr">
        <is>
          <t>SWD(2017) 467</t>
        </is>
      </c>
    </row>
    <row r="240">
      <c r="A240" s="7" t="n">
        <v>44</v>
      </c>
      <c r="B240" s="7" t="inlineStr">
        <is>
          <t>Platform-to-Business (P2B) Regulation</t>
        </is>
      </c>
      <c r="C240" s="7" t="inlineStr">
        <is>
          <t>52018PC0238</t>
        </is>
      </c>
      <c r="D240" s="7" t="inlineStr">
        <is>
          <t>note</t>
        </is>
      </c>
      <c r="E240" s="7" t="inlineStr">
        <is>
          <t>The proposal has no LFS indicator section; its memorandum promised monitoring through the EU Observatory on the Online Platform Economy (number and types of business users, complaints handled, cases solved, time to resolve) and a review three years after entry into force</t>
        </is>
      </c>
      <c r="F240" s="7" t="inlineStr"/>
      <c r="G240" s="7" t="inlineStr"/>
      <c r="H240" s="7" t="inlineStr"/>
      <c r="I240" s="7" t="inlineStr"/>
      <c r="J240" s="7" t="inlineStr"/>
      <c r="K240" s="7" t="inlineStr"/>
    </row>
    <row r="241">
      <c r="A241" s="7" t="n">
        <v>44</v>
      </c>
      <c r="B241" s="7" t="inlineStr">
        <is>
          <t>Platform-to-Business (P2B) Regulation</t>
        </is>
      </c>
      <c r="C241" s="7" t="inlineStr">
        <is>
          <t>52018PC0238</t>
        </is>
      </c>
      <c r="D241" s="7" t="inlineStr">
        <is>
          <t>monitoring (memorandum)</t>
        </is>
      </c>
      <c r="E241" s="7" t="inlineStr">
        <is>
          <t>Redress</t>
        </is>
      </c>
      <c r="F241" s="7" t="inlineStr">
        <is>
          <t>Number and type of complaints handled through internal complaint-handling, cases solved, time to resolve</t>
        </is>
      </c>
      <c r="G241" s="7" t="inlineStr"/>
      <c r="H241" s="7" t="inlineStr">
        <is>
          <t>Only 19 of 179 platforms studied published the mandatory complaint-handling report; reported numbers range from 12 complaints (Apple) to over 3 million (Google), showing divergent interpretations and possible non-compliance.</t>
        </is>
      </c>
      <c r="I241" s="7" t="inlineStr">
        <is>
          <t>partially measured</t>
        </is>
      </c>
      <c r="J241" s="7" t="inlineStr">
        <is>
          <t>partially measured</t>
        </is>
      </c>
      <c r="K241" s="7" t="inlineStr">
        <is>
          <t>COM(2023) 525</t>
        </is>
      </c>
    </row>
    <row r="242">
      <c r="A242" s="7" t="n">
        <v>44</v>
      </c>
      <c r="B242" s="7" t="inlineStr">
        <is>
          <t>Platform-to-Business (P2B) Regulation</t>
        </is>
      </c>
      <c r="C242" s="7" t="inlineStr">
        <is>
          <t>52018PC0238</t>
        </is>
      </c>
      <c r="D242" s="7" t="inlineStr">
        <is>
          <t>monitoring (memorandum)</t>
        </is>
      </c>
      <c r="E242" s="7" t="inlineStr">
        <is>
          <t>Redress</t>
        </is>
      </c>
      <c r="F242" s="7" t="inlineStr">
        <is>
          <t>Use of external mediation</t>
        </is>
      </c>
      <c r="G242" s="7" t="inlineStr"/>
      <c r="H242" s="7" t="inlineStr">
        <is>
          <t>Only 25 of 179 large and medium platforms named the required two mediators; no specialised mediation bodies set up; very few complaints or court cases.</t>
        </is>
      </c>
      <c r="I242" s="7" t="inlineStr">
        <is>
          <t>partially measured</t>
        </is>
      </c>
      <c r="J242" s="7" t="inlineStr">
        <is>
          <t>partially measured</t>
        </is>
      </c>
      <c r="K242" s="7" t="inlineStr">
        <is>
          <t>COM(2023) 525</t>
        </is>
      </c>
    </row>
    <row r="243">
      <c r="A243" s="7" t="n">
        <v>44</v>
      </c>
      <c r="B243" s="7" t="inlineStr">
        <is>
          <t>Platform-to-Business (P2B) Regulation</t>
        </is>
      </c>
      <c r="C243" s="7" t="inlineStr">
        <is>
          <t>52018PC0238</t>
        </is>
      </c>
      <c r="D243" s="7" t="inlineStr">
        <is>
          <t>expected result</t>
        </is>
      </c>
      <c r="E243" s="7" t="inlineStr">
        <is>
          <t>Transparency</t>
        </is>
      </c>
      <c r="F243" s="7" t="inlineStr">
        <is>
          <t>Disclosure of main ranking parameters and of differentiated treatment</t>
        </is>
      </c>
      <c r="G243" s="7" t="inlineStr"/>
      <c r="H243" s="7" t="inlineStr">
        <is>
          <t>Only about a third of platforms reviewed listed ranking parameters in their terms; 10% of business users report little or no ranking information and 42% only moderate. Irish CCPC sweep (late 2025): about 80% of 17 platforms non-compliant in some respect.</t>
        </is>
      </c>
      <c r="I243" s="7" t="inlineStr">
        <is>
          <t>partially measured</t>
        </is>
      </c>
      <c r="J243" s="7" t="inlineStr">
        <is>
          <t>partially measured</t>
        </is>
      </c>
      <c r="K243" s="7" t="inlineStr">
        <is>
          <t>COM(2023) 525; CCPC 2026; Sovrano et al. 2024</t>
        </is>
      </c>
    </row>
    <row r="244">
      <c r="A244" s="7" t="n">
        <v>44</v>
      </c>
      <c r="B244" s="7" t="inlineStr">
        <is>
          <t>Platform-to-Business (P2B) Regulation</t>
        </is>
      </c>
      <c r="C244" s="7" t="inlineStr">
        <is>
          <t>52018PC0238</t>
        </is>
      </c>
      <c r="D244" s="7" t="inlineStr">
        <is>
          <t>expected result</t>
        </is>
      </c>
      <c r="E244" s="7" t="inlineStr">
        <is>
          <t>Awareness</t>
        </is>
      </c>
      <c r="F244" s="7" t="inlineStr">
        <is>
          <t>Business users aware of and using their new rights</t>
        </is>
      </c>
      <c r="G244" s="7" t="inlineStr"/>
      <c r="H244" s="7" t="inlineStr">
        <is>
          <t>Low: Irish survey (2022, n=177) found 51% of businesses had no knowledge of the Regulation and 4% detailed knowledge; Commission 2023 review reports a lack of awareness, lower where Member States set up no public enforcement.</t>
        </is>
      </c>
      <c r="I244" s="7" t="inlineStr">
        <is>
          <t>partially measured</t>
        </is>
      </c>
      <c r="J244" s="7" t="inlineStr">
        <is>
          <t>partially measured</t>
        </is>
      </c>
      <c r="K244" s="7" t="inlineStr">
        <is>
          <t>CCPC 2023; COM(2023) 525</t>
        </is>
      </c>
    </row>
    <row r="245">
      <c r="A245" s="7" t="n">
        <v>44</v>
      </c>
      <c r="B245" s="7" t="inlineStr">
        <is>
          <t>Platform-to-Business (P2B) Regulation</t>
        </is>
      </c>
      <c r="C245" s="7" t="inlineStr">
        <is>
          <t>52018PC0238</t>
        </is>
      </c>
      <c r="D245" s="7" t="inlineStr">
        <is>
          <t>expected impact (impact assessment)</t>
        </is>
      </c>
      <c r="E245" s="7" t="inlineStr">
        <is>
          <t>Platform economy growth</t>
        </is>
      </c>
      <c r="F245" s="7" t="inlineStr">
        <is>
          <t>Reversing a trust-related 'dampening effect' on the online platform economy worth EUR 0.81-4.05bn</t>
        </is>
      </c>
      <c r="G245" s="7" t="inlineStr">
        <is>
          <t>EUR 0.81-4.05bn</t>
        </is>
      </c>
      <c r="H245" s="7" t="inlineStr">
        <is>
          <t>Not measured. The 2023 review assessed compliance only; in November 2025 the Commission proposed repealing the Regulation as having 'only residual value' after the DSA and DMA.</t>
        </is>
      </c>
      <c r="I245" s="7" t="inlineStr">
        <is>
          <t>not measured</t>
        </is>
      </c>
      <c r="J245" s="7" t="inlineStr">
        <is>
          <t>not measured</t>
        </is>
      </c>
      <c r="K245" s="7" t="inlineStr">
        <is>
          <t>SWD(2018) 139; COM(2023) 525; COM(2025) 837</t>
        </is>
      </c>
    </row>
    <row r="246">
      <c r="A246" s="7" t="n">
        <v>52</v>
      </c>
      <c r="B246" s="7" t="inlineStr">
        <is>
          <t>Recovery and Resilience Facility</t>
        </is>
      </c>
      <c r="C246" s="7" t="inlineStr">
        <is>
          <t>52020PC0408</t>
        </is>
      </c>
      <c r="D246" s="7" t="inlineStr">
        <is>
          <t>indicator (LFS 1.4.4)</t>
        </is>
      </c>
      <c r="E246" s="7" t="inlineStr">
        <is>
          <t>Financial support for reforms and investment</t>
        </is>
      </c>
      <c r="F246" s="7" t="inlineStr">
        <is>
          <t>Output: number of plans approved; financial contribution allocated to the plans</t>
        </is>
      </c>
      <c r="G246" s="7" t="inlineStr"/>
      <c r="H246" s="7" t="inlineStr">
        <is>
          <t>Measured: all 27 plans approved and repeatedly revised; by 1 October 2026 EUR 450bn disbursed (79% of the envelope: EUR 279bn grants, 78% of grant envelope; EUR 171bn loans, 80%); final payment requests worth EUR 123bn under assessment; payment deadline 31 Dec 2026.</t>
        </is>
      </c>
      <c r="I246" s="7" t="inlineStr">
        <is>
          <t>measured</t>
        </is>
      </c>
      <c r="J246" s="7" t="inlineStr">
        <is>
          <t>measured</t>
        </is>
      </c>
      <c r="K246" s="7" t="inlineStr">
        <is>
          <t>COM(2026) 546</t>
        </is>
      </c>
    </row>
    <row r="247">
      <c r="A247" s="7" t="n">
        <v>52</v>
      </c>
      <c r="B247" s="7" t="inlineStr">
        <is>
          <t>Recovery and Resilience Facility</t>
        </is>
      </c>
      <c r="C247" s="7" t="inlineStr">
        <is>
          <t>52020PC0408</t>
        </is>
      </c>
      <c r="D247" s="7" t="inlineStr">
        <is>
          <t>indicator (LFS 1.4.4)</t>
        </is>
      </c>
      <c r="E247" s="7" t="inlineStr">
        <is>
          <t>Implementation</t>
        </is>
      </c>
      <c r="F247" s="7" t="inlineStr">
        <is>
          <t>Result: number of plans implemented / milestones and targets fulfilled</t>
        </is>
      </c>
      <c r="G247" s="7" t="inlineStr"/>
      <c r="H247" s="7" t="inlineStr">
        <is>
          <t>Measured: 4,082 of 5,981 milestones and targets (68%) assessed as fulfilled by 1 Oct 2026; implementation on the ground ended 31 Aug 2026. ECA found absorption delayed (EUR 213bn disbursed by end-2023; only about half of funds received had reached final recipients by Oct 2023).</t>
        </is>
      </c>
      <c r="I247" s="7" t="inlineStr">
        <is>
          <t>measured</t>
        </is>
      </c>
      <c r="J247" s="7" t="inlineStr">
        <is>
          <t>measured</t>
        </is>
      </c>
      <c r="K247" s="7" t="inlineStr">
        <is>
          <t>COM(2026) 546; ECA SR 13/2024</t>
        </is>
      </c>
    </row>
    <row r="248">
      <c r="A248" s="7" t="n">
        <v>52</v>
      </c>
      <c r="B248" s="7" t="inlineStr">
        <is>
          <t>Recovery and Resilience Facility</t>
        </is>
      </c>
      <c r="C248" s="7" t="inlineStr">
        <is>
          <t>52020PC0408</t>
        </is>
      </c>
      <c r="D248" s="7" t="inlineStr">
        <is>
          <t>indicator (LFS 1.4.4)</t>
        </is>
      </c>
      <c r="E248" s="7" t="inlineStr">
        <is>
          <t>Impact</t>
        </is>
      </c>
      <c r="F248" s="7" t="inlineStr">
        <is>
          <t>Objectives set in the plans achieved due to RRF support (recovery, resilience, green and digital transition)</t>
        </is>
      </c>
      <c r="G248" s="7" t="inlineStr"/>
      <c r="H248" s="7" t="inlineStr">
        <is>
          <t>Only outputs measured: 14 common indicators reported by Member States (e.g. 71.3 TWh annual primary energy savings by Dec 2025), but no targets or counterfactual; ECA (SR 26/2023) concluded the framework measures implementation progress, not performance. Ex-post evaluation due 2028.</t>
        </is>
      </c>
      <c r="I248" s="7" t="inlineStr">
        <is>
          <t>reported as activity</t>
        </is>
      </c>
      <c r="J248" s="7" t="inlineStr">
        <is>
          <t>reported as activity</t>
        </is>
      </c>
      <c r="K248" s="7" t="inlineStr">
        <is>
          <t>COM(2026) 546; ECA SR 26/2023</t>
        </is>
      </c>
    </row>
    <row r="249">
      <c r="A249" s="7" t="n">
        <v>52</v>
      </c>
      <c r="B249" s="7" t="inlineStr">
        <is>
          <t>Recovery and Resilience Facility</t>
        </is>
      </c>
      <c r="C249" s="7" t="inlineStr">
        <is>
          <t>52020PC0408</t>
        </is>
      </c>
      <c r="D249" s="7" t="inlineStr">
        <is>
          <t>expected impact (Commission model estimates)</t>
        </is>
      </c>
      <c r="E249" s="7" t="inlineStr">
        <is>
          <t>Growth and jobs</t>
        </is>
      </c>
      <c r="F249" s="7" t="inlineStr">
        <is>
          <t>NGEU raises EU real GDP by up to 1.4% in 2026 and employment by up to 0.8% (QUEST); peak gains of about 3.5% in Spain and Bulgaria</t>
        </is>
      </c>
      <c r="G249" s="7" t="inlineStr">
        <is>
          <t>+1.4% GDP (2026)</t>
        </is>
      </c>
      <c r="H249" s="7" t="inlineStr">
        <is>
          <t>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is>
      </c>
      <c r="I249" s="7" t="inlineStr">
        <is>
          <t>mixed evidence</t>
        </is>
      </c>
      <c r="J249" s="7" t="inlineStr">
        <is>
          <t>mixed evidence</t>
        </is>
      </c>
      <c r="K249" s="7" t="inlineStr">
        <is>
          <t>SWD(2024) 70; ECB OP 362; IMF WP/26/114</t>
        </is>
      </c>
    </row>
    <row r="250">
      <c r="A250" s="7" t="n">
        <v>52</v>
      </c>
      <c r="B250" s="7" t="inlineStr">
        <is>
          <t>Recovery and Resilience Facility</t>
        </is>
      </c>
      <c r="C250" s="7" t="inlineStr">
        <is>
          <t>52020PC0408</t>
        </is>
      </c>
      <c r="D250" s="7" t="inlineStr">
        <is>
          <t>expected impact (Commission evaluation)</t>
        </is>
      </c>
      <c r="E250" s="7" t="inlineStr">
        <is>
          <t>Financial stability</t>
        </is>
      </c>
      <c r="F250" s="7" t="inlineStr">
        <is>
          <t>Lower sovereign spreads and reduced financial fragmentation through joint EU borrowing</t>
        </is>
      </c>
      <c r="G250" s="7" t="inlineStr"/>
      <c r="H250" s="7" t="inlineStr">
        <is>
          <t>Model and market evidence (NiGEM, IMF) indicate joint borrowing helped stabilise sovereign debt markets; not separately quantified in a causal study.</t>
        </is>
      </c>
      <c r="I250" s="7" t="inlineStr">
        <is>
          <t>partially measured</t>
        </is>
      </c>
      <c r="J250" s="7" t="inlineStr">
        <is>
          <t>partially measured</t>
        </is>
      </c>
      <c r="K250" s="7" t="inlineStr">
        <is>
          <t>SWD(2024) 70; IMF WP/26/114</t>
        </is>
      </c>
    </row>
    <row r="251">
      <c r="A251" s="7" t="n">
        <v>46</v>
      </c>
      <c r="B251" s="7" t="inlineStr">
        <is>
          <t>InvestEU Programme</t>
        </is>
      </c>
      <c r="C251" s="7" t="inlineStr">
        <is>
          <t>52020PC0403</t>
        </is>
      </c>
      <c r="D251" s="7" t="inlineStr">
        <is>
          <t>note</t>
        </is>
      </c>
      <c r="E251" s="7" t="inlineStr">
        <is>
          <t>The 2020 amended proposal's financial statement has no indicators section (1.4.4 is about synergies); monitoring relies on the key performance indicators annexed to the Regulation and guarantee agreements</t>
        </is>
      </c>
      <c r="F251" s="7" t="inlineStr"/>
      <c r="G251" s="7" t="inlineStr"/>
      <c r="H251" s="7" t="inlineStr"/>
      <c r="I251" s="7" t="inlineStr"/>
      <c r="J251" s="7" t="inlineStr"/>
      <c r="K251" s="7" t="inlineStr"/>
    </row>
    <row r="252">
      <c r="A252" s="7" t="n">
        <v>46</v>
      </c>
      <c r="B252" s="7" t="inlineStr">
        <is>
          <t>InvestEU Programme</t>
        </is>
      </c>
      <c r="C252" s="7" t="inlineStr">
        <is>
          <t>52020PC0403</t>
        </is>
      </c>
      <c r="D252" s="7" t="inlineStr">
        <is>
          <t>headline target (Regulation / Commission)</t>
        </is>
      </c>
      <c r="E252" s="7" t="inlineStr">
        <is>
          <t>Investment mobilised</t>
        </is>
      </c>
      <c r="F252" s="7" t="inlineStr">
        <is>
          <t>More than EUR 372bn additional public and private investment by 2028 from a EUR 26.2bn EU guarantee (2018 proposal: EUR 650bn from EUR 38bn)</t>
        </is>
      </c>
      <c r="G252" s="7" t="inlineStr">
        <is>
          <t>EUR 372bn</t>
        </is>
      </c>
      <c r="H252" s="7" t="inlineStr">
        <is>
          <t>Interim evaluation: about EUR 218bn expected to be mobilised by end-2023 (65% private), anticipated multiplier 14.76; 90% of the guarantee allocated, almost 80% of that approved. Figures are expected/approved, not disbursed.</t>
        </is>
      </c>
      <c r="I252" s="7" t="inlineStr">
        <is>
          <t>partially measured (self-reported)</t>
        </is>
      </c>
      <c r="J252" s="7" t="inlineStr">
        <is>
          <t>partially measured</t>
        </is>
      </c>
      <c r="K252" s="7" t="inlineStr">
        <is>
          <t>SWD(2024) 228/229</t>
        </is>
      </c>
    </row>
    <row r="253">
      <c r="A253" s="7" t="n">
        <v>46</v>
      </c>
      <c r="B253" s="7" t="inlineStr">
        <is>
          <t>InvestEU Programme</t>
        </is>
      </c>
      <c r="C253" s="7" t="inlineStr">
        <is>
          <t>52020PC0403</t>
        </is>
      </c>
      <c r="D253" s="7" t="inlineStr">
        <is>
          <t>objective</t>
        </is>
      </c>
      <c r="E253" s="7" t="inlineStr">
        <is>
          <t>Additionality</t>
        </is>
      </c>
      <c r="F253" s="7" t="inlineStr">
        <is>
          <t>Support only investment that would not otherwise happen (market gaps, higher risk)</t>
        </is>
      </c>
      <c r="G253" s="7" t="inlineStr"/>
      <c r="H253" s="7" t="inlineStr">
        <is>
          <t>Interim evaluation reports high additionality based on implementing partners' assessments; the Court of Auditors found additionality of the predecessor EFSI insufficiently demonstrated and its mobilised investment overstated by EUR 131bn (26%).</t>
        </is>
      </c>
      <c r="I253" s="7" t="inlineStr">
        <is>
          <t>mixed evidence</t>
        </is>
      </c>
      <c r="J253" s="7" t="inlineStr">
        <is>
          <t>mixed evidence</t>
        </is>
      </c>
      <c r="K253" s="7" t="inlineStr">
        <is>
          <t>SWD(2024) 228; ECA SR 07/2025</t>
        </is>
      </c>
    </row>
    <row r="254">
      <c r="A254" s="7" t="n">
        <v>46</v>
      </c>
      <c r="B254" s="7" t="inlineStr">
        <is>
          <t>InvestEU Programme</t>
        </is>
      </c>
      <c r="C254" s="7" t="inlineStr">
        <is>
          <t>52020PC0403</t>
        </is>
      </c>
      <c r="D254" s="7" t="inlineStr">
        <is>
          <t>outcome</t>
        </is>
      </c>
      <c r="E254" s="7" t="inlineStr">
        <is>
          <t>Firm investment and growth</t>
        </is>
      </c>
      <c r="F254" s="7" t="inlineStr">
        <is>
          <t>Effects on recipient firms' investment, jobs, innovation</t>
        </is>
      </c>
      <c r="G254" s="7" t="inlineStr"/>
      <c r="H254" s="7" t="inlineStr">
        <is>
          <t>No causal study of InvestEU yet; a causal study of predecessor EFSI direct loans finds about 12 percentage points extra fixed-asset growth.</t>
        </is>
      </c>
      <c r="I254" s="7" t="inlineStr">
        <is>
          <t>not measured (predecessor evidence only)</t>
        </is>
      </c>
      <c r="J254" s="7" t="inlineStr">
        <is>
          <t>not measured</t>
        </is>
      </c>
      <c r="K254" s="7" t="inlineStr">
        <is>
          <t>Frayman 2026</t>
        </is>
      </c>
    </row>
    <row r="255">
      <c r="A255" s="7" t="n">
        <v>49</v>
      </c>
      <c r="B255" s="7" t="inlineStr">
        <is>
          <t>Single Market Programme</t>
        </is>
      </c>
      <c r="C255" s="7" t="inlineStr">
        <is>
          <t>52018PC0441</t>
        </is>
      </c>
      <c r="D255" s="7" t="inlineStr">
        <is>
          <t>note</t>
        </is>
      </c>
      <c r="E255" s="7" t="inlineStr">
        <is>
          <t>The proposal's financial statement contains no usable LFS indicators (section 1.4.4 in the extraction is about synergies); performance is tracked through the indicators in the Regulation's annex, continuous monitoring and mid-term/final evaluations</t>
        </is>
      </c>
      <c r="F255" s="7" t="inlineStr"/>
      <c r="G255" s="7" t="inlineStr"/>
      <c r="H255" s="7" t="inlineStr"/>
      <c r="I255" s="7" t="inlineStr"/>
      <c r="J255" s="7" t="inlineStr"/>
      <c r="K255" s="7" t="inlineStr"/>
    </row>
    <row r="256">
      <c r="A256" s="7" t="n">
        <v>49</v>
      </c>
      <c r="B256" s="7" t="inlineStr">
        <is>
          <t>Single Market Programme</t>
        </is>
      </c>
      <c r="C256" s="7" t="inlineStr">
        <is>
          <t>52018PC0441</t>
        </is>
      </c>
      <c r="D256" s="7" t="inlineStr">
        <is>
          <t>programme objective (proposal)</t>
        </is>
      </c>
      <c r="E256" s="7" t="inlineStr">
        <is>
          <t>Internal market and enforcement (Pillar 1)</t>
        </is>
      </c>
      <c r="F256" s="7" t="inlineStr">
        <is>
          <t>Better digital tools for enforcement and administrative cooperation (e.g. IMI, Your Europe, competition case tools)</t>
        </is>
      </c>
      <c r="G256" s="7" t="inlineStr"/>
      <c r="H256" s="7" t="inlineStr">
        <is>
          <t>Interim evaluation: tools improved enforcement and cooperation, but CASE@EC rollout only partly done and broader impact of tools not measured because user feedback is not collected regularly.</t>
        </is>
      </c>
      <c r="I256" s="7" t="inlineStr">
        <is>
          <t>reported as activity</t>
        </is>
      </c>
      <c r="J256" s="7" t="inlineStr">
        <is>
          <t>reported as activity</t>
        </is>
      </c>
      <c r="K256" s="7" t="inlineStr">
        <is>
          <t>COM(2025) 347</t>
        </is>
      </c>
    </row>
    <row r="257">
      <c r="A257" s="7" t="n">
        <v>49</v>
      </c>
      <c r="B257" s="7" t="inlineStr">
        <is>
          <t>Single Market Programme</t>
        </is>
      </c>
      <c r="C257" s="7" t="inlineStr">
        <is>
          <t>52018PC0441</t>
        </is>
      </c>
      <c r="D257" s="7" t="inlineStr">
        <is>
          <t>programme objective (proposal)</t>
        </is>
      </c>
      <c r="E257" s="7" t="inlineStr">
        <is>
          <t>SME competitiveness (Pillar 2)</t>
        </is>
      </c>
      <c r="F257" s="7" t="inlineStr">
        <is>
          <t>SMEs supported through Enterprise Europe Network, Erasmus for Young Entrepreneurs, Euroclusters</t>
        </is>
      </c>
      <c r="G257" s="7" t="inlineStr"/>
      <c r="H257" s="7" t="inlineStr">
        <is>
          <t>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is>
      </c>
      <c r="I257" s="7" t="inlineStr">
        <is>
          <t>reported as activity</t>
        </is>
      </c>
      <c r="J257" s="7" t="inlineStr">
        <is>
          <t>reported as activity</t>
        </is>
      </c>
      <c r="K257" s="7" t="inlineStr">
        <is>
          <t>COM(2025) 347</t>
        </is>
      </c>
    </row>
    <row r="258">
      <c r="A258" s="7" t="n">
        <v>49</v>
      </c>
      <c r="B258" s="7" t="inlineStr">
        <is>
          <t>Single Market Programme</t>
        </is>
      </c>
      <c r="C258" s="7" t="inlineStr">
        <is>
          <t>52018PC0441</t>
        </is>
      </c>
      <c r="D258" s="7" t="inlineStr">
        <is>
          <t>programme objective (proposal)</t>
        </is>
      </c>
      <c r="E258" s="7" t="inlineStr">
        <is>
          <t>Consumer protection, standardisation, food safety, statistics (Pillars 3-6)</t>
        </is>
      </c>
      <c r="F258" s="7" t="inlineStr">
        <is>
          <t>Effective consumer enforcement (CPC, Safety Gate), standards adoption, animal disease eradication, trusted statistics</t>
        </is>
      </c>
      <c r="G258" s="7" t="inlineStr"/>
      <c r="H258" s="7" t="inlineStr">
        <is>
          <t>Interim evaluation finds all pillars effective; e.g. reduced brucellosis, rabies and Salmonella cases; 95% of surveyed users confident in European statistics (2024). Mostly output and satisfaction evidence.</t>
        </is>
      </c>
      <c r="I258" s="7" t="inlineStr">
        <is>
          <t>partially measured</t>
        </is>
      </c>
      <c r="J258" s="7" t="inlineStr">
        <is>
          <t>partially measured</t>
        </is>
      </c>
      <c r="K258" s="7" t="inlineStr">
        <is>
          <t>COM(2025) 347</t>
        </is>
      </c>
    </row>
    <row r="259">
      <c r="A259" s="7" t="n">
        <v>49</v>
      </c>
      <c r="B259" s="7" t="inlineStr">
        <is>
          <t>Single Market Programme</t>
        </is>
      </c>
      <c r="C259" s="7" t="inlineStr">
        <is>
          <t>52018PC0441</t>
        </is>
      </c>
      <c r="D259" s="7" t="inlineStr">
        <is>
          <t>budget execution</t>
        </is>
      </c>
      <c r="E259" s="7" t="inlineStr">
        <is>
          <t>Implementation</t>
        </is>
      </c>
      <c r="F259" s="7" t="inlineStr">
        <is>
          <t>Budget committed</t>
        </is>
      </c>
      <c r="G259" s="7" t="inlineStr">
        <is>
          <t>EUR 4,353m total 2021-2027</t>
        </is>
      </c>
      <c r="H259" s="7" t="inlineStr">
        <is>
          <t>EUR 1,909m (44%) allocated in the first three years; inflation reduced the number and scope of actions.</t>
        </is>
      </c>
      <c r="I259" s="7" t="inlineStr">
        <is>
          <t>measured</t>
        </is>
      </c>
      <c r="J259" s="7" t="inlineStr">
        <is>
          <t>measured</t>
        </is>
      </c>
      <c r="K259" s="7" t="inlineStr">
        <is>
          <t>COM(2025) 347</t>
        </is>
      </c>
    </row>
    <row r="260">
      <c r="A260" s="7" t="n">
        <v>45</v>
      </c>
      <c r="B260" s="7" t="inlineStr">
        <is>
          <t>Digital Europe Programme</t>
        </is>
      </c>
      <c r="C260" s="7" t="inlineStr">
        <is>
          <t>52018PC0434</t>
        </is>
      </c>
      <c r="D260" s="7" t="inlineStr">
        <is>
          <t>note</t>
        </is>
      </c>
      <c r="E260" s="7" t="inlineStr">
        <is>
          <t>The proposal's financial statement contains no usable LFS indicators (1.4.4 in the extraction covers synergies); performance indicators per specific objective are set in Annex II of the Regulation, and the IA said indicators would also draw on the Digital Economy and Society Index</t>
        </is>
      </c>
      <c r="F260" s="7" t="inlineStr"/>
      <c r="G260" s="7" t="inlineStr"/>
      <c r="H260" s="7" t="inlineStr"/>
      <c r="I260" s="7" t="inlineStr"/>
      <c r="J260" s="7" t="inlineStr"/>
      <c r="K260" s="7" t="inlineStr"/>
    </row>
    <row r="261">
      <c r="A261" s="7" t="n">
        <v>45</v>
      </c>
      <c r="B261" s="7" t="inlineStr">
        <is>
          <t>Digital Europe Programme</t>
        </is>
      </c>
      <c r="C261" s="7" t="inlineStr">
        <is>
          <t>52018PC0434</t>
        </is>
      </c>
      <c r="D261" s="7" t="inlineStr">
        <is>
          <t>performance indicator (Regulation annex)</t>
        </is>
      </c>
      <c r="E261" s="7" t="inlineStr">
        <is>
          <t>High performance computing</t>
        </is>
      </c>
      <c r="F261" s="7" t="inlineStr">
        <is>
          <t>Joint procurements of HPC infrastructure; use of exascale systems</t>
        </is>
      </c>
      <c r="G261" s="7" t="inlineStr">
        <is>
          <t>30 procurements by 2029</t>
        </is>
      </c>
      <c r="H261" s="7" t="inlineStr">
        <is>
          <t>19 of 30 planned procurements done; JUPITER, the EU's first exascale computer, ranked 4th on TOP500 and 1st on Green500 (its JEDI module); 19 AI Factories being deployed.</t>
        </is>
      </c>
      <c r="I261" s="7" t="inlineStr">
        <is>
          <t>measured (outputs)</t>
        </is>
      </c>
      <c r="J261" s="7" t="inlineStr">
        <is>
          <t>measured</t>
        </is>
      </c>
      <c r="K261" s="7" t="inlineStr">
        <is>
          <t>SWD(2025) 420; COM(2025) 771</t>
        </is>
      </c>
    </row>
    <row r="262">
      <c r="A262" s="7" t="n">
        <v>45</v>
      </c>
      <c r="B262" s="7" t="inlineStr">
        <is>
          <t>Digital Europe Programme</t>
        </is>
      </c>
      <c r="C262" s="7" t="inlineStr">
        <is>
          <t>52018PC0434</t>
        </is>
      </c>
      <c r="D262" s="7" t="inlineStr">
        <is>
          <t>performance indicator (Regulation annex)</t>
        </is>
      </c>
      <c r="E262" s="7" t="inlineStr">
        <is>
          <t>Adoption of digital technologies (EDIHs)</t>
        </is>
      </c>
      <c r="F262" s="7" t="inlineStr">
        <is>
          <t>Number of European Digital Innovation Hubs and businesses served</t>
        </is>
      </c>
      <c r="G262" s="7" t="inlineStr"/>
      <c r="H262" s="7" t="inlineStr">
        <is>
          <t>Over 150 EDIHs covering 90% of regions by end-2024; 29,000 services to 54,600 companies; users value services at EUR 8,000-15,300 per organisation (perceived value, not measured effect).</t>
        </is>
      </c>
      <c r="I262" s="7" t="inlineStr">
        <is>
          <t>reported as activity</t>
        </is>
      </c>
      <c r="J262" s="7" t="inlineStr">
        <is>
          <t>reported as activity</t>
        </is>
      </c>
      <c r="K262" s="7" t="inlineStr">
        <is>
          <t>COM(2025) 771</t>
        </is>
      </c>
    </row>
    <row r="263">
      <c r="A263" s="7" t="n">
        <v>45</v>
      </c>
      <c r="B263" s="7" t="inlineStr">
        <is>
          <t>Digital Europe Programme</t>
        </is>
      </c>
      <c r="C263" s="7" t="inlineStr">
        <is>
          <t>52018PC0434</t>
        </is>
      </c>
      <c r="D263" s="7" t="inlineStr">
        <is>
          <t>performance indicator (Regulation annex)</t>
        </is>
      </c>
      <c r="E263" s="7" t="inlineStr">
        <is>
          <t>Advanced digital skills</t>
        </is>
      </c>
      <c r="F263" s="7" t="inlineStr">
        <is>
          <t>People trained; master's programmes and courses</t>
        </is>
      </c>
      <c r="G263" s="7" t="inlineStr"/>
      <c r="H263" s="7" t="inlineStr">
        <is>
          <t>By end-2024: 50+ master's programmes, 530 short courses, 20,700+ people trained in AI, cybersecurity, semiconductors etc.</t>
        </is>
      </c>
      <c r="I263" s="7" t="inlineStr">
        <is>
          <t>reported as activity</t>
        </is>
      </c>
      <c r="J263" s="7" t="inlineStr">
        <is>
          <t>reported as activity</t>
        </is>
      </c>
      <c r="K263" s="7" t="inlineStr">
        <is>
          <t>COM(2025) 771</t>
        </is>
      </c>
    </row>
    <row r="264">
      <c r="A264" s="7" t="n">
        <v>45</v>
      </c>
      <c r="B264" s="7" t="inlineStr">
        <is>
          <t>Digital Europe Programme</t>
        </is>
      </c>
      <c r="C264" s="7" t="inlineStr">
        <is>
          <t>52018PC0434</t>
        </is>
      </c>
      <c r="D264" s="7" t="inlineStr">
        <is>
          <t>performance indicator (Regulation annex)</t>
        </is>
      </c>
      <c r="E264" s="7" t="inlineStr">
        <is>
          <t>Cybersecurity</t>
        </is>
      </c>
      <c r="F264" s="7" t="inlineStr">
        <is>
          <t>Cybersecurity infrastructures procured</t>
        </is>
      </c>
      <c r="G264" s="7" t="inlineStr"/>
      <c r="H264" s="7" t="inlineStr">
        <is>
          <t>26 CyberHubs procured (in line with targets); network of 27 national coordination centres; first 12 cybersecurity tools deployed.</t>
        </is>
      </c>
      <c r="I264" s="7" t="inlineStr">
        <is>
          <t>measured (outputs)</t>
        </is>
      </c>
      <c r="J264" s="7" t="inlineStr">
        <is>
          <t>measured</t>
        </is>
      </c>
      <c r="K264" s="7" t="inlineStr">
        <is>
          <t>COM(2025) 771</t>
        </is>
      </c>
    </row>
    <row r="265">
      <c r="A265" s="7" t="n">
        <v>45</v>
      </c>
      <c r="B265" s="7" t="inlineStr">
        <is>
          <t>Digital Europe Programme</t>
        </is>
      </c>
      <c r="C265" s="7" t="inlineStr">
        <is>
          <t>52018PC0434</t>
        </is>
      </c>
      <c r="D265" s="7" t="inlineStr">
        <is>
          <t>expected impact (impact assessment)</t>
        </is>
      </c>
      <c r="E265" s="7" t="inlineStr">
        <is>
          <t>Closing digital investment gap / competitiveness</t>
        </is>
      </c>
      <c r="F265" s="7" t="inlineStr">
        <is>
          <t>Higher EU digital capacity and uptake (e.g. SMEs highly digitised 20% in 2018)</t>
        </is>
      </c>
      <c r="G265" s="7" t="inlineStr"/>
      <c r="H265" s="7" t="inlineStr">
        <is>
          <t>Interim evaluation: programme on track or ahead on activities and outputs, first outcome-level benefits only now emerging; no measured effect on productivity, uptake or competitiveness.</t>
        </is>
      </c>
      <c r="I265" s="7" t="inlineStr">
        <is>
          <t>not measured</t>
        </is>
      </c>
      <c r="J265" s="7" t="inlineStr">
        <is>
          <t>not measured</t>
        </is>
      </c>
      <c r="K265" s="7" t="inlineStr">
        <is>
          <t>SWD(2025) 420</t>
        </is>
      </c>
    </row>
    <row r="266">
      <c r="A266" s="7" t="n">
        <v>48</v>
      </c>
      <c r="B266" s="7" t="inlineStr">
        <is>
          <t>Horizon Europe</t>
        </is>
      </c>
      <c r="C266" s="7" t="inlineStr">
        <is>
          <t>52018PC0435</t>
        </is>
      </c>
      <c r="D266" s="7" t="inlineStr">
        <is>
          <t>note</t>
        </is>
      </c>
      <c r="E266" s="7" t="inlineStr">
        <is>
          <t>The proposal's financial statement has no LFS indicators (1.4.2-1.4.4 empty in extraction); monitoring is through 'key impact pathway' indicators (Annex V of the Regulation), annual monitoring and interim/ex-post evaluations</t>
        </is>
      </c>
      <c r="F266" s="7" t="inlineStr"/>
      <c r="G266" s="7" t="inlineStr"/>
      <c r="H266" s="7" t="inlineStr"/>
      <c r="I266" s="7" t="inlineStr"/>
      <c r="J266" s="7" t="inlineStr"/>
      <c r="K266" s="7" t="inlineStr"/>
    </row>
    <row r="267">
      <c r="A267" s="7" t="n">
        <v>48</v>
      </c>
      <c r="B267" s="7" t="inlineStr">
        <is>
          <t>Horizon Europe</t>
        </is>
      </c>
      <c r="C267" s="7" t="inlineStr">
        <is>
          <t>52018PC0435</t>
        </is>
      </c>
      <c r="D267" s="7" t="inlineStr">
        <is>
          <t>expected impact (impact assessment)</t>
        </is>
      </c>
      <c r="E267" s="7" t="inlineStr">
        <is>
          <t>Growth</t>
        </is>
      </c>
      <c r="F267" s="7" t="inlineStr">
        <is>
          <t>Average GDP gain of 0.08-0.19% over 25 years; each euro invested returns up to EUR 11 of GDP</t>
        </is>
      </c>
      <c r="G267" s="7" t="inlineStr">
        <is>
          <t>+0.08-0.19% GDP; up to EUR 11 per EUR 1</t>
        </is>
      </c>
      <c r="H267" s="7" t="inlineStr">
        <is>
          <t>Model-based only: interim evaluation's NEMESIS, RHOMOLO and FIDELIO runs give GDP multipliers of 4-11 by 2045 and say results are on track (RHOMOLO peak +0.10% of GDP in 2024). These re-run the same type of models used ex ante; no observed macro effect.</t>
        </is>
      </c>
      <c r="I267" s="7" t="inlineStr">
        <is>
          <t>partially measured (model re-estimates)</t>
        </is>
      </c>
      <c r="J267" s="7" t="inlineStr">
        <is>
          <t>partially measured</t>
        </is>
      </c>
      <c r="K267" s="7" t="inlineStr">
        <is>
          <t>SWD(2018) 307; SWD(2025) 110</t>
        </is>
      </c>
    </row>
    <row r="268">
      <c r="A268" s="7" t="n">
        <v>48</v>
      </c>
      <c r="B268" s="7" t="inlineStr">
        <is>
          <t>Horizon Europe</t>
        </is>
      </c>
      <c r="C268" s="7" t="inlineStr">
        <is>
          <t>52018PC0435</t>
        </is>
      </c>
      <c r="D268" s="7" t="inlineStr">
        <is>
          <t>expected impact (impact assessment)</t>
        </is>
      </c>
      <c r="E268" s="7" t="inlineStr">
        <is>
          <t>Jobs</t>
        </is>
      </c>
      <c r="F268" s="7" t="inlineStr">
        <is>
          <t>Up to 100,000 direct R&amp;I jobs in 2021-2027 and up to 200,000 indirect jobs in 2027-2036</t>
        </is>
      </c>
      <c r="G268" s="7" t="inlineStr">
        <is>
          <t>100k direct / 200k indirect</t>
        </is>
      </c>
      <c r="H268" s="7" t="inlineStr">
        <is>
          <t>Reported: 39,543 FTE jobs created or maintained by participants (data from only 21% of projects, Jan 2025); NEMESIS estimates up to 60,000 research jobs by 2023-24; RHOMOLO about 128,000 persons (+0.06%) at 2023 peak.</t>
        </is>
      </c>
      <c r="I268" s="7" t="inlineStr">
        <is>
          <t>partially measured</t>
        </is>
      </c>
      <c r="J268" s="7" t="inlineStr">
        <is>
          <t>partially measured</t>
        </is>
      </c>
      <c r="K268" s="7" t="inlineStr">
        <is>
          <t>SWD(2025) 110</t>
        </is>
      </c>
    </row>
    <row r="269">
      <c r="A269" s="7" t="n">
        <v>48</v>
      </c>
      <c r="B269" s="7" t="inlineStr">
        <is>
          <t>Horizon Europe</t>
        </is>
      </c>
      <c r="C269" s="7" t="inlineStr">
        <is>
          <t>52018PC0435</t>
        </is>
      </c>
      <c r="D269" s="7" t="inlineStr">
        <is>
          <t>key impact pathway</t>
        </is>
      </c>
      <c r="E269" s="7" t="inlineStr">
        <is>
          <t>Leveraging investment</t>
        </is>
      </c>
      <c r="F269" s="7" t="inlineStr">
        <is>
          <t>Co-investment mobilised by participants</t>
        </is>
      </c>
      <c r="G269" s="7" t="inlineStr"/>
      <c r="H269" s="7" t="inlineStr">
        <is>
          <t>Measured: EUR 10.2bn co-investment by participants by the interim evaluation, against just over EUR 5bn at the same stage of Horizon 2020.</t>
        </is>
      </c>
      <c r="I269" s="7" t="inlineStr">
        <is>
          <t>measured</t>
        </is>
      </c>
      <c r="J269" s="7" t="inlineStr">
        <is>
          <t>measured</t>
        </is>
      </c>
      <c r="K269" s="7" t="inlineStr">
        <is>
          <t>SWD(2025) 110</t>
        </is>
      </c>
    </row>
    <row r="270">
      <c r="A270" s="7" t="n">
        <v>48</v>
      </c>
      <c r="B270" s="7" t="inlineStr">
        <is>
          <t>Horizon Europe</t>
        </is>
      </c>
      <c r="C270" s="7" t="inlineStr">
        <is>
          <t>52018PC0435</t>
        </is>
      </c>
      <c r="D270" s="7" t="inlineStr">
        <is>
          <t>key impact pathway</t>
        </is>
      </c>
      <c r="E270" s="7" t="inlineStr">
        <is>
          <t>Excellence / funding reach</t>
        </is>
      </c>
      <c r="F270" s="7" t="inlineStr">
        <is>
          <t>Success rates and funding of high-quality proposals</t>
        </is>
      </c>
      <c r="G270" s="7" t="inlineStr"/>
      <c r="H270" s="7" t="inlineStr">
        <is>
          <t>Measured: average success rate rose from 12% (Horizon 2020) to 16.4%; only 30.1% of high-quality proposals funded (25% in Horizon 2020) - funding all would have required an extra EUR 81.8bn. 15,148 grants worth EUR 43.2bn signed 2021-2024; budget cut from EUR 95.5bn to 93.5bn in 2024.</t>
        </is>
      </c>
      <c r="I270" s="7" t="inlineStr">
        <is>
          <t>measured</t>
        </is>
      </c>
      <c r="J270" s="7" t="inlineStr">
        <is>
          <t>measured</t>
        </is>
      </c>
      <c r="K270" s="7" t="inlineStr">
        <is>
          <t>SWD(2025) 110</t>
        </is>
      </c>
    </row>
    <row r="271">
      <c r="A271" s="7" t="n">
        <v>48</v>
      </c>
      <c r="B271" s="7" t="inlineStr">
        <is>
          <t>Horizon Europe</t>
        </is>
      </c>
      <c r="C271" s="7" t="inlineStr">
        <is>
          <t>52018PC0435</t>
        </is>
      </c>
      <c r="D271" s="7" t="inlineStr">
        <is>
          <t>expected impact (impact assessment)</t>
        </is>
      </c>
      <c r="E271" s="7" t="inlineStr">
        <is>
          <t>Firm growth and innovation (EIC, SMEs)</t>
        </is>
      </c>
      <c r="F271" s="7" t="inlineStr">
        <is>
          <t>Higher growth of SMEs, more scale-ups and breakthrough innovation</t>
        </is>
      </c>
      <c r="G271" s="7" t="inlineStr"/>
      <c r="H271" s="7" t="inlineStr">
        <is>
          <t>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is>
      </c>
      <c r="I271" s="7" t="inlineStr">
        <is>
          <t>mixed evidence (predecessor only)</t>
        </is>
      </c>
      <c r="J271" s="7" t="inlineStr">
        <is>
          <t>mixed evidence</t>
        </is>
      </c>
      <c r="K271" s="7" t="inlineStr">
        <is>
          <t>Santoleri et al. 2024; Mitra &amp; Niakaros 2023; SWD(2024) 29</t>
        </is>
      </c>
    </row>
    <row r="272">
      <c r="A272" s="7" t="n">
        <v>51</v>
      </c>
      <c r="B272" s="7" t="inlineStr">
        <is>
          <t>Terrorist Content Online Regulation</t>
        </is>
      </c>
      <c r="C272" s="7" t="inlineStr">
        <is>
          <t>52018PC0640</t>
        </is>
      </c>
      <c r="D272" s="7" t="inlineStr">
        <is>
          <t>note</t>
        </is>
      </c>
      <c r="E272" s="7" t="inlineStr">
        <is>
          <t>The proposal has no LFS indicators; the memorandum committed the Commission to a monitoring programme within one year, an implementation report after two years and an evaluation (Article 23)</t>
        </is>
      </c>
      <c r="F272" s="7" t="inlineStr"/>
      <c r="G272" s="7" t="inlineStr"/>
      <c r="H272" s="7" t="inlineStr"/>
      <c r="I272" s="7" t="inlineStr"/>
      <c r="J272" s="7" t="inlineStr"/>
      <c r="K272" s="7" t="inlineStr"/>
    </row>
    <row r="273">
      <c r="A273" s="7" t="n">
        <v>51</v>
      </c>
      <c r="B273" s="7" t="inlineStr">
        <is>
          <t>Terrorist Content Online Regulation</t>
        </is>
      </c>
      <c r="C273" s="7" t="inlineStr">
        <is>
          <t>52018PC0640</t>
        </is>
      </c>
      <c r="D273" s="7" t="inlineStr">
        <is>
          <t>expected impact (impact assessment)</t>
        </is>
      </c>
      <c r="E273" s="7" t="inlineStr">
        <is>
          <t>Limit availability of terrorist content</t>
        </is>
      </c>
      <c r="F273" s="7" t="inlineStr">
        <is>
          <t>Faster removal: removal orders executed within one hour</t>
        </is>
      </c>
      <c r="G273" s="7" t="inlineStr">
        <is>
          <t>1 hour</t>
        </is>
      </c>
      <c r="H273" s="7" t="inlineStr">
        <is>
          <t>At least 349 removal orders issued by six Member States by end-2023 (to Telegram, Meta, X, TikTok, Archive.org and others), mostly with swift follow-up; Commission judges impact 'positive'. No measure of overall prevalence of terrorist content.</t>
        </is>
      </c>
      <c r="I273" s="7" t="inlineStr">
        <is>
          <t>reported as activity</t>
        </is>
      </c>
      <c r="J273" s="7" t="inlineStr">
        <is>
          <t>reported as activity</t>
        </is>
      </c>
      <c r="K273" s="7" t="inlineStr">
        <is>
          <t>COM(2024) 64</t>
        </is>
      </c>
    </row>
    <row r="274">
      <c r="A274" s="7" t="n">
        <v>51</v>
      </c>
      <c r="B274" s="7" t="inlineStr">
        <is>
          <t>Terrorist Content Online Regulation</t>
        </is>
      </c>
      <c r="C274" s="7" t="inlineStr">
        <is>
          <t>52018PC0640</t>
        </is>
      </c>
      <c r="D274" s="7" t="inlineStr">
        <is>
          <t>expected impact (impact assessment)</t>
        </is>
      </c>
      <c r="E274" s="7" t="inlineStr">
        <is>
          <t>Authority capacity and cooperation</t>
        </is>
      </c>
      <c r="F274" s="7" t="inlineStr">
        <is>
          <t>Competent authorities designated; cooperation via Europol (PERCI)</t>
        </is>
      </c>
      <c r="G274" s="7" t="inlineStr"/>
      <c r="H274" s="7" t="inlineStr">
        <is>
          <t>23 Member States had designated authorities by end-2023 after infringement procedures against 22; 14,615 referrals processed in PERCI July-Dec 2023.</t>
        </is>
      </c>
      <c r="I274" s="7" t="inlineStr">
        <is>
          <t>measured (outputs)</t>
        </is>
      </c>
      <c r="J274" s="7" t="inlineStr">
        <is>
          <t>measured</t>
        </is>
      </c>
      <c r="K274" s="7" t="inlineStr">
        <is>
          <t>COM(2024) 64</t>
        </is>
      </c>
    </row>
    <row r="275">
      <c r="A275" s="7" t="n">
        <v>51</v>
      </c>
      <c r="B275" s="7" t="inlineStr">
        <is>
          <t>Terrorist Content Online Regulation</t>
        </is>
      </c>
      <c r="C275" s="7" t="inlineStr">
        <is>
          <t>52018PC0640</t>
        </is>
      </c>
      <c r="D275" s="7" t="inlineStr">
        <is>
          <t>expected impact (impact assessment)</t>
        </is>
      </c>
      <c r="E275" s="7" t="inlineStr">
        <is>
          <t>Safeguards against erroneous removal / fundamental rights</t>
        </is>
      </c>
      <c r="F275" s="7" t="inlineStr">
        <is>
          <t>Complaints, reinstatements and court challenges; no over-removal</t>
        </is>
      </c>
      <c r="G275" s="7" t="inlineStr"/>
      <c r="H275" s="7" t="inlineStr">
        <is>
          <t>No removal order scrutinised, reinstated or challenged in court by end-2023. FRA (2026) interviews flag risk of over-removal and disproportionate effects on Muslims and Arabic speakers. No quantitative evidence.</t>
        </is>
      </c>
      <c r="I275" s="7" t="inlineStr">
        <is>
          <t>mixed evidence</t>
        </is>
      </c>
      <c r="J275" s="7" t="inlineStr">
        <is>
          <t>mixed evidence</t>
        </is>
      </c>
      <c r="K275" s="7" t="inlineStr">
        <is>
          <t>COM(2024) 64; FRA 2026</t>
        </is>
      </c>
    </row>
    <row r="276">
      <c r="A276" s="7" t="n">
        <v>51</v>
      </c>
      <c r="B276" s="7" t="inlineStr">
        <is>
          <t>Terrorist Content Online Regulation</t>
        </is>
      </c>
      <c r="C276" s="7" t="inlineStr">
        <is>
          <t>52018PC0640</t>
        </is>
      </c>
      <c r="D276" s="7" t="inlineStr">
        <is>
          <t>expected impact (impact assessment)</t>
        </is>
      </c>
      <c r="E276" s="7" t="inlineStr">
        <is>
          <t>Single market</t>
        </is>
      </c>
      <c r="F276" s="7" t="inlineStr">
        <is>
          <t>Less fragmentation and lower compliance costs for hosting providers</t>
        </is>
      </c>
      <c r="G276" s="7" t="inlineStr"/>
      <c r="H276" s="7" t="inlineStr">
        <is>
          <t>Not evaluated.</t>
        </is>
      </c>
      <c r="I276" s="7" t="inlineStr">
        <is>
          <t>not measured</t>
        </is>
      </c>
      <c r="J276" s="7" t="inlineStr">
        <is>
          <t>not measured</t>
        </is>
      </c>
      <c r="K276" s="7" t="inlineStr"/>
    </row>
    <row r="277">
      <c r="A277" s="7" t="n">
        <v>50</v>
      </c>
      <c r="B277" s="7" t="inlineStr">
        <is>
          <t>European Cybersecurity Competence Centre</t>
        </is>
      </c>
      <c r="C277" s="7" t="inlineStr">
        <is>
          <t>52018PC0630</t>
        </is>
      </c>
      <c r="D277" s="7" t="inlineStr">
        <is>
          <t>LFS indicator (1.4.4)</t>
        </is>
      </c>
      <c r="E277" s="7" t="inlineStr">
        <is>
          <t>Cybersecurity infrastructure</t>
        </is>
      </c>
      <c r="F277" s="7" t="inlineStr">
        <is>
          <t>Number of cybersecurity infrastructure/tools jointly procured</t>
        </is>
      </c>
      <c r="G277" s="7" t="inlineStr"/>
      <c r="H277" s="7" t="inlineStr">
        <is>
          <t>26 cybersecurity infrastructures (CyberHubs, incl. two cross-border) procured and first 12 tools deployed under Digital Europe, in line with targets.</t>
        </is>
      </c>
      <c r="I277" s="7" t="inlineStr">
        <is>
          <t>measured (outputs)</t>
        </is>
      </c>
      <c r="J277" s="7" t="inlineStr">
        <is>
          <t>measured</t>
        </is>
      </c>
      <c r="K277" s="7" t="inlineStr">
        <is>
          <t>COM(2025) 771</t>
        </is>
      </c>
    </row>
    <row r="278">
      <c r="A278" s="7" t="n">
        <v>50</v>
      </c>
      <c r="B278" s="7" t="inlineStr">
        <is>
          <t>European Cybersecurity Competence Centre</t>
        </is>
      </c>
      <c r="C278" s="7" t="inlineStr">
        <is>
          <t>52018PC0630</t>
        </is>
      </c>
      <c r="D278" s="7" t="inlineStr">
        <is>
          <t>LFS indicator (1.4.4)</t>
        </is>
      </c>
      <c r="E278" s="7" t="inlineStr">
        <is>
          <t>Competitiveness of EU suppliers</t>
        </is>
      </c>
      <c r="F278" s="7" t="inlineStr">
        <is>
          <t>Global market share of European cybersecurity suppliers</t>
        </is>
      </c>
      <c r="G278" s="7" t="inlineStr">
        <is>
          <t>25% by 2027</t>
        </is>
      </c>
      <c r="H278" s="7" t="inlineStr">
        <is>
          <t>No data on market share found in Commission or ECCC reporting.</t>
        </is>
      </c>
      <c r="I278" s="7" t="inlineStr">
        <is>
          <t>not measured</t>
        </is>
      </c>
      <c r="J278" s="7" t="inlineStr">
        <is>
          <t>not measured</t>
        </is>
      </c>
      <c r="K278" s="7" t="inlineStr"/>
    </row>
    <row r="279">
      <c r="A279" s="7" t="n">
        <v>50</v>
      </c>
      <c r="B279" s="7" t="inlineStr">
        <is>
          <t>European Cybersecurity Competence Centre</t>
        </is>
      </c>
      <c r="C279" s="7" t="inlineStr">
        <is>
          <t>52018PC0630</t>
        </is>
      </c>
      <c r="D279" s="7" t="inlineStr">
        <is>
          <t>LFS indicator (1.4.4)</t>
        </is>
      </c>
      <c r="E279" s="7" t="inlineStr">
        <is>
          <t>Innovation</t>
        </is>
      </c>
      <c r="F279" s="7" t="inlineStr">
        <is>
          <t>Patents, publications, commercial products from next-generation cybersecurity technologies</t>
        </is>
      </c>
      <c r="G279" s="7" t="inlineStr"/>
      <c r="H279" s="7" t="inlineStr">
        <is>
          <t>Not reported.</t>
        </is>
      </c>
      <c r="I279" s="7" t="inlineStr">
        <is>
          <t>not measured</t>
        </is>
      </c>
      <c r="J279" s="7" t="inlineStr">
        <is>
          <t>not measured</t>
        </is>
      </c>
      <c r="K279" s="7" t="inlineStr"/>
    </row>
    <row r="280">
      <c r="A280" s="7" t="n">
        <v>50</v>
      </c>
      <c r="B280" s="7" t="inlineStr">
        <is>
          <t>European Cybersecurity Competence Centre</t>
        </is>
      </c>
      <c r="C280" s="7" t="inlineStr">
        <is>
          <t>52018PC0630</t>
        </is>
      </c>
      <c r="D280" s="7" t="inlineStr">
        <is>
          <t>LFS indicator (1.4.4)</t>
        </is>
      </c>
      <c r="E280" s="7" t="inlineStr">
        <is>
          <t>Network and skills</t>
        </is>
      </c>
      <c r="F280" s="7" t="inlineStr">
        <is>
          <t>National coordination centres; people trained; curricula aligned</t>
        </is>
      </c>
      <c r="G280" s="7" t="inlineStr"/>
      <c r="H280" s="7" t="inlineStr">
        <is>
          <t>Network of 27 national coordination centres set up; stakeholders cite standardised practices and cross-border cooperation as main benefits. ECCC reached financial autonomy only in September 2024.</t>
        </is>
      </c>
      <c r="I280" s="7" t="inlineStr">
        <is>
          <t>reported as activity</t>
        </is>
      </c>
      <c r="J280" s="7" t="inlineStr">
        <is>
          <t>reported as activity</t>
        </is>
      </c>
      <c r="K280" s="7" t="inlineStr">
        <is>
          <t>COM(2025) 771; ECA 2025</t>
        </is>
      </c>
    </row>
    <row r="281">
      <c r="A281" s="7" t="n">
        <v>50</v>
      </c>
      <c r="B281" s="7" t="inlineStr">
        <is>
          <t>European Cybersecurity Competence Centre</t>
        </is>
      </c>
      <c r="C281" s="7" t="inlineStr">
        <is>
          <t>52018PC0630</t>
        </is>
      </c>
      <c r="D281" s="7" t="inlineStr">
        <is>
          <t>evaluation clause (Article 38)</t>
        </is>
      </c>
      <c r="E281" s="7" t="inlineStr">
        <is>
          <t>Evaluation</t>
        </is>
      </c>
      <c r="F281" s="7" t="inlineStr">
        <is>
          <t>Independent Commission evaluation of the Centre</t>
        </is>
      </c>
      <c r="G281" s="7" t="inlineStr"/>
      <c r="H281" s="7" t="inlineStr">
        <is>
          <t>No published Commission evaluation found (Oct 2026).</t>
        </is>
      </c>
      <c r="I281" s="7" t="inlineStr">
        <is>
          <t>not measured</t>
        </is>
      </c>
      <c r="J281" s="7" t="inlineStr">
        <is>
          <t>not measured</t>
        </is>
      </c>
      <c r="K281" s="7" t="inlineStr"/>
    </row>
    <row r="282">
      <c r="A282" s="7" t="n">
        <v>47</v>
      </c>
      <c r="B282" s="7" t="inlineStr">
        <is>
          <t>Connecting Europe Facility</t>
        </is>
      </c>
      <c r="C282" s="7" t="inlineStr">
        <is>
          <t>52018PC0438</t>
        </is>
      </c>
      <c r="D282" s="7" t="inlineStr">
        <is>
          <t>note</t>
        </is>
      </c>
      <c r="E282" s="7" t="inlineStr">
        <is>
          <t>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is>
      </c>
      <c r="F282" s="7" t="inlineStr"/>
      <c r="G282" s="7" t="inlineStr"/>
      <c r="H282" s="7" t="inlineStr"/>
      <c r="I282" s="7" t="inlineStr"/>
      <c r="J282" s="7" t="inlineStr"/>
      <c r="K282" s="7" t="inlineStr"/>
    </row>
    <row r="283">
      <c r="A283" s="7" t="n">
        <v>47</v>
      </c>
      <c r="B283" s="7" t="inlineStr">
        <is>
          <t>Connecting Europe Facility</t>
        </is>
      </c>
      <c r="C283" s="7" t="inlineStr">
        <is>
          <t>52018PC0438</t>
        </is>
      </c>
      <c r="D283" s="7" t="inlineStr">
        <is>
          <t>programme objective (Regulation)</t>
        </is>
      </c>
      <c r="E283" s="7" t="inlineStr">
        <is>
          <t>Transport: complete TEN-T core network</t>
        </is>
      </c>
      <c r="F283" s="7" t="inlineStr">
        <is>
          <t>Cross-border and missing links, military mobility, alternative fuels infrastructure</t>
        </is>
      </c>
      <c r="G283" s="7" t="inlineStr"/>
      <c r="H283" s="7" t="inlineStr">
        <is>
          <t>Calls oversubscribed up to almost 3x; whole transport budget committed by 2025; 600+ projects ongoing but only 23 small projects finished; remaining need EUR 845bn to complete the network.</t>
        </is>
      </c>
      <c r="I283" s="7" t="inlineStr">
        <is>
          <t>reported as activity</t>
        </is>
      </c>
      <c r="J283" s="7" t="inlineStr">
        <is>
          <t>reported as activity</t>
        </is>
      </c>
      <c r="K283" s="7" t="inlineStr">
        <is>
          <t>COM(2025) 516</t>
        </is>
      </c>
    </row>
    <row r="284">
      <c r="A284" s="7" t="n">
        <v>47</v>
      </c>
      <c r="B284" s="7" t="inlineStr">
        <is>
          <t>Connecting Europe Facility</t>
        </is>
      </c>
      <c r="C284" s="7" t="inlineStr">
        <is>
          <t>52018PC0438</t>
        </is>
      </c>
      <c r="D284" s="7" t="inlineStr">
        <is>
          <t>programme objective (Regulation)</t>
        </is>
      </c>
      <c r="E284" s="7" t="inlineStr">
        <is>
          <t>Energy: integrate internal energy market (PCIs, cross-border renewables)</t>
        </is>
      </c>
      <c r="F284" s="7" t="inlineStr">
        <is>
          <t>Interconnections built; cross-border renewables projects</t>
        </is>
      </c>
      <c r="G284" s="7" t="inlineStr">
        <is>
          <t>EUR 5.8bn budget</t>
        </is>
      </c>
      <c r="H284" s="7" t="inlineStr">
        <is>
          <t>EUR 3.5bn awarded 2021-2024 (e.g. 16 electricity projects &gt;EUR 2bn incl. EuroAsia interconnector, Baltic synchronisation); some projects delayed by energy and materials price shocks; EUR 430m temporarily moved to transport.</t>
        </is>
      </c>
      <c r="I284" s="7" t="inlineStr">
        <is>
          <t>reported as activity</t>
        </is>
      </c>
      <c r="J284" s="7" t="inlineStr">
        <is>
          <t>reported as activity</t>
        </is>
      </c>
      <c r="K284" s="7" t="inlineStr">
        <is>
          <t>COM(2025) 516</t>
        </is>
      </c>
    </row>
    <row r="285">
      <c r="A285" s="7" t="n">
        <v>47</v>
      </c>
      <c r="B285" s="7" t="inlineStr">
        <is>
          <t>Connecting Europe Facility</t>
        </is>
      </c>
      <c r="C285" s="7" t="inlineStr">
        <is>
          <t>52018PC0438</t>
        </is>
      </c>
      <c r="D285" s="7" t="inlineStr">
        <is>
          <t>programme objective (Regulation)</t>
        </is>
      </c>
      <c r="E285" s="7" t="inlineStr">
        <is>
          <t>Digital: 5G corridors and backbone networks</t>
        </is>
      </c>
      <c r="F285" s="7" t="inlineStr">
        <is>
          <t>5G along transport corridors; Global Gateway backbones/submarine cables</t>
        </is>
      </c>
      <c r="G285" s="7" t="inlineStr"/>
      <c r="H285" s="7" t="inlineStr">
        <is>
          <t>Start delayed; 117 projects worth over EUR 640m funded (51 backbone/submarine cable projects EUR 420m; 25 5G corridor projects EUR 93m); first results only from 2025; portfolio judged on track.</t>
        </is>
      </c>
      <c r="I285" s="7" t="inlineStr">
        <is>
          <t>reported as activity</t>
        </is>
      </c>
      <c r="J285" s="7" t="inlineStr">
        <is>
          <t>reported as activity</t>
        </is>
      </c>
      <c r="K285" s="7" t="inlineStr">
        <is>
          <t>COM(2025) 516</t>
        </is>
      </c>
    </row>
    <row r="286">
      <c r="A286" s="7" t="n">
        <v>47</v>
      </c>
      <c r="B286" s="7" t="inlineStr">
        <is>
          <t>Connecting Europe Facility</t>
        </is>
      </c>
      <c r="C286" s="7" t="inlineStr">
        <is>
          <t>52018PC0438</t>
        </is>
      </c>
      <c r="D286" s="7" t="inlineStr">
        <is>
          <t>expected impact (impact assessment)</t>
        </is>
      </c>
      <c r="E286" s="7" t="inlineStr">
        <is>
          <t>Growth, cohesion, decarbonisation</t>
        </is>
      </c>
      <c r="F286" s="7" t="inlineStr">
        <is>
          <t>Economic and environmental effects of completed networks</t>
        </is>
      </c>
      <c r="G286" s="7" t="inlineStr"/>
      <c r="H286" s="7" t="inlineStr">
        <is>
          <t>Not measured; projects mostly not completed. No causal study of CEF grants found.</t>
        </is>
      </c>
      <c r="I286" s="7" t="inlineStr">
        <is>
          <t>not measured</t>
        </is>
      </c>
      <c r="J286" s="7" t="inlineStr">
        <is>
          <t>not measured</t>
        </is>
      </c>
      <c r="K286" s="7" t="inlineStr"/>
    </row>
    <row r="287">
      <c r="A287" s="7" t="n">
        <v>54</v>
      </c>
      <c r="B287" s="7" t="inlineStr">
        <is>
          <t>EuroHPC Joint Undertaking Regulation</t>
        </is>
      </c>
      <c r="C287" s="7" t="inlineStr">
        <is>
          <t>52020PC0569</t>
        </is>
      </c>
      <c r="D287" s="7" t="inlineStr">
        <is>
          <t>note</t>
        </is>
      </c>
      <c r="E287" s="7" t="inlineStr">
        <is>
          <t>The proposal's LFS has no indicators (1.4.4 lists synergies only) and no new impact assessment: the Commission relied on the January 2018 IA for the first EuroHPC Regulation (SWD(2018) 6). Monitoring is via Horizon Europe evaluations and JU annual activity reports</t>
        </is>
      </c>
      <c r="F287" s="7" t="inlineStr"/>
      <c r="G287" s="7" t="inlineStr"/>
      <c r="H287" s="7" t="inlineStr"/>
      <c r="I287" s="7" t="inlineStr"/>
      <c r="J287" s="7" t="inlineStr"/>
      <c r="K287" s="7" t="inlineStr"/>
    </row>
    <row r="288">
      <c r="A288" s="7" t="n">
        <v>54</v>
      </c>
      <c r="B288" s="7" t="inlineStr">
        <is>
          <t>EuroHPC Joint Undertaking Regulation</t>
        </is>
      </c>
      <c r="C288" s="7" t="inlineStr">
        <is>
          <t>52020PC0569</t>
        </is>
      </c>
      <c r="D288" s="7" t="inlineStr">
        <is>
          <t>expected impact (impact assessment)</t>
        </is>
      </c>
      <c r="E288" s="7" t="inlineStr">
        <is>
          <t>World-class supercomputing</t>
        </is>
      </c>
      <c r="F288" s="7" t="inlineStr">
        <is>
          <t>Exascale supercomputers ranking among the world's top three</t>
        </is>
      </c>
      <c r="G288" s="7" t="inlineStr">
        <is>
          <t>Around 2022 (2017 HPC strategy, cited in IA)</t>
        </is>
      </c>
      <c r="H288" s="7" t="inlineStr">
        <is>
          <t>Delayed: JUPITER, the first EU exascale system, ranked 4th on TOP500 (2025) and its JEDI module 1st on Green500; 19 of 30 planned procurements done by end-2024.</t>
        </is>
      </c>
      <c r="I288" s="7" t="inlineStr">
        <is>
          <t>measured</t>
        </is>
      </c>
      <c r="J288" s="7" t="inlineStr">
        <is>
          <t>measured</t>
        </is>
      </c>
      <c r="K288" s="7" t="inlineStr">
        <is>
          <t>SWD(2025) 420; COM(2025) 771</t>
        </is>
      </c>
    </row>
    <row r="289">
      <c r="A289" s="7" t="n">
        <v>54</v>
      </c>
      <c r="B289" s="7" t="inlineStr">
        <is>
          <t>EuroHPC Joint Undertaking Regulation</t>
        </is>
      </c>
      <c r="C289" s="7" t="inlineStr">
        <is>
          <t>52020PC0569</t>
        </is>
      </c>
      <c r="D289" s="7" t="inlineStr">
        <is>
          <t>expected impact (impact assessment)</t>
        </is>
      </c>
      <c r="E289" s="7" t="inlineStr">
        <is>
          <t>Access for science and industry / AI</t>
        </is>
      </c>
      <c r="F289" s="7" t="inlineStr">
        <is>
          <t>Use of EuroHPC systems by researchers, industry, SMEs</t>
        </is>
      </c>
      <c r="G289" s="7" t="inlineStr"/>
      <c r="H289" s="7" t="inlineStr">
        <is>
          <t>19 AI Factories being deployed; JUPITER made available to first users end-2024; usage statistics for industry not reported in sources reviewed.</t>
        </is>
      </c>
      <c r="I289" s="7" t="inlineStr">
        <is>
          <t>reported as activity</t>
        </is>
      </c>
      <c r="J289" s="7" t="inlineStr">
        <is>
          <t>reported as activity</t>
        </is>
      </c>
      <c r="K289" s="7" t="inlineStr">
        <is>
          <t>COM(2025) 771</t>
        </is>
      </c>
    </row>
    <row r="290">
      <c r="A290" s="7" t="n">
        <v>54</v>
      </c>
      <c r="B290" s="7" t="inlineStr">
        <is>
          <t>EuroHPC Joint Undertaking Regulation</t>
        </is>
      </c>
      <c r="C290" s="7" t="inlineStr">
        <is>
          <t>52020PC0569</t>
        </is>
      </c>
      <c r="D290" s="7" t="inlineStr">
        <is>
          <t>legal target (Regulation)</t>
        </is>
      </c>
      <c r="E290" s="7" t="inlineStr">
        <is>
          <t>Private co-investment</t>
        </is>
      </c>
      <c r="F290" s="7" t="inlineStr">
        <is>
          <t>Private members' contributions</t>
        </is>
      </c>
      <c r="G290" s="7" t="inlineStr">
        <is>
          <t>EUR 900m under Horizon Europe; EUR 420m minimum under Horizon 2020</t>
        </is>
      </c>
      <c r="H290" s="7" t="inlineStr">
        <is>
          <t>ECA: private members contributed only about EUR 19.8m against the EUR 420m Horizon 2020 minimum; risk to the much larger 2021-2027 target rated medium.</t>
        </is>
      </c>
      <c r="I290" s="7" t="inlineStr">
        <is>
          <t>measured</t>
        </is>
      </c>
      <c r="J290" s="7" t="inlineStr">
        <is>
          <t>measured</t>
        </is>
      </c>
      <c r="K290" s="7" t="inlineStr">
        <is>
          <t>ECA 2025</t>
        </is>
      </c>
    </row>
    <row r="291">
      <c r="A291" s="7" t="n">
        <v>54</v>
      </c>
      <c r="B291" s="7" t="inlineStr">
        <is>
          <t>EuroHPC Joint Undertaking Regulation</t>
        </is>
      </c>
      <c r="C291" s="7" t="inlineStr">
        <is>
          <t>52020PC0569</t>
        </is>
      </c>
      <c r="D291" s="7" t="inlineStr">
        <is>
          <t>expected impact (impact assessment)</t>
        </is>
      </c>
      <c r="E291" s="7" t="inlineStr">
        <is>
          <t>EU HPC supply chain / technological sovereignty</t>
        </is>
      </c>
      <c r="F291" s="7" t="inlineStr">
        <is>
          <t>Share of European technology in EU systems; EU vendors' global share</t>
        </is>
      </c>
      <c r="G291" s="7" t="inlineStr"/>
      <c r="H291" s="7" t="inlineStr">
        <is>
          <t>JUPITER installed by European companies; no systematic market-share data found.</t>
        </is>
      </c>
      <c r="I291" s="7" t="inlineStr">
        <is>
          <t>not measured</t>
        </is>
      </c>
      <c r="J291" s="7" t="inlineStr">
        <is>
          <t>not measured</t>
        </is>
      </c>
      <c r="K291" s="7" t="inlineStr"/>
    </row>
    <row r="292">
      <c r="A292" s="7" t="n">
        <v>53</v>
      </c>
      <c r="B292" s="7" t="inlineStr">
        <is>
          <t>Temporary CSAM Derogation Regulation</t>
        </is>
      </c>
      <c r="C292" s="7" t="inlineStr">
        <is>
          <t>52020PC0568</t>
        </is>
      </c>
      <c r="D292" s="7" t="inlineStr">
        <is>
          <t>note</t>
        </is>
      </c>
      <c r="E292" s="7" t="inlineStr">
        <is>
          <t>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is>
      </c>
      <c r="F292" s="7" t="inlineStr"/>
      <c r="G292" s="7" t="inlineStr"/>
      <c r="H292" s="7" t="inlineStr"/>
      <c r="I292" s="7" t="inlineStr"/>
      <c r="J292" s="7" t="inlineStr"/>
      <c r="K292" s="7" t="inlineStr"/>
    </row>
    <row r="293">
      <c r="A293" s="7" t="n">
        <v>53</v>
      </c>
      <c r="B293" s="7" t="inlineStr">
        <is>
          <t>Temporary CSAM Derogation Regulation</t>
        </is>
      </c>
      <c r="C293" s="7" t="inlineStr">
        <is>
          <t>52020PC0568</t>
        </is>
      </c>
      <c r="D293" s="7" t="inlineStr">
        <is>
          <t>legal objective (Regulation)</t>
        </is>
      </c>
      <c r="E293" s="7" t="inlineStr">
        <is>
          <t>Continue voluntary detection and reporting of online child sexual abuse</t>
        </is>
      </c>
      <c r="F293" s="7" t="inlineStr">
        <is>
          <t>Reports of detected CSA; children identified; offenders convicted</t>
        </is>
      </c>
      <c r="G293" s="7" t="inlineStr"/>
      <c r="H293" s="7" t="inlineStr">
        <is>
          <t>Member State data incomplete and fragmented; Commission says a comprehensive and reliable overview of reports, children identified and convictions is not possible. Available data show thousands of children identified and millions of images/videos removed.</t>
        </is>
      </c>
      <c r="I293" s="7" t="inlineStr">
        <is>
          <t>partially measured</t>
        </is>
      </c>
      <c r="J293" s="7" t="inlineStr">
        <is>
          <t>partially measured</t>
        </is>
      </c>
      <c r="K293" s="7" t="inlineStr">
        <is>
          <t>COM(2023) 797; COM(2025) 740</t>
        </is>
      </c>
    </row>
    <row r="294">
      <c r="A294" s="7" t="n">
        <v>53</v>
      </c>
      <c r="B294" s="7" t="inlineStr">
        <is>
          <t>Temporary CSAM Derogation Regulation</t>
        </is>
      </c>
      <c r="C294" s="7" t="inlineStr">
        <is>
          <t>52020PC0568</t>
        </is>
      </c>
      <c r="D294" s="7" t="inlineStr">
        <is>
          <t>legal safeguard (Regulation)</t>
        </is>
      </c>
      <c r="E294" s="7" t="inlineStr">
        <is>
          <t>Accuracy / privacy</t>
        </is>
      </c>
      <c r="F294" s="7" t="inlineStr">
        <is>
          <t>Error ratios (false positives) of detection technologies</t>
        </is>
      </c>
      <c r="G294" s="7" t="inlineStr"/>
      <c r="H294" s="7" t="inlineStr">
        <is>
          <t>Providers report aggregate error ratios using different methods: e.g. Google 1.14% (2023) and 0.54% (2024) of hash-matched flags not confirmed on human review; Meta 0.32% and 0.12% of actioned items restored; Microsoft could not calculate. Not comparable.</t>
        </is>
      </c>
      <c r="I294" s="7" t="inlineStr">
        <is>
          <t>partially measured</t>
        </is>
      </c>
      <c r="J294" s="7" t="inlineStr">
        <is>
          <t>partially measured</t>
        </is>
      </c>
      <c r="K294" s="7" t="inlineStr">
        <is>
          <t>COM(2025) 740</t>
        </is>
      </c>
    </row>
    <row r="295">
      <c r="A295" s="7" t="n">
        <v>53</v>
      </c>
      <c r="B295" s="7" t="inlineStr">
        <is>
          <t>Temporary CSAM Derogation Regulation</t>
        </is>
      </c>
      <c r="C295" s="7" t="inlineStr">
        <is>
          <t>52020PC0568</t>
        </is>
      </c>
      <c r="D295" s="7" t="inlineStr">
        <is>
          <t>legal test (Article 9)</t>
        </is>
      </c>
      <c r="E295" s="7" t="inlineStr">
        <is>
          <t>Proportionality of the derogation</t>
        </is>
      </c>
      <c r="F295" s="7" t="inlineStr">
        <is>
          <t>Balance between child protection and users' privacy</t>
        </is>
      </c>
      <c r="G295" s="7" t="inlineStr"/>
      <c r="H295" s="7" t="inlineStr">
        <is>
          <t>Commission: available data insufficient for a definitive answer, though no indications that the derogation is not proportionate; providers gave no information on data protection impact assessments. EDPS (2026) calls for safeguards against general and indiscriminate scanning.</t>
        </is>
      </c>
      <c r="I295" s="7" t="inlineStr">
        <is>
          <t>mixed evidence</t>
        </is>
      </c>
      <c r="J295" s="7" t="inlineStr">
        <is>
          <t>mixed evidence</t>
        </is>
      </c>
      <c r="K295" s="7" t="inlineStr">
        <is>
          <t>COM(2025) 740; EDPS Opinion 7/2026</t>
        </is>
      </c>
    </row>
    <row r="296">
      <c r="A296" s="7" t="n">
        <v>62</v>
      </c>
      <c r="B296" s="7" t="inlineStr">
        <is>
          <t>Joint Undertakings under Horizon Europe</t>
        </is>
      </c>
      <c r="C296" s="7" t="inlineStr">
        <is>
          <t>52021PC0087</t>
        </is>
      </c>
      <c r="D296" s="7" t="inlineStr">
        <is>
          <t>note</t>
        </is>
      </c>
      <c r="E296" s="7" t="inlineStr">
        <is>
          <t>The proposal's LFS has no indicators (1.4.4 lists synergies); partnerships are monitored under Articles 45 and 47 and Annex III of the Horizon Europe Regulation and feed into Horizon Europe interim and ex-post evaluations</t>
        </is>
      </c>
      <c r="F296" s="7" t="inlineStr"/>
      <c r="G296" s="7" t="inlineStr"/>
      <c r="H296" s="7" t="inlineStr"/>
      <c r="I296" s="7" t="inlineStr"/>
      <c r="J296" s="7" t="inlineStr"/>
      <c r="K296" s="7" t="inlineStr"/>
    </row>
    <row r="297">
      <c r="A297" s="7" t="n">
        <v>62</v>
      </c>
      <c r="B297" s="7" t="inlineStr">
        <is>
          <t>Joint Undertakings under Horizon Europe</t>
        </is>
      </c>
      <c r="C297" s="7" t="inlineStr">
        <is>
          <t>52021PC0087</t>
        </is>
      </c>
      <c r="D297" s="7" t="inlineStr">
        <is>
          <t>expected impact (impact assessment)</t>
        </is>
      </c>
      <c r="E297" s="7" t="inlineStr">
        <is>
          <t>Leverage of private and national funding</t>
        </is>
      </c>
      <c r="F297" s="7" t="inlineStr">
        <is>
          <t>Non-EU contributions mobilised per EU euro (e.g. KDT/Chips 1:3 leverage)</t>
        </is>
      </c>
      <c r="G297" s="7" t="inlineStr">
        <is>
          <t>EU EUR 17.2bn to leverage EUR 21.3bn (123%) in 2021-2027</t>
        </is>
      </c>
      <c r="H297" s="7" t="inlineStr">
        <is>
          <t>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is>
      </c>
      <c r="I297" s="7" t="inlineStr">
        <is>
          <t>partially measured</t>
        </is>
      </c>
      <c r="J297" s="7" t="inlineStr">
        <is>
          <t>partially measured</t>
        </is>
      </c>
      <c r="K297" s="7" t="inlineStr">
        <is>
          <t>ECA 2025; SWD(2025) 110</t>
        </is>
      </c>
    </row>
    <row r="298">
      <c r="A298" s="7" t="n">
        <v>62</v>
      </c>
      <c r="B298" s="7" t="inlineStr">
        <is>
          <t>Joint Undertakings under Horizon Europe</t>
        </is>
      </c>
      <c r="C298" s="7" t="inlineStr">
        <is>
          <t>52021PC0087</t>
        </is>
      </c>
      <c r="D298" s="7" t="inlineStr">
        <is>
          <t>expected impact (impact assessment)</t>
        </is>
      </c>
      <c r="E298" s="7" t="inlineStr">
        <is>
          <t>Knowledge, innovation and value-chain resilience</t>
        </is>
      </c>
      <c r="F298" s="7" t="inlineStr">
        <is>
          <t>Scientific, economic and technological impacts of partnerships</t>
        </is>
      </c>
      <c r="G298" s="7" t="inlineStr"/>
      <c r="H298" s="7" t="inlineStr">
        <is>
          <t>HE interim evaluation: partnerships contributed to new knowledge and EU leadership in key technologies; only a smaller number of JUs had an impact on accelerating uptake of innovative solutions. Based on partnership evaluations, not counterfactual.</t>
        </is>
      </c>
      <c r="I298" s="7" t="inlineStr">
        <is>
          <t>partially measured</t>
        </is>
      </c>
      <c r="J298" s="7" t="inlineStr">
        <is>
          <t>partially measured</t>
        </is>
      </c>
      <c r="K298" s="7" t="inlineStr">
        <is>
          <t>SWD(2025) 110</t>
        </is>
      </c>
    </row>
    <row r="299">
      <c r="A299" s="7" t="n">
        <v>62</v>
      </c>
      <c r="B299" s="7" t="inlineStr">
        <is>
          <t>Joint Undertakings under Horizon Europe</t>
        </is>
      </c>
      <c r="C299" s="7" t="inlineStr">
        <is>
          <t>52021PC0087</t>
        </is>
      </c>
      <c r="D299" s="7" t="inlineStr">
        <is>
          <t>partnership criterion (Horizon Europe Regulation)</t>
        </is>
      </c>
      <c r="E299" s="7" t="inlineStr">
        <is>
          <t>Openness and SME participation</t>
        </is>
      </c>
      <c r="F299" s="7" t="inlineStr">
        <is>
          <t>New members; SME and widening-country participation</t>
        </is>
      </c>
      <c r="G299" s="7" t="inlineStr"/>
      <c r="H299" s="7" t="inlineStr">
        <is>
          <t>308 new organisations joined partnerships 2022-2024, mostly EIT KICs; few newcomers in JUs; only three JUs have SMEs as members; about 15% of JU funding went to SMEs.</t>
        </is>
      </c>
      <c r="I299" s="7" t="inlineStr">
        <is>
          <t>measured</t>
        </is>
      </c>
      <c r="J299" s="7" t="inlineStr">
        <is>
          <t>measured</t>
        </is>
      </c>
      <c r="K299" s="7" t="inlineStr">
        <is>
          <t>SWD(2025) 110</t>
        </is>
      </c>
    </row>
    <row r="300">
      <c r="A300" s="7" t="n">
        <v>62</v>
      </c>
      <c r="B300" s="7" t="inlineStr">
        <is>
          <t>Joint Undertakings under Horizon Europe</t>
        </is>
      </c>
      <c r="C300" s="7" t="inlineStr">
        <is>
          <t>52021PC0087</t>
        </is>
      </c>
      <c r="D300" s="7" t="inlineStr">
        <is>
          <t>expected impact (impact assessment)</t>
        </is>
      </c>
      <c r="E300" s="7" t="inlineStr">
        <is>
          <t>Sector targets (e.g. aviation emissions, rail, hydrogen, health)</t>
        </is>
      </c>
      <c r="F300" s="7" t="inlineStr">
        <is>
          <t>Sector-specific technology and climate targets</t>
        </is>
      </c>
      <c r="G300" s="7" t="inlineStr"/>
      <c r="H300" s="7" t="inlineStr">
        <is>
          <t>Too early; no ex-post measures of sector outcomes found. Predecessor (Horizon 2020) JUs covered in SWD(2024) 29.</t>
        </is>
      </c>
      <c r="I300" s="7" t="inlineStr">
        <is>
          <t>not measured</t>
        </is>
      </c>
      <c r="J300" s="7" t="inlineStr">
        <is>
          <t>not measured</t>
        </is>
      </c>
      <c r="K300" s="7" t="inlineStr"/>
    </row>
    <row r="301">
      <c r="A301" s="7" t="n">
        <v>70</v>
      </c>
      <c r="B301" s="7" t="inlineStr">
        <is>
          <t>Digital Decade Policy Programme Decision</t>
        </is>
      </c>
      <c r="C301" s="7" t="inlineStr">
        <is>
          <t>52021PC0574</t>
        </is>
      </c>
      <c r="D301" s="7" t="inlineStr">
        <is>
          <t>note</t>
        </is>
      </c>
      <c r="E301" s="7" t="inlineStr">
        <is>
          <t>No impact assessment (the Commission judged one unnecessary and issued a staff working document instead) and no LFS indicators. The Decision itself sets the 2030 digital targets (Article 4) with KPIs tracked in the annual State of the Digital Decade report</t>
        </is>
      </c>
      <c r="F301" s="7" t="inlineStr"/>
      <c r="G301" s="7" t="inlineStr"/>
      <c r="H301" s="7" t="inlineStr"/>
      <c r="I301" s="7" t="inlineStr"/>
      <c r="J301" s="7" t="inlineStr"/>
      <c r="K301" s="7" t="inlineStr"/>
    </row>
    <row r="302">
      <c r="A302" s="7" t="n">
        <v>70</v>
      </c>
      <c r="B302" s="7" t="inlineStr">
        <is>
          <t>Digital Decade Policy Programme Decision</t>
        </is>
      </c>
      <c r="C302" s="7" t="inlineStr">
        <is>
          <t>52021PC0574</t>
        </is>
      </c>
      <c r="D302" s="7" t="inlineStr">
        <is>
          <t>2030 target (Article 4)</t>
        </is>
      </c>
      <c r="E302" s="7" t="inlineStr">
        <is>
          <t>Connectivity</t>
        </is>
      </c>
      <c r="F302" s="7" t="inlineStr">
        <is>
          <t>Gigabit coverage for all households; 5G in all populated areas</t>
        </is>
      </c>
      <c r="G302" s="7" t="inlineStr">
        <is>
          <t>100% by 2030</t>
        </is>
      </c>
      <c r="H302" s="7" t="inlineStr">
        <is>
          <t>Basic 5G covers 96.8% of households (2026); fibre-to-the-premises 69% and very-high-capacity networks 82% (2025 report) - FTTP 'not enough to reach 100% by 2030'; stand-alone 5G lagging.</t>
        </is>
      </c>
      <c r="I302" s="7" t="inlineStr">
        <is>
          <t>measured</t>
        </is>
      </c>
      <c r="J302" s="7" t="inlineStr">
        <is>
          <t>measured</t>
        </is>
      </c>
      <c r="K302" s="7" t="inlineStr">
        <is>
          <t>COM(2025) 290; Commission news 17 June 2026</t>
        </is>
      </c>
    </row>
    <row r="303">
      <c r="A303" s="7" t="n">
        <v>70</v>
      </c>
      <c r="B303" s="7" t="inlineStr">
        <is>
          <t>Digital Decade Policy Programme Decision</t>
        </is>
      </c>
      <c r="C303" s="7" t="inlineStr">
        <is>
          <t>52021PC0574</t>
        </is>
      </c>
      <c r="D303" s="7" t="inlineStr">
        <is>
          <t>2030 target (Article 4)</t>
        </is>
      </c>
      <c r="E303" s="7" t="inlineStr">
        <is>
          <t>Digital transformation of businesses</t>
        </is>
      </c>
      <c r="F303" s="7" t="inlineStr">
        <is>
          <t>75% of enterprises using cloud, big data or AI</t>
        </is>
      </c>
      <c r="G303" s="7" t="inlineStr">
        <is>
          <t>75% by 2030</t>
        </is>
      </c>
      <c r="H303" s="7" t="inlineStr">
        <is>
          <t>2026: 46.7% of firms use cloud, 39.9% data analytics, nearly 20% AI; AI, cloud and data analytics progress rated 'deeply unsatisfactory' in 2025.</t>
        </is>
      </c>
      <c r="I303" s="7" t="inlineStr">
        <is>
          <t>measured</t>
        </is>
      </c>
      <c r="J303" s="7" t="inlineStr">
        <is>
          <t>measured</t>
        </is>
      </c>
      <c r="K303" s="7" t="inlineStr">
        <is>
          <t>COM(2025) 290; Commission news 17 June 2026</t>
        </is>
      </c>
    </row>
    <row r="304">
      <c r="A304" s="7" t="n">
        <v>70</v>
      </c>
      <c r="B304" s="7" t="inlineStr">
        <is>
          <t>Digital Decade Policy Programme Decision</t>
        </is>
      </c>
      <c r="C304" s="7" t="inlineStr">
        <is>
          <t>52021PC0574</t>
        </is>
      </c>
      <c r="D304" s="7" t="inlineStr">
        <is>
          <t>2030 target (Article 4)</t>
        </is>
      </c>
      <c r="E304" s="7" t="inlineStr">
        <is>
          <t>Skills</t>
        </is>
      </c>
      <c r="F304" s="7" t="inlineStr">
        <is>
          <t>80% of adults with basic digital skills; 20 million ICT specialists</t>
        </is>
      </c>
      <c r="G304" s="7" t="inlineStr">
        <is>
          <t>80%; 20m by 2030</t>
        </is>
      </c>
      <c r="H304" s="7" t="inlineStr">
        <is>
          <t>More than 60% have at least basic skills (2026); ICT specialist shortages and gender gap persist; both rated deeply unsatisfactory in 2025.</t>
        </is>
      </c>
      <c r="I304" s="7" t="inlineStr">
        <is>
          <t>measured</t>
        </is>
      </c>
      <c r="J304" s="7" t="inlineStr">
        <is>
          <t>measured</t>
        </is>
      </c>
      <c r="K304" s="7" t="inlineStr">
        <is>
          <t>COM(2025) 290; Commission news 17 June 2026</t>
        </is>
      </c>
    </row>
    <row r="305">
      <c r="A305" s="7" t="n">
        <v>70</v>
      </c>
      <c r="B305" s="7" t="inlineStr">
        <is>
          <t>Digital Decade Policy Programme Decision</t>
        </is>
      </c>
      <c r="C305" s="7" t="inlineStr">
        <is>
          <t>52021PC0574</t>
        </is>
      </c>
      <c r="D305" s="7" t="inlineStr">
        <is>
          <t>2030 target (Article 4)</t>
        </is>
      </c>
      <c r="E305" s="7" t="inlineStr">
        <is>
          <t>Semiconductors</t>
        </is>
      </c>
      <c r="F305" s="7" t="inlineStr">
        <is>
          <t>EU share of global semiconductor production</t>
        </is>
      </c>
      <c r="G305" s="7" t="inlineStr">
        <is>
          <t>20% by 2030</t>
        </is>
      </c>
      <c r="H305" s="7" t="inlineStr">
        <is>
          <t>About 10% of the global market at the programme's launch; secondary summaries of the 2026 report put it at 9%, far below target; the Commission says semiconductors still lag.</t>
        </is>
      </c>
      <c r="I305" s="7" t="inlineStr">
        <is>
          <t>measured</t>
        </is>
      </c>
      <c r="J305" s="7" t="inlineStr">
        <is>
          <t>measured</t>
        </is>
      </c>
      <c r="K305" s="7" t="inlineStr">
        <is>
          <t>COM(2025) 771; Commission news 17 June 2026</t>
        </is>
      </c>
    </row>
    <row r="306">
      <c r="A306" s="7" t="n">
        <v>70</v>
      </c>
      <c r="B306" s="7" t="inlineStr">
        <is>
          <t>Digital Decade Policy Programme Decision</t>
        </is>
      </c>
      <c r="C306" s="7" t="inlineStr">
        <is>
          <t>52021PC0574</t>
        </is>
      </c>
      <c r="D306" s="7" t="inlineStr">
        <is>
          <t>2030 target (Article 4)</t>
        </is>
      </c>
      <c r="E306" s="7" t="inlineStr">
        <is>
          <t>Digital public services</t>
        </is>
      </c>
      <c r="F306" s="7" t="inlineStr">
        <is>
          <t>100% key public services online</t>
        </is>
      </c>
      <c r="G306" s="7" t="inlineStr">
        <is>
          <t>100% by 2030</t>
        </is>
      </c>
      <c r="H306" s="7" t="inlineStr">
        <is>
          <t>82% for citizens and 86% for businesses (2025 report).</t>
        </is>
      </c>
      <c r="I306" s="7" t="inlineStr">
        <is>
          <t>measured</t>
        </is>
      </c>
      <c r="J306" s="7" t="inlineStr">
        <is>
          <t>measured</t>
        </is>
      </c>
      <c r="K306" s="7" t="inlineStr">
        <is>
          <t>COM(2025) 290</t>
        </is>
      </c>
    </row>
    <row r="307">
      <c r="A307" s="7" t="n">
        <v>70</v>
      </c>
      <c r="B307" s="7" t="inlineStr">
        <is>
          <t>Digital Decade Policy Programme Decision</t>
        </is>
      </c>
      <c r="C307" s="7" t="inlineStr">
        <is>
          <t>52021PC0574</t>
        </is>
      </c>
      <c r="D307" s="7" t="inlineStr">
        <is>
          <t>governance mechanism (Articles 7-9)</t>
        </is>
      </c>
      <c r="E307" s="7" t="inlineStr">
        <is>
          <t>Member State action</t>
        </is>
      </c>
      <c r="F307" s="7" t="inlineStr">
        <is>
          <t>National roadmaps and follow-up of recommendations</t>
        </is>
      </c>
      <c r="G307" s="7" t="inlineStr"/>
      <c r="H307" s="7" t="inlineStr">
        <is>
          <t>All Member States adopted roadmaps: 1,910 measures worth EUR 288.6bn (EUR 205.1bn public, 1.14% of EU GDP); 57% of 306 country recommendations from 2024 addressed, mostly only partly (12% significant changes).</t>
        </is>
      </c>
      <c r="I307" s="7" t="inlineStr">
        <is>
          <t>measured</t>
        </is>
      </c>
      <c r="J307" s="7" t="inlineStr">
        <is>
          <t>measured</t>
        </is>
      </c>
      <c r="K307" s="7" t="inlineStr">
        <is>
          <t>COM(2025) 290</t>
        </is>
      </c>
    </row>
    <row r="308">
      <c r="A308" s="7" t="n">
        <v>61</v>
      </c>
      <c r="B308" s="7" t="inlineStr">
        <is>
          <t>NIS 2 Directive</t>
        </is>
      </c>
      <c r="C308" s="7" t="inlineStr">
        <is>
          <t>52020PC0823</t>
        </is>
      </c>
      <c r="D308" s="7" t="inlineStr">
        <is>
          <t>note</t>
        </is>
      </c>
      <c r="E308" s="7" t="inlineStr">
        <is>
          <t>The NIS 2 proposal's financial statement lists no result indicators (its 1.4.4 covers synergies); monitoring indicators are set out in Annexes 11-12 of the impact assessment and rely on ENISA's investment survey and State of Cybersecurity report</t>
        </is>
      </c>
      <c r="F308" s="7" t="inlineStr"/>
      <c r="G308" s="7" t="inlineStr"/>
      <c r="H308" s="7" t="inlineStr"/>
      <c r="I308" s="7" t="inlineStr"/>
      <c r="J308" s="7" t="inlineStr"/>
      <c r="K308" s="7" t="inlineStr"/>
    </row>
    <row r="309">
      <c r="A309" s="7" t="n">
        <v>61</v>
      </c>
      <c r="B309" s="7" t="inlineStr">
        <is>
          <t>NIS 2 Directive</t>
        </is>
      </c>
      <c r="C309" s="7" t="inlineStr">
        <is>
          <t>52020PC0823</t>
        </is>
      </c>
      <c r="D309" s="7" t="inlineStr">
        <is>
          <t>monitoring indicator (IA Annex 11)</t>
        </is>
      </c>
      <c r="E309" s="7" t="inlineStr">
        <is>
          <t>Raise cyber resilience across all relevant sectors</t>
        </is>
      </c>
      <c r="F309" s="7" t="inlineStr">
        <is>
          <t>Sector-specific ICT security spending as % of ICT spending converging (target: within 1 pp of sector average)</t>
        </is>
      </c>
      <c r="G309" s="7" t="inlineStr">
        <is>
          <t>IA baseline: no data on NIS1's effect on security spending</t>
        </is>
      </c>
      <c r="H309" s="7" t="inlineStr">
        <is>
          <t>ENISA's annual survey tracks the share of IT budgets spent on information security: 7.1% (2023 report), 9.0% (2024, n=1,350), about 9% again in 2025 (median EUR 1.5m). 2024 data are a pre-NIS2 baseline; sector convergence not yet assessed against the target.</t>
        </is>
      </c>
      <c r="I309" s="7" t="inlineStr">
        <is>
          <t>partially measured</t>
        </is>
      </c>
      <c r="J309" s="7" t="inlineStr">
        <is>
          <t>partially measured</t>
        </is>
      </c>
      <c r="K309" s="7" t="inlineStr">
        <is>
          <t>ENISA NIS Investments 2023-2025</t>
        </is>
      </c>
    </row>
    <row r="310">
      <c r="A310" s="7" t="n">
        <v>61</v>
      </c>
      <c r="B310" s="7" t="inlineStr">
        <is>
          <t>NIS 2 Directive</t>
        </is>
      </c>
      <c r="C310" s="7" t="inlineStr">
        <is>
          <t>52020PC0823</t>
        </is>
      </c>
      <c r="D310" s="7" t="inlineStr">
        <is>
          <t>expected impact (impact assessment)</t>
        </is>
      </c>
      <c r="E310" s="7" t="inlineStr">
        <is>
          <t>Compliance cost for companies</t>
        </is>
      </c>
      <c r="F310" s="7" t="inlineStr">
        <is>
          <t>ICT security spending increase of up to 22% in first years for newly covered entities (12% for entities already under NIS1)</t>
        </is>
      </c>
      <c r="G310" s="7" t="inlineStr">
        <is>
          <t>+12% to +22%</t>
        </is>
      </c>
      <c r="H310" s="7" t="inlineStr">
        <is>
          <t>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is>
      </c>
      <c r="I310" s="7" t="inlineStr">
        <is>
          <t>partially measured</t>
        </is>
      </c>
      <c r="J310" s="7" t="inlineStr">
        <is>
          <t>partially measured</t>
        </is>
      </c>
      <c r="K310" s="7" t="inlineStr">
        <is>
          <t>ENISA NIS Investments 2024, 2025</t>
        </is>
      </c>
    </row>
    <row r="311">
      <c r="A311" s="7" t="n">
        <v>61</v>
      </c>
      <c r="B311" s="7" t="inlineStr">
        <is>
          <t>NIS 2 Directive</t>
        </is>
      </c>
      <c r="C311" s="7" t="inlineStr">
        <is>
          <t>52020PC0823</t>
        </is>
      </c>
      <c r="D311" s="7" t="inlineStr">
        <is>
          <t>expected impact (impact assessment)</t>
        </is>
      </c>
      <c r="E311" s="7" t="inlineStr">
        <is>
          <t>Fewer and cheaper incidents</t>
        </is>
      </c>
      <c r="F311" s="7" t="inlineStr">
        <is>
          <t>Reduction in cost of cybersecurity incidents of EUR 11.3bn over ten years</t>
        </is>
      </c>
      <c r="G311" s="7" t="inlineStr">
        <is>
          <t>EUR 11.3bn / 10 years</t>
        </is>
      </c>
      <c r="H311" s="7" t="inlineStr">
        <is>
          <t>Not measured. No EU-level series on incident costs exists; the IA itself notes the lack of systematic data. ENISA 2025 reports 28% of organisations take over three months to patch critical vulnerabilities and 30% did no security assessment in the past year.</t>
        </is>
      </c>
      <c r="I311" s="7" t="inlineStr">
        <is>
          <t>not measured</t>
        </is>
      </c>
      <c r="J311" s="7" t="inlineStr">
        <is>
          <t>not measured</t>
        </is>
      </c>
      <c r="K311" s="7" t="inlineStr">
        <is>
          <t>SWD(2020) 344; ENISA NIS Investments 2025</t>
        </is>
      </c>
    </row>
    <row r="312">
      <c r="A312" s="7" t="n">
        <v>61</v>
      </c>
      <c r="B312" s="7" t="inlineStr">
        <is>
          <t>NIS 2 Directive</t>
        </is>
      </c>
      <c r="C312" s="7" t="inlineStr">
        <is>
          <t>52020PC0823</t>
        </is>
      </c>
      <c r="D312" s="7" t="inlineStr">
        <is>
          <t>expected impact (impact assessment)</t>
        </is>
      </c>
      <c r="E312" s="7" t="inlineStr">
        <is>
          <t>National authorities</t>
        </is>
      </c>
      <c r="F312" s="7" t="inlineStr">
        <is>
          <t>Resources of competent authorities up about 20-30%</t>
        </is>
      </c>
      <c r="G312" s="7" t="inlineStr">
        <is>
          <t>+20-30%</t>
        </is>
      </c>
      <c r="H312" s="7" t="inlineStr">
        <is>
          <t>No systematic data found on authorities' resources since 2023.</t>
        </is>
      </c>
      <c r="I312" s="7" t="inlineStr">
        <is>
          <t>not measured</t>
        </is>
      </c>
      <c r="J312" s="7" t="inlineStr">
        <is>
          <t>not measured</t>
        </is>
      </c>
      <c r="K312" s="7" t="inlineStr">
        <is>
          <t>SWD(2020) 344</t>
        </is>
      </c>
    </row>
    <row r="313">
      <c r="A313" s="7" t="n">
        <v>61</v>
      </c>
      <c r="B313" s="7" t="inlineStr">
        <is>
          <t>NIS 2 Directive</t>
        </is>
      </c>
      <c r="C313" s="7" t="inlineStr">
        <is>
          <t>52020PC0823</t>
        </is>
      </c>
      <c r="D313" s="7" t="inlineStr">
        <is>
          <t>monitoring indicator (IA Annex 11)</t>
        </is>
      </c>
      <c r="E313" s="7" t="inlineStr">
        <is>
          <t>Consistent implementation across Member States</t>
        </is>
      </c>
      <c r="F313" s="7" t="inlineStr">
        <is>
          <t>Timely and consistent transposition; peer reviews and comparative assessments</t>
        </is>
      </c>
      <c r="G313" s="7" t="inlineStr">
        <is>
          <t>Transposition deadline 17 Oct 2024</t>
        </is>
      </c>
      <c r="H313" s="7" t="inlineStr">
        <is>
          <t>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is>
      </c>
      <c r="I313" s="7" t="inlineStr">
        <is>
          <t>reported as activity</t>
        </is>
      </c>
      <c r="J313" s="7" t="inlineStr">
        <is>
          <t>reported as activity</t>
        </is>
      </c>
      <c r="K313" s="7" t="inlineStr">
        <is>
          <t>Commission IP/26/1499; ENISA 2024</t>
        </is>
      </c>
    </row>
    <row r="314">
      <c r="A314" s="7" t="n">
        <v>63</v>
      </c>
      <c r="B314" s="7" t="inlineStr">
        <is>
          <t>Roaming Regulation</t>
        </is>
      </c>
      <c r="C314" s="7" t="inlineStr">
        <is>
          <t>52021PC0085</t>
        </is>
      </c>
      <c r="D314" s="7" t="inlineStr">
        <is>
          <t>note</t>
        </is>
      </c>
      <c r="E314" s="7" t="inlineStr">
        <is>
          <t>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is>
      </c>
      <c r="F314" s="7" t="inlineStr"/>
      <c r="G314" s="7" t="inlineStr"/>
      <c r="H314" s="7" t="inlineStr"/>
      <c r="I314" s="7" t="inlineStr"/>
      <c r="J314" s="7" t="inlineStr"/>
      <c r="K314" s="7" t="inlineStr"/>
    </row>
    <row r="315">
      <c r="A315" s="7" t="n">
        <v>63</v>
      </c>
      <c r="B315" s="7" t="inlineStr">
        <is>
          <t>Roaming Regulation</t>
        </is>
      </c>
      <c r="C315" s="7" t="inlineStr">
        <is>
          <t>52021PC0085</t>
        </is>
      </c>
      <c r="D315" s="7" t="inlineStr">
        <is>
          <t>expected impact (impact assessment)</t>
        </is>
      </c>
      <c r="E315" s="7" t="inlineStr">
        <is>
          <t>Sustainable RLAH</t>
        </is>
      </c>
      <c r="F315" s="7" t="inlineStr">
        <is>
          <t>Fewer operators with unsustainable roaming margins (reduction of 42% in 2023 and 52% in 2025 vs baseline); users at risk of surcharges under derogations reduced by more than 40%</t>
        </is>
      </c>
      <c r="G315" s="7" t="inlineStr">
        <is>
          <t>-42% (2023), -52% (2025); &gt;40% fewer users at risk</t>
        </is>
      </c>
      <c r="H315" s="7" t="inlineStr">
        <is>
          <t>Since 2022 no mobile network operator has requested a sustainability derogation; volumes subject to surcharges below 0.82% in every Member State considered; actual wholesale data prices fell to EUR 0.7/GB in Q3 2024 (-50% vs Q3 2021).</t>
        </is>
      </c>
      <c r="I315" s="7" t="inlineStr">
        <is>
          <t>measured</t>
        </is>
      </c>
      <c r="J315" s="7" t="inlineStr">
        <is>
          <t>measured</t>
        </is>
      </c>
      <c r="K315" s="7" t="inlineStr">
        <is>
          <t>COM(2025) 324</t>
        </is>
      </c>
    </row>
    <row r="316">
      <c r="A316" s="7" t="n">
        <v>63</v>
      </c>
      <c r="B316" s="7" t="inlineStr">
        <is>
          <t>Roaming Regulation</t>
        </is>
      </c>
      <c r="C316" s="7" t="inlineStr">
        <is>
          <t>52021PC0085</t>
        </is>
      </c>
      <c r="D316" s="7" t="inlineStr">
        <is>
          <t>lesson from past (proposal 1.4.3)</t>
        </is>
      </c>
      <c r="E316" s="7" t="inlineStr">
        <is>
          <t>Roaming consumption</t>
        </is>
      </c>
      <c r="F316" s="7" t="inlineStr">
        <is>
          <t>Unleash demand: retail roaming traffic tripled for voice and rose twelve-fold for data between summer 2016 and 2018</t>
        </is>
      </c>
      <c r="G316" s="7" t="inlineStr">
        <is>
          <t>Data x12, voice x3 (2016-18)</t>
        </is>
      </c>
      <c r="H316" s="7" t="inlineStr">
        <is>
          <t>Data roaming up 48-fold in Q3 since 2017; voice slowly declining since 2019 (OTT substitution). Causal studies confirm large traffic and consumer-surplus gains (EUR 2.44 per user per travel day).</t>
        </is>
      </c>
      <c r="I316" s="7" t="inlineStr">
        <is>
          <t>measured</t>
        </is>
      </c>
      <c r="J316" s="7" t="inlineStr">
        <is>
          <t>measured</t>
        </is>
      </c>
      <c r="K316" s="7" t="inlineStr">
        <is>
          <t>COM(2019) 616; COM(2025) 324; Quinn et al. 2024; Canzian et al. 2025</t>
        </is>
      </c>
    </row>
    <row r="317">
      <c r="A317" s="7" t="n">
        <v>63</v>
      </c>
      <c r="B317" s="7" t="inlineStr">
        <is>
          <t>Roaming Regulation</t>
        </is>
      </c>
      <c r="C317" s="7" t="inlineStr">
        <is>
          <t>52021PC0085</t>
        </is>
      </c>
      <c r="D317" s="7" t="inlineStr">
        <is>
          <t>expected impact (impact assessment)</t>
        </is>
      </c>
      <c r="E317" s="7" t="inlineStr">
        <is>
          <t>No domestic price increases (waterbed)</t>
        </is>
      </c>
      <c r="F317" s="7" t="inlineStr">
        <is>
          <t>RLAH should not raise domestic prices</t>
        </is>
      </c>
      <c r="G317" s="7" t="inlineStr"/>
      <c r="H317" s="7" t="inlineStr">
        <is>
          <t>BEREC data: domestic average revenue per paying user stable 2019-2024. Grzybowski &amp; Muñoz-Acevedo find the regulation reduced operator revenue per user but had no effect on tariffs in the latest phase.</t>
        </is>
      </c>
      <c r="I317" s="7" t="inlineStr">
        <is>
          <t>measured</t>
        </is>
      </c>
      <c r="J317" s="7" t="inlineStr">
        <is>
          <t>measured</t>
        </is>
      </c>
      <c r="K317" s="7" t="inlineStr">
        <is>
          <t>COM(2025) 324; Grzybowski &amp; Muñoz-Acevedo 2023</t>
        </is>
      </c>
    </row>
    <row r="318">
      <c r="A318" s="7" t="n">
        <v>63</v>
      </c>
      <c r="B318" s="7" t="inlineStr">
        <is>
          <t>Roaming Regulation</t>
        </is>
      </c>
      <c r="C318" s="7" t="inlineStr">
        <is>
          <t>52021PC0085</t>
        </is>
      </c>
      <c r="D318" s="7" t="inlineStr">
        <is>
          <t>expected impact (impact assessment)</t>
        </is>
      </c>
      <c r="E318" s="7" t="inlineStr">
        <is>
          <t>Quality of service abroad</t>
        </is>
      </c>
      <c r="F318" s="7" t="inlineStr">
        <is>
          <t>Roaming customers get the same quality (speed, network generation) as at home where technically feasible</t>
        </is>
      </c>
      <c r="G318" s="7" t="inlineStr"/>
      <c r="H318" s="7" t="inlineStr">
        <is>
          <t>2025 study for the Commission: 76% of roaming users had lower download speeds than on their home network and latency was worse in 92% of cases; compliance 'could be significantly improved'. Complaints low; about 80% of travellers say they benefit.</t>
        </is>
      </c>
      <c r="I318" s="7" t="inlineStr">
        <is>
          <t>measured</t>
        </is>
      </c>
      <c r="J318" s="7" t="inlineStr">
        <is>
          <t>measured</t>
        </is>
      </c>
      <c r="K318" s="7" t="inlineStr">
        <is>
          <t>COM(2025) 324 (Mozark QoS study)</t>
        </is>
      </c>
    </row>
    <row r="319">
      <c r="A319" s="7" t="n">
        <v>69</v>
      </c>
      <c r="B319" s="7" t="inlineStr">
        <is>
          <t>Vertical Block Exemption Regulation</t>
        </is>
      </c>
      <c r="C319" s="7" t="inlineStr">
        <is>
          <t>None (Commission regulation)</t>
        </is>
      </c>
      <c r="D319" s="7" t="inlineStr">
        <is>
          <t>note</t>
        </is>
      </c>
      <c r="E319" s="7" t="inlineStr">
        <is>
          <t>Commission regulation adopted under Article 101(3) TFEU - no legislative proposal or LFS indicators. The accompanying 2022 impact assessment and the 2020 evaluation of the 2010 VBER set the objectives; the Regulation expires 31 May 2034 and no ex-post evaluation exists yet</t>
        </is>
      </c>
      <c r="F319" s="7" t="inlineStr"/>
      <c r="G319" s="7" t="inlineStr"/>
      <c r="H319" s="7" t="inlineStr"/>
      <c r="I319" s="7" t="inlineStr"/>
      <c r="J319" s="7" t="inlineStr"/>
      <c r="K319" s="7" t="inlineStr"/>
    </row>
    <row r="320">
      <c r="A320" s="7" t="n">
        <v>69</v>
      </c>
      <c r="B320" s="7" t="inlineStr">
        <is>
          <t>Vertical Block Exemption Regulation</t>
        </is>
      </c>
      <c r="C320" s="7" t="inlineStr">
        <is>
          <t>None (Commission regulation)</t>
        </is>
      </c>
      <c r="D320" s="7" t="inlineStr">
        <is>
          <t>objective (impact assessment)</t>
        </is>
      </c>
      <c r="E320" s="7" t="inlineStr">
        <is>
          <t>Legal certainty and lower compliance costs</t>
        </is>
      </c>
      <c r="F320" s="7" t="inlineStr">
        <is>
          <t>Clearer safe harbour, reduced self-assessment costs for businesses</t>
        </is>
      </c>
      <c r="G320" s="7" t="inlineStr"/>
      <c r="H320" s="7" t="inlineStr">
        <is>
          <t>Not measured. The 2020 evaluation itself found too little quantitative data to assess compliance costs robustly.</t>
        </is>
      </c>
      <c r="I320" s="7" t="inlineStr">
        <is>
          <t>not measured</t>
        </is>
      </c>
      <c r="J320" s="7" t="inlineStr">
        <is>
          <t>not measured</t>
        </is>
      </c>
      <c r="K320" s="7" t="inlineStr">
        <is>
          <t>SWD(2020) 172</t>
        </is>
      </c>
    </row>
    <row r="321">
      <c r="A321" s="7" t="n">
        <v>69</v>
      </c>
      <c r="B321" s="7" t="inlineStr">
        <is>
          <t>Vertical Block Exemption Regulation</t>
        </is>
      </c>
      <c r="C321" s="7" t="inlineStr">
        <is>
          <t>None (Commission regulation)</t>
        </is>
      </c>
      <c r="D321" s="7" t="inlineStr">
        <is>
          <t>objective (impact assessment)</t>
        </is>
      </c>
      <c r="E321" s="7" t="inlineStr">
        <is>
          <t>Adapt rules to online sales and platforms</t>
        </is>
      </c>
      <c r="F321" s="7" t="inlineStr">
        <is>
          <t>Treatment of wide retail parity clauses (no longer block-exempted), online sales restrictions, dual distribution</t>
        </is>
      </c>
      <c r="G321" s="7" t="inlineStr"/>
      <c r="H321" s="7" t="inlineStr">
        <is>
          <t>No study of the 2022 rules' effects found. Earlier causal studies of national bans on hotel-booking parity clauses (Germany, France) found more room availability and direct-channel price competition and some short-run price falls - background evidence for the change.</t>
        </is>
      </c>
      <c r="I321" s="7" t="inlineStr">
        <is>
          <t>not measured (background evidence only)</t>
        </is>
      </c>
      <c r="J321" s="7" t="inlineStr">
        <is>
          <t>not measured</t>
        </is>
      </c>
      <c r="K321" s="7" t="inlineStr">
        <is>
          <t>Hunold et al. 2018; Mantovani et al. 2021</t>
        </is>
      </c>
    </row>
    <row r="322">
      <c r="A322" s="7" t="n">
        <v>69</v>
      </c>
      <c r="B322" s="7" t="inlineStr">
        <is>
          <t>Vertical Block Exemption Regulation</t>
        </is>
      </c>
      <c r="C322" s="7" t="inlineStr">
        <is>
          <t>None (Commission regulation)</t>
        </is>
      </c>
      <c r="D322" s="7" t="inlineStr">
        <is>
          <t>objective (impact assessment)</t>
        </is>
      </c>
      <c r="E322" s="7" t="inlineStr">
        <is>
          <t>Prevent consumer harm from vertical restraints</t>
        </is>
      </c>
      <c r="F322" s="7" t="inlineStr">
        <is>
          <t>Fewer harmful restrictions (e.g. resale price maintenance, territorial restrictions)</t>
        </is>
      </c>
      <c r="G322" s="7" t="inlineStr"/>
      <c r="H322" s="7" t="inlineStr">
        <is>
          <t>Enforcement continues case by case; no aggregate measure.</t>
        </is>
      </c>
      <c r="I322" s="7" t="inlineStr">
        <is>
          <t>not measured</t>
        </is>
      </c>
      <c r="J322" s="7" t="inlineStr">
        <is>
          <t>not measured</t>
        </is>
      </c>
      <c r="K322" s="7" t="inlineStr"/>
    </row>
    <row r="323">
      <c r="A323" s="7" t="n">
        <v>55</v>
      </c>
      <c r="B323" s="7" t="inlineStr">
        <is>
          <t>DLT Pilot Regime Regulation</t>
        </is>
      </c>
      <c r="C323" s="7" t="inlineStr">
        <is>
          <t>52020PC0594</t>
        </is>
      </c>
      <c r="D323" s="7" t="inlineStr">
        <is>
          <t>note</t>
        </is>
      </c>
      <c r="E323" s="7" t="inlineStr">
        <is>
          <t>The proposal has no LFS indicators section (extraction empty). Article 14 requires an ESMA report and a Commission report after three years on whether to extend, amend or make the regime permanent</t>
        </is>
      </c>
      <c r="F323" s="7" t="inlineStr"/>
      <c r="G323" s="7" t="inlineStr"/>
      <c r="H323" s="7" t="inlineStr"/>
      <c r="I323" s="7" t="inlineStr"/>
      <c r="J323" s="7" t="inlineStr"/>
      <c r="K323" s="7" t="inlineStr"/>
    </row>
    <row r="324">
      <c r="A324" s="7" t="n">
        <v>55</v>
      </c>
      <c r="B324" s="7" t="inlineStr">
        <is>
          <t>DLT Pilot Regime Regulation</t>
        </is>
      </c>
      <c r="C324" s="7" t="inlineStr">
        <is>
          <t>52020PC0594</t>
        </is>
      </c>
      <c r="D324" s="7" t="inlineStr">
        <is>
          <t>expected impact (impact assessment)</t>
        </is>
      </c>
      <c r="E324" s="7" t="inlineStr">
        <is>
          <t>Development of DLT market infrastructures</t>
        </is>
      </c>
      <c r="F324" s="7" t="inlineStr">
        <is>
          <t>Number of DLT market infrastructures authorised and operating</t>
        </is>
      </c>
      <c r="G324" s="7" t="inlineStr"/>
      <c r="H324" s="7" t="inlineStr">
        <is>
          <t>By 31 May 2025 only three authorised (CSD Prague, 21X AG, 360X AG) with minimal live trading activity; growing applicant interest reported.</t>
        </is>
      </c>
      <c r="I324" s="7" t="inlineStr">
        <is>
          <t>measured</t>
        </is>
      </c>
      <c r="J324" s="7" t="inlineStr">
        <is>
          <t>measured</t>
        </is>
      </c>
      <c r="K324" s="7" t="inlineStr">
        <is>
          <t>ESMA 2025</t>
        </is>
      </c>
    </row>
    <row r="325">
      <c r="A325" s="7" t="n">
        <v>55</v>
      </c>
      <c r="B325" s="7" t="inlineStr">
        <is>
          <t>DLT Pilot Regime Regulation</t>
        </is>
      </c>
      <c r="C325" s="7" t="inlineStr">
        <is>
          <t>52020PC0594</t>
        </is>
      </c>
      <c r="D325" s="7" t="inlineStr">
        <is>
          <t>expected impact (impact assessment)</t>
        </is>
      </c>
      <c r="E325" s="7" t="inlineStr">
        <is>
          <t>Competition with legacy infrastructures / EU competitiveness</t>
        </is>
      </c>
      <c r="F325" s="7" t="inlineStr">
        <is>
          <t>New entrants competing with incumbent trading and settlement venues</t>
        </is>
      </c>
      <c r="G325" s="7" t="inlineStr"/>
      <c r="H325" s="7" t="inlineStr">
        <is>
          <t>Not measured; ESMA finds current thresholds restrict participation and cites lack of interoperability and access to central bank money. Commission proposed in Dec 2025 to make the regime permanent and lift the aggregate cap from EUR 6bn to EUR 100bn.</t>
        </is>
      </c>
      <c r="I325" s="7" t="inlineStr">
        <is>
          <t>not measured</t>
        </is>
      </c>
      <c r="J325" s="7" t="inlineStr">
        <is>
          <t>not measured</t>
        </is>
      </c>
      <c r="K325" s="7" t="inlineStr">
        <is>
          <t>ESMA 2025; SWD(2025) 943</t>
        </is>
      </c>
    </row>
    <row r="326">
      <c r="A326" s="7" t="n">
        <v>55</v>
      </c>
      <c r="B326" s="7" t="inlineStr">
        <is>
          <t>DLT Pilot Regime Regulation</t>
        </is>
      </c>
      <c r="C326" s="7" t="inlineStr">
        <is>
          <t>52020PC0594</t>
        </is>
      </c>
      <c r="D326" s="7" t="inlineStr">
        <is>
          <t>expected impact (impact assessment)</t>
        </is>
      </c>
      <c r="E326" s="7" t="inlineStr">
        <is>
          <t>Costs</t>
        </is>
      </c>
      <c r="F326" s="7" t="inlineStr">
        <is>
          <t>Small compliance costs for venues; NCA supervision EUR 150,000-250,000 per year</t>
        </is>
      </c>
      <c r="G326" s="7" t="inlineStr"/>
      <c r="H326" s="7" t="inlineStr">
        <is>
          <t>Not evaluated.</t>
        </is>
      </c>
      <c r="I326" s="7" t="inlineStr">
        <is>
          <t>not measured</t>
        </is>
      </c>
      <c r="J326" s="7" t="inlineStr">
        <is>
          <t>not measured</t>
        </is>
      </c>
      <c r="K326" s="7" t="inlineStr">
        <is>
          <t>SWD(2020) 202</t>
        </is>
      </c>
    </row>
    <row r="327">
      <c r="A327" s="7" t="n">
        <v>58</v>
      </c>
      <c r="B327" s="7" t="inlineStr">
        <is>
          <t>Data Governance Act</t>
        </is>
      </c>
      <c r="C327" s="7" t="inlineStr">
        <is>
          <t>52020PC0767</t>
        </is>
      </c>
      <c r="D327" s="7" t="inlineStr">
        <is>
          <t>note</t>
        </is>
      </c>
      <c r="E327" s="7" t="inlineStr">
        <is>
          <t>The proposal has no LFS indicator section; the memorandum promised monitoring via stakeholder surveys, the Support Centre for Data Sharing, records of the European Data Innovation Board and an evaluation study</t>
        </is>
      </c>
      <c r="F327" s="7" t="inlineStr"/>
      <c r="G327" s="7" t="inlineStr"/>
      <c r="H327" s="7" t="inlineStr"/>
      <c r="I327" s="7" t="inlineStr"/>
      <c r="J327" s="7" t="inlineStr"/>
      <c r="K327" s="7" t="inlineStr"/>
    </row>
    <row r="328">
      <c r="A328" s="7" t="n">
        <v>58</v>
      </c>
      <c r="B328" s="7" t="inlineStr">
        <is>
          <t>Data Governance Act</t>
        </is>
      </c>
      <c r="C328" s="7" t="inlineStr">
        <is>
          <t>52020PC0767</t>
        </is>
      </c>
      <c r="D328" s="7" t="inlineStr">
        <is>
          <t>expected impact (impact assessment)</t>
        </is>
      </c>
      <c r="E328" s="7" t="inlineStr">
        <is>
          <t>Data economy</t>
        </is>
      </c>
      <c r="F328" s="7" t="inlineStr">
        <is>
          <t>Direct impact on the EU data economy of EUR 7.2-10.9bn in 2028</t>
        </is>
      </c>
      <c r="G328" s="7" t="inlineStr">
        <is>
          <t>EUR 7.2-10.9bn (2028)</t>
        </is>
      </c>
      <c r="H328" s="7" t="inlineStr">
        <is>
          <t>Not measured. The Commission's implementation study (announced with the Digital Omnibus) was not yet published; the Omnibus proposes repealing the DGA and moving its rules into the Data Act.</t>
        </is>
      </c>
      <c r="I328" s="7" t="inlineStr">
        <is>
          <t>not measured</t>
        </is>
      </c>
      <c r="J328" s="7" t="inlineStr">
        <is>
          <t>not measured</t>
        </is>
      </c>
      <c r="K328" s="7" t="inlineStr">
        <is>
          <t>SWD(2020) 295/296; COM(2025) 837</t>
        </is>
      </c>
    </row>
    <row r="329">
      <c r="A329" s="7" t="n">
        <v>58</v>
      </c>
      <c r="B329" s="7" t="inlineStr">
        <is>
          <t>Data Governance Act</t>
        </is>
      </c>
      <c r="C329" s="7" t="inlineStr">
        <is>
          <t>52020PC0767</t>
        </is>
      </c>
      <c r="D329" s="7" t="inlineStr">
        <is>
          <t>expected result</t>
        </is>
      </c>
      <c r="E329" s="7" t="inlineStr">
        <is>
          <t>Trusted data intermediaries</t>
        </is>
      </c>
      <c r="F329" s="7" t="inlineStr">
        <is>
          <t>Uptake of notified data intermediation services</t>
        </is>
      </c>
      <c r="G329" s="7" t="inlineStr"/>
      <c r="H329" s="7" t="inlineStr">
        <is>
          <t>Measured (activity): the EU register lists 38 data intermediation services notified in 10 Member States (page updated August 2026), concentrated in France (12) and the Netherlands (11). The Commission itself calls the market 'emerging' and proposes making the regime voluntary.</t>
        </is>
      </c>
      <c r="I329" s="7" t="inlineStr">
        <is>
          <t>reported as activity</t>
        </is>
      </c>
      <c r="J329" s="7" t="inlineStr">
        <is>
          <t>reported as activity</t>
        </is>
      </c>
      <c r="K329" s="7" t="inlineStr">
        <is>
          <t>Commission register of data intermediation services; COM(2025) 837</t>
        </is>
      </c>
    </row>
    <row r="330">
      <c r="A330" s="7" t="n">
        <v>58</v>
      </c>
      <c r="B330" s="7" t="inlineStr">
        <is>
          <t>Data Governance Act</t>
        </is>
      </c>
      <c r="C330" s="7" t="inlineStr">
        <is>
          <t>52020PC0767</t>
        </is>
      </c>
      <c r="D330" s="7" t="inlineStr">
        <is>
          <t>expected result</t>
        </is>
      </c>
      <c r="E330" s="7" t="inlineStr">
        <is>
          <t>Data altruism</t>
        </is>
      </c>
      <c r="F330" s="7" t="inlineStr">
        <is>
          <t>Recognised data altruism organisations</t>
        </is>
      </c>
      <c r="G330" s="7" t="inlineStr"/>
      <c r="H330" s="7" t="inlineStr">
        <is>
          <t>Measured (activity): 7 recognised organisations in 4 Member States (register updated July 2026).</t>
        </is>
      </c>
      <c r="I330" s="7" t="inlineStr">
        <is>
          <t>reported as activity</t>
        </is>
      </c>
      <c r="J330" s="7" t="inlineStr">
        <is>
          <t>reported as activity</t>
        </is>
      </c>
      <c r="K330" s="7" t="inlineStr">
        <is>
          <t>Commission register of data altruism organisations</t>
        </is>
      </c>
    </row>
    <row r="331">
      <c r="A331" s="7" t="n">
        <v>58</v>
      </c>
      <c r="B331" s="7" t="inlineStr">
        <is>
          <t>Data Governance Act</t>
        </is>
      </c>
      <c r="C331" s="7" t="inlineStr">
        <is>
          <t>52020PC0767</t>
        </is>
      </c>
      <c r="D331" s="7" t="inlineStr">
        <is>
          <t>expected result</t>
        </is>
      </c>
      <c r="E331" s="7" t="inlineStr">
        <is>
          <t>Governance</t>
        </is>
      </c>
      <c r="F331" s="7" t="inlineStr">
        <is>
          <t>National competent authorities designated and empowered</t>
        </is>
      </c>
      <c r="G331" s="7" t="inlineStr"/>
      <c r="H331" s="7" t="inlineStr">
        <is>
          <t>Slow: letters of formal notice to 18 Member States (May 2024) and reasoned opinions to 10 (December 2024) for failing to designate or empower DGA authorities.</t>
        </is>
      </c>
      <c r="I331" s="7" t="inlineStr">
        <is>
          <t>reported as activity</t>
        </is>
      </c>
      <c r="J331" s="7" t="inlineStr">
        <is>
          <t>reported as activity</t>
        </is>
      </c>
      <c r="K331" s="7" t="inlineStr">
        <is>
          <t>Commission press release 16 Dec 2024</t>
        </is>
      </c>
    </row>
    <row r="332">
      <c r="A332" s="7" t="n">
        <v>58</v>
      </c>
      <c r="B332" s="7" t="inlineStr">
        <is>
          <t>Data Governance Act</t>
        </is>
      </c>
      <c r="C332" s="7" t="inlineStr">
        <is>
          <t>52020PC0767</t>
        </is>
      </c>
      <c r="D332" s="7" t="inlineStr">
        <is>
          <t>expected impact (impact assessment)</t>
        </is>
      </c>
      <c r="E332" s="7" t="inlineStr">
        <is>
          <t>Public-sector efficiency</t>
        </is>
      </c>
      <c r="F332" s="7" t="inlineStr">
        <is>
          <t>Efficiency savings from re-use of protected public-sector data of about EUR 684m a year</t>
        </is>
      </c>
      <c r="G332" s="7" t="inlineStr">
        <is>
          <t>EUR 684m/yr</t>
        </is>
      </c>
      <c r="H332" s="7" t="inlineStr">
        <is>
          <t>Not measured.</t>
        </is>
      </c>
      <c r="I332" s="7" t="inlineStr">
        <is>
          <t>not measured</t>
        </is>
      </c>
      <c r="J332" s="7" t="inlineStr">
        <is>
          <t>not measured</t>
        </is>
      </c>
      <c r="K332" s="7" t="inlineStr">
        <is>
          <t>SWD(2020) 296</t>
        </is>
      </c>
    </row>
    <row r="333">
      <c r="A333" s="7" t="n">
        <v>59</v>
      </c>
      <c r="B333" s="7" t="inlineStr">
        <is>
          <t>Digital Markets Act</t>
        </is>
      </c>
      <c r="C333" s="7" t="inlineStr">
        <is>
          <t>52020PC0842</t>
        </is>
      </c>
      <c r="D333" s="7" t="inlineStr">
        <is>
          <t>specific objective</t>
        </is>
      </c>
      <c r="E333" s="7" t="inlineStr">
        <is>
          <t>Address market failures to ensure contestable and competitive digital markets for increased innovation and consumer choice</t>
        </is>
      </c>
      <c r="F333" s="7" t="inlineStr"/>
      <c r="G333" s="7" t="inlineStr"/>
      <c r="H333" s="7" t="inlineStr"/>
      <c r="I333" s="7" t="inlineStr"/>
      <c r="J333" s="7" t="inlineStr"/>
      <c r="K333" s="7" t="inlineStr"/>
    </row>
    <row r="334">
      <c r="A334" s="7" t="n">
        <v>59</v>
      </c>
      <c r="B334" s="7" t="inlineStr">
        <is>
          <t>Digital Markets Act</t>
        </is>
      </c>
      <c r="C334" s="7" t="inlineStr">
        <is>
          <t>52020PC0842</t>
        </is>
      </c>
      <c r="D334" s="7" t="inlineStr">
        <is>
          <t>specific objective</t>
        </is>
      </c>
      <c r="E334" s="7" t="inlineStr">
        <is>
          <t>Address gatekeepers' unfair conduct</t>
        </is>
      </c>
      <c r="F334" s="7" t="inlineStr"/>
      <c r="G334" s="7" t="inlineStr"/>
      <c r="H334" s="7" t="inlineStr"/>
      <c r="I334" s="7" t="inlineStr"/>
      <c r="J334" s="7" t="inlineStr"/>
      <c r="K334" s="7" t="inlineStr"/>
    </row>
    <row r="335">
      <c r="A335" s="7" t="n">
        <v>59</v>
      </c>
      <c r="B335" s="7" t="inlineStr">
        <is>
          <t>Digital Markets Act</t>
        </is>
      </c>
      <c r="C335" s="7" t="inlineStr">
        <is>
          <t>52020PC0842</t>
        </is>
      </c>
      <c r="D335" s="7" t="inlineStr">
        <is>
          <t>specific objective</t>
        </is>
      </c>
      <c r="E335" s="7" t="inlineStr">
        <is>
          <t>Enhance coherence and legal certainty to preserve the internal market</t>
        </is>
      </c>
      <c r="F335" s="7" t="inlineStr"/>
      <c r="G335" s="7" t="inlineStr"/>
      <c r="H335" s="7" t="inlineStr"/>
      <c r="I335" s="7" t="inlineStr"/>
      <c r="J335" s="7" t="inlineStr"/>
      <c r="K335" s="7" t="inlineStr"/>
    </row>
    <row r="336">
      <c r="A336" s="7" t="n">
        <v>59</v>
      </c>
      <c r="B336" s="7" t="inlineStr">
        <is>
          <t>Digital Markets Act</t>
        </is>
      </c>
      <c r="C336" s="7" t="inlineStr">
        <is>
          <t>52020PC0842</t>
        </is>
      </c>
      <c r="D336" s="7" t="inlineStr">
        <is>
          <t>indicator (LFS 1.4.4)</t>
        </is>
      </c>
      <c r="E336" s="7" t="inlineStr">
        <is>
          <t>Enhance coherence and legal certainty / limit diverging national regulatory interventions</t>
        </is>
      </c>
      <c r="F336" s="7" t="inlineStr">
        <is>
          <t>Number of regulatory interventions at the national level</t>
        </is>
      </c>
      <c r="G336" s="7" t="inlineStr">
        <is>
          <t>none stated</t>
        </is>
      </c>
      <c r="H336" s="7" t="inlineStr">
        <is>
          <t>Not reported in the 2026 review. The review records stakeholder concerns about fragmentation and parallel national enforcement and requests for guidance on Article 1(6), but gives no count.</t>
        </is>
      </c>
      <c r="I336" s="7" t="inlineStr">
        <is>
          <t>not measured</t>
        </is>
      </c>
      <c r="J336" s="7" t="inlineStr">
        <is>
          <t>not measured</t>
        </is>
      </c>
      <c r="K336" s="7" t="inlineStr">
        <is>
          <t>SWD(2026) 123</t>
        </is>
      </c>
    </row>
    <row r="337">
      <c r="A337" s="7" t="n">
        <v>59</v>
      </c>
      <c r="B337" s="7" t="inlineStr">
        <is>
          <t>Digital Markets Act</t>
        </is>
      </c>
      <c r="C337" s="7" t="inlineStr">
        <is>
          <t>52020PC0842</t>
        </is>
      </c>
      <c r="D337" s="7" t="inlineStr">
        <is>
          <t>indicator (LFS 1.4.4)</t>
        </is>
      </c>
      <c r="E337" s="7" t="inlineStr">
        <is>
          <t>Enhance coherence and legal certainty / ensure coherent interpretation of obligations</t>
        </is>
      </c>
      <c r="F337" s="7" t="inlineStr">
        <is>
          <t>Number of clarification requests per year</t>
        </is>
      </c>
      <c r="G337" s="7" t="inlineStr">
        <is>
          <t>none stated</t>
        </is>
      </c>
      <c r="H337" s="7" t="inlineStr">
        <is>
          <t>Not reported. The review describes regulatory dialogue and possible guidelines but gives no count of clarification requests.</t>
        </is>
      </c>
      <c r="I337" s="7" t="inlineStr">
        <is>
          <t>not measured</t>
        </is>
      </c>
      <c r="J337" s="7" t="inlineStr">
        <is>
          <t>not measured</t>
        </is>
      </c>
      <c r="K337" s="7" t="inlineStr">
        <is>
          <t>SWD(2026) 123</t>
        </is>
      </c>
    </row>
    <row r="338">
      <c r="A338" s="7" t="n">
        <v>59</v>
      </c>
      <c r="B338" s="7" t="inlineStr">
        <is>
          <t>Digital Markets Act</t>
        </is>
      </c>
      <c r="C338" s="7" t="inlineStr">
        <is>
          <t>52020PC0842</t>
        </is>
      </c>
      <c r="D338" s="7" t="inlineStr">
        <is>
          <t>indicator (LFS 1.4.4)</t>
        </is>
      </c>
      <c r="E338" s="7" t="inlineStr">
        <is>
          <t>Address gatekeepers' unfair conduct / prevent self-preferencing</t>
        </is>
      </c>
      <c r="F338" s="7" t="inlineStr">
        <is>
          <t>Number of compliance interventions by the Commission per gatekeeper per year</t>
        </is>
      </c>
      <c r="G338" s="7" t="inlineStr">
        <is>
          <t>none stated</t>
        </is>
      </c>
      <c r="H338" s="7" t="inlineStr">
        <is>
          <t>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is>
      </c>
      <c r="I338" s="7" t="inlineStr">
        <is>
          <t>reported as activity (no per-gatekeeper series)</t>
        </is>
      </c>
      <c r="J338" s="7" t="inlineStr">
        <is>
          <t>reported as activity</t>
        </is>
      </c>
      <c r="K338" s="7" t="inlineStr">
        <is>
          <t>SWD(2026) 123; Commission press releases; Waldfogel 2024</t>
        </is>
      </c>
    </row>
    <row r="339">
      <c r="A339" s="7" t="n">
        <v>59</v>
      </c>
      <c r="B339" s="7" t="inlineStr">
        <is>
          <t>Digital Markets Act</t>
        </is>
      </c>
      <c r="C339" s="7" t="inlineStr">
        <is>
          <t>52020PC0842</t>
        </is>
      </c>
      <c r="D339" s="7" t="inlineStr">
        <is>
          <t>indicator (LFS 1.4.4)</t>
        </is>
      </c>
      <c r="E339" s="7" t="inlineStr">
        <is>
          <t>Address gatekeepers' unfair conduct / prevent self-preferencing</t>
        </is>
      </c>
      <c r="F339" s="7" t="inlineStr">
        <is>
          <t>Number of sanction decisions per gatekeeper per year</t>
        </is>
      </c>
      <c r="G339" s="7" t="inlineStr">
        <is>
          <t>none stated</t>
        </is>
      </c>
      <c r="H339" s="7" t="inlineStr">
        <is>
          <t>Four fines in two years of application: Apple EUR 500m (anti-steering) and Meta EUR 200m (pay or consent), 23 April 2025; Alphabet EUR 460m (search self-preferencing) and EUR 430m (Google Play anti-steering), 23 July 2026. Total EUR 1.59bn. Apple's decision is under appeal.</t>
        </is>
      </c>
      <c r="I339" s="7" t="inlineStr">
        <is>
          <t>measurable (activity indicator)</t>
        </is>
      </c>
      <c r="J339" s="7" t="inlineStr">
        <is>
          <t>not measured</t>
        </is>
      </c>
      <c r="K339" s="7" t="inlineStr">
        <is>
          <t>Commission press releases 23.4.2025 and 23.7.2026; SWD(2026) 123</t>
        </is>
      </c>
    </row>
    <row r="340">
      <c r="A340" s="7" t="n">
        <v>59</v>
      </c>
      <c r="B340" s="7" t="inlineStr">
        <is>
          <t>Digital Markets Act</t>
        </is>
      </c>
      <c r="C340" s="7" t="inlineStr">
        <is>
          <t>52020PC0842</t>
        </is>
      </c>
      <c r="D340" s="7" t="inlineStr">
        <is>
          <t>indicator (LFS 1.4.4)</t>
        </is>
      </c>
      <c r="E340" s="7" t="inlineStr">
        <is>
          <t>Contestable markets / prevent unfair access and data practices</t>
        </is>
      </c>
      <c r="F340" s="7" t="inlineStr">
        <is>
          <t>Share of users multi-homing with different platforms or services</t>
        </is>
      </c>
      <c r="G340" s="7" t="inlineStr">
        <is>
          <t>none stated</t>
        </is>
      </c>
      <c r="H340" s="7" t="inlineStr">
        <is>
          <t>Not measured by the Commission (review says it will monitor switching). Independent evidence on one remedy: after Google removed the Maps link from EU search results, users searched for 'google maps' instead; no robust shift to rival map services (Pape &amp; Rossi 2026).</t>
        </is>
      </c>
      <c r="I340" s="7" t="inlineStr">
        <is>
          <t>not measured (partial independent evidence)</t>
        </is>
      </c>
      <c r="J340" s="7" t="inlineStr">
        <is>
          <t>not measured</t>
        </is>
      </c>
      <c r="K340" s="7" t="inlineStr">
        <is>
          <t>SWD(2026) 123; Pape &amp; Rossi 2026</t>
        </is>
      </c>
    </row>
    <row r="341">
      <c r="A341" s="7" t="n">
        <v>59</v>
      </c>
      <c r="B341" s="7" t="inlineStr">
        <is>
          <t>Digital Markets Act</t>
        </is>
      </c>
      <c r="C341" s="7" t="inlineStr">
        <is>
          <t>52020PC0842</t>
        </is>
      </c>
      <c r="D341" s="7" t="inlineStr">
        <is>
          <t>indicator (LFS 1.4.4)</t>
        </is>
      </c>
      <c r="E341" s="7" t="inlineStr">
        <is>
          <t>Contestable markets / prevent unfair access and data practices</t>
        </is>
      </c>
      <c r="F341" s="7" t="inlineStr">
        <is>
          <t>Share of users switching between different platforms and services</t>
        </is>
      </c>
      <c r="G341" s="7" t="inlineStr">
        <is>
          <t>none stated</t>
        </is>
      </c>
      <c r="H341" s="7" t="inlineStr">
        <is>
          <t>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is>
      </c>
      <c r="I341" s="7" t="inlineStr">
        <is>
          <t>partially measured (independent study for browsers)</t>
        </is>
      </c>
      <c r="J341" s="7" t="inlineStr">
        <is>
          <t>partially measured</t>
        </is>
      </c>
      <c r="K341" s="7" t="inlineStr">
        <is>
          <t>SWD(2026) 123; NBER w35112</t>
        </is>
      </c>
    </row>
    <row r="342">
      <c r="A342" s="7" t="n">
        <v>59</v>
      </c>
      <c r="B342" s="7" t="inlineStr">
        <is>
          <t>Digital Markets Act</t>
        </is>
      </c>
      <c r="C342" s="7" t="inlineStr">
        <is>
          <t>52020PC0842</t>
        </is>
      </c>
      <c r="D342" s="7" t="inlineStr">
        <is>
          <t>expected impact (LFS 1.4.3 / IA)</t>
        </is>
      </c>
      <c r="E342" s="7" t="inlineStr">
        <is>
          <t>Consumer welfare</t>
        </is>
      </c>
      <c r="F342" s="7" t="inlineStr">
        <is>
          <t>Consumer surplus +EUR 13bn per year (about +6% vs baseline)</t>
        </is>
      </c>
      <c r="G342" s="7" t="inlineStr">
        <is>
          <t>EUR 13bn/yr</t>
        </is>
      </c>
      <c r="H342" s="7" t="inlineStr">
        <is>
          <t>Not assessed in the 2026 review, which says impacts are not yet fully observable.</t>
        </is>
      </c>
      <c r="I342" s="7" t="inlineStr">
        <is>
          <t>not measured</t>
        </is>
      </c>
      <c r="J342" s="7" t="inlineStr">
        <is>
          <t>not measured</t>
        </is>
      </c>
      <c r="K342" s="7" t="inlineStr">
        <is>
          <t>SWD(2020) 364; SWD(2026) 123</t>
        </is>
      </c>
    </row>
    <row r="343">
      <c r="A343" s="7" t="n">
        <v>59</v>
      </c>
      <c r="B343" s="7" t="inlineStr">
        <is>
          <t>Digital Markets Act</t>
        </is>
      </c>
      <c r="C343" s="7" t="inlineStr">
        <is>
          <t>52020PC0842</t>
        </is>
      </c>
      <c r="D343" s="7" t="inlineStr">
        <is>
          <t>expected impact (LFS 1.5.2)</t>
        </is>
      </c>
      <c r="E343" s="7" t="inlineStr">
        <is>
          <t>Internal market</t>
        </is>
      </c>
      <c r="F343" s="7" t="inlineStr">
        <is>
          <t>Cross-border trade gain of EUR 92.8bn by 2025</t>
        </is>
      </c>
      <c r="G343" s="7" t="inlineStr">
        <is>
          <t>EUR 92.8bn by 2025</t>
        </is>
      </c>
      <c r="H343" s="7" t="inlineStr">
        <is>
          <t>Not assessed.</t>
        </is>
      </c>
      <c r="I343" s="7" t="inlineStr">
        <is>
          <t>not measured</t>
        </is>
      </c>
      <c r="J343" s="7" t="inlineStr">
        <is>
          <t>not measured</t>
        </is>
      </c>
      <c r="K343" s="7" t="inlineStr">
        <is>
          <t>COM(2020) 842 LFS</t>
        </is>
      </c>
    </row>
    <row r="344">
      <c r="A344" s="7" t="n">
        <v>59</v>
      </c>
      <c r="B344" s="7" t="inlineStr">
        <is>
          <t>Digital Markets Act</t>
        </is>
      </c>
      <c r="C344" s="7" t="inlineStr">
        <is>
          <t>52020PC0842</t>
        </is>
      </c>
      <c r="D344" s="7" t="inlineStr">
        <is>
          <t>expected impact (LFS 1.4.3)</t>
        </is>
      </c>
      <c r="E344" s="7" t="inlineStr">
        <is>
          <t>Growth and jobs (Digital Single Market-wide, not DMA-specific)</t>
        </is>
      </c>
      <c r="F344" s="7" t="inlineStr">
        <is>
          <t>GDP +0.44-0.82% and 307-561 thousand FTEs from a more efficient Digital Single Market</t>
        </is>
      </c>
      <c r="G344" s="7" t="inlineStr">
        <is>
          <t>as stated</t>
        </is>
      </c>
      <c r="H344" s="7" t="inlineStr">
        <is>
          <t>Not assessed; the figure is borrowed from Digital Single Market estimates and is not attributable to the DMA alone.</t>
        </is>
      </c>
      <c r="I344" s="7" t="inlineStr">
        <is>
          <t>not measured</t>
        </is>
      </c>
      <c r="J344" s="7" t="inlineStr">
        <is>
          <t>not measured</t>
        </is>
      </c>
      <c r="K344" s="7" t="inlineStr">
        <is>
          <t>COM(2020) 842 LFS</t>
        </is>
      </c>
    </row>
    <row r="345">
      <c r="A345" s="7" t="n">
        <v>59</v>
      </c>
      <c r="B345" s="7" t="inlineStr">
        <is>
          <t>Digital Markets Act</t>
        </is>
      </c>
      <c r="C345" s="7" t="inlineStr">
        <is>
          <t>52020PC0842</t>
        </is>
      </c>
      <c r="D345" s="7" t="inlineStr">
        <is>
          <t>expected impact (LFS 1.4.3)</t>
        </is>
      </c>
      <c r="E345" s="7" t="inlineStr">
        <is>
          <t>Innovation by smaller businesses</t>
        </is>
      </c>
      <c r="F345" s="7" t="inlineStr">
        <is>
          <t>Greater innovation potential among smaller businesses</t>
        </is>
      </c>
      <c r="G345" s="7" t="inlineStr">
        <is>
          <t>qualitative</t>
        </is>
      </c>
      <c r="H345" s="7" t="inlineStr">
        <is>
          <t>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is>
      </c>
      <c r="I345" s="7" t="inlineStr">
        <is>
          <t>mixed evidence</t>
        </is>
      </c>
      <c r="J345" s="7" t="inlineStr">
        <is>
          <t>mixed evidence</t>
        </is>
      </c>
      <c r="K345" s="7" t="inlineStr">
        <is>
          <t>SWD(2026) 123; Yang 2025; Oxera 2021</t>
        </is>
      </c>
    </row>
    <row r="346">
      <c r="A346" s="7" t="n">
        <v>60</v>
      </c>
      <c r="B346" s="7" t="inlineStr">
        <is>
          <t>Digital Services Act</t>
        </is>
      </c>
      <c r="C346" s="7" t="inlineStr">
        <is>
          <t>52020PC0825</t>
        </is>
      </c>
      <c r="D346" s="7" t="inlineStr">
        <is>
          <t>note</t>
        </is>
      </c>
      <c r="E346" s="7" t="inlineStr">
        <is>
          <t>The DSA proposal's financial statement contains no indicators section; monitoring was left to the Commission's evaluation under Article 91</t>
        </is>
      </c>
      <c r="F346" s="7" t="inlineStr"/>
      <c r="G346" s="7" t="inlineStr"/>
      <c r="H346" s="7" t="inlineStr"/>
      <c r="I346" s="7" t="inlineStr"/>
      <c r="J346" s="7" t="inlineStr"/>
      <c r="K346" s="7" t="inlineStr"/>
    </row>
    <row r="347">
      <c r="A347" s="7" t="n">
        <v>60</v>
      </c>
      <c r="B347" s="7" t="inlineStr">
        <is>
          <t>Digital Services Act</t>
        </is>
      </c>
      <c r="C347" s="7" t="inlineStr">
        <is>
          <t>52020PC0825</t>
        </is>
      </c>
      <c r="D347" s="7" t="inlineStr">
        <is>
          <t>expected impact (impact assessment)</t>
        </is>
      </c>
      <c r="E347" s="7" t="inlineStr">
        <is>
          <t>Single market</t>
        </is>
      </c>
      <c r="F347" s="7" t="inlineStr">
        <is>
          <t>Cross-border digital trade +1-1.8%</t>
        </is>
      </c>
      <c r="G347" s="7" t="inlineStr">
        <is>
          <t>+1-1.8%</t>
        </is>
      </c>
      <c r="H347" s="7" t="inlineStr">
        <is>
          <t>Not evaluated.</t>
        </is>
      </c>
      <c r="I347" s="7" t="inlineStr">
        <is>
          <t>not measured</t>
        </is>
      </c>
      <c r="J347" s="7" t="inlineStr">
        <is>
          <t>not measured</t>
        </is>
      </c>
      <c r="K347" s="7" t="inlineStr">
        <is>
          <t>SWD(2020) 349</t>
        </is>
      </c>
    </row>
    <row r="348">
      <c r="A348" s="7" t="n">
        <v>60</v>
      </c>
      <c r="B348" s="7" t="inlineStr">
        <is>
          <t>Digital Services Act</t>
        </is>
      </c>
      <c r="C348" s="7" t="inlineStr">
        <is>
          <t>52020PC0825</t>
        </is>
      </c>
      <c r="D348" s="7" t="inlineStr">
        <is>
          <t>expected impact (impact assessment)</t>
        </is>
      </c>
      <c r="E348" s="7" t="inlineStr">
        <is>
          <t>Safety and fundamental rights</t>
        </is>
      </c>
      <c r="F348" s="7" t="inlineStr">
        <is>
          <t>Better protection of users and fundamental rights online; effective supervision</t>
        </is>
      </c>
      <c r="G348" s="7" t="inlineStr"/>
      <c r="H348" s="7" t="inlineStr">
        <is>
          <t>Enforcement under way: first non-compliance decision fined X EUR 120m (5 Dec 2025) for misleading verification, deficient ad repository and blocking researcher data access; other investigations ongoing. Transparency database operational but platform self-reports inconsistent.</t>
        </is>
      </c>
      <c r="I348" s="7" t="inlineStr">
        <is>
          <t>reported as activity</t>
        </is>
      </c>
      <c r="J348" s="7" t="inlineStr">
        <is>
          <t>reported as activity</t>
        </is>
      </c>
      <c r="K348" s="7" t="inlineStr">
        <is>
          <t>Commission decision Dec 2025; Kaushal et al.; Trujillo et al.</t>
        </is>
      </c>
    </row>
    <row r="349">
      <c r="A349" s="7" t="n">
        <v>60</v>
      </c>
      <c r="B349" s="7" t="inlineStr">
        <is>
          <t>Digital Services Act</t>
        </is>
      </c>
      <c r="C349" s="7" t="inlineStr">
        <is>
          <t>52020PC0825</t>
        </is>
      </c>
      <c r="D349" s="7" t="inlineStr">
        <is>
          <t>expected impact (impact assessment)</t>
        </is>
      </c>
      <c r="E349" s="7" t="inlineStr">
        <is>
          <t>Competition</t>
        </is>
      </c>
      <c r="F349" s="7" t="inlineStr">
        <is>
          <t>Asymmetric rules boost smaller competitors</t>
        </is>
      </c>
      <c r="G349" s="7" t="inlineStr"/>
      <c r="H349" s="7" t="inlineStr">
        <is>
          <t>No evidence found.</t>
        </is>
      </c>
      <c r="I349" s="7" t="inlineStr">
        <is>
          <t>not measured</t>
        </is>
      </c>
      <c r="J349" s="7" t="inlineStr">
        <is>
          <t>not measured</t>
        </is>
      </c>
      <c r="K349" s="7" t="inlineStr"/>
    </row>
    <row r="350">
      <c r="A350" s="7" t="n">
        <v>57</v>
      </c>
      <c r="B350" s="7" t="inlineStr">
        <is>
          <t>Digital Operational Resilience Act (DORA)</t>
        </is>
      </c>
      <c r="C350" s="7" t="inlineStr">
        <is>
          <t>52020PC0595</t>
        </is>
      </c>
      <c r="D350" s="7" t="inlineStr">
        <is>
          <t>note</t>
        </is>
      </c>
      <c r="E350" s="7" t="inlineStr">
        <is>
          <t>The DORA proposal's financial statement contains no objectives or indicators section in the extracted text; the memorandum only provides for a Commission review three years after entry into force</t>
        </is>
      </c>
      <c r="F350" s="7" t="inlineStr"/>
      <c r="G350" s="7" t="inlineStr"/>
      <c r="H350" s="7" t="inlineStr"/>
      <c r="I350" s="7" t="inlineStr"/>
      <c r="J350" s="7" t="inlineStr"/>
      <c r="K350" s="7" t="inlineStr"/>
    </row>
    <row r="351">
      <c r="A351" s="7" t="n">
        <v>57</v>
      </c>
      <c r="B351" s="7" t="inlineStr">
        <is>
          <t>Digital Operational Resilience Act (DORA)</t>
        </is>
      </c>
      <c r="C351" s="7" t="inlineStr">
        <is>
          <t>52020PC0595</t>
        </is>
      </c>
      <c r="D351" s="7" t="inlineStr">
        <is>
          <t>expected impact (impact assessment)</t>
        </is>
      </c>
      <c r="E351" s="7" t="inlineStr">
        <is>
          <t>Resilience / financial stability</t>
        </is>
      </c>
      <c r="F351" s="7" t="inlineStr">
        <is>
          <t>Mitigate operational-incident costs for the EU financial sector (estimated EUR 2-27bn a year)</t>
        </is>
      </c>
      <c r="G351" s="7" t="inlineStr">
        <is>
          <t>Baseline EUR 2-27bn/yr (industry estimates)</t>
        </is>
      </c>
      <c r="H351" s="7" t="inlineStr">
        <is>
          <t>Not measured. DORA applies since 17 Jan 2025; no published statistics yet on incident numbers or costs under the new reporting regime.</t>
        </is>
      </c>
      <c r="I351" s="7" t="inlineStr">
        <is>
          <t>not measured</t>
        </is>
      </c>
      <c r="J351" s="7" t="inlineStr">
        <is>
          <t>not measured</t>
        </is>
      </c>
      <c r="K351" s="7" t="inlineStr">
        <is>
          <t>SWD(2020) 199</t>
        </is>
      </c>
    </row>
    <row r="352">
      <c r="A352" s="7" t="n">
        <v>57</v>
      </c>
      <c r="B352" s="7" t="inlineStr">
        <is>
          <t>Digital Operational Resilience Act (DORA)</t>
        </is>
      </c>
      <c r="C352" s="7" t="inlineStr">
        <is>
          <t>52020PC0595</t>
        </is>
      </c>
      <c r="D352" s="7" t="inlineStr">
        <is>
          <t>expected impact (impact assessment)</t>
        </is>
      </c>
      <c r="E352" s="7" t="inlineStr">
        <is>
          <t>Administrative burden</t>
        </is>
      </c>
      <c r="F352" s="7" t="inlineStr">
        <is>
          <t>Savings from removing overlapping incident reporting (EUR 40-100m a year for some of the largest banks)</t>
        </is>
      </c>
      <c r="G352" s="7" t="inlineStr">
        <is>
          <t>EUR 40-100m/yr</t>
        </is>
      </c>
      <c r="H352" s="7" t="inlineStr">
        <is>
          <t>Not measured. Industry surveys report high compliance costs: 38% of EU CISOs surveyed by Rubrik reported over EUR 1m spent on DORA/PRA compliance over two years; 37% of firms in a Veeam-commissioned survey face higher costs passed on by ICT vendors. No evidence on reporting savings.</t>
        </is>
      </c>
      <c r="I352" s="7" t="inlineStr">
        <is>
          <t>not measured</t>
        </is>
      </c>
      <c r="J352" s="7" t="inlineStr">
        <is>
          <t>not measured</t>
        </is>
      </c>
      <c r="K352" s="7" t="inlineStr">
        <is>
          <t>Rubrik Zero Labs 2025; Veeam/Censuswide 2025</t>
        </is>
      </c>
    </row>
    <row r="353">
      <c r="A353" s="7" t="n">
        <v>57</v>
      </c>
      <c r="B353" s="7" t="inlineStr">
        <is>
          <t>Digital Operational Resilience Act (DORA)</t>
        </is>
      </c>
      <c r="C353" s="7" t="inlineStr">
        <is>
          <t>52020PC0595</t>
        </is>
      </c>
      <c r="D353" s="7" t="inlineStr">
        <is>
          <t>expected impact (impact assessment)</t>
        </is>
      </c>
      <c r="E353" s="7" t="inlineStr">
        <is>
          <t>Testing</t>
        </is>
      </c>
      <c r="F353" s="7" t="inlineStr">
        <is>
          <t>Threat-led penetration testing cost 0.1-0.3% of ICT budget of firms concerned</t>
        </is>
      </c>
      <c r="G353" s="7" t="inlineStr">
        <is>
          <t>0.1-0.3% of ICT budget</t>
        </is>
      </c>
      <c r="H353" s="7" t="inlineStr">
        <is>
          <t>No ex-post data found.</t>
        </is>
      </c>
      <c r="I353" s="7" t="inlineStr">
        <is>
          <t>not measured</t>
        </is>
      </c>
      <c r="J353" s="7" t="inlineStr">
        <is>
          <t>not measured</t>
        </is>
      </c>
      <c r="K353" s="7" t="inlineStr">
        <is>
          <t>SWD(2020) 199</t>
        </is>
      </c>
    </row>
    <row r="354">
      <c r="A354" s="7" t="n">
        <v>57</v>
      </c>
      <c r="B354" s="7" t="inlineStr">
        <is>
          <t>Digital Operational Resilience Act (DORA)</t>
        </is>
      </c>
      <c r="C354" s="7" t="inlineStr">
        <is>
          <t>52020PC0595</t>
        </is>
      </c>
      <c r="D354" s="7" t="inlineStr">
        <is>
          <t>implementation milestone</t>
        </is>
      </c>
      <c r="E354" s="7" t="inlineStr">
        <is>
          <t>ICT third-party oversight</t>
        </is>
      </c>
      <c r="F354" s="7" t="inlineStr">
        <is>
          <t>Registers of information collected; critical ICT third-party providers designated and overseen</t>
        </is>
      </c>
      <c r="G354" s="7" t="inlineStr"/>
      <c r="H354" s="7" t="inlineStr">
        <is>
          <t>Dry run (2024): 1,039 entities took part, only 6.5% of 947 analysed registers passed all data-quality checks. First 19 critical providers designated on 18 Nov 2025 (incl. AWS, Google Cloud, Microsoft, Oracle, SAP, Deutsche Telekom, Bloomberg, LSEG Data).</t>
        </is>
      </c>
      <c r="I354" s="7" t="inlineStr">
        <is>
          <t>reported as activity</t>
        </is>
      </c>
      <c r="J354" s="7" t="inlineStr">
        <is>
          <t>reported as activity</t>
        </is>
      </c>
      <c r="K354" s="7" t="inlineStr">
        <is>
          <t>ESAs 2024; ESAs 2025</t>
        </is>
      </c>
    </row>
    <row r="355">
      <c r="A355" s="7" t="n">
        <v>57</v>
      </c>
      <c r="B355" s="7" t="inlineStr">
        <is>
          <t>Digital Operational Resilience Act (DORA)</t>
        </is>
      </c>
      <c r="C355" s="7" t="inlineStr">
        <is>
          <t>52020PC0595</t>
        </is>
      </c>
      <c r="D355" s="7" t="inlineStr">
        <is>
          <t>implementation milestone</t>
        </is>
      </c>
      <c r="E355" s="7" t="inlineStr">
        <is>
          <t>Readiness</t>
        </is>
      </c>
      <c r="F355" s="7" t="inlineStr">
        <is>
          <t>Share of financial entities compliant</t>
        </is>
      </c>
      <c r="G355" s="7" t="inlineStr"/>
      <c r="H355" s="7" t="inlineStr">
        <is>
          <t>Survey evidence only: a vendor-commissioned survey six months in found 96% of EMEA respondents felt their data resilience fell short; ENISA 2024: 84% of entities expect to need more staff for DORA.</t>
        </is>
      </c>
      <c r="I355" s="7" t="inlineStr">
        <is>
          <t>partially measured</t>
        </is>
      </c>
      <c r="J355" s="7" t="inlineStr">
        <is>
          <t>partially measured</t>
        </is>
      </c>
      <c r="K355" s="7" t="inlineStr">
        <is>
          <t>Veeam/Censuswide 2025; ENISA 2024</t>
        </is>
      </c>
    </row>
    <row r="356">
      <c r="A356" s="7" t="n">
        <v>66</v>
      </c>
      <c r="B356" s="7" t="inlineStr">
        <is>
          <t>Foreign Subsidies Regulation</t>
        </is>
      </c>
      <c r="C356" s="7" t="inlineStr">
        <is>
          <t>52021PC0223</t>
        </is>
      </c>
      <c r="D356" s="7" t="inlineStr">
        <is>
          <t>LFS indicator (1.4.4)</t>
        </is>
      </c>
      <c r="E356" s="7" t="inlineStr">
        <is>
          <t>Identify the most distortive subsidies</t>
        </is>
      </c>
      <c r="F356" s="7" t="inlineStr">
        <is>
          <t>Yearly number of cases of alleged distortive foreign subsidies dealt with</t>
        </is>
      </c>
      <c r="G356" s="7" t="inlineStr">
        <is>
          <t>IA projected 30-40 merger notifications a year</t>
        </is>
      </c>
      <c r="H356" s="7" t="inlineStr">
        <is>
          <t>By 31 May 2026: 273 merger notifications (about 100 a year, well above the 30-40 projected), 5,150 submissions across 863 public procurement procedures; 3 in-depth merger and 4 in-depth procurement investigations; ex officio cases opened (e.g. Nuctech, Goldwind).</t>
        </is>
      </c>
      <c r="I356" s="7" t="inlineStr">
        <is>
          <t>reported as activity</t>
        </is>
      </c>
      <c r="J356" s="7" t="inlineStr">
        <is>
          <t>reported as activity</t>
        </is>
      </c>
      <c r="K356" s="7" t="inlineStr">
        <is>
          <t>COM(2026) 368</t>
        </is>
      </c>
    </row>
    <row r="357">
      <c r="A357" s="7" t="n">
        <v>66</v>
      </c>
      <c r="B357" s="7" t="inlineStr">
        <is>
          <t>Foreign Subsidies Regulation</t>
        </is>
      </c>
      <c r="C357" s="7" t="inlineStr">
        <is>
          <t>52021PC0223</t>
        </is>
      </c>
      <c r="D357" s="7" t="inlineStr">
        <is>
          <t>LFS indicator (1.4.4)</t>
        </is>
      </c>
      <c r="E357" s="7" t="inlineStr">
        <is>
          <t>Identify the most distortive subsidies</t>
        </is>
      </c>
      <c r="F357" s="7" t="inlineStr">
        <is>
          <t>Share of cases found distortive vs total cases</t>
        </is>
      </c>
      <c r="G357" s="7" t="inlineStr"/>
      <c r="H357" s="7" t="inlineStr">
        <is>
          <t>About 97% of notified mergers cleared after preliminary review; two merger cases (e&amp;/PPF Telecom, ADNOC/Covestro) and one procurement case ended with commitments; three procurement probes closed after the Chinese bidders withdrew.</t>
        </is>
      </c>
      <c r="I357" s="7" t="inlineStr">
        <is>
          <t>partially measured</t>
        </is>
      </c>
      <c r="J357" s="7" t="inlineStr">
        <is>
          <t>partially measured</t>
        </is>
      </c>
      <c r="K357" s="7" t="inlineStr">
        <is>
          <t>COM(2026) 368</t>
        </is>
      </c>
    </row>
    <row r="358">
      <c r="A358" s="7" t="n">
        <v>66</v>
      </c>
      <c r="B358" s="7" t="inlineStr">
        <is>
          <t>Foreign Subsidies Regulation</t>
        </is>
      </c>
      <c r="C358" s="7" t="inlineStr">
        <is>
          <t>52021PC0223</t>
        </is>
      </c>
      <c r="D358" s="7" t="inlineStr">
        <is>
          <t>LFS indicator (1.4.4)</t>
        </is>
      </c>
      <c r="E358" s="7" t="inlineStr">
        <is>
          <t>Identify the most distortive subsidies</t>
        </is>
      </c>
      <c r="F358" s="7" t="inlineStr">
        <is>
          <t>Share of cases cleared thanks to the balancing test</t>
        </is>
      </c>
      <c r="G358" s="7" t="inlineStr"/>
      <c r="H358" s="7" t="inlineStr">
        <is>
          <t>No case has yet applied the balancing test in practice, according to the review.</t>
        </is>
      </c>
      <c r="I358" s="7" t="inlineStr">
        <is>
          <t>not measured</t>
        </is>
      </c>
      <c r="J358" s="7" t="inlineStr">
        <is>
          <t>not measured</t>
        </is>
      </c>
      <c r="K358" s="7" t="inlineStr">
        <is>
          <t>COM(2026) 368</t>
        </is>
      </c>
    </row>
    <row r="359">
      <c r="A359" s="7" t="n">
        <v>66</v>
      </c>
      <c r="B359" s="7" t="inlineStr">
        <is>
          <t>Foreign Subsidies Regulation</t>
        </is>
      </c>
      <c r="C359" s="7" t="inlineStr">
        <is>
          <t>52021PC0223</t>
        </is>
      </c>
      <c r="D359" s="7" t="inlineStr">
        <is>
          <t>LFS indicator (1.4.4)</t>
        </is>
      </c>
      <c r="E359" s="7" t="inlineStr">
        <is>
          <t>Remove distortions caused by foreign subsidies</t>
        </is>
      </c>
      <c r="F359" s="7" t="inlineStr">
        <is>
          <t>Stakeholder perceptions of the impact of redressive measures</t>
        </is>
      </c>
      <c r="G359" s="7" t="inlineStr"/>
      <c r="H359" s="7" t="inlineStr">
        <is>
          <t>Review consultation: stakeholders support the objective but say compliance costs are disproportionate, especially for notifications; Commission plans simplification (higher thresholds, shorter forms). Procurement filing compliance reportedly fell from about 70% to 45% by late 2025.</t>
        </is>
      </c>
      <c r="I359" s="7" t="inlineStr">
        <is>
          <t>reported as activity</t>
        </is>
      </c>
      <c r="J359" s="7" t="inlineStr">
        <is>
          <t>reported as activity</t>
        </is>
      </c>
      <c r="K359" s="7" t="inlineStr">
        <is>
          <t>COM(2026) 368</t>
        </is>
      </c>
    </row>
    <row r="360">
      <c r="A360" s="7" t="n">
        <v>66</v>
      </c>
      <c r="B360" s="7" t="inlineStr">
        <is>
          <t>Foreign Subsidies Regulation</t>
        </is>
      </c>
      <c r="C360" s="7" t="inlineStr">
        <is>
          <t>52021PC0223</t>
        </is>
      </c>
      <c r="D360" s="7" t="inlineStr">
        <is>
          <t>expected impact (impact assessment)</t>
        </is>
      </c>
      <c r="E360" s="7" t="inlineStr">
        <is>
          <t>Investment</t>
        </is>
      </c>
      <c r="F360" s="7" t="inlineStr">
        <is>
          <t>Possible short-term drop in foreign direct investment, offset in the medium term by a level playing field</t>
        </is>
      </c>
      <c r="G360" s="7" t="inlineStr"/>
      <c r="H360" s="7" t="inlineStr">
        <is>
          <t>No study measures the FSR's effect on FDI, M&amp;A or tender participation.</t>
        </is>
      </c>
      <c r="I360" s="7" t="inlineStr">
        <is>
          <t>not measured</t>
        </is>
      </c>
      <c r="J360" s="7" t="inlineStr">
        <is>
          <t>not measured</t>
        </is>
      </c>
      <c r="K360" s="7" t="inlineStr">
        <is>
          <t>SWD(2021) 99/100</t>
        </is>
      </c>
    </row>
    <row r="361">
      <c r="A361" s="7" t="n">
        <v>75</v>
      </c>
      <c r="B361" s="7" t="inlineStr">
        <is>
          <t>Union Secure Connectivity Programme</t>
        </is>
      </c>
      <c r="C361" s="7" t="inlineStr">
        <is>
          <t>52022PC0057</t>
        </is>
      </c>
      <c r="D361" s="7" t="inlineStr">
        <is>
          <t>LFS indicator (1.4.4)</t>
        </is>
      </c>
      <c r="E361" s="7" t="inlineStr">
        <is>
          <t>Resilient Union communication services</t>
        </is>
      </c>
      <c r="F361" s="7" t="inlineStr">
        <is>
          <t>Governments and EU institutions access initial governmental services in 2025, full capacity in 2027</t>
        </is>
      </c>
      <c r="G361" s="7" t="inlineStr">
        <is>
          <t>Initial services 2025; full capacity 2027</t>
        </is>
      </c>
      <c r="H361" s="7" t="inlineStr">
        <is>
          <t>Missed: concession signed Dec 2024 foresaw initial capacity in 2030; after the 2026 review the first satellites are expected to launch in 2029. Interim services rely on pooled GOVSATCOM capacity.</t>
        </is>
      </c>
      <c r="I361" s="7" t="inlineStr">
        <is>
          <t>measured</t>
        </is>
      </c>
      <c r="J361" s="7" t="inlineStr">
        <is>
          <t>measured</t>
        </is>
      </c>
      <c r="K361" s="7" t="inlineStr">
        <is>
          <t>European Spaceflight 2026; Payload 2026</t>
        </is>
      </c>
    </row>
    <row r="362">
      <c r="A362" s="7" t="n">
        <v>75</v>
      </c>
      <c r="B362" s="7" t="inlineStr">
        <is>
          <t>Union Secure Connectivity Programme</t>
        </is>
      </c>
      <c r="C362" s="7" t="inlineStr">
        <is>
          <t>52022PC0057</t>
        </is>
      </c>
      <c r="D362" s="7" t="inlineStr">
        <is>
          <t>expected impact (impact assessment)</t>
        </is>
      </c>
      <c r="E362" s="7" t="inlineStr">
        <is>
          <t>Cost</t>
        </is>
      </c>
      <c r="F362" s="7" t="inlineStr">
        <is>
          <t>Total infrastructure cost about EUR 6bn (EUR 4bn public, EUR 2bn private)</t>
        </is>
      </c>
      <c r="G362" s="7" t="inlineStr">
        <is>
          <t>EUR 6bn</t>
        </is>
      </c>
      <c r="H362" s="7" t="inlineStr">
        <is>
          <t>Concession (Dec 2024): EUR 10.55bn for 290 satellites; after the Aug 2026 review over EUR 15.6bn for about 348 satellites, with about EUR 11.6bn public and up to EUR 4bn from the SpaceRISE partners (figures from company releases; Commission did not disclose the revised total).</t>
        </is>
      </c>
      <c r="I362" s="7" t="inlineStr">
        <is>
          <t>measured</t>
        </is>
      </c>
      <c r="J362" s="7" t="inlineStr">
        <is>
          <t>measured</t>
        </is>
      </c>
      <c r="K362" s="7" t="inlineStr">
        <is>
          <t>European Spaceflight 2026; Payload 2026</t>
        </is>
      </c>
    </row>
    <row r="363">
      <c r="A363" s="7" t="n">
        <v>75</v>
      </c>
      <c r="B363" s="7" t="inlineStr">
        <is>
          <t>Union Secure Connectivity Programme</t>
        </is>
      </c>
      <c r="C363" s="7" t="inlineStr">
        <is>
          <t>52022PC0057</t>
        </is>
      </c>
      <c r="D363" s="7" t="inlineStr">
        <is>
          <t>LFS indicator (1.4.4)</t>
        </is>
      </c>
      <c r="E363" s="7" t="inlineStr">
        <is>
          <t>Innovation / New Space</t>
        </is>
      </c>
      <c r="F363" s="7" t="inlineStr">
        <is>
          <t>Number of start-ups, SMEs and midcaps participating in building the infrastructure</t>
        </is>
      </c>
      <c r="G363" s="7" t="inlineStr"/>
      <c r="H363" s="7" t="inlineStr">
        <is>
          <t>Not reported; Commission lists large subcontractors (Airbus, Thales Alenia Space, OHB) plus some newer firms (e.g. Aerospacelab).</t>
        </is>
      </c>
      <c r="I363" s="7" t="inlineStr">
        <is>
          <t>not measured</t>
        </is>
      </c>
      <c r="J363" s="7" t="inlineStr">
        <is>
          <t>not measured</t>
        </is>
      </c>
      <c r="K363" s="7" t="inlineStr">
        <is>
          <t>Payload 2026</t>
        </is>
      </c>
    </row>
    <row r="364">
      <c r="A364" s="7" t="n">
        <v>75</v>
      </c>
      <c r="B364" s="7" t="inlineStr">
        <is>
          <t>Union Secure Connectivity Programme</t>
        </is>
      </c>
      <c r="C364" s="7" t="inlineStr">
        <is>
          <t>52022PC0057</t>
        </is>
      </c>
      <c r="D364" s="7" t="inlineStr">
        <is>
          <t>LFS indicator (1.4.4)</t>
        </is>
      </c>
      <c r="E364" s="7" t="inlineStr">
        <is>
          <t>Cyber resilience / security accreditation</t>
        </is>
      </c>
      <c r="F364" s="7" t="inlineStr">
        <is>
          <t>System accredited to carry EU classified information; EuroQCI integrated</t>
        </is>
      </c>
      <c r="G364" s="7" t="inlineStr"/>
      <c r="H364" s="7" t="inlineStr">
        <is>
          <t>Not yet applicable: system not deployed.</t>
        </is>
      </c>
      <c r="I364" s="7" t="inlineStr">
        <is>
          <t>not measured</t>
        </is>
      </c>
      <c r="J364" s="7" t="inlineStr">
        <is>
          <t>not measured</t>
        </is>
      </c>
      <c r="K364" s="7" t="inlineStr"/>
    </row>
    <row r="365">
      <c r="A365" s="7" t="n">
        <v>75</v>
      </c>
      <c r="B365" s="7" t="inlineStr">
        <is>
          <t>Union Secure Connectivity Programme</t>
        </is>
      </c>
      <c r="C365" s="7" t="inlineStr">
        <is>
          <t>52022PC0057</t>
        </is>
      </c>
      <c r="D365" s="7" t="inlineStr">
        <is>
          <t>LFS indicator (1.4.4)</t>
        </is>
      </c>
      <c r="E365" s="7" t="inlineStr">
        <is>
          <t>Broadband and cohesion</t>
        </is>
      </c>
      <c r="F365" s="7" t="inlineStr">
        <is>
          <t>Speed of commercial satellite broadband; new commercial users in rural and strategic areas</t>
        </is>
      </c>
      <c r="G365" s="7" t="inlineStr"/>
      <c r="H365" s="7" t="inlineStr">
        <is>
          <t>Not yet applicable: no commercial service before the constellation is deployed.</t>
        </is>
      </c>
      <c r="I365" s="7" t="inlineStr">
        <is>
          <t>not measured</t>
        </is>
      </c>
      <c r="J365" s="7" t="inlineStr">
        <is>
          <t>not measured</t>
        </is>
      </c>
      <c r="K365" s="7" t="inlineStr"/>
    </row>
    <row r="366">
      <c r="A366" s="7" t="n">
        <v>67</v>
      </c>
      <c r="B366" s="7" t="inlineStr">
        <is>
          <t>General Product Safety Regulation</t>
        </is>
      </c>
      <c r="C366" s="7" t="inlineStr">
        <is>
          <t>52021PC0346</t>
        </is>
      </c>
      <c r="D366" s="7" t="inlineStr">
        <is>
          <t>note</t>
        </is>
      </c>
      <c r="E366" s="7" t="inlineStr">
        <is>
          <t>The proposal's financial statement lists no concrete indicators; it refers to the impact assessment's section 9 and to enforcement indicators still to be defined by a study</t>
        </is>
      </c>
      <c r="F366" s="7" t="inlineStr"/>
      <c r="G366" s="7" t="inlineStr"/>
      <c r="H366" s="7" t="inlineStr"/>
      <c r="I366" s="7" t="inlineStr"/>
      <c r="J366" s="7" t="inlineStr"/>
      <c r="K366" s="7" t="inlineStr"/>
    </row>
    <row r="367">
      <c r="A367" s="7" t="n">
        <v>67</v>
      </c>
      <c r="B367" s="7" t="inlineStr">
        <is>
          <t>General Product Safety Regulation</t>
        </is>
      </c>
      <c r="C367" s="7" t="inlineStr">
        <is>
          <t>52021PC0346</t>
        </is>
      </c>
      <c r="D367" s="7" t="inlineStr">
        <is>
          <t>expected impact (impact assessment)</t>
        </is>
      </c>
      <c r="E367" s="7" t="inlineStr">
        <is>
          <t>Consumer protection</t>
        </is>
      </c>
      <c r="F367" s="7" t="inlineStr">
        <is>
          <t>Consumer detriment from unsafe products (EUR 19.3bn/yr) cut by about EUR 1.0bn in year one and EUR 5.5bn over a decade; recall-related detriment cut by over EUR 400m/yr</t>
        </is>
      </c>
      <c r="G367" s="7" t="inlineStr">
        <is>
          <t>Baseline EUR 19.3bn/yr</t>
        </is>
      </c>
      <c r="H367" s="7" t="inlineStr">
        <is>
          <t>Not evaluated (GPSR applies only since 13 Dec 2024; evaluation due 5 years after application).</t>
        </is>
      </c>
      <c r="I367" s="7" t="inlineStr">
        <is>
          <t>not measured</t>
        </is>
      </c>
      <c r="J367" s="7" t="inlineStr">
        <is>
          <t>not measured</t>
        </is>
      </c>
      <c r="K367" s="7" t="inlineStr">
        <is>
          <t>SWD(2021) 168/169</t>
        </is>
      </c>
    </row>
    <row r="368">
      <c r="A368" s="7" t="n">
        <v>67</v>
      </c>
      <c r="B368" s="7" t="inlineStr">
        <is>
          <t>General Product Safety Regulation</t>
        </is>
      </c>
      <c r="C368" s="7" t="inlineStr">
        <is>
          <t>52021PC0346</t>
        </is>
      </c>
      <c r="D368" s="7" t="inlineStr">
        <is>
          <t>expected impact (impact assessment)</t>
        </is>
      </c>
      <c r="E368" s="7" t="inlineStr">
        <is>
          <t>Consumer protection</t>
        </is>
      </c>
      <c r="F368" s="7" t="inlineStr">
        <is>
          <t>Fewer product-related injuries (baseline detriment EUR 11.5bn/yr; health-care cost EUR 6.7bn/yr)</t>
        </is>
      </c>
      <c r="G368" s="7" t="inlineStr"/>
      <c r="H368" s="7" t="inlineStr">
        <is>
          <t>No EU injury data series to track it; the IA itself could not quantify this for lack of injury data.</t>
        </is>
      </c>
      <c r="I368" s="7" t="inlineStr">
        <is>
          <t>not measured</t>
        </is>
      </c>
      <c r="J368" s="7" t="inlineStr">
        <is>
          <t>not measured</t>
        </is>
      </c>
      <c r="K368" s="7" t="inlineStr">
        <is>
          <t>SWD(2021) 169</t>
        </is>
      </c>
    </row>
    <row r="369">
      <c r="A369" s="7" t="n">
        <v>67</v>
      </c>
      <c r="B369" s="7" t="inlineStr">
        <is>
          <t>General Product Safety Regulation</t>
        </is>
      </c>
      <c r="C369" s="7" t="inlineStr">
        <is>
          <t>52021PC0346</t>
        </is>
      </c>
      <c r="D369" s="7" t="inlineStr">
        <is>
          <t>expected impact (impact assessment)</t>
        </is>
      </c>
      <c r="E369" s="7" t="inlineStr">
        <is>
          <t>Business costs</t>
        </is>
      </c>
      <c r="F369" s="7" t="inlineStr">
        <is>
          <t>Business costs EUR 196.6m in year one, EUR 177.8m/yr after; savings of EUR 59m/yr from less fragmentation</t>
        </is>
      </c>
      <c r="G369" s="7" t="inlineStr"/>
      <c r="H369" s="7" t="inlineStr">
        <is>
          <t>No ex-post cost measurement found.</t>
        </is>
      </c>
      <c r="I369" s="7" t="inlineStr">
        <is>
          <t>not measured</t>
        </is>
      </c>
      <c r="J369" s="7" t="inlineStr">
        <is>
          <t>not measured</t>
        </is>
      </c>
      <c r="K369" s="7" t="inlineStr">
        <is>
          <t>SWD(2021) 169</t>
        </is>
      </c>
    </row>
    <row r="370">
      <c r="A370" s="7" t="n">
        <v>67</v>
      </c>
      <c r="B370" s="7" t="inlineStr">
        <is>
          <t>General Product Safety Regulation</t>
        </is>
      </c>
      <c r="C370" s="7" t="inlineStr">
        <is>
          <t>52021PC0346</t>
        </is>
      </c>
      <c r="D370" s="7" t="inlineStr">
        <is>
          <t>LFS objective (1.4.2)</t>
        </is>
      </c>
      <c r="E370" s="7" t="inlineStr">
        <is>
          <t>Enforcement and information exchange</t>
        </is>
      </c>
      <c r="F370" s="7" t="inlineStr">
        <is>
          <t>Safety Gate alerts and follow-up actions; online marketplace registration</t>
        </is>
      </c>
      <c r="G370" s="7" t="inlineStr"/>
      <c r="H370" s="7" t="inlineStr">
        <is>
          <t>2025: record 4,671 Safety Gate alerts (+13%), 5,794 follow-up actions (+35%); over 1,200 online marketplaces registered. Activity rise, not proof of safer markets. Consumer-group tests in 2025 still found about two-thirds of Temu and 73% of Shein products non-compliant.</t>
        </is>
      </c>
      <c r="I370" s="7" t="inlineStr">
        <is>
          <t>reported as activity</t>
        </is>
      </c>
      <c r="J370" s="7" t="inlineStr">
        <is>
          <t>reported as activity</t>
        </is>
      </c>
      <c r="K370" s="7" t="inlineStr">
        <is>
          <t>Commission Safety Gate report 2025; Euroconsumers 2025</t>
        </is>
      </c>
    </row>
    <row r="371">
      <c r="A371" s="7" t="n">
        <v>87</v>
      </c>
      <c r="B371" s="7" t="inlineStr">
        <is>
          <t>Horizontal Block Exemption Regulations</t>
        </is>
      </c>
      <c r="C371" s="7" t="inlineStr"/>
      <c r="D371" s="7" t="inlineStr">
        <is>
          <t>note</t>
        </is>
      </c>
      <c r="E371" s="7" t="inlineStr">
        <is>
          <t>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is>
      </c>
      <c r="F371" s="7" t="inlineStr"/>
      <c r="G371" s="7" t="inlineStr"/>
      <c r="H371" s="7" t="inlineStr"/>
      <c r="I371" s="7" t="inlineStr"/>
      <c r="J371" s="7" t="inlineStr"/>
      <c r="K371" s="7" t="inlineStr"/>
    </row>
    <row r="372">
      <c r="A372" s="7" t="n">
        <v>87</v>
      </c>
      <c r="B372" s="7" t="inlineStr">
        <is>
          <t>Horizontal Block Exemption Regulations</t>
        </is>
      </c>
      <c r="C372" s="7" t="inlineStr"/>
      <c r="D372" s="7" t="inlineStr">
        <is>
          <t>evaluation objective</t>
        </is>
      </c>
      <c r="E372" s="7" t="inlineStr">
        <is>
          <t>Legal certainty for cooperating firms</t>
        </is>
      </c>
      <c r="F372" s="7" t="inlineStr">
        <is>
          <t>Firms and authorities find the block exemptions clear and usable</t>
        </is>
      </c>
      <c r="G372" s="7" t="inlineStr"/>
      <c r="H372" s="7" t="inlineStr">
        <is>
          <t>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is>
      </c>
      <c r="I372" s="7" t="inlineStr">
        <is>
          <t>partially measured</t>
        </is>
      </c>
      <c r="J372" s="7" t="inlineStr">
        <is>
          <t>partially measured</t>
        </is>
      </c>
      <c r="K372" s="7" t="inlineStr">
        <is>
          <t>SWD(2021) 103</t>
        </is>
      </c>
    </row>
    <row r="373">
      <c r="A373" s="7" t="n">
        <v>87</v>
      </c>
      <c r="B373" s="7" t="inlineStr">
        <is>
          <t>Horizontal Block Exemption Regulations</t>
        </is>
      </c>
      <c r="C373" s="7" t="inlineStr"/>
      <c r="D373" s="7" t="inlineStr">
        <is>
          <t>evaluation objective</t>
        </is>
      </c>
      <c r="E373" s="7" t="inlineStr">
        <is>
          <t>Lower compliance costs</t>
        </is>
      </c>
      <c r="F373" s="7" t="inlineStr">
        <is>
          <t>Self-assessment costs saved compared with no block exemption</t>
        </is>
      </c>
      <c r="G373" s="7" t="inlineStr"/>
      <c r="H373" s="7" t="inlineStr">
        <is>
          <t>Evaluation could not quantify savings: most stakeholders did not know whether costs had changed; few gave estimates.</t>
        </is>
      </c>
      <c r="I373" s="7" t="inlineStr">
        <is>
          <t>not measured</t>
        </is>
      </c>
      <c r="J373" s="7" t="inlineStr">
        <is>
          <t>not measured</t>
        </is>
      </c>
      <c r="K373" s="7" t="inlineStr">
        <is>
          <t>SWD(2021) 103</t>
        </is>
      </c>
    </row>
    <row r="374">
      <c r="A374" s="7" t="n">
        <v>87</v>
      </c>
      <c r="B374" s="7" t="inlineStr">
        <is>
          <t>Horizontal Block Exemption Regulations</t>
        </is>
      </c>
      <c r="C374" s="7" t="inlineStr"/>
      <c r="D374" s="7" t="inlineStr">
        <is>
          <t>expected impact</t>
        </is>
      </c>
      <c r="E374" s="7" t="inlineStr">
        <is>
          <t>Innovation</t>
        </is>
      </c>
      <c r="F374" s="7" t="inlineStr">
        <is>
          <t>More pro-competitive R&amp;D cooperation and innovation</t>
        </is>
      </c>
      <c r="G374" s="7" t="inlineStr"/>
      <c r="H374" s="7" t="inlineStr">
        <is>
          <t>No empirical study found of the block exemption's effect on R&amp;D cooperation or innovation; theory suggests the 25% market-share safe harbour is not clearly justified.</t>
        </is>
      </c>
      <c r="I374" s="7" t="inlineStr">
        <is>
          <t>not measured</t>
        </is>
      </c>
      <c r="J374" s="7" t="inlineStr">
        <is>
          <t>not measured</t>
        </is>
      </c>
      <c r="K374" s="7" t="inlineStr">
        <is>
          <t>Ruble &amp; Versaevel 2014</t>
        </is>
      </c>
    </row>
    <row r="375">
      <c r="A375" s="7" t="n">
        <v>56</v>
      </c>
      <c r="B375" s="7" t="inlineStr">
        <is>
          <t>Markets in Crypto-Assets (MiCA)</t>
        </is>
      </c>
      <c r="C375" s="7" t="inlineStr">
        <is>
          <t>52020PC0593</t>
        </is>
      </c>
      <c r="D375" s="7" t="inlineStr">
        <is>
          <t>specific objective</t>
        </is>
      </c>
      <c r="E375" s="7" t="inlineStr">
        <is>
          <t>Remove regulatory obstacles to issuance, trading and post-trading of crypto-assets; increase company funding through ICOs/STOs; limit fraud and illicit practices; give consumers and investors access to new investment and payment instruments</t>
        </is>
      </c>
      <c r="F375" s="7" t="inlineStr"/>
      <c r="G375" s="7" t="inlineStr"/>
      <c r="H375" s="7" t="inlineStr"/>
      <c r="I375" s="7" t="inlineStr"/>
      <c r="J375" s="7" t="inlineStr"/>
      <c r="K375" s="7" t="inlineStr"/>
    </row>
    <row r="376">
      <c r="A376" s="7" t="n">
        <v>56</v>
      </c>
      <c r="B376" s="7" t="inlineStr">
        <is>
          <t>Markets in Crypto-Assets (MiCA)</t>
        </is>
      </c>
      <c r="C376" s="7" t="inlineStr">
        <is>
          <t>52020PC0593</t>
        </is>
      </c>
      <c r="D376" s="7" t="inlineStr">
        <is>
          <t>indicator (LFS 1.4.4)</t>
        </is>
      </c>
      <c r="E376" s="7" t="inlineStr">
        <is>
          <t>Market structure</t>
        </is>
      </c>
      <c r="F376" s="7" t="inlineStr">
        <is>
          <t>Number of entities authorised in the EU as crypto-asset service providers</t>
        </is>
      </c>
      <c r="G376" s="7" t="inlineStr"/>
      <c r="H376" s="7" t="inlineStr">
        <is>
          <t>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is>
      </c>
      <c r="I376" s="7" t="inlineStr">
        <is>
          <t>measured</t>
        </is>
      </c>
      <c r="J376" s="7" t="inlineStr">
        <is>
          <t>measured</t>
        </is>
      </c>
      <c r="K376" s="7" t="inlineStr">
        <is>
          <t>ESMA interim MiCA register</t>
        </is>
      </c>
    </row>
    <row r="377">
      <c r="A377" s="7" t="n">
        <v>56</v>
      </c>
      <c r="B377" s="7" t="inlineStr">
        <is>
          <t>Markets in Crypto-Assets (MiCA)</t>
        </is>
      </c>
      <c r="C377" s="7" t="inlineStr">
        <is>
          <t>52020PC0593</t>
        </is>
      </c>
      <c r="D377" s="7" t="inlineStr">
        <is>
          <t>indicator (LFS 1.4.4)</t>
        </is>
      </c>
      <c r="E377" s="7" t="inlineStr">
        <is>
          <t>Stablecoins</t>
        </is>
      </c>
      <c r="F377" s="7" t="inlineStr">
        <is>
          <t>Number of authorised issuers of asset-referenced / significant tokens; market capitalisation of such tokens</t>
        </is>
      </c>
      <c r="G377" s="7" t="inlineStr"/>
      <c r="H377" s="7" t="inlineStr">
        <is>
          <t>ESMA register: zero authorised asset-referenced token issuers; 25 e-money token issuers with 50 white papers. Industry tracker: market cap of eight MiCA-compliant euro stablecoins rose from USD 296m to USD 674m (June 2025-June 2026), still tiny against dollar stablecoins.</t>
        </is>
      </c>
      <c r="I377" s="7" t="inlineStr">
        <is>
          <t>measured</t>
        </is>
      </c>
      <c r="J377" s="7" t="inlineStr">
        <is>
          <t>measured</t>
        </is>
      </c>
      <c r="K377" s="7" t="inlineStr">
        <is>
          <t>ESMA interim MiCA register; Decta 2026</t>
        </is>
      </c>
    </row>
    <row r="378">
      <c r="A378" s="7" t="n">
        <v>56</v>
      </c>
      <c r="B378" s="7" t="inlineStr">
        <is>
          <t>Markets in Crypto-Assets (MiCA)</t>
        </is>
      </c>
      <c r="C378" s="7" t="inlineStr">
        <is>
          <t>52020PC0593</t>
        </is>
      </c>
      <c r="D378" s="7" t="inlineStr">
        <is>
          <t>indicator (LFS 1.4.4)</t>
        </is>
      </c>
      <c r="E378" s="7" t="inlineStr">
        <is>
          <t>Investor protection / integrity</t>
        </is>
      </c>
      <c r="F378" s="7" t="inlineStr">
        <is>
          <t>Number and value of fraud and thefts of crypto-assets in the EU; market abuse cases reported and investigated</t>
        </is>
      </c>
      <c r="G378" s="7" t="inlineStr"/>
      <c r="H378" s="7" t="inlineStr">
        <is>
          <t>Not measured: no EU-level statistics published. Commission's Article 140 report on application (interim due 30 June 2025) not located on EUR-Lex; public consultation opened May 2026.</t>
        </is>
      </c>
      <c r="I378" s="7" t="inlineStr">
        <is>
          <t>not measured</t>
        </is>
      </c>
      <c r="J378" s="7" t="inlineStr">
        <is>
          <t>not measured</t>
        </is>
      </c>
      <c r="K378" s="7" t="inlineStr"/>
    </row>
    <row r="379">
      <c r="A379" s="7" t="n">
        <v>56</v>
      </c>
      <c r="B379" s="7" t="inlineStr">
        <is>
          <t>Markets in Crypto-Assets (MiCA)</t>
        </is>
      </c>
      <c r="C379" s="7" t="inlineStr">
        <is>
          <t>52020PC0593</t>
        </is>
      </c>
      <c r="D379" s="7" t="inlineStr">
        <is>
          <t>indicator (LFS 1.4.4)</t>
        </is>
      </c>
      <c r="E379" s="7" t="inlineStr">
        <is>
          <t>Funding</t>
        </is>
      </c>
      <c r="F379" s="7" t="inlineStr">
        <is>
          <t>Number and volumes of crypto-asset issuances in the EU</t>
        </is>
      </c>
      <c r="G379" s="7" t="inlineStr"/>
      <c r="H379" s="7" t="inlineStr">
        <is>
          <t>White papers for other crypto-assets are notified to ESMA's register, but no volume statistics or analysis of company funding found.</t>
        </is>
      </c>
      <c r="I379" s="7" t="inlineStr">
        <is>
          <t>not measured</t>
        </is>
      </c>
      <c r="J379" s="7" t="inlineStr">
        <is>
          <t>not measured</t>
        </is>
      </c>
      <c r="K379" s="7" t="inlineStr">
        <is>
          <t>ESMA interim MiCA register</t>
        </is>
      </c>
    </row>
    <row r="380">
      <c r="A380" s="7" t="n">
        <v>56</v>
      </c>
      <c r="B380" s="7" t="inlineStr">
        <is>
          <t>Markets in Crypto-Assets (MiCA)</t>
        </is>
      </c>
      <c r="C380" s="7" t="inlineStr">
        <is>
          <t>52020PC0593</t>
        </is>
      </c>
      <c r="D380" s="7" t="inlineStr">
        <is>
          <t>expected impact (impact assessment)</t>
        </is>
      </c>
      <c r="E380" s="7" t="inlineStr">
        <is>
          <t>Payments / remittances</t>
        </is>
      </c>
      <c r="F380" s="7" t="inlineStr">
        <is>
          <t>Remittance cost savings EUR 220-570m a year; crypto funding costs 20-40% below IPOs</t>
        </is>
      </c>
      <c r="G380" s="7" t="inlineStr">
        <is>
          <t>EUR 220-570m/yr</t>
        </is>
      </c>
      <c r="H380" s="7" t="inlineStr">
        <is>
          <t>Not measured. ESMA (2024): euro plays a minor role in crypto trading and MiCA's announcement did not raise euro transactions.</t>
        </is>
      </c>
      <c r="I380" s="7" t="inlineStr">
        <is>
          <t>not measured</t>
        </is>
      </c>
      <c r="J380" s="7" t="inlineStr">
        <is>
          <t>not measured</t>
        </is>
      </c>
      <c r="K380" s="7" t="inlineStr">
        <is>
          <t>SWD(2020) 381; ESMA TRV 2024</t>
        </is>
      </c>
    </row>
    <row r="381">
      <c r="A381" s="7" t="n">
        <v>56</v>
      </c>
      <c r="B381" s="7" t="inlineStr">
        <is>
          <t>Markets in Crypto-Assets (MiCA)</t>
        </is>
      </c>
      <c r="C381" s="7" t="inlineStr">
        <is>
          <t>52020PC0593</t>
        </is>
      </c>
      <c r="D381" s="7" t="inlineStr">
        <is>
          <t>expected impact (impact assessment)</t>
        </is>
      </c>
      <c r="E381" s="7" t="inlineStr">
        <is>
          <t>Compliance costs</t>
        </is>
      </c>
      <c r="F381" s="7" t="inlineStr">
        <is>
          <t>One-off EUR 2.8-16.5m and ongoing EUR 2.2-24m for newly regulated CASPs; about EUR 35,000 per SME issuance</t>
        </is>
      </c>
      <c r="G381" s="7" t="inlineStr"/>
      <c r="H381" s="7" t="inlineStr">
        <is>
          <t>No ex-post cost survey found.</t>
        </is>
      </c>
      <c r="I381" s="7" t="inlineStr">
        <is>
          <t>not measured</t>
        </is>
      </c>
      <c r="J381" s="7" t="inlineStr">
        <is>
          <t>not measured</t>
        </is>
      </c>
      <c r="K381" s="7" t="inlineStr">
        <is>
          <t>SWD(2020) 381</t>
        </is>
      </c>
    </row>
    <row r="382">
      <c r="A382" s="7" t="n">
        <v>65</v>
      </c>
      <c r="B382" s="7" t="inlineStr">
        <is>
          <t>Machinery Regulation</t>
        </is>
      </c>
      <c r="C382" s="7" t="inlineStr">
        <is>
          <t>52021PC0202</t>
        </is>
      </c>
      <c r="D382" s="7" t="inlineStr">
        <is>
          <t>note</t>
        </is>
      </c>
      <c r="E382" s="7" t="inlineStr">
        <is>
          <t>The proposal's financial statement contains no indicators section (the raw extraction picked up Annex text); the memorandum only promises monitoring and a periodic Commission evaluation report. The Regulation applies from 20 January 2027, so no effects can yet be observed</t>
        </is>
      </c>
      <c r="F382" s="7" t="inlineStr"/>
      <c r="G382" s="7" t="inlineStr"/>
      <c r="H382" s="7" t="inlineStr"/>
      <c r="I382" s="7" t="inlineStr"/>
      <c r="J382" s="7" t="inlineStr"/>
      <c r="K382" s="7" t="inlineStr"/>
    </row>
    <row r="383">
      <c r="A383" s="7" t="n">
        <v>65</v>
      </c>
      <c r="B383" s="7" t="inlineStr">
        <is>
          <t>Machinery Regulation</t>
        </is>
      </c>
      <c r="C383" s="7" t="inlineStr">
        <is>
          <t>52021PC0202</t>
        </is>
      </c>
      <c r="D383" s="7" t="inlineStr">
        <is>
          <t>expected impact (impact assessment)</t>
        </is>
      </c>
      <c r="E383" s="7" t="inlineStr">
        <is>
          <t>Burden reduction</t>
        </is>
      </c>
      <c r="F383" s="7" t="inlineStr">
        <is>
          <t>Savings in printing costs from digital instructions, up to EUR 16.6bn a year (EUR 201,000 per company)</t>
        </is>
      </c>
      <c r="G383" s="7" t="inlineStr">
        <is>
          <t>Up to EUR 16.6bn/yr (lower bound ~EUR 4bn per the IA's assumptions as summarised by tcworld)</t>
        </is>
      </c>
      <c r="H383" s="7" t="inlineStr">
        <is>
          <t>Not yet applicable (digital instructions allowed from 2027). The estimate rests on an assumption that printing costs are 1-4% of sector turnover, which a technical-communication trade article flags as untested.</t>
        </is>
      </c>
      <c r="I383" s="7" t="inlineStr">
        <is>
          <t>not measured</t>
        </is>
      </c>
      <c r="J383" s="7" t="inlineStr">
        <is>
          <t>not measured</t>
        </is>
      </c>
      <c r="K383" s="7" t="inlineStr">
        <is>
          <t>SWD(2021) 82/83; tcworld 2024</t>
        </is>
      </c>
    </row>
    <row r="384">
      <c r="A384" s="7" t="n">
        <v>65</v>
      </c>
      <c r="B384" s="7" t="inlineStr">
        <is>
          <t>Machinery Regulation</t>
        </is>
      </c>
      <c r="C384" s="7" t="inlineStr">
        <is>
          <t>52021PC0202</t>
        </is>
      </c>
      <c r="D384" s="7" t="inlineStr">
        <is>
          <t>expected impact (impact assessment)</t>
        </is>
      </c>
      <c r="E384" s="7" t="inlineStr">
        <is>
          <t>Costs</t>
        </is>
      </c>
      <c r="F384" s="7" t="inlineStr">
        <is>
          <t>One-off third-party conformity assessment costs of EUR 202m for high-risk machinery; server costs EUR 29m one-off and EUR 48m a year</t>
        </is>
      </c>
      <c r="G384" s="7" t="inlineStr"/>
      <c r="H384" s="7" t="inlineStr">
        <is>
          <t>Not measured; Regulation not yet applicable.</t>
        </is>
      </c>
      <c r="I384" s="7" t="inlineStr">
        <is>
          <t>not measured</t>
        </is>
      </c>
      <c r="J384" s="7" t="inlineStr">
        <is>
          <t>not measured</t>
        </is>
      </c>
      <c r="K384" s="7" t="inlineStr">
        <is>
          <t>SWD(2021) 83</t>
        </is>
      </c>
    </row>
    <row r="385">
      <c r="A385" s="7" t="n">
        <v>65</v>
      </c>
      <c r="B385" s="7" t="inlineStr">
        <is>
          <t>Machinery Regulation</t>
        </is>
      </c>
      <c r="C385" s="7" t="inlineStr">
        <is>
          <t>52021PC0202</t>
        </is>
      </c>
      <c r="D385" s="7" t="inlineStr">
        <is>
          <t>expected impact (impact assessment)</t>
        </is>
      </c>
      <c r="E385" s="7" t="inlineStr">
        <is>
          <t>Health and safety</t>
        </is>
      </c>
      <c r="F385" s="7" t="inlineStr">
        <is>
          <t>Fewer accidents and occupational injuries (e.g. EUR 15m/yr saved on vibration-related sick leave)</t>
        </is>
      </c>
      <c r="G385" s="7" t="inlineStr"/>
      <c r="H385" s="7" t="inlineStr">
        <is>
          <t>Not measured; Regulation not yet applicable.</t>
        </is>
      </c>
      <c r="I385" s="7" t="inlineStr">
        <is>
          <t>not measured</t>
        </is>
      </c>
      <c r="J385" s="7" t="inlineStr">
        <is>
          <t>not measured</t>
        </is>
      </c>
      <c r="K385" s="7" t="inlineStr">
        <is>
          <t>SWD(2021) 83</t>
        </is>
      </c>
    </row>
    <row r="386">
      <c r="A386" s="7" t="n">
        <v>42</v>
      </c>
      <c r="B386" s="7" t="inlineStr">
        <is>
          <t>E-evidence Regulation</t>
        </is>
      </c>
      <c r="C386" s="7" t="inlineStr">
        <is>
          <t>52018PC0225</t>
        </is>
      </c>
      <c r="D386" s="7" t="inlineStr">
        <is>
          <t>note</t>
        </is>
      </c>
      <c r="E386" s="7" t="inlineStr">
        <is>
          <t>The 2018 proposal's financial statement has no indicators section; the memorandum says Member States will collect yearly monitoring data and the Commission will report within 5 years. The Regulation applies only from 18 August 2026</t>
        </is>
      </c>
      <c r="F386" s="7" t="inlineStr"/>
      <c r="G386" s="7" t="inlineStr"/>
      <c r="H386" s="7" t="inlineStr"/>
      <c r="I386" s="7" t="inlineStr"/>
      <c r="J386" s="7" t="inlineStr"/>
      <c r="K386" s="7" t="inlineStr"/>
    </row>
    <row r="387">
      <c r="A387" s="7" t="n">
        <v>42</v>
      </c>
      <c r="B387" s="7" t="inlineStr">
        <is>
          <t>E-evidence Regulation</t>
        </is>
      </c>
      <c r="C387" s="7" t="inlineStr">
        <is>
          <t>52018PC0225</t>
        </is>
      </c>
      <c r="D387" s="7" t="inlineStr">
        <is>
          <t>expected impact (impact assessment)</t>
        </is>
      </c>
      <c r="E387" s="7" t="inlineStr">
        <is>
          <t>Effective investigations</t>
        </is>
      </c>
      <c r="F387" s="7" t="inlineStr">
        <is>
          <t>Faster, more effective cross-border access to electronic evidence; fewer gaps in investigations</t>
        </is>
      </c>
      <c r="G387" s="7" t="inlineStr"/>
      <c r="H387" s="7" t="inlineStr">
        <is>
          <t>No data yet; Regulation applicable only since 18 Aug 2026. Industry reports the decentralised IT system (e-CODEX) was still under development in mid-2026 and 22 Member States received formal notices (27 Mar 2026) for not transposing the companion Directive 2023/1544.</t>
        </is>
      </c>
      <c r="I387" s="7" t="inlineStr">
        <is>
          <t>not measured</t>
        </is>
      </c>
      <c r="J387" s="7" t="inlineStr">
        <is>
          <t>not measured</t>
        </is>
      </c>
      <c r="K387" s="7" t="inlineStr">
        <is>
          <t>SWD(2018) 118/119; EuroISPA 2026</t>
        </is>
      </c>
    </row>
    <row r="388">
      <c r="A388" s="7" t="n">
        <v>42</v>
      </c>
      <c r="B388" s="7" t="inlineStr">
        <is>
          <t>E-evidence Regulation</t>
        </is>
      </c>
      <c r="C388" s="7" t="inlineStr">
        <is>
          <t>52018PC0225</t>
        </is>
      </c>
      <c r="D388" s="7" t="inlineStr">
        <is>
          <t>expected impact (impact assessment)</t>
        </is>
      </c>
      <c r="E388" s="7" t="inlineStr">
        <is>
          <t>Costs and savings</t>
        </is>
      </c>
      <c r="F388" s="7" t="inlineStr">
        <is>
          <t>One-off costs EUR 3.3m for Member States and EUR 1.7m for service providers; recurrent savings over EUR 7.1m/yr (Member States) and EUR 4.3m/yr (providers)</t>
        </is>
      </c>
      <c r="G388" s="7" t="inlineStr"/>
      <c r="H388" s="7" t="inlineStr">
        <is>
          <t>Not measured.</t>
        </is>
      </c>
      <c r="I388" s="7" t="inlineStr">
        <is>
          <t>not measured</t>
        </is>
      </c>
      <c r="J388" s="7" t="inlineStr">
        <is>
          <t>not measured</t>
        </is>
      </c>
      <c r="K388" s="7" t="inlineStr">
        <is>
          <t>SWD(2018) 119</t>
        </is>
      </c>
    </row>
    <row r="389">
      <c r="A389" s="7" t="n">
        <v>74</v>
      </c>
      <c r="B389" s="7" t="inlineStr">
        <is>
          <t>European Chips Act</t>
        </is>
      </c>
      <c r="C389" s="7" t="inlineStr">
        <is>
          <t>52022PC0046</t>
        </is>
      </c>
      <c r="D389" s="7" t="inlineStr">
        <is>
          <t>note</t>
        </is>
      </c>
      <c r="E389" s="7" t="inlineStr">
        <is>
          <t>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is>
      </c>
      <c r="F389" s="7" t="inlineStr"/>
      <c r="G389" s="7" t="inlineStr"/>
      <c r="H389" s="7" t="inlineStr"/>
      <c r="I389" s="7" t="inlineStr"/>
      <c r="J389" s="7" t="inlineStr"/>
      <c r="K389" s="7" t="inlineStr"/>
    </row>
    <row r="390">
      <c r="A390" s="7" t="n">
        <v>74</v>
      </c>
      <c r="B390" s="7" t="inlineStr">
        <is>
          <t>European Chips Act</t>
        </is>
      </c>
      <c r="C390" s="7" t="inlineStr">
        <is>
          <t>52022PC0046</t>
        </is>
      </c>
      <c r="D390" s="7" t="inlineStr">
        <is>
          <t>policy target (Digital Decade)</t>
        </is>
      </c>
      <c r="E390" s="7" t="inlineStr">
        <is>
          <t>Production capacity</t>
        </is>
      </c>
      <c r="F390" s="7" t="inlineStr">
        <is>
          <t>20% of global production value of cutting-edge and sustainable chips by 2030</t>
        </is>
      </c>
      <c r="G390" s="7" t="inlineStr">
        <is>
          <t>20% by 2030 (baseline ~10%)</t>
        </is>
      </c>
      <c r="H390" s="7" t="inlineStr">
        <is>
          <t>Off track: Commission July 2024 forecast had the EU's value-chain share rising only from 9.8% (2022) to 11.7% (2030); the 2026 Chips Act 2.0 impact assessment puts EU production share at 8.1% in 2030 despite a 30% capacity rise. ECA: 20% target very unlikely.</t>
        </is>
      </c>
      <c r="I390" s="7" t="inlineStr">
        <is>
          <t>measured</t>
        </is>
      </c>
      <c r="J390" s="7" t="inlineStr">
        <is>
          <t>measured</t>
        </is>
      </c>
      <c r="K390" s="7" t="inlineStr">
        <is>
          <t>ECA SR 12/2025; SWD(2026) 504</t>
        </is>
      </c>
    </row>
    <row r="391">
      <c r="A391" s="7" t="n">
        <v>74</v>
      </c>
      <c r="B391" s="7" t="inlineStr">
        <is>
          <t>European Chips Act</t>
        </is>
      </c>
      <c r="C391" s="7" t="inlineStr">
        <is>
          <t>52022PC0046</t>
        </is>
      </c>
      <c r="D391" s="7" t="inlineStr">
        <is>
          <t>expected impact</t>
        </is>
      </c>
      <c r="E391" s="7" t="inlineStr">
        <is>
          <t>Investment</t>
        </is>
      </c>
      <c r="F391" s="7" t="inlineStr">
        <is>
          <t>Mobilise public and private investment in EU chip manufacturing</t>
        </is>
      </c>
      <c r="G391" s="7" t="inlineStr"/>
      <c r="H391" s="7" t="inlineStr">
        <is>
          <t>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is>
      </c>
      <c r="I391" s="7" t="inlineStr">
        <is>
          <t>partially measured</t>
        </is>
      </c>
      <c r="J391" s="7" t="inlineStr">
        <is>
          <t>partially measured</t>
        </is>
      </c>
      <c r="K391" s="7" t="inlineStr">
        <is>
          <t>SWD(2026) 504; ECA SR 12/2025</t>
        </is>
      </c>
    </row>
    <row r="392">
      <c r="A392" s="7" t="n">
        <v>74</v>
      </c>
      <c r="B392" s="7" t="inlineStr">
        <is>
          <t>European Chips Act</t>
        </is>
      </c>
      <c r="C392" s="7" t="inlineStr">
        <is>
          <t>52022PC0046</t>
        </is>
      </c>
      <c r="D392" s="7" t="inlineStr">
        <is>
          <t>expected impact</t>
        </is>
      </c>
      <c r="E392" s="7" t="inlineStr">
        <is>
          <t>Research and innovation (Pillar I)</t>
        </is>
      </c>
      <c r="F392" s="7" t="inlineStr">
        <is>
          <t>Pilot lines, competence centres, design platform, Chips Fund</t>
        </is>
      </c>
      <c r="G392" s="7" t="inlineStr"/>
      <c r="H392" s="7" t="inlineStr">
        <is>
          <t>Over 85% of the Pillar I budget committed to five pilot lines, competence centres in all Member States, a design platform and six quantum chip pilot lines; outcomes not yet measurable.</t>
        </is>
      </c>
      <c r="I392" s="7" t="inlineStr">
        <is>
          <t>reported as activity</t>
        </is>
      </c>
      <c r="J392" s="7" t="inlineStr">
        <is>
          <t>reported as activity</t>
        </is>
      </c>
      <c r="K392" s="7" t="inlineStr">
        <is>
          <t>SWD(2026) 504</t>
        </is>
      </c>
    </row>
    <row r="393">
      <c r="A393" s="7" t="n">
        <v>74</v>
      </c>
      <c r="B393" s="7" t="inlineStr">
        <is>
          <t>European Chips Act</t>
        </is>
      </c>
      <c r="C393" s="7" t="inlineStr">
        <is>
          <t>52022PC0046</t>
        </is>
      </c>
      <c r="D393" s="7" t="inlineStr">
        <is>
          <t>expected impact</t>
        </is>
      </c>
      <c r="E393" s="7" t="inlineStr">
        <is>
          <t>Crisis preparedness (Pillar III)</t>
        </is>
      </c>
      <c r="F393" s="7" t="inlineStr">
        <is>
          <t>Monitoring and crisis response via the European Semiconductor Board</t>
        </is>
      </c>
      <c r="G393" s="7" t="inlineStr"/>
      <c r="H393" s="7" t="inlineStr">
        <is>
          <t>Commission evaluation: coordination improved but voluntary information collection insufficient; limited visibility of supply chains weakens crisis preparedness.</t>
        </is>
      </c>
      <c r="I393" s="7" t="inlineStr">
        <is>
          <t>mixed evidence</t>
        </is>
      </c>
      <c r="J393" s="7" t="inlineStr">
        <is>
          <t>mixed evidence</t>
        </is>
      </c>
      <c r="K393" s="7" t="inlineStr">
        <is>
          <t>SWD(2026) 504 Annex I</t>
        </is>
      </c>
    </row>
    <row r="394">
      <c r="A394" s="7" t="n">
        <v>78</v>
      </c>
      <c r="B394" s="7" t="inlineStr">
        <is>
          <t>Cybersecurity Regulation (EU institutions)</t>
        </is>
      </c>
      <c r="C394" s="7" t="inlineStr">
        <is>
          <t>52022PC0122</t>
        </is>
      </c>
      <c r="D394" s="7" t="inlineStr">
        <is>
          <t>note</t>
        </is>
      </c>
      <c r="E394" s="7" t="inlineStr">
        <is>
          <t>No impact assessment: the Commission judged one unnecessary because the rules apply only to EU institutions, bodies and agencies. Indicators below are from the proposal's financial statement (1.4.4); progress is reported annually by the Interinstitutional Cybersecurity Board (IICB)</t>
        </is>
      </c>
      <c r="F394" s="7" t="inlineStr"/>
      <c r="G394" s="7" t="inlineStr"/>
      <c r="H394" s="7" t="inlineStr"/>
      <c r="I394" s="7" t="inlineStr"/>
      <c r="J394" s="7" t="inlineStr"/>
      <c r="K394" s="7" t="inlineStr"/>
    </row>
    <row r="395">
      <c r="A395" s="7" t="n">
        <v>78</v>
      </c>
      <c r="B395" s="7" t="inlineStr">
        <is>
          <t>Cybersecurity Regulation (EU institutions)</t>
        </is>
      </c>
      <c r="C395" s="7" t="inlineStr">
        <is>
          <t>52022PC0122</t>
        </is>
      </c>
      <c r="D395" s="7" t="inlineStr">
        <is>
          <t>LFS indicator (1.4.4)</t>
        </is>
      </c>
      <c r="E395" s="7" t="inlineStr">
        <is>
          <t>Risk management frameworks</t>
        </is>
      </c>
      <c r="F395" s="7" t="inlineStr">
        <is>
          <t>Frameworks and baselines in place; regular maturity assessments and cybersecurity plans in all Union entities</t>
        </is>
      </c>
      <c r="G395" s="7" t="inlineStr"/>
      <c r="H395" s="7" t="inlineStr">
        <is>
          <t>IICB 2025 report: Union entities set up risk-management frameworks and completed maturity and risk assessments; all milestones foreseen for 2025 completed on time. Aggregate maturity scores not published.</t>
        </is>
      </c>
      <c r="I395" s="7" t="inlineStr">
        <is>
          <t>reported as activity</t>
        </is>
      </c>
      <c r="J395" s="7" t="inlineStr">
        <is>
          <t>reported as activity</t>
        </is>
      </c>
      <c r="K395" s="7" t="inlineStr">
        <is>
          <t>IICB annual report 2025</t>
        </is>
      </c>
    </row>
    <row r="396">
      <c r="A396" s="7" t="n">
        <v>78</v>
      </c>
      <c r="B396" s="7" t="inlineStr">
        <is>
          <t>Cybersecurity Regulation (EU institutions)</t>
        </is>
      </c>
      <c r="C396" s="7" t="inlineStr">
        <is>
          <t>52022PC0122</t>
        </is>
      </c>
      <c r="D396" s="7" t="inlineStr">
        <is>
          <t>LFS indicator (1.4.4)</t>
        </is>
      </c>
      <c r="E396" s="7" t="inlineStr">
        <is>
          <t>Incident handling</t>
        </is>
      </c>
      <c r="F396" s="7" t="inlineStr">
        <is>
          <t>Improved handling of incidents</t>
        </is>
      </c>
      <c r="G396" s="7" t="inlineStr">
        <is>
          <t>Baseline: significant incidents rose more than tenfold 2018-2021</t>
        </is>
      </c>
      <c r="H396" s="7" t="inlineStr">
        <is>
          <t>8 significant incidents confirmed for 2025 as of early November, fewer than in 2024; CERT-EU analysed over 800 malicious activities in depth; threat level 'very high'.</t>
        </is>
      </c>
      <c r="I396" s="7" t="inlineStr">
        <is>
          <t>partially measured</t>
        </is>
      </c>
      <c r="J396" s="7" t="inlineStr">
        <is>
          <t>partially measured</t>
        </is>
      </c>
      <c r="K396" s="7" t="inlineStr">
        <is>
          <t>IICB annual report 2025; ECA SR 05/2022</t>
        </is>
      </c>
    </row>
    <row r="397">
      <c r="A397" s="7" t="n">
        <v>78</v>
      </c>
      <c r="B397" s="7" t="inlineStr">
        <is>
          <t>Cybersecurity Regulation (EU institutions)</t>
        </is>
      </c>
      <c r="C397" s="7" t="inlineStr">
        <is>
          <t>52022PC0122</t>
        </is>
      </c>
      <c r="D397" s="7" t="inlineStr">
        <is>
          <t>LFS indicator (1.4.4)</t>
        </is>
      </c>
      <c r="E397" s="7" t="inlineStr">
        <is>
          <t>Resources</t>
        </is>
      </c>
      <c r="F397" s="7" t="inlineStr">
        <is>
          <t>Levelling ICT security spending as a share of overall ICT spending</t>
        </is>
      </c>
      <c r="G397" s="7" t="inlineStr"/>
      <c r="H397" s="7" t="inlineStr">
        <is>
          <t>No spending share reported; IICB notes an internal assessment that cybersecurity staff would need to rise by about 75% by 2027, which may be hard to achieve.</t>
        </is>
      </c>
      <c r="I397" s="7" t="inlineStr">
        <is>
          <t>not measured</t>
        </is>
      </c>
      <c r="J397" s="7" t="inlineStr">
        <is>
          <t>not measured</t>
        </is>
      </c>
      <c r="K397" s="7" t="inlineStr">
        <is>
          <t>IICB annual report 2025</t>
        </is>
      </c>
    </row>
    <row r="398">
      <c r="A398" s="7" t="n">
        <v>78</v>
      </c>
      <c r="B398" s="7" t="inlineStr">
        <is>
          <t>Cybersecurity Regulation (EU institutions)</t>
        </is>
      </c>
      <c r="C398" s="7" t="inlineStr">
        <is>
          <t>52022PC0122</t>
        </is>
      </c>
      <c r="D398" s="7" t="inlineStr">
        <is>
          <t>LFS indicator (1.4.4)</t>
        </is>
      </c>
      <c r="E398" s="7" t="inlineStr">
        <is>
          <t>Cooperation</t>
        </is>
      </c>
      <c r="F398" s="7" t="inlineStr">
        <is>
          <t>Information sharing and cooperation with ENISA and Member State bodies</t>
        </is>
      </c>
      <c r="G398" s="7" t="inlineStr"/>
      <c r="H398" s="7" t="inlineStr">
        <is>
          <t>CERT-EU notified all significant incidents to national counterparts as required; participates in CSIRTs Network.</t>
        </is>
      </c>
      <c r="I398" s="7" t="inlineStr">
        <is>
          <t>reported as activity</t>
        </is>
      </c>
      <c r="J398" s="7" t="inlineStr">
        <is>
          <t>reported as activity</t>
        </is>
      </c>
      <c r="K398" s="7" t="inlineStr">
        <is>
          <t>IICB annual report 2025</t>
        </is>
      </c>
    </row>
    <row r="399">
      <c r="A399" s="7" t="n">
        <v>72</v>
      </c>
      <c r="B399" s="7" t="inlineStr">
        <is>
          <t>Digitalisation of judicial cooperation Regulation</t>
        </is>
      </c>
      <c r="C399" s="7" t="inlineStr">
        <is>
          <t>52021PC0759</t>
        </is>
      </c>
      <c r="D399" s="7" t="inlineStr">
        <is>
          <t>LFS indicator (1.4.4)</t>
        </is>
      </c>
      <c r="E399" s="7" t="inlineStr">
        <is>
          <t>Efficient judicial cooperation between authorities</t>
        </is>
      </c>
      <c r="F399" s="7" t="inlineStr">
        <is>
          <t>Number of electronic exchanges via the decentralised IT system, against a baseline of traditional exchanges in a control group of authorities</t>
        </is>
      </c>
      <c r="G399" s="7" t="inlineStr">
        <is>
          <t>Monitored annually for at least 5 years from start of digital exchanges</t>
        </is>
      </c>
      <c r="H399" s="7" t="inlineStr">
        <is>
          <t>No published data found; obligations phase in from 2025 onwards as implementing acts and IT systems are rolled out.</t>
        </is>
      </c>
      <c r="I399" s="7" t="inlineStr">
        <is>
          <t>not measured</t>
        </is>
      </c>
      <c r="J399" s="7" t="inlineStr">
        <is>
          <t>not measured</t>
        </is>
      </c>
      <c r="K399" s="7" t="inlineStr"/>
    </row>
    <row r="400">
      <c r="A400" s="7" t="n">
        <v>72</v>
      </c>
      <c r="B400" s="7" t="inlineStr">
        <is>
          <t>Digitalisation of judicial cooperation Regulation</t>
        </is>
      </c>
      <c r="C400" s="7" t="inlineStr">
        <is>
          <t>52021PC0759</t>
        </is>
      </c>
      <c r="D400" s="7" t="inlineStr">
        <is>
          <t>LFS indicator (1.4.4)</t>
        </is>
      </c>
      <c r="E400" s="7" t="inlineStr">
        <is>
          <t>Access to justice</t>
        </is>
      </c>
      <c r="F400" s="7" t="inlineStr">
        <is>
          <t>Number of electronic claims and submissions by citizens and businesses (e.g. European Small Claims) via the European electronic access point</t>
        </is>
      </c>
      <c r="G400" s="7" t="inlineStr">
        <is>
          <t>Baseline: paper submissions in control group</t>
        </is>
      </c>
      <c r="H400" s="7" t="inlineStr">
        <is>
          <t>No published data found.</t>
        </is>
      </c>
      <c r="I400" s="7" t="inlineStr">
        <is>
          <t>not measured</t>
        </is>
      </c>
      <c r="J400" s="7" t="inlineStr">
        <is>
          <t>not measured</t>
        </is>
      </c>
      <c r="K400" s="7" t="inlineStr"/>
    </row>
    <row r="401">
      <c r="A401" s="7" t="n">
        <v>72</v>
      </c>
      <c r="B401" s="7" t="inlineStr">
        <is>
          <t>Digitalisation of judicial cooperation Regulation</t>
        </is>
      </c>
      <c r="C401" s="7" t="inlineStr">
        <is>
          <t>52021PC0759</t>
        </is>
      </c>
      <c r="D401" s="7" t="inlineStr">
        <is>
          <t>expected impact (impact assessment)</t>
        </is>
      </c>
      <c r="E401" s="7" t="inlineStr">
        <is>
          <t>Cost savings</t>
        </is>
      </c>
      <c r="F401" s="7" t="inlineStr">
        <is>
          <t>Yearly savings of about EUR 25.6m in postage and paper (EUR 4.5m for individuals and firms); procedures shortened by ~15.4m days in total per year</t>
        </is>
      </c>
      <c r="G401" s="7" t="inlineStr"/>
      <c r="H401" s="7" t="inlineStr">
        <is>
          <t>Not measured.</t>
        </is>
      </c>
      <c r="I401" s="7" t="inlineStr">
        <is>
          <t>not measured</t>
        </is>
      </c>
      <c r="J401" s="7" t="inlineStr">
        <is>
          <t>not measured</t>
        </is>
      </c>
      <c r="K401" s="7" t="inlineStr">
        <is>
          <t>SWD(2021) 392/393</t>
        </is>
      </c>
    </row>
    <row r="402">
      <c r="A402" s="7" t="n">
        <v>72</v>
      </c>
      <c r="B402" s="7" t="inlineStr">
        <is>
          <t>Digitalisation of judicial cooperation Regulation</t>
        </is>
      </c>
      <c r="C402" s="7" t="inlineStr">
        <is>
          <t>52021PC0759</t>
        </is>
      </c>
      <c r="D402" s="7" t="inlineStr">
        <is>
          <t>expected impact (impact assessment)</t>
        </is>
      </c>
      <c r="E402" s="7" t="inlineStr">
        <is>
          <t>Costs</t>
        </is>
      </c>
      <c r="F402" s="7" t="inlineStr">
        <is>
          <t>One-off IT cost EUR 18.7m over 5 years; recurrent EUR 8.1m/yr at EU-27 level</t>
        </is>
      </c>
      <c r="G402" s="7" t="inlineStr"/>
      <c r="H402" s="7" t="inlineStr">
        <is>
          <t>Not measured.</t>
        </is>
      </c>
      <c r="I402" s="7" t="inlineStr">
        <is>
          <t>not measured</t>
        </is>
      </c>
      <c r="J402" s="7" t="inlineStr">
        <is>
          <t>not measured</t>
        </is>
      </c>
      <c r="K402" s="7" t="inlineStr">
        <is>
          <t>SWD(2021) 393</t>
        </is>
      </c>
    </row>
    <row r="403">
      <c r="A403" s="7" t="n">
        <v>76</v>
      </c>
      <c r="B403" s="7" t="inlineStr">
        <is>
          <t>Data Act</t>
        </is>
      </c>
      <c r="C403" s="7" t="inlineStr">
        <is>
          <t>52022PC0068</t>
        </is>
      </c>
      <c r="D403" s="7" t="inlineStr">
        <is>
          <t>note</t>
        </is>
      </c>
      <c r="E403" s="7" t="inlineStr">
        <is>
          <t>The proposal has no LFS indicator section; the memorandum relies on the Data Market Monitoring study, an SME panel consultation five years after adoption, data-spaces monitoring and an evaluation (now due by 12 September 2028). The Act has applied only since 12 September 2025</t>
        </is>
      </c>
      <c r="F403" s="7" t="inlineStr"/>
      <c r="G403" s="7" t="inlineStr"/>
      <c r="H403" s="7" t="inlineStr"/>
      <c r="I403" s="7" t="inlineStr"/>
      <c r="J403" s="7" t="inlineStr"/>
      <c r="K403" s="7" t="inlineStr"/>
    </row>
    <row r="404">
      <c r="A404" s="7" t="n">
        <v>76</v>
      </c>
      <c r="B404" s="7" t="inlineStr">
        <is>
          <t>Data Act</t>
        </is>
      </c>
      <c r="C404" s="7" t="inlineStr">
        <is>
          <t>52022PC0068</t>
        </is>
      </c>
      <c r="D404" s="7" t="inlineStr">
        <is>
          <t>expected impact (impact assessment)</t>
        </is>
      </c>
      <c r="E404" s="7" t="inlineStr">
        <is>
          <t>Growth</t>
        </is>
      </c>
      <c r="F404" s="7" t="inlineStr">
        <is>
          <t>EU-27 GDP +1.98 percentage points by 2028 (press release: EUR 270bn additional GDP by 2028); +2.2m jobs; government revenue +EUR 96.8bn and investment +EUR 30.4bn (2024-2028)</t>
        </is>
      </c>
      <c r="G404" s="7" t="inlineStr">
        <is>
          <t>+EUR 270bn GDP by 2028</t>
        </is>
      </c>
      <c r="H404" s="7" t="inlineStr">
        <is>
          <t>Not measured; obligations applied only from September 2025 (design obligations from 2026). No ex-post estimate exists. Critics (Kerber, Martens) argue the access mechanism is weak, making the forecast doubtful.</t>
        </is>
      </c>
      <c r="I404" s="7" t="inlineStr">
        <is>
          <t>not measured</t>
        </is>
      </c>
      <c r="J404" s="7" t="inlineStr">
        <is>
          <t>not measured</t>
        </is>
      </c>
      <c r="K404" s="7" t="inlineStr">
        <is>
          <t>SWD(2022) 34/35; IP/22/1113</t>
        </is>
      </c>
    </row>
    <row r="405">
      <c r="A405" s="7" t="n">
        <v>76</v>
      </c>
      <c r="B405" s="7" t="inlineStr">
        <is>
          <t>Data Act</t>
        </is>
      </c>
      <c r="C405" s="7" t="inlineStr">
        <is>
          <t>52022PC0068</t>
        </is>
      </c>
      <c r="D405" s="7" t="inlineStr">
        <is>
          <t>expected impact (impact assessment)</t>
        </is>
      </c>
      <c r="E405" s="7" t="inlineStr">
        <is>
          <t>Data access for users and third parties</t>
        </is>
      </c>
      <c r="F405" s="7" t="inlineStr">
        <is>
          <t>Value of B2B/B2C data access from connected products up to EUR 196.7bn a year by 2028; contractual fairness +EUR 7.4bn a year (SME profits +EUR 5.2bn)</t>
        </is>
      </c>
      <c r="G405" s="7" t="inlineStr"/>
      <c r="H405" s="7" t="inlineStr">
        <is>
          <t>Not measured. A German industry survey 100 days before application found only 1% of companies had fully and 4% partly implemented the Act; 52% thought it did not apply to them.</t>
        </is>
      </c>
      <c r="I405" s="7" t="inlineStr">
        <is>
          <t>not measured</t>
        </is>
      </c>
      <c r="J405" s="7" t="inlineStr">
        <is>
          <t>not measured</t>
        </is>
      </c>
      <c r="K405" s="7" t="inlineStr">
        <is>
          <t>SWD(2022) 35; Bitkom 2025</t>
        </is>
      </c>
    </row>
    <row r="406">
      <c r="A406" s="7" t="n">
        <v>76</v>
      </c>
      <c r="B406" s="7" t="inlineStr">
        <is>
          <t>Data Act</t>
        </is>
      </c>
      <c r="C406" s="7" t="inlineStr">
        <is>
          <t>52022PC0068</t>
        </is>
      </c>
      <c r="D406" s="7" t="inlineStr">
        <is>
          <t>expected impact (impact assessment)</t>
        </is>
      </c>
      <c r="E406" s="7" t="inlineStr">
        <is>
          <t>Cloud switching</t>
        </is>
      </c>
      <c r="F406" s="7" t="inlineStr">
        <is>
          <t>Fair access to cloud and edge services: +EUR 7.1bn a year</t>
        </is>
      </c>
      <c r="G406" s="7" t="inlineStr"/>
      <c r="H406" s="7" t="inlineStr">
        <is>
          <t>Not measured.</t>
        </is>
      </c>
      <c r="I406" s="7" t="inlineStr">
        <is>
          <t>not measured</t>
        </is>
      </c>
      <c r="J406" s="7" t="inlineStr">
        <is>
          <t>not measured</t>
        </is>
      </c>
      <c r="K406" s="7" t="inlineStr">
        <is>
          <t>SWD(2022) 35</t>
        </is>
      </c>
    </row>
    <row r="407">
      <c r="A407" s="7" t="n">
        <v>76</v>
      </c>
      <c r="B407" s="7" t="inlineStr">
        <is>
          <t>Data Act</t>
        </is>
      </c>
      <c r="C407" s="7" t="inlineStr">
        <is>
          <t>52022PC0068</t>
        </is>
      </c>
      <c r="D407" s="7" t="inlineStr">
        <is>
          <t>expected impact (impact assessment)</t>
        </is>
      </c>
      <c r="E407" s="7" t="inlineStr">
        <is>
          <t>Costs</t>
        </is>
      </c>
      <c r="F407" s="7" t="inlineStr">
        <is>
          <t>Manufacturers' access infrastructure EUR 410m one-off + EUR 88m a year; contractual fairness EUR 69m a year; B2G EUR 552.5m one-off + EUR 78.1m a year</t>
        </is>
      </c>
      <c r="G407" s="7" t="inlineStr"/>
      <c r="H407" s="7" t="inlineStr">
        <is>
          <t>Not measured. The November 2025 Digital Omnibus proposes amendments (e.g. on trade-secret refusals and business-to-government data requests in public emergencies) and claims savings of at least EUR 1bn a year across the digital acquis.</t>
        </is>
      </c>
      <c r="I407" s="7" t="inlineStr">
        <is>
          <t>not measured</t>
        </is>
      </c>
      <c r="J407" s="7" t="inlineStr">
        <is>
          <t>not measured</t>
        </is>
      </c>
      <c r="K407" s="7" t="inlineStr">
        <is>
          <t>SWD(2022) 35; COM(2025) 837</t>
        </is>
      </c>
    </row>
    <row r="408">
      <c r="A408" s="7" t="n">
        <v>77</v>
      </c>
      <c r="B408" s="7" t="inlineStr">
        <is>
          <t>Violence Against Women Directive</t>
        </is>
      </c>
      <c r="C408" s="7" t="inlineStr">
        <is>
          <t>52022PC0105</t>
        </is>
      </c>
      <c r="D408" s="7" t="inlineStr">
        <is>
          <t>specific objective (LFS 1.4.2-1.4.4)</t>
        </is>
      </c>
      <c r="E408" s="7" t="inlineStr">
        <is>
          <t>Comparable administrative data on violence against women</t>
        </is>
      </c>
      <c r="F408" s="7" t="inlineStr">
        <is>
          <t>Common disaggregations and methodology developed by EIGE; data collection tool and guidelines deployed; number of Member States able to report data on all forms of violence covered (availability) and in full compliance (comparability) each year</t>
        </is>
      </c>
      <c r="G408" s="7" t="inlineStr"/>
      <c r="H408" s="7" t="inlineStr">
        <is>
          <t>Directive adopted May 2024; transposition deadline June 2027, so no Member State reporting under the Directive yet. Baseline exists from the joint Eurostat-FRA-EIGE EU gender-based violence survey (key results Nov 2024).</t>
        </is>
      </c>
      <c r="I408" s="7" t="inlineStr">
        <is>
          <t>not measured</t>
        </is>
      </c>
      <c r="J408" s="7" t="inlineStr">
        <is>
          <t>not measured</t>
        </is>
      </c>
      <c r="K408" s="7" t="inlineStr">
        <is>
          <t>Directive 2024/1385; EU-GBV survey 2024</t>
        </is>
      </c>
    </row>
    <row r="409">
      <c r="A409" s="7" t="n">
        <v>77</v>
      </c>
      <c r="B409" s="7" t="inlineStr">
        <is>
          <t>Violence Against Women Directive</t>
        </is>
      </c>
      <c r="C409" s="7" t="inlineStr">
        <is>
          <t>52022PC0105</t>
        </is>
      </c>
      <c r="D409" s="7" t="inlineStr">
        <is>
          <t>expected impact (impact assessment)</t>
        </is>
      </c>
      <c r="E409" s="7" t="inlineStr">
        <is>
          <t>Reduced prevalence of violence</t>
        </is>
      </c>
      <c r="F409" s="7" t="inlineStr">
        <is>
          <t>Economic benefits of reduced prevalence about EUR 53.1bn, potentially EUR 82.7bn in the long term (mostly lower physical and emotional harm to victims, EUR 32.2-64.5bn)</t>
        </is>
      </c>
      <c r="G409" s="7" t="inlineStr">
        <is>
          <t>EUR 53.1-82.7bn</t>
        </is>
      </c>
      <c r="H409" s="7" t="inlineStr">
        <is>
          <t>Not evaluated. Survey baseline: about 1 in 3 women in the EU (30.7%) report physical violence, threats and/or sexual violence in their lifetime.</t>
        </is>
      </c>
      <c r="I409" s="7" t="inlineStr">
        <is>
          <t>not measured</t>
        </is>
      </c>
      <c r="J409" s="7" t="inlineStr">
        <is>
          <t>not measured</t>
        </is>
      </c>
      <c r="K409" s="7" t="inlineStr">
        <is>
          <t>SWD(2022) 62/63; EIGE 2024</t>
        </is>
      </c>
    </row>
    <row r="410">
      <c r="A410" s="7" t="n">
        <v>77</v>
      </c>
      <c r="B410" s="7" t="inlineStr">
        <is>
          <t>Violence Against Women Directive</t>
        </is>
      </c>
      <c r="C410" s="7" t="inlineStr">
        <is>
          <t>52022PC0105</t>
        </is>
      </c>
      <c r="D410" s="7" t="inlineStr">
        <is>
          <t>expected cost (impact assessment)</t>
        </is>
      </c>
      <c r="E410" s="7" t="inlineStr">
        <is>
          <t>Compliance costs</t>
        </is>
      </c>
      <c r="F410" s="7" t="inlineStr">
        <is>
          <t>Total compliance costs EUR 5-6.6bn, mostly for Member States; about EUR 1.9bn for employers (manager training on sexual harassment)</t>
        </is>
      </c>
      <c r="G410" s="7" t="inlineStr">
        <is>
          <t>EUR 5-6.6bn</t>
        </is>
      </c>
      <c r="H410" s="7" t="inlineStr">
        <is>
          <t>Not measured.</t>
        </is>
      </c>
      <c r="I410" s="7" t="inlineStr">
        <is>
          <t>not measured</t>
        </is>
      </c>
      <c r="J410" s="7" t="inlineStr">
        <is>
          <t>not measured</t>
        </is>
      </c>
      <c r="K410" s="7" t="inlineStr">
        <is>
          <t>SWD(2022) 63</t>
        </is>
      </c>
    </row>
    <row r="411">
      <c r="A411" s="7" t="n">
        <v>77</v>
      </c>
      <c r="B411" s="7" t="inlineStr">
        <is>
          <t>Violence Against Women Directive</t>
        </is>
      </c>
      <c r="C411" s="7" t="inlineStr">
        <is>
          <t>52022PC0105</t>
        </is>
      </c>
      <c r="D411" s="7" t="inlineStr">
        <is>
          <t>monitoring (memorandum)</t>
        </is>
      </c>
      <c r="E411" s="7" t="inlineStr">
        <is>
          <t>Implementation reporting</t>
        </is>
      </c>
      <c r="F411" s="7" t="inlineStr">
        <is>
          <t>Member States report to the Commission 7 years after entry into force; regular EU-wide surveys transmitted to Eurostat</t>
        </is>
      </c>
      <c r="G411" s="7" t="inlineStr"/>
      <c r="H411" s="7" t="inlineStr">
        <is>
          <t>Not yet due.</t>
        </is>
      </c>
      <c r="I411" s="7" t="inlineStr">
        <is>
          <t>not measured</t>
        </is>
      </c>
      <c r="J411" s="7" t="inlineStr">
        <is>
          <t>not measured</t>
        </is>
      </c>
      <c r="K411" s="7" t="inlineStr">
        <is>
          <t>COM(2022) 105</t>
        </is>
      </c>
    </row>
    <row r="412">
      <c r="A412" s="7" t="n">
        <v>94</v>
      </c>
      <c r="B412" s="7" t="inlineStr">
        <is>
          <t>Right to Repair Directive</t>
        </is>
      </c>
      <c r="C412" s="7" t="inlineStr">
        <is>
          <t>52023PC0155</t>
        </is>
      </c>
      <c r="D412" s="7" t="inlineStr">
        <is>
          <t>note</t>
        </is>
      </c>
      <c r="E412" s="7" t="inlineStr">
        <is>
          <t>The proposal's financial statement contains no indicators section; the memorandum promises an evaluation 5 years after application based on a set of indicators covering the sustainable-consumption package</t>
        </is>
      </c>
      <c r="F412" s="7" t="inlineStr"/>
      <c r="G412" s="7" t="inlineStr"/>
      <c r="H412" s="7" t="inlineStr"/>
      <c r="I412" s="7" t="inlineStr"/>
      <c r="J412" s="7" t="inlineStr"/>
      <c r="K412" s="7" t="inlineStr"/>
    </row>
    <row r="413">
      <c r="A413" s="7" t="n">
        <v>94</v>
      </c>
      <c r="B413" s="7" t="inlineStr">
        <is>
          <t>Right to Repair Directive</t>
        </is>
      </c>
      <c r="C413" s="7" t="inlineStr">
        <is>
          <t>52023PC0155</t>
        </is>
      </c>
      <c r="D413" s="7" t="inlineStr">
        <is>
          <t>expected impact (impact assessment)</t>
        </is>
      </c>
      <c r="E413" s="7" t="inlineStr">
        <is>
          <t>Environment</t>
        </is>
      </c>
      <c r="F413" s="7" t="inlineStr">
        <is>
          <t>CO2 savings of 18.4 million tonnes over 15 years (alongside ESPR 471 Mt and ECGT 0.33-0.47 Mt)</t>
        </is>
      </c>
      <c r="G413" s="7" t="inlineStr">
        <is>
          <t>18.4 Mt CO2 / 15 years</t>
        </is>
      </c>
      <c r="H413" s="7" t="inlineStr">
        <is>
          <t>Not measured; rules apply only from 31 July 2026.</t>
        </is>
      </c>
      <c r="I413" s="7" t="inlineStr">
        <is>
          <t>not measured</t>
        </is>
      </c>
      <c r="J413" s="7" t="inlineStr">
        <is>
          <t>not measured</t>
        </is>
      </c>
      <c r="K413" s="7" t="inlineStr">
        <is>
          <t>SWD(2023) 59/60</t>
        </is>
      </c>
    </row>
    <row r="414">
      <c r="A414" s="7" t="n">
        <v>94</v>
      </c>
      <c r="B414" s="7" t="inlineStr">
        <is>
          <t>Right to Repair Directive</t>
        </is>
      </c>
      <c r="C414" s="7" t="inlineStr">
        <is>
          <t>52023PC0155</t>
        </is>
      </c>
      <c r="D414" s="7" t="inlineStr">
        <is>
          <t>expected impact (impact assessment)</t>
        </is>
      </c>
      <c r="E414" s="7" t="inlineStr">
        <is>
          <t>Consumers</t>
        </is>
      </c>
      <c r="F414" s="7" t="inlineStr">
        <is>
          <t>Consumer savings of EUR 176.5bn over 15 years from less replacement and more repair</t>
        </is>
      </c>
      <c r="G414" s="7" t="inlineStr">
        <is>
          <t>EUR 176.5bn / 15 years</t>
        </is>
      </c>
      <c r="H414" s="7" t="inlineStr">
        <is>
          <t>Not measured.</t>
        </is>
      </c>
      <c r="I414" s="7" t="inlineStr">
        <is>
          <t>not measured</t>
        </is>
      </c>
      <c r="J414" s="7" t="inlineStr">
        <is>
          <t>not measured</t>
        </is>
      </c>
      <c r="K414" s="7" t="inlineStr">
        <is>
          <t>SWD(2023) 60</t>
        </is>
      </c>
    </row>
    <row r="415">
      <c r="A415" s="7" t="n">
        <v>94</v>
      </c>
      <c r="B415" s="7" t="inlineStr">
        <is>
          <t>Right to Repair Directive</t>
        </is>
      </c>
      <c r="C415" s="7" t="inlineStr">
        <is>
          <t>52023PC0155</t>
        </is>
      </c>
      <c r="D415" s="7" t="inlineStr">
        <is>
          <t>expected impact (impact assessment)</t>
        </is>
      </c>
      <c r="E415" s="7" t="inlineStr">
        <is>
          <t>Business / repair sector</t>
        </is>
      </c>
      <c r="F415" s="7" t="inlineStr">
        <is>
          <t>Lost sales and GVA for producers and retailers (treated as a transfer to consumers); repair-sector SMEs gain</t>
        </is>
      </c>
      <c r="G415" s="7" t="inlineStr"/>
      <c r="H415" s="7" t="inlineStr">
        <is>
          <t>Not measured. Academic critique argues the Directive leaves the main barriers to repair (obsolescence, spare parts, repair information, price incentives) unaddressed.</t>
        </is>
      </c>
      <c r="I415" s="7" t="inlineStr">
        <is>
          <t>not measured</t>
        </is>
      </c>
      <c r="J415" s="7" t="inlineStr">
        <is>
          <t>not measured</t>
        </is>
      </c>
      <c r="K415" s="7" t="inlineStr">
        <is>
          <t>SWD(2023) 60; López-Bermúdez &amp; Vence 2025</t>
        </is>
      </c>
    </row>
    <row r="416">
      <c r="A416" s="7" t="n">
        <v>89</v>
      </c>
      <c r="B416" s="7" t="inlineStr">
        <is>
          <t>Design Directive</t>
        </is>
      </c>
      <c r="C416" s="7" t="inlineStr">
        <is>
          <t>52022PC0667</t>
        </is>
      </c>
      <c r="D416" s="7" t="inlineStr">
        <is>
          <t>note</t>
        </is>
      </c>
      <c r="E416" s="7" t="inlineStr">
        <is>
          <t>The proposal's financial statement contains no indicators section; the memorandum says the Commission will monitor the spare-parts market to see whether the EU-wide repair clause yields the predicted savings, and refers to indicators in Section 9 of the impact assessment</t>
        </is>
      </c>
      <c r="F416" s="7" t="inlineStr"/>
      <c r="G416" s="7" t="inlineStr"/>
      <c r="H416" s="7" t="inlineStr"/>
      <c r="I416" s="7" t="inlineStr"/>
      <c r="J416" s="7" t="inlineStr"/>
      <c r="K416" s="7" t="inlineStr"/>
    </row>
    <row r="417">
      <c r="A417" s="7" t="n">
        <v>89</v>
      </c>
      <c r="B417" s="7" t="inlineStr">
        <is>
          <t>Design Directive</t>
        </is>
      </c>
      <c r="C417" s="7" t="inlineStr">
        <is>
          <t>52022PC0667</t>
        </is>
      </c>
      <c r="D417" s="7" t="inlineStr">
        <is>
          <t>expected impact (impact assessment)</t>
        </is>
      </c>
      <c r="E417" s="7" t="inlineStr">
        <is>
          <t>Open the spare-parts aftermarket to competition</t>
        </is>
      </c>
      <c r="F417" s="7" t="inlineStr">
        <is>
          <t>Consumer savings of EUR 340-544m a year once the 10-year transition for existing designs ends; benefits rising EUR 4-13m a year during the transition</t>
        </is>
      </c>
      <c r="G417" s="7" t="inlineStr">
        <is>
          <t>EUR 340-544m / year</t>
        </is>
      </c>
      <c r="H417" s="7" t="inlineStr">
        <is>
          <t>Not measured; transposition deadline December 2027. Ex-ante causal evidence (Herz &amp; Mejer) finds design protection raises spare-part prices by about 5-8%.</t>
        </is>
      </c>
      <c r="I417" s="7" t="inlineStr">
        <is>
          <t>not measured</t>
        </is>
      </c>
      <c r="J417" s="7" t="inlineStr">
        <is>
          <t>not measured</t>
        </is>
      </c>
      <c r="K417" s="7" t="inlineStr">
        <is>
          <t>SWD(2022) 368/369; Herz &amp; Mejer 2020</t>
        </is>
      </c>
    </row>
    <row r="418">
      <c r="A418" s="7" t="n">
        <v>89</v>
      </c>
      <c r="B418" s="7" t="inlineStr">
        <is>
          <t>Design Directive</t>
        </is>
      </c>
      <c r="C418" s="7" t="inlineStr">
        <is>
          <t>52022PC0667</t>
        </is>
      </c>
      <c r="D418" s="7" t="inlineStr">
        <is>
          <t>expected impact (impact assessment)</t>
        </is>
      </c>
      <c r="E418" s="7" t="inlineStr">
        <is>
          <t>Accessible and affordable design protection</t>
        </is>
      </c>
      <c r="F418" s="7" t="inlineStr">
        <is>
          <t>Annual savings of EUR 6m from lower EU design fees and EUR 1.6m from simpler procedures</t>
        </is>
      </c>
      <c r="G418" s="7" t="inlineStr">
        <is>
          <t>EUR 7.6m / year</t>
        </is>
      </c>
      <c r="H418" s="7" t="inlineStr">
        <is>
          <t>Not evaluated (fee changes apply via the parallel EU Design Regulation 2024/2822).</t>
        </is>
      </c>
      <c r="I418" s="7" t="inlineStr">
        <is>
          <t>not measured</t>
        </is>
      </c>
      <c r="J418" s="7" t="inlineStr">
        <is>
          <t>not measured</t>
        </is>
      </c>
      <c r="K418" s="7" t="inlineStr">
        <is>
          <t>SWD(2022) 369</t>
        </is>
      </c>
    </row>
    <row r="419">
      <c r="A419" s="7" t="n">
        <v>89</v>
      </c>
      <c r="B419" s="7" t="inlineStr">
        <is>
          <t>Design Directive</t>
        </is>
      </c>
      <c r="C419" s="7" t="inlineStr">
        <is>
          <t>52022PC0667</t>
        </is>
      </c>
      <c r="D419" s="7" t="inlineStr">
        <is>
          <t>expected impact (impact assessment)</t>
        </is>
      </c>
      <c r="E419" s="7" t="inlineStr">
        <is>
          <t>Align national design laws with the EU system</t>
        </is>
      </c>
      <c r="F419" s="7" t="inlineStr">
        <is>
          <t>Lower cost and more predictability for firms protecting designs across Member States</t>
        </is>
      </c>
      <c r="G419" s="7" t="inlineStr"/>
      <c r="H419" s="7" t="inlineStr">
        <is>
          <t>Not measured.</t>
        </is>
      </c>
      <c r="I419" s="7" t="inlineStr">
        <is>
          <t>not measured</t>
        </is>
      </c>
      <c r="J419" s="7" t="inlineStr">
        <is>
          <t>not measured</t>
        </is>
      </c>
      <c r="K419" s="7" t="inlineStr">
        <is>
          <t>SWD(2022) 369</t>
        </is>
      </c>
    </row>
    <row r="420">
      <c r="A420" s="7" t="n">
        <v>73</v>
      </c>
      <c r="B420" s="7" t="inlineStr">
        <is>
          <t>Platform Work Directive</t>
        </is>
      </c>
      <c r="C420" s="7" t="inlineStr">
        <is>
          <t>52021PC0762</t>
        </is>
      </c>
      <c r="D420" s="7" t="inlineStr">
        <is>
          <t>note</t>
        </is>
      </c>
      <c r="E420" s="7" t="inlineStr">
        <is>
          <t>The proposal's financial statement contains no indicators section; the memorandum refers to core indicators listed in the impact assessment and a review 5 years after entry into force</t>
        </is>
      </c>
      <c r="F420" s="7" t="inlineStr"/>
      <c r="G420" s="7" t="inlineStr"/>
      <c r="H420" s="7" t="inlineStr"/>
      <c r="I420" s="7" t="inlineStr"/>
      <c r="J420" s="7" t="inlineStr"/>
      <c r="K420" s="7" t="inlineStr"/>
    </row>
    <row r="421">
      <c r="A421" s="7" t="n">
        <v>73</v>
      </c>
      <c r="B421" s="7" t="inlineStr">
        <is>
          <t>Platform Work Directive</t>
        </is>
      </c>
      <c r="C421" s="7" t="inlineStr">
        <is>
          <t>52021PC0762</t>
        </is>
      </c>
      <c r="D421" s="7" t="inlineStr">
        <is>
          <t>expected impact (impact assessment)</t>
        </is>
      </c>
      <c r="E421" s="7" t="inlineStr">
        <is>
          <t>Correct employment status</t>
        </is>
      </c>
      <c r="F421" s="7" t="inlineStr">
        <is>
          <t>1.7-4.1 million people reclassified as workers (of about 5.5 million at risk of misclassification among 28 million platform workers)</t>
        </is>
      </c>
      <c r="G421" s="7" t="inlineStr">
        <is>
          <t>1.7-4.1 million</t>
        </is>
      </c>
      <c r="H421" s="7" t="inlineStr">
        <is>
          <t>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is>
      </c>
      <c r="I421" s="7" t="inlineStr">
        <is>
          <t>not measured</t>
        </is>
      </c>
      <c r="J421" s="7" t="inlineStr">
        <is>
          <t>not measured</t>
        </is>
      </c>
      <c r="K421" s="7" t="inlineStr">
        <is>
          <t>SWD(2021) 396/397; Dolado et al. 2025</t>
        </is>
      </c>
    </row>
    <row r="422">
      <c r="A422" s="7" t="n">
        <v>73</v>
      </c>
      <c r="B422" s="7" t="inlineStr">
        <is>
          <t>Platform Work Directive</t>
        </is>
      </c>
      <c r="C422" s="7" t="inlineStr">
        <is>
          <t>52021PC0762</t>
        </is>
      </c>
      <c r="D422" s="7" t="inlineStr">
        <is>
          <t>expected impact (impact assessment)</t>
        </is>
      </c>
      <c r="E422" s="7" t="inlineStr">
        <is>
          <t>Earnings and public finances</t>
        </is>
      </c>
      <c r="F422" s="7" t="inlineStr">
        <is>
          <t>Platform workers' earnings up to EUR 484m a year; up to EUR 4bn a year more tax and social contributions; platform costs EUR 1.9-4.5bn a year</t>
        </is>
      </c>
      <c r="G422" s="7" t="inlineStr"/>
      <c r="H422" s="7" t="inlineStr">
        <is>
          <t>Not measured.</t>
        </is>
      </c>
      <c r="I422" s="7" t="inlineStr">
        <is>
          <t>not measured</t>
        </is>
      </c>
      <c r="J422" s="7" t="inlineStr">
        <is>
          <t>not measured</t>
        </is>
      </c>
      <c r="K422" s="7" t="inlineStr">
        <is>
          <t>SWD(2021) 397</t>
        </is>
      </c>
    </row>
    <row r="423">
      <c r="A423" s="7" t="n">
        <v>73</v>
      </c>
      <c r="B423" s="7" t="inlineStr">
        <is>
          <t>Platform Work Directive</t>
        </is>
      </c>
      <c r="C423" s="7" t="inlineStr">
        <is>
          <t>52021PC0762</t>
        </is>
      </c>
      <c r="D423" s="7" t="inlineStr">
        <is>
          <t>expected impact (impact assessment)</t>
        </is>
      </c>
      <c r="E423" s="7" t="inlineStr">
        <is>
          <t>Algorithmic management</t>
        </is>
      </c>
      <c r="F423" s="7" t="inlineStr">
        <is>
          <t>Improved working conditions for 28 million people through transparency, human oversight and redress rights</t>
        </is>
      </c>
      <c r="G423" s="7" t="inlineStr">
        <is>
          <t>28 million</t>
        </is>
      </c>
      <c r="H423" s="7" t="inlineStr">
        <is>
          <t>Not measured.</t>
        </is>
      </c>
      <c r="I423" s="7" t="inlineStr">
        <is>
          <t>not measured</t>
        </is>
      </c>
      <c r="J423" s="7" t="inlineStr">
        <is>
          <t>not measured</t>
        </is>
      </c>
      <c r="K423" s="7" t="inlineStr">
        <is>
          <t>SWD(2021) 397</t>
        </is>
      </c>
    </row>
    <row r="424">
      <c r="A424" s="7" t="n">
        <v>86</v>
      </c>
      <c r="B424" s="7" t="inlineStr">
        <is>
          <t>Product Liability Directive</t>
        </is>
      </c>
      <c r="C424" s="7" t="inlineStr">
        <is>
          <t>52022PC0495</t>
        </is>
      </c>
      <c r="D424" s="7" t="inlineStr">
        <is>
          <t>note</t>
        </is>
      </c>
      <c r="E424" s="7" t="inlineStr">
        <is>
          <t>The proposal's financial statement contains no indicators section; the memorandum only promises a review of application and transposition 6 years after entry into force</t>
        </is>
      </c>
      <c r="F424" s="7" t="inlineStr"/>
      <c r="G424" s="7" t="inlineStr"/>
      <c r="H424" s="7" t="inlineStr"/>
      <c r="I424" s="7" t="inlineStr"/>
      <c r="J424" s="7" t="inlineStr"/>
      <c r="K424" s="7" t="inlineStr"/>
    </row>
    <row r="425">
      <c r="A425" s="7" t="n">
        <v>86</v>
      </c>
      <c r="B425" s="7" t="inlineStr">
        <is>
          <t>Product Liability Directive</t>
        </is>
      </c>
      <c r="C425" s="7" t="inlineStr">
        <is>
          <t>52022PC0495</t>
        </is>
      </c>
      <c r="D425" s="7" t="inlineStr">
        <is>
          <t>expected impact (impact assessment)</t>
        </is>
      </c>
      <c r="E425" s="7" t="inlineStr">
        <is>
          <t>Compensation for injured people</t>
        </is>
      </c>
      <c r="F425" s="7" t="inlineStr">
        <is>
          <t>Annual compensation up EUR 0.15-22.13m (wider scope incl. software) and EUR 0.20-43.54m (easier burden of proof) compared with baseline</t>
        </is>
      </c>
      <c r="G425" s="7" t="inlineStr">
        <is>
          <t>up to about EUR 66m / year</t>
        </is>
      </c>
      <c r="H425" s="7" t="inlineStr">
        <is>
          <t>Not measured; Member States must apply the new rules to products placed on the market from 9 December 2026.</t>
        </is>
      </c>
      <c r="I425" s="7" t="inlineStr">
        <is>
          <t>not measured</t>
        </is>
      </c>
      <c r="J425" s="7" t="inlineStr">
        <is>
          <t>not measured</t>
        </is>
      </c>
      <c r="K425" s="7" t="inlineStr">
        <is>
          <t>SWD(2022) 316/317</t>
        </is>
      </c>
    </row>
    <row r="426">
      <c r="A426" s="7" t="n">
        <v>86</v>
      </c>
      <c r="B426" s="7" t="inlineStr">
        <is>
          <t>Product Liability Directive</t>
        </is>
      </c>
      <c r="C426" s="7" t="inlineStr">
        <is>
          <t>52022PC0495</t>
        </is>
      </c>
      <c r="D426" s="7" t="inlineStr">
        <is>
          <t>expected cost (impact assessment)</t>
        </is>
      </c>
      <c r="E426" s="7" t="inlineStr">
        <is>
          <t>Insurance and legal costs for producers</t>
        </is>
      </c>
      <c r="F426" s="7" t="inlineStr">
        <is>
          <t>Insurance premiums up EUR 4.35-8.69m (scope) and EUR 14.35-28.71m (burden of proof) a year; legal costs up EUR 1.12-2.75m a year</t>
        </is>
      </c>
      <c r="G426" s="7" t="inlineStr"/>
      <c r="H426" s="7" t="inlineStr">
        <is>
          <t>Not measured. Insurers argued the reform would make some risks (psychological harm, data loss, cyber) hard to price and raise litigation and consumer costs.</t>
        </is>
      </c>
      <c r="I426" s="7" t="inlineStr">
        <is>
          <t>not measured</t>
        </is>
      </c>
      <c r="J426" s="7" t="inlineStr">
        <is>
          <t>not measured</t>
        </is>
      </c>
      <c r="K426" s="7" t="inlineStr">
        <is>
          <t>SWD(2022) 317; Insurance Europe 2022</t>
        </is>
      </c>
    </row>
    <row r="427">
      <c r="A427" s="7" t="n">
        <v>86</v>
      </c>
      <c r="B427" s="7" t="inlineStr">
        <is>
          <t>Product Liability Directive</t>
        </is>
      </c>
      <c r="C427" s="7" t="inlineStr">
        <is>
          <t>52022PC0495</t>
        </is>
      </c>
      <c r="D427" s="7" t="inlineStr">
        <is>
          <t>expected impact (impact assessment)</t>
        </is>
      </c>
      <c r="E427" s="7" t="inlineStr">
        <is>
          <t>Product safety and legal certainty</t>
        </is>
      </c>
      <c r="F427" s="7" t="inlineStr">
        <is>
          <t>Producers, including non-EU ones, encouraged to place only safe products; clear coverage of software and digital products</t>
        </is>
      </c>
      <c r="G427" s="7" t="inlineStr"/>
      <c r="H427" s="7" t="inlineStr">
        <is>
          <t>Not measured.</t>
        </is>
      </c>
      <c r="I427" s="7" t="inlineStr">
        <is>
          <t>not measured</t>
        </is>
      </c>
      <c r="J427" s="7" t="inlineStr">
        <is>
          <t>not measured</t>
        </is>
      </c>
      <c r="K427" s="7" t="inlineStr">
        <is>
          <t>SWD(2022) 317</t>
        </is>
      </c>
    </row>
    <row r="428">
      <c r="A428" s="7" t="n">
        <v>97</v>
      </c>
      <c r="B428" s="7" t="inlineStr">
        <is>
          <t>Strategic Technologies for Europe Platform (STEP)</t>
        </is>
      </c>
      <c r="C428" s="7" t="inlineStr">
        <is>
          <t>52023PC0335</t>
        </is>
      </c>
      <c r="D428" s="7" t="inlineStr">
        <is>
          <t>note</t>
        </is>
      </c>
      <c r="E428" s="7" t="inlineStr">
        <is>
          <t>No impact assessment: the Commission argued STEP creates no new instrument and relies on existing programmes' assessments</t>
        </is>
      </c>
      <c r="F428" s="7" t="inlineStr"/>
      <c r="G428" s="7" t="inlineStr"/>
      <c r="H428" s="7" t="inlineStr"/>
      <c r="I428" s="7" t="inlineStr"/>
      <c r="J428" s="7" t="inlineStr"/>
      <c r="K428" s="7" t="inlineStr"/>
    </row>
    <row r="429">
      <c r="A429" s="7" t="n">
        <v>97</v>
      </c>
      <c r="B429" s="7" t="inlineStr">
        <is>
          <t>Strategic Technologies for Europe Platform (STEP)</t>
        </is>
      </c>
      <c r="C429" s="7" t="inlineStr">
        <is>
          <t>52023PC0335</t>
        </is>
      </c>
      <c r="D429" s="7" t="inlineStr">
        <is>
          <t>headline forecast (proposal)</t>
        </is>
      </c>
      <c r="E429" s="7" t="inlineStr">
        <is>
          <t>Investment mobilised</t>
        </is>
      </c>
      <c r="F429" s="7" t="inlineStr">
        <is>
          <t>Total new investment through STEP could reach up to EUR 160bn (proposal assumed EUR 10bn of fresh EU money)</t>
        </is>
      </c>
      <c r="G429" s="7" t="inlineStr">
        <is>
          <t>up to EUR 160bn</t>
        </is>
      </c>
      <c r="H429" s="7" t="inlineStr">
        <is>
          <t>Final regulation added only EUR 1.5bn new money (to the European Defence Fund). By March 2025: about EUR 6.3bn of cohesion funds reprogrammed and EUR 9.5bn of calls under Commission-managed programmes, EUR 5.1-5.2bn awarded.</t>
        </is>
      </c>
      <c r="I429" s="7" t="inlineStr">
        <is>
          <t>reported as activity</t>
        </is>
      </c>
      <c r="J429" s="7" t="inlineStr">
        <is>
          <t>reported as activity</t>
        </is>
      </c>
      <c r="K429" s="7" t="inlineStr">
        <is>
          <t>COM(2023) 335; COM(2025) 421</t>
        </is>
      </c>
    </row>
    <row r="430">
      <c r="A430" s="7" t="n">
        <v>97</v>
      </c>
      <c r="B430" s="7" t="inlineStr">
        <is>
          <t>Strategic Technologies for Europe Platform (STEP)</t>
        </is>
      </c>
      <c r="C430" s="7" t="inlineStr">
        <is>
          <t>52023PC0335</t>
        </is>
      </c>
      <c r="D430" s="7" t="inlineStr">
        <is>
          <t>LFS indicator (1.4.4)</t>
        </is>
      </c>
      <c r="E430" s="7" t="inlineStr">
        <is>
          <t>Critical technologies and skills</t>
        </is>
      </c>
      <c r="F430" s="7" t="inlineStr">
        <is>
          <t>Enterprises supported; participants in trainings; total investment mobilised; jobs created or maintained</t>
        </is>
      </c>
      <c r="G430" s="7" t="inlineStr"/>
      <c r="H430" s="7" t="inlineStr">
        <is>
          <t>Interim evaluation reports funds and 190 STEP Seals awarded; about 15% of cohesion reallocations for skills; no figures yet on enterprises, trainees or jobs; Commission says too early for impact evaluation.</t>
        </is>
      </c>
      <c r="I430" s="7" t="inlineStr">
        <is>
          <t>reported as activity</t>
        </is>
      </c>
      <c r="J430" s="7" t="inlineStr">
        <is>
          <t>reported as activity</t>
        </is>
      </c>
      <c r="K430" s="7" t="inlineStr">
        <is>
          <t>COM(2025) 421</t>
        </is>
      </c>
    </row>
    <row r="431">
      <c r="A431" s="7" t="n">
        <v>97</v>
      </c>
      <c r="B431" s="7" t="inlineStr">
        <is>
          <t>Strategic Technologies for Europe Platform (STEP)</t>
        </is>
      </c>
      <c r="C431" s="7" t="inlineStr">
        <is>
          <t>52023PC0335</t>
        </is>
      </c>
      <c r="D431" s="7" t="inlineStr">
        <is>
          <t>expected impact (LFS 1.4.3)</t>
        </is>
      </c>
      <c r="E431" s="7" t="inlineStr">
        <is>
          <t>Industrial capability and competitiveness</t>
        </is>
      </c>
      <c r="F431" s="7" t="inlineStr">
        <is>
          <t>Substantial strengthening of EU industrial capabilities in clean, bio and deep tech</t>
        </is>
      </c>
      <c r="G431" s="7" t="inlineStr"/>
      <c r="H431" s="7" t="inlineStr">
        <is>
          <t>Not measured. Seal projects had not yet received cohesion or RRF funding by March 2025; Seals concentrated in more developed regions.</t>
        </is>
      </c>
      <c r="I431" s="7" t="inlineStr">
        <is>
          <t>not measured</t>
        </is>
      </c>
      <c r="J431" s="7" t="inlineStr">
        <is>
          <t>not measured</t>
        </is>
      </c>
      <c r="K431" s="7" t="inlineStr">
        <is>
          <t>COM(2025) 421</t>
        </is>
      </c>
    </row>
    <row r="432">
      <c r="A432" s="7" t="n">
        <v>71</v>
      </c>
      <c r="B432" s="7" t="inlineStr">
        <is>
          <t>Political Advertising Regulation</t>
        </is>
      </c>
      <c r="C432" s="7" t="inlineStr">
        <is>
          <t>52021PC0731</t>
        </is>
      </c>
      <c r="D432" s="7" t="inlineStr">
        <is>
          <t>note</t>
        </is>
      </c>
      <c r="E432" s="7" t="inlineStr">
        <is>
          <t>The proposal's financial statement contains no indicators section; the Commission will evaluate within two years after each European Parliament election, using contractor data collection</t>
        </is>
      </c>
      <c r="F432" s="7" t="inlineStr"/>
      <c r="G432" s="7" t="inlineStr"/>
      <c r="H432" s="7" t="inlineStr"/>
      <c r="I432" s="7" t="inlineStr"/>
      <c r="J432" s="7" t="inlineStr"/>
      <c r="K432" s="7" t="inlineStr"/>
    </row>
    <row r="433">
      <c r="A433" s="7" t="n">
        <v>71</v>
      </c>
      <c r="B433" s="7" t="inlineStr">
        <is>
          <t>Political Advertising Regulation</t>
        </is>
      </c>
      <c r="C433" s="7" t="inlineStr">
        <is>
          <t>52021PC0731</t>
        </is>
      </c>
      <c r="D433" s="7" t="inlineStr">
        <is>
          <t>expected impact (impact assessment)</t>
        </is>
      </c>
      <c r="E433" s="7" t="inlineStr">
        <is>
          <t>Transparency of political advertising</t>
        </is>
      </c>
      <c r="F433" s="7" t="inlineStr">
        <is>
          <t>Labelled political ads with sponsor, cost and targeting information; common ad repository; better oversight</t>
        </is>
      </c>
      <c r="G433" s="7" t="inlineStr"/>
      <c r="H433" s="7" t="inlineStr">
        <is>
          <t>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is>
      </c>
      <c r="I433" s="7" t="inlineStr">
        <is>
          <t>mixed evidence</t>
        </is>
      </c>
      <c r="J433" s="7" t="inlineStr">
        <is>
          <t>mixed evidence</t>
        </is>
      </c>
      <c r="K433" s="7" t="inlineStr">
        <is>
          <t>Meta 2025; EDMO 2025</t>
        </is>
      </c>
    </row>
    <row r="434">
      <c r="A434" s="7" t="n">
        <v>71</v>
      </c>
      <c r="B434" s="7" t="inlineStr">
        <is>
          <t>Political Advertising Regulation</t>
        </is>
      </c>
      <c r="C434" s="7" t="inlineStr">
        <is>
          <t>52021PC0731</t>
        </is>
      </c>
      <c r="D434" s="7" t="inlineStr">
        <is>
          <t>expected impact (impact assessment)</t>
        </is>
      </c>
      <c r="E434" s="7" t="inlineStr">
        <is>
          <t>Single market for political advertising services</t>
        </is>
      </c>
      <c r="F434" s="7" t="inlineStr">
        <is>
          <t>Less fragmentation, lower costs for cross-border campaigns and SMEs scaling up</t>
        </is>
      </c>
      <c r="G434" s="7" t="inlineStr"/>
      <c r="H434" s="7" t="inlineStr">
        <is>
          <t>Not measured; the exit of the largest platforms points the other way for online services.</t>
        </is>
      </c>
      <c r="I434" s="7" t="inlineStr">
        <is>
          <t>not measured</t>
        </is>
      </c>
      <c r="J434" s="7" t="inlineStr">
        <is>
          <t>not measured</t>
        </is>
      </c>
      <c r="K434" s="7" t="inlineStr">
        <is>
          <t>SWD(2021) 356</t>
        </is>
      </c>
    </row>
    <row r="435">
      <c r="A435" s="7" t="n">
        <v>71</v>
      </c>
      <c r="B435" s="7" t="inlineStr">
        <is>
          <t>Political Advertising Regulation</t>
        </is>
      </c>
      <c r="C435" s="7" t="inlineStr">
        <is>
          <t>52021PC0731</t>
        </is>
      </c>
      <c r="D435" s="7" t="inlineStr">
        <is>
          <t>expected impact (impact assessment)</t>
        </is>
      </c>
      <c r="E435" s="7" t="inlineStr">
        <is>
          <t>Protection against manipulation via targeting</t>
        </is>
      </c>
      <c r="F435" s="7" t="inlineStr">
        <is>
          <t>Restrictions on targeting using personal data</t>
        </is>
      </c>
      <c r="G435" s="7" t="inlineStr"/>
      <c r="H435" s="7" t="inlineStr">
        <is>
          <t>Not measured.</t>
        </is>
      </c>
      <c r="I435" s="7" t="inlineStr">
        <is>
          <t>not measured</t>
        </is>
      </c>
      <c r="J435" s="7" t="inlineStr">
        <is>
          <t>not measured</t>
        </is>
      </c>
      <c r="K435" s="7" t="inlineStr">
        <is>
          <t>SWD(2021) 356</t>
        </is>
      </c>
    </row>
    <row r="436">
      <c r="A436" s="7" t="n">
        <v>88</v>
      </c>
      <c r="B436" s="7" t="inlineStr">
        <is>
          <t>Interoperable Europe Act</t>
        </is>
      </c>
      <c r="C436" s="7" t="inlineStr">
        <is>
          <t>52022PC0720</t>
        </is>
      </c>
      <c r="D436" s="7" t="inlineStr">
        <is>
          <t>note</t>
        </is>
      </c>
      <c r="E436" s="7" t="inlineStr">
        <is>
          <t>The proposal's financial statement contains no performance indicators (the 1.4.x sections cover added value and MFF compatibility); monitoring is to rely on existing data and an Interoperable Europe monitoring mechanism</t>
        </is>
      </c>
      <c r="F436" s="7" t="inlineStr"/>
      <c r="G436" s="7" t="inlineStr"/>
      <c r="H436" s="7" t="inlineStr"/>
      <c r="I436" s="7" t="inlineStr"/>
      <c r="J436" s="7" t="inlineStr"/>
      <c r="K436" s="7" t="inlineStr"/>
    </row>
    <row r="437">
      <c r="A437" s="7" t="n">
        <v>88</v>
      </c>
      <c r="B437" s="7" t="inlineStr">
        <is>
          <t>Interoperable Europe Act</t>
        </is>
      </c>
      <c r="C437" s="7" t="inlineStr">
        <is>
          <t>52022PC0720</t>
        </is>
      </c>
      <c r="D437" s="7" t="inlineStr">
        <is>
          <t>expected impact (impact assessment)</t>
        </is>
      </c>
      <c r="E437" s="7" t="inlineStr">
        <is>
          <t>Administrative savings from interoperability</t>
        </is>
      </c>
      <c r="F437" s="7" t="inlineStr">
        <is>
          <t>JRC estimate of savings potential: citizens up to 24 million hours (EUR 543m) and businesses EUR 568bn a year; cross-border share EUR 5.5-6.3m for citizens and EUR 5.7-19.2bn for businesses</t>
        </is>
      </c>
      <c r="G437" s="7" t="inlineStr"/>
      <c r="H437" s="7" t="inlineStr">
        <is>
          <t>Not measured; the IA itself says direct impact is difficult to quantify. First annual report (Dec 2025) says comprehensive monitoring data not yet available.</t>
        </is>
      </c>
      <c r="I437" s="7" t="inlineStr">
        <is>
          <t>not measured</t>
        </is>
      </c>
      <c r="J437" s="7" t="inlineStr">
        <is>
          <t>not measured</t>
        </is>
      </c>
      <c r="K437" s="7" t="inlineStr">
        <is>
          <t>SWD(2022) 721/722; Commission annual report 2025</t>
        </is>
      </c>
    </row>
    <row r="438">
      <c r="A438" s="7" t="n">
        <v>88</v>
      </c>
      <c r="B438" s="7" t="inlineStr">
        <is>
          <t>Interoperable Europe Act</t>
        </is>
      </c>
      <c r="C438" s="7" t="inlineStr">
        <is>
          <t>52022PC0720</t>
        </is>
      </c>
      <c r="D438" s="7" t="inlineStr">
        <is>
          <t>objective (proposal)</t>
        </is>
      </c>
      <c r="E438" s="7" t="inlineStr">
        <is>
          <t>Structured cooperation and interoperability by design</t>
        </is>
      </c>
      <c r="F438" s="7" t="inlineStr">
        <is>
          <t>Interoperable Europe Board; mandatory interoperability assessments for trans-European digital public services</t>
        </is>
      </c>
      <c r="G438" s="7" t="inlineStr"/>
      <c r="H438" s="7" t="inlineStr">
        <is>
          <t>Board and working group operating since Q4 2024; interoperability assessments mandatory from January 2025; regulatory sandbox implementing act adopted; over 12,000 Academy enrolments.</t>
        </is>
      </c>
      <c r="I438" s="7" t="inlineStr">
        <is>
          <t>reported as activity</t>
        </is>
      </c>
      <c r="J438" s="7" t="inlineStr">
        <is>
          <t>reported as activity</t>
        </is>
      </c>
      <c r="K438" s="7" t="inlineStr">
        <is>
          <t>Commission annual report 2025</t>
        </is>
      </c>
    </row>
    <row r="439">
      <c r="A439" s="7" t="n">
        <v>115</v>
      </c>
      <c r="B439" s="7" t="inlineStr">
        <is>
          <t>Short-Term Rental Data Regulation</t>
        </is>
      </c>
      <c r="C439" s="7" t="inlineStr">
        <is>
          <t>52022PC0571</t>
        </is>
      </c>
      <c r="D439" s="7" t="inlineStr">
        <is>
          <t>note</t>
        </is>
      </c>
      <c r="E439" s="7" t="inlineStr">
        <is>
          <t>The proposal's financial statement has no LFS indicators; the memorandum says effectiveness will be judged mainly on a set of key performance indicators, with a first evaluation no earlier than five years after application (i.e. after 2031)</t>
        </is>
      </c>
      <c r="F439" s="7" t="inlineStr"/>
      <c r="G439" s="7" t="inlineStr"/>
      <c r="H439" s="7" t="inlineStr"/>
      <c r="I439" s="7" t="inlineStr"/>
      <c r="J439" s="7" t="inlineStr"/>
      <c r="K439" s="7" t="inlineStr"/>
    </row>
    <row r="440">
      <c r="A440" s="7" t="n">
        <v>115</v>
      </c>
      <c r="B440" s="7" t="inlineStr">
        <is>
          <t>Short-Term Rental Data Regulation</t>
        </is>
      </c>
      <c r="C440" s="7" t="inlineStr">
        <is>
          <t>52022PC0571</t>
        </is>
      </c>
      <c r="D440" s="7" t="inlineStr">
        <is>
          <t>expected impact (impact assessment)</t>
        </is>
      </c>
      <c r="E440" s="7" t="inlineStr">
        <is>
          <t>Lower compliance costs for platforms</t>
        </is>
      </c>
      <c r="F440" s="7" t="inlineStr">
        <is>
          <t>Savings for online platforms from replacing uncoordinated data requests</t>
        </is>
      </c>
      <c r="G440" s="7" t="inlineStr">
        <is>
          <t>EUR 54-115m over 5 years</t>
        </is>
      </c>
      <c r="H440" s="7" t="inlineStr">
        <is>
          <t>Regulation applies only from 20 May 2026; no data yet.</t>
        </is>
      </c>
      <c r="I440" s="7" t="inlineStr">
        <is>
          <t>not measured</t>
        </is>
      </c>
      <c r="J440" s="7" t="inlineStr">
        <is>
          <t>not measured</t>
        </is>
      </c>
      <c r="K440" s="7" t="inlineStr">
        <is>
          <t>SWD(2022) 349</t>
        </is>
      </c>
    </row>
    <row r="441">
      <c r="A441" s="7" t="n">
        <v>115</v>
      </c>
      <c r="B441" s="7" t="inlineStr">
        <is>
          <t>Short-Term Rental Data Regulation</t>
        </is>
      </c>
      <c r="C441" s="7" t="inlineStr">
        <is>
          <t>52022PC0571</t>
        </is>
      </c>
      <c r="D441" s="7" t="inlineStr">
        <is>
          <t>expected impact (impact assessment)</t>
        </is>
      </c>
      <c r="E441" s="7" t="inlineStr">
        <is>
          <t>Simpler host registration</t>
        </is>
      </c>
      <c r="F441" s="7" t="inlineStr">
        <is>
          <t>Time saved by new hosts registering (monetised)</t>
        </is>
      </c>
      <c r="G441" s="7" t="inlineStr">
        <is>
          <t>&gt; EUR 1 480m over first 5 years</t>
        </is>
      </c>
      <c r="H441" s="7" t="inlineStr">
        <is>
          <t>No data yet.</t>
        </is>
      </c>
      <c r="I441" s="7" t="inlineStr">
        <is>
          <t>not measured</t>
        </is>
      </c>
      <c r="J441" s="7" t="inlineStr">
        <is>
          <t>not measured</t>
        </is>
      </c>
      <c r="K441" s="7" t="inlineStr">
        <is>
          <t>SWD(2022) 349</t>
        </is>
      </c>
    </row>
    <row r="442">
      <c r="A442" s="7" t="n">
        <v>115</v>
      </c>
      <c r="B442" s="7" t="inlineStr">
        <is>
          <t>Short-Term Rental Data Regulation</t>
        </is>
      </c>
      <c r="C442" s="7" t="inlineStr">
        <is>
          <t>52022PC0571</t>
        </is>
      </c>
      <c r="D442" s="7" t="inlineStr">
        <is>
          <t>expected impact (impact assessment)</t>
        </is>
      </c>
      <c r="E442" s="7" t="inlineStr">
        <is>
          <t>Better public-authority data on short-term rentals</t>
        </is>
      </c>
      <c r="F442" s="7" t="inlineStr">
        <is>
          <t>Regular data flow from platforms via national Single Digital Entry Points</t>
        </is>
      </c>
      <c r="G442" s="7" t="inlineStr"/>
      <c r="H442" s="7" t="inlineStr">
        <is>
          <t>Registration and data-sharing obligations applicable since 20 May 2026; no published figures on data flows or compliance found.</t>
        </is>
      </c>
      <c r="I442" s="7" t="inlineStr">
        <is>
          <t>not measured</t>
        </is>
      </c>
      <c r="J442" s="7" t="inlineStr">
        <is>
          <t>not measured</t>
        </is>
      </c>
      <c r="K442" s="7" t="inlineStr"/>
    </row>
    <row r="443">
      <c r="A443" s="7" t="n">
        <v>84</v>
      </c>
      <c r="B443" s="7" t="inlineStr">
        <is>
          <t>European Media Freedom Act</t>
        </is>
      </c>
      <c r="C443" s="7" t="inlineStr">
        <is>
          <t>52022PC0457</t>
        </is>
      </c>
      <c r="D443" s="7" t="inlineStr">
        <is>
          <t>LFS indicator</t>
        </is>
      </c>
      <c r="E443" s="7" t="inlineStr">
        <is>
          <t>Fostering cross-border activity and investment</t>
        </is>
      </c>
      <c r="F443" s="7" t="inlineStr">
        <is>
          <t>Number and value of cross-border investments in EU media markets (annual)</t>
        </is>
      </c>
      <c r="G443" s="7" t="inlineStr">
        <is>
          <t>Baseline 2013-2021: 478 EU and 389 non-EU investor transactions; gradual increase expected</t>
        </is>
      </c>
      <c r="H443" s="7" t="inlineStr">
        <is>
          <t>No post-EMFA tracking found.</t>
        </is>
      </c>
      <c r="I443" s="7" t="inlineStr">
        <is>
          <t>not measured</t>
        </is>
      </c>
      <c r="J443" s="7" t="inlineStr">
        <is>
          <t>not measured</t>
        </is>
      </c>
      <c r="K443" s="7" t="inlineStr">
        <is>
          <t>COM(2022) 457 LFS 1.4.4</t>
        </is>
      </c>
    </row>
    <row r="444">
      <c r="A444" s="7" t="n">
        <v>84</v>
      </c>
      <c r="B444" s="7" t="inlineStr">
        <is>
          <t>European Media Freedom Act</t>
        </is>
      </c>
      <c r="C444" s="7" t="inlineStr">
        <is>
          <t>52022PC0457</t>
        </is>
      </c>
      <c r="D444" s="7" t="inlineStr">
        <is>
          <t>LFS indicator</t>
        </is>
      </c>
      <c r="E444" s="7" t="inlineStr">
        <is>
          <t>Regulatory cooperation and convergence</t>
        </is>
      </c>
      <c r="F444" s="7" t="inlineStr">
        <is>
          <t>Board opinions taken into account; share of cases solved by the Board; number of guidance documents</t>
        </is>
      </c>
      <c r="G444" s="7" t="inlineStr">
        <is>
          <t>n/a</t>
        </is>
      </c>
      <c r="H444" s="7" t="inlineStr">
        <is>
          <t>European Board for Media Services set up in 2025 and adopted its first reports and deliverables (Dec 2025 plenary); no data on uptake of opinions found.</t>
        </is>
      </c>
      <c r="I444" s="7" t="inlineStr">
        <is>
          <t>reported as activity</t>
        </is>
      </c>
      <c r="J444" s="7" t="inlineStr">
        <is>
          <t>reported as activity</t>
        </is>
      </c>
      <c r="K444" s="7" t="inlineStr">
        <is>
          <t>Media Board news</t>
        </is>
      </c>
    </row>
    <row r="445">
      <c r="A445" s="7" t="n">
        <v>84</v>
      </c>
      <c r="B445" s="7" t="inlineStr">
        <is>
          <t>European Media Freedom Act</t>
        </is>
      </c>
      <c r="C445" s="7" t="inlineStr">
        <is>
          <t>52022PC0457</t>
        </is>
      </c>
      <c r="D445" s="7" t="inlineStr">
        <is>
          <t>LFS indicator</t>
        </is>
      </c>
      <c r="E445" s="7" t="inlineStr">
        <is>
          <t>Quality media services / editorial independence</t>
        </is>
      </c>
      <c r="F445" s="7" t="inlineStr">
        <is>
          <t>Media Pluralism Monitor risk scores on political independence, PSM governance, owner influence, source protection, ownership transparency</t>
        </is>
      </c>
      <c r="G445" s="7" t="inlineStr">
        <is>
          <t>2021 MPM scores 16-60%; gradual reduction expected</t>
        </is>
      </c>
      <c r="H445" s="7" t="inlineStr">
        <is>
          <t>MPM2025 (2024 data) published, but switched to a six-tier scale so results are not strictly comparable with earlier editions; it covers the period before EMFA fully applied (Aug 2025).</t>
        </is>
      </c>
      <c r="I445" s="7" t="inlineStr">
        <is>
          <t>partially measured</t>
        </is>
      </c>
      <c r="J445" s="7" t="inlineStr">
        <is>
          <t>partially measured</t>
        </is>
      </c>
      <c r="K445" s="7" t="inlineStr">
        <is>
          <t>Blagojev et al. 2025</t>
        </is>
      </c>
    </row>
    <row r="446">
      <c r="A446" s="7" t="n">
        <v>84</v>
      </c>
      <c r="B446" s="7" t="inlineStr">
        <is>
          <t>European Media Freedom Act</t>
        </is>
      </c>
      <c r="C446" s="7" t="inlineStr">
        <is>
          <t>52022PC0457</t>
        </is>
      </c>
      <c r="D446" s="7" t="inlineStr">
        <is>
          <t>LFS indicator</t>
        </is>
      </c>
      <c r="E446" s="7" t="inlineStr">
        <is>
          <t>Quality media services</t>
        </is>
      </c>
      <c r="F446" s="7" t="inlineStr">
        <is>
          <t>Citizens' trust in media; number of Member States with media self-regulatory bodies</t>
        </is>
      </c>
      <c r="G446" s="7" t="inlineStr">
        <is>
          <t>16 Member States with self-regulatory bodies</t>
        </is>
      </c>
      <c r="H446" s="7" t="inlineStr">
        <is>
          <t>Not tracked against the EMFA.</t>
        </is>
      </c>
      <c r="I446" s="7" t="inlineStr">
        <is>
          <t>not measured</t>
        </is>
      </c>
      <c r="J446" s="7" t="inlineStr">
        <is>
          <t>not measured</t>
        </is>
      </c>
      <c r="K446" s="7" t="inlineStr"/>
    </row>
    <row r="447">
      <c r="A447" s="7" t="n">
        <v>84</v>
      </c>
      <c r="B447" s="7" t="inlineStr">
        <is>
          <t>European Media Freedom Act</t>
        </is>
      </c>
      <c r="C447" s="7" t="inlineStr">
        <is>
          <t>52022PC0457</t>
        </is>
      </c>
      <c r="D447" s="7" t="inlineStr">
        <is>
          <t>expected impact (impact assessment)</t>
        </is>
      </c>
      <c r="E447" s="7" t="inlineStr">
        <is>
          <t>Economic</t>
        </is>
      </c>
      <c r="F447" s="7" t="inlineStr">
        <is>
          <t>Net economic benefit (higher media company revenues)</t>
        </is>
      </c>
      <c r="G447" s="7" t="inlineStr">
        <is>
          <t>EUR 2.9bn per year</t>
        </is>
      </c>
      <c r="H447" s="7" t="inlineStr">
        <is>
          <t>Not evaluated; first evaluation due four years after entry into force.</t>
        </is>
      </c>
      <c r="I447" s="7" t="inlineStr">
        <is>
          <t>not measured</t>
        </is>
      </c>
      <c r="J447" s="7" t="inlineStr">
        <is>
          <t>not measured</t>
        </is>
      </c>
      <c r="K447" s="7" t="inlineStr">
        <is>
          <t>SWD(2022) 287</t>
        </is>
      </c>
    </row>
    <row r="448">
      <c r="A448" s="7" t="n">
        <v>92</v>
      </c>
      <c r="B448" s="7" t="inlineStr">
        <is>
          <t>Critical Raw Materials Act</t>
        </is>
      </c>
      <c r="C448" s="7" t="inlineStr">
        <is>
          <t>52023PC0160</t>
        </is>
      </c>
      <c r="D448" s="7" t="inlineStr">
        <is>
          <t>benchmark (Regulation)</t>
        </is>
      </c>
      <c r="E448" s="7" t="inlineStr">
        <is>
          <t>Strengthen the strategic raw materials value chain</t>
        </is>
      </c>
      <c r="F448" s="7" t="inlineStr">
        <is>
          <t>EU capacity as share of annual EU consumption of strategic raw materials by 2030</t>
        </is>
      </c>
      <c r="G448" s="7" t="inlineStr">
        <is>
          <t>Extraction 10%, processing 40%, recycling 25%; no more than 65% from a single third country</t>
        </is>
      </c>
      <c r="H448" s="7" t="inlineStr">
        <is>
          <t>European Court of Auditors (Feb 2026) judges the EU unlikely to meet the 2030 benchmarks: targets are non-binding, unclear in basis, mining projects take up to two decades, and 10 of 26 energy-transition materials are not recycled at all.</t>
        </is>
      </c>
      <c r="I448" s="7" t="inlineStr">
        <is>
          <t>mixed evidence</t>
        </is>
      </c>
      <c r="J448" s="7" t="inlineStr">
        <is>
          <t>mixed evidence</t>
        </is>
      </c>
      <c r="K448" s="7" t="inlineStr">
        <is>
          <t>ECA SR 04/2026</t>
        </is>
      </c>
    </row>
    <row r="449">
      <c r="A449" s="7" t="n">
        <v>92</v>
      </c>
      <c r="B449" s="7" t="inlineStr">
        <is>
          <t>Critical Raw Materials Act</t>
        </is>
      </c>
      <c r="C449" s="7" t="inlineStr">
        <is>
          <t>52023PC0160</t>
        </is>
      </c>
      <c r="D449" s="7" t="inlineStr">
        <is>
          <t>LFS indicator</t>
        </is>
      </c>
      <c r="E449" s="7" t="inlineStr">
        <is>
          <t>Strengthen the value chain</t>
        </is>
      </c>
      <c r="F449" s="7" t="inlineStr">
        <is>
          <t>Number of Strategic Projects financed in the EU and abroad; investment volume</t>
        </is>
      </c>
      <c r="G449" s="7" t="inlineStr"/>
      <c r="H449" s="7" t="inlineStr">
        <is>
          <t>47 EU Strategic Projects selected in March 2025 (expected capital investment EUR 22.5bn; 25 extraction, 24 processing, 10 recycling, 2 substitution), further third-country projects in June 2025 and a second call in Sept 2025. Investment actually made not reported.</t>
        </is>
      </c>
      <c r="I449" s="7" t="inlineStr">
        <is>
          <t>reported as activity</t>
        </is>
      </c>
      <c r="J449" s="7" t="inlineStr">
        <is>
          <t>reported as activity</t>
        </is>
      </c>
      <c r="K449" s="7" t="inlineStr">
        <is>
          <t>Commission, March 2025</t>
        </is>
      </c>
    </row>
    <row r="450">
      <c r="A450" s="7" t="n">
        <v>92</v>
      </c>
      <c r="B450" s="7" t="inlineStr">
        <is>
          <t>Critical Raw Materials Act</t>
        </is>
      </c>
      <c r="C450" s="7" t="inlineStr">
        <is>
          <t>52023PC0160</t>
        </is>
      </c>
      <c r="D450" s="7" t="inlineStr">
        <is>
          <t>LFS indicator</t>
        </is>
      </c>
      <c r="E450" s="7" t="inlineStr">
        <is>
          <t>Diversify imports</t>
        </is>
      </c>
      <c r="F450" s="7" t="inlineStr">
        <is>
          <t>Monitoring data on trade flows in CRMs</t>
        </is>
      </c>
      <c r="G450" s="7" t="inlineStr"/>
      <c r="H450" s="7" t="inlineStr">
        <is>
          <t>ECA found imports from the 14 strategic-partner countries fell between 2020 and 2024 for around half of materials examined.</t>
        </is>
      </c>
      <c r="I450" s="7" t="inlineStr">
        <is>
          <t>partially measured</t>
        </is>
      </c>
      <c r="J450" s="7" t="inlineStr">
        <is>
          <t>partially measured</t>
        </is>
      </c>
      <c r="K450" s="7" t="inlineStr">
        <is>
          <t>ECA SR 04/2026</t>
        </is>
      </c>
    </row>
    <row r="451">
      <c r="A451" s="7" t="n">
        <v>92</v>
      </c>
      <c r="B451" s="7" t="inlineStr">
        <is>
          <t>Critical Raw Materials Act</t>
        </is>
      </c>
      <c r="C451" s="7" t="inlineStr">
        <is>
          <t>52023PC0160</t>
        </is>
      </c>
      <c r="D451" s="7" t="inlineStr">
        <is>
          <t>LFS indicator</t>
        </is>
      </c>
      <c r="E451" s="7" t="inlineStr">
        <is>
          <t>Circularity</t>
        </is>
      </c>
      <c r="F451" s="7" t="inlineStr">
        <is>
          <t>Amount and share of recycled CRMs</t>
        </is>
      </c>
      <c r="G451" s="7" t="inlineStr">
        <is>
          <t>25% recycling benchmark</t>
        </is>
      </c>
      <c r="H451" s="7" t="inlineStr">
        <is>
          <t>ECA: recycling still in its infancy; no Commission measurement yet.</t>
        </is>
      </c>
      <c r="I451" s="7" t="inlineStr">
        <is>
          <t>partially measured</t>
        </is>
      </c>
      <c r="J451" s="7" t="inlineStr">
        <is>
          <t>partially measured</t>
        </is>
      </c>
      <c r="K451" s="7" t="inlineStr">
        <is>
          <t>ECA SR 04/2026</t>
        </is>
      </c>
    </row>
    <row r="452">
      <c r="A452" s="7" t="n">
        <v>92</v>
      </c>
      <c r="B452" s="7" t="inlineStr">
        <is>
          <t>Critical Raw Materials Act</t>
        </is>
      </c>
      <c r="C452" s="7" t="inlineStr">
        <is>
          <t>52023PC0160</t>
        </is>
      </c>
      <c r="D452" s="7" t="inlineStr">
        <is>
          <t>LFS indicator</t>
        </is>
      </c>
      <c r="E452" s="7" t="inlineStr">
        <is>
          <t>Monitoring</t>
        </is>
      </c>
      <c r="F452" s="7" t="inlineStr">
        <is>
          <t>Data and maps of EU mineral resources; strategic stocks at national level</t>
        </is>
      </c>
      <c r="G452" s="7" t="inlineStr"/>
      <c r="H452" s="7" t="inlineStr">
        <is>
          <t>No consolidated figures found.</t>
        </is>
      </c>
      <c r="I452" s="7" t="inlineStr">
        <is>
          <t>not measured</t>
        </is>
      </c>
      <c r="J452" s="7" t="inlineStr">
        <is>
          <t>not measured</t>
        </is>
      </c>
      <c r="K452" s="7" t="inlineStr"/>
    </row>
    <row r="453">
      <c r="A453" s="7" t="n">
        <v>91</v>
      </c>
      <c r="B453" s="7" t="inlineStr">
        <is>
          <t>Gigabit Infrastructure Act</t>
        </is>
      </c>
      <c r="C453" s="7" t="inlineStr">
        <is>
          <t>52023PC0094</t>
        </is>
      </c>
      <c r="D453" s="7" t="inlineStr">
        <is>
          <t>note</t>
        </is>
      </c>
      <c r="E453" s="7" t="inlineStr">
        <is>
          <t>The proposal has no LFS indicators; the memorandum foresees a report five years after entry into force, based on indicators and a data-collection mechanism to be drawn up by the Communications Committee</t>
        </is>
      </c>
      <c r="F453" s="7" t="inlineStr"/>
      <c r="G453" s="7" t="inlineStr"/>
      <c r="H453" s="7" t="inlineStr"/>
      <c r="I453" s="7" t="inlineStr"/>
      <c r="J453" s="7" t="inlineStr"/>
      <c r="K453" s="7" t="inlineStr"/>
    </row>
    <row r="454">
      <c r="A454" s="7" t="n">
        <v>91</v>
      </c>
      <c r="B454" s="7" t="inlineStr">
        <is>
          <t>Gigabit Infrastructure Act</t>
        </is>
      </c>
      <c r="C454" s="7" t="inlineStr">
        <is>
          <t>52023PC0094</t>
        </is>
      </c>
      <c r="D454" s="7" t="inlineStr">
        <is>
          <t>expected impact (impact assessment)</t>
        </is>
      </c>
      <c r="E454" s="7" t="inlineStr">
        <is>
          <t>Reduce deployment cost</t>
        </is>
      </c>
      <c r="F454" s="7" t="inlineStr">
        <is>
          <t>Reduction in cost of network deployment to 2030</t>
        </is>
      </c>
      <c r="G454" s="7" t="inlineStr">
        <is>
          <t>EUR 14.5bn; public subsidies EUR 2.4bn lower</t>
        </is>
      </c>
      <c r="H454" s="7" t="inlineStr">
        <is>
          <t>Main provisions applied from 12 Nov 2025; not evaluated.</t>
        </is>
      </c>
      <c r="I454" s="7" t="inlineStr">
        <is>
          <t>not measured</t>
        </is>
      </c>
      <c r="J454" s="7" t="inlineStr">
        <is>
          <t>not measured</t>
        </is>
      </c>
      <c r="K454" s="7" t="inlineStr">
        <is>
          <t>SWD(2023) 47</t>
        </is>
      </c>
    </row>
    <row r="455">
      <c r="A455" s="7" t="n">
        <v>91</v>
      </c>
      <c r="B455" s="7" t="inlineStr">
        <is>
          <t>Gigabit Infrastructure Act</t>
        </is>
      </c>
      <c r="C455" s="7" t="inlineStr">
        <is>
          <t>52023PC0094</t>
        </is>
      </c>
      <c r="D455" s="7" t="inlineStr">
        <is>
          <t>expected impact (impact assessment)</t>
        </is>
      </c>
      <c r="E455" s="7" t="inlineStr">
        <is>
          <t>Re-use of infrastructure</t>
        </is>
      </c>
      <c r="F455" s="7" t="inlineStr">
        <is>
          <t>New network km deployed by re-using physical infrastructure or coordinating civil works</t>
        </is>
      </c>
      <c r="G455" s="7" t="inlineStr">
        <is>
          <t>470,000 km vs 250,000 km baseline</t>
        </is>
      </c>
      <c r="H455" s="7" t="inlineStr">
        <is>
          <t>No data yet.</t>
        </is>
      </c>
      <c r="I455" s="7" t="inlineStr">
        <is>
          <t>not measured</t>
        </is>
      </c>
      <c r="J455" s="7" t="inlineStr">
        <is>
          <t>not measured</t>
        </is>
      </c>
      <c r="K455" s="7" t="inlineStr">
        <is>
          <t>SWD(2023) 47</t>
        </is>
      </c>
    </row>
    <row r="456">
      <c r="A456" s="7" t="n">
        <v>91</v>
      </c>
      <c r="B456" s="7" t="inlineStr">
        <is>
          <t>Gigabit Infrastructure Act</t>
        </is>
      </c>
      <c r="C456" s="7" t="inlineStr">
        <is>
          <t>52023PC0094</t>
        </is>
      </c>
      <c r="D456" s="7" t="inlineStr">
        <is>
          <t>expected impact (impact assessment)</t>
        </is>
      </c>
      <c r="E456" s="7" t="inlineStr">
        <is>
          <t>Faster permits</t>
        </is>
      </c>
      <c r="F456" s="7" t="inlineStr">
        <is>
          <t>Administrative cost savings for operators; digital permit procedures</t>
        </is>
      </c>
      <c r="G456" s="7" t="inlineStr">
        <is>
          <t>EUR 40m a year for operators; EUR 3-4m a year for local authorities</t>
        </is>
      </c>
      <c r="H456" s="7" t="inlineStr">
        <is>
          <t>About half of Member States had begun adopting implementing measures by March 2026, with divergent approaches to tacit approval of permits.</t>
        </is>
      </c>
      <c r="I456" s="7" t="inlineStr">
        <is>
          <t>reported as activity</t>
        </is>
      </c>
      <c r="J456" s="7" t="inlineStr">
        <is>
          <t>reported as activity</t>
        </is>
      </c>
      <c r="K456" s="7" t="inlineStr">
        <is>
          <t>Cullen International 2026</t>
        </is>
      </c>
    </row>
    <row r="457">
      <c r="A457" s="7" t="n">
        <v>91</v>
      </c>
      <c r="B457" s="7" t="inlineStr">
        <is>
          <t>Gigabit Infrastructure Act</t>
        </is>
      </c>
      <c r="C457" s="7" t="inlineStr">
        <is>
          <t>52023PC0094</t>
        </is>
      </c>
      <c r="D457" s="7" t="inlineStr">
        <is>
          <t>expected impact (impact assessment)</t>
        </is>
      </c>
      <c r="E457" s="7" t="inlineStr">
        <is>
          <t>Contribute to Digital Decade gigabit targets</t>
        </is>
      </c>
      <c r="F457" s="7" t="inlineStr">
        <is>
          <t>Gigabit coverage of households</t>
        </is>
      </c>
      <c r="G457" s="7" t="inlineStr">
        <is>
          <t>100% gigabit by 2030 (Digital Decade)</t>
        </is>
      </c>
      <c r="H457" s="7" t="inlineStr">
        <is>
          <t>Coverage tracked in Digital Decade reports but not attributed to the GIA.</t>
        </is>
      </c>
      <c r="I457" s="7" t="inlineStr">
        <is>
          <t>not measured</t>
        </is>
      </c>
      <c r="J457" s="7" t="inlineStr">
        <is>
          <t>not measured</t>
        </is>
      </c>
      <c r="K457" s="7" t="inlineStr"/>
    </row>
    <row r="458">
      <c r="A458" s="7" t="n">
        <v>68</v>
      </c>
      <c r="B458" s="7" t="inlineStr">
        <is>
          <t>Anti-Money Laundering Regulation</t>
        </is>
      </c>
      <c r="C458" s="7" t="inlineStr">
        <is>
          <t>52021PC0420</t>
        </is>
      </c>
      <c r="D458" s="7" t="inlineStr">
        <is>
          <t>note</t>
        </is>
      </c>
      <c r="E458" s="7" t="inlineStr">
        <is>
          <t>The proposal's financial statement has no LFS indicators; the memorandum promises a first review five years after application (the AMLR applies from 10 July 2027). Indicators below come from section 9 of the impact assessment</t>
        </is>
      </c>
      <c r="F458" s="7" t="inlineStr"/>
      <c r="G458" s="7" t="inlineStr"/>
      <c r="H458" s="7" t="inlineStr"/>
      <c r="I458" s="7" t="inlineStr"/>
      <c r="J458" s="7" t="inlineStr"/>
      <c r="K458" s="7" t="inlineStr"/>
    </row>
    <row r="459">
      <c r="A459" s="7" t="n">
        <v>68</v>
      </c>
      <c r="B459" s="7" t="inlineStr">
        <is>
          <t>Anti-Money Laundering Regulation</t>
        </is>
      </c>
      <c r="C459" s="7" t="inlineStr">
        <is>
          <t>52021PC0420</t>
        </is>
      </c>
      <c r="D459" s="7" t="inlineStr">
        <is>
          <t>indicator (impact assessment)</t>
        </is>
      </c>
      <c r="E459" s="7" t="inlineStr">
        <is>
          <t>Strengthen and harmonise AML rules</t>
        </is>
      </c>
      <c r="F459" s="7" t="inlineStr">
        <is>
          <t>Number of suspicious transaction reports (STRs) transmitted to law enforcement</t>
        </is>
      </c>
      <c r="G459" s="7" t="inlineStr"/>
      <c r="H459" s="7" t="inlineStr">
        <is>
          <t>Not yet measurable (Regulation applies from July 2027). Baseline: Europol (2017) found only around 10% of STRs lead to further investigation and about 1% of criminal proceeds are confiscated.</t>
        </is>
      </c>
      <c r="I459" s="7" t="inlineStr">
        <is>
          <t>not measured</t>
        </is>
      </c>
      <c r="J459" s="7" t="inlineStr">
        <is>
          <t>not measured</t>
        </is>
      </c>
      <c r="K459" s="7" t="inlineStr">
        <is>
          <t>SWD(2021) 190; Europol 2017</t>
        </is>
      </c>
    </row>
    <row r="460">
      <c r="A460" s="7" t="n">
        <v>68</v>
      </c>
      <c r="B460" s="7" t="inlineStr">
        <is>
          <t>Anti-Money Laundering Regulation</t>
        </is>
      </c>
      <c r="C460" s="7" t="inlineStr">
        <is>
          <t>52021PC0420</t>
        </is>
      </c>
      <c r="D460" s="7" t="inlineStr">
        <is>
          <t>indicator (impact assessment)</t>
        </is>
      </c>
      <c r="E460" s="7" t="inlineStr">
        <is>
          <t>More effective supervision</t>
        </is>
      </c>
      <c r="F460" s="7" t="inlineStr">
        <is>
          <t>STRs generated by the non-financial sector; proportion of STRs usable for financial intelligence</t>
        </is>
      </c>
      <c r="G460" s="7" t="inlineStr"/>
      <c r="H460" s="7" t="inlineStr">
        <is>
          <t>Not yet measurable; no baseline series published by the Commission.</t>
        </is>
      </c>
      <c r="I460" s="7" t="inlineStr">
        <is>
          <t>not measured</t>
        </is>
      </c>
      <c r="J460" s="7" t="inlineStr">
        <is>
          <t>not measured</t>
        </is>
      </c>
      <c r="K460" s="7" t="inlineStr">
        <is>
          <t>SWD(2021) 190</t>
        </is>
      </c>
    </row>
    <row r="461">
      <c r="A461" s="7" t="n">
        <v>68</v>
      </c>
      <c r="B461" s="7" t="inlineStr">
        <is>
          <t>Anti-Money Laundering Regulation</t>
        </is>
      </c>
      <c r="C461" s="7" t="inlineStr">
        <is>
          <t>52021PC0420</t>
        </is>
      </c>
      <c r="D461" s="7" t="inlineStr">
        <is>
          <t>indicator (impact assessment)</t>
        </is>
      </c>
      <c r="E461" s="7" t="inlineStr">
        <is>
          <t>FIU cooperation</t>
        </is>
      </c>
      <c r="F461" s="7" t="inlineStr">
        <is>
          <t>Volume and nature of information exchanged among FIUs (FIU.net); feedback to obliged entities</t>
        </is>
      </c>
      <c r="G461" s="7" t="inlineStr"/>
      <c r="H461" s="7" t="inlineStr">
        <is>
          <t>Not yet measurable; AMLA (which hosts the FIU support mechanism) only began operating in 2025.</t>
        </is>
      </c>
      <c r="I461" s="7" t="inlineStr">
        <is>
          <t>not measured</t>
        </is>
      </c>
      <c r="J461" s="7" t="inlineStr">
        <is>
          <t>not measured</t>
        </is>
      </c>
      <c r="K461" s="7" t="inlineStr">
        <is>
          <t>SWD(2021) 190</t>
        </is>
      </c>
    </row>
    <row r="462">
      <c r="A462" s="7" t="n">
        <v>68</v>
      </c>
      <c r="B462" s="7" t="inlineStr">
        <is>
          <t>Anti-Money Laundering Regulation</t>
        </is>
      </c>
      <c r="C462" s="7" t="inlineStr">
        <is>
          <t>52021PC0420</t>
        </is>
      </c>
      <c r="D462" s="7" t="inlineStr">
        <is>
          <t>expected impact (impact assessment)</t>
        </is>
      </c>
      <c r="E462" s="7" t="inlineStr">
        <is>
          <t>Reduce money laundering</t>
        </is>
      </c>
      <c r="F462" s="7" t="inlineStr">
        <is>
          <t>Reduction of undetected money laundering/terrorist financing (estimated by Europol at well over EUR 100bn a year); EUR 10,000 cash-payment ceiling to 'significantly deter' laundering without hurting financial inclusion</t>
        </is>
      </c>
      <c r="G462" s="7" t="inlineStr"/>
      <c r="H462" s="7" t="inlineStr">
        <is>
          <t>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is>
      </c>
      <c r="I462" s="7" t="inlineStr">
        <is>
          <t>not measured (independent evidence sceptical)</t>
        </is>
      </c>
      <c r="J462" s="7" t="inlineStr">
        <is>
          <t>not measured</t>
        </is>
      </c>
      <c r="K462" s="7" t="inlineStr">
        <is>
          <t>SWD(2021) 191; Pol 2020; EBA 2022; Slutzky et al.</t>
        </is>
      </c>
    </row>
    <row r="463">
      <c r="A463" s="7" t="n">
        <v>68</v>
      </c>
      <c r="B463" s="7" t="inlineStr">
        <is>
          <t>Anti-Money Laundering Regulation</t>
        </is>
      </c>
      <c r="C463" s="7" t="inlineStr">
        <is>
          <t>52021PC0420</t>
        </is>
      </c>
      <c r="D463" s="7" t="inlineStr">
        <is>
          <t>expected impact (impact assessment)</t>
        </is>
      </c>
      <c r="E463" s="7" t="inlineStr">
        <is>
          <t>Costs</t>
        </is>
      </c>
      <c r="F463" s="7" t="inlineStr">
        <is>
          <t>AMLA running cost about EUR 40m a year at 250 FTE, over half financed by levies on obliged entities; bank-register interconnection about EUR 2m; lower compliance costs for cross-border financial groups</t>
        </is>
      </c>
      <c r="G463" s="7" t="inlineStr">
        <is>
          <t>~EUR 40m/yr</t>
        </is>
      </c>
      <c r="H463" s="7" t="inlineStr">
        <is>
          <t>Not evaluated.</t>
        </is>
      </c>
      <c r="I463" s="7" t="inlineStr">
        <is>
          <t>not measured</t>
        </is>
      </c>
      <c r="J463" s="7" t="inlineStr">
        <is>
          <t>not measured</t>
        </is>
      </c>
      <c r="K463" s="7" t="inlineStr">
        <is>
          <t>SWD(2021) 191</t>
        </is>
      </c>
    </row>
    <row r="464">
      <c r="A464" s="7" t="n">
        <v>64</v>
      </c>
      <c r="B464" s="7" t="inlineStr">
        <is>
          <t>Artificial Intelligence Act</t>
        </is>
      </c>
      <c r="C464" s="7" t="inlineStr">
        <is>
          <t>52021PC0206</t>
        </is>
      </c>
      <c r="D464" s="7" t="inlineStr">
        <is>
          <t>specific objective</t>
        </is>
      </c>
      <c r="E464" s="7" t="inlineStr">
        <is>
          <t>Ensure AI systems placed on the market and used are safe and respect fundamental rights and Union values</t>
        </is>
      </c>
      <c r="F464" s="7" t="inlineStr"/>
      <c r="G464" s="7" t="inlineStr"/>
      <c r="H464" s="7" t="inlineStr"/>
      <c r="I464" s="7" t="inlineStr"/>
      <c r="J464" s="7" t="inlineStr"/>
      <c r="K464" s="7" t="inlineStr"/>
    </row>
    <row r="465">
      <c r="A465" s="7" t="n">
        <v>64</v>
      </c>
      <c r="B465" s="7" t="inlineStr">
        <is>
          <t>Artificial Intelligence Act</t>
        </is>
      </c>
      <c r="C465" s="7" t="inlineStr">
        <is>
          <t>52021PC0206</t>
        </is>
      </c>
      <c r="D465" s="7" t="inlineStr">
        <is>
          <t>specific objective</t>
        </is>
      </c>
      <c r="E465" s="7" t="inlineStr">
        <is>
          <t>Ensure legal certainty to facilitate investment and innovation in AI</t>
        </is>
      </c>
      <c r="F465" s="7" t="inlineStr"/>
      <c r="G465" s="7" t="inlineStr"/>
      <c r="H465" s="7" t="inlineStr"/>
      <c r="I465" s="7" t="inlineStr"/>
      <c r="J465" s="7" t="inlineStr"/>
      <c r="K465" s="7" t="inlineStr"/>
    </row>
    <row r="466">
      <c r="A466" s="7" t="n">
        <v>64</v>
      </c>
      <c r="B466" s="7" t="inlineStr">
        <is>
          <t>Artificial Intelligence Act</t>
        </is>
      </c>
      <c r="C466" s="7" t="inlineStr">
        <is>
          <t>52021PC0206</t>
        </is>
      </c>
      <c r="D466" s="7" t="inlineStr">
        <is>
          <t>specific objective</t>
        </is>
      </c>
      <c r="E466" s="7" t="inlineStr">
        <is>
          <t>Enhance governance and effective enforcement of existing law on fundamental rights and safety</t>
        </is>
      </c>
      <c r="F466" s="7" t="inlineStr"/>
      <c r="G466" s="7" t="inlineStr"/>
      <c r="H466" s="7" t="inlineStr"/>
      <c r="I466" s="7" t="inlineStr"/>
      <c r="J466" s="7" t="inlineStr"/>
      <c r="K466" s="7" t="inlineStr"/>
    </row>
    <row r="467">
      <c r="A467" s="7" t="n">
        <v>64</v>
      </c>
      <c r="B467" s="7" t="inlineStr">
        <is>
          <t>Artificial Intelligence Act</t>
        </is>
      </c>
      <c r="C467" s="7" t="inlineStr">
        <is>
          <t>52021PC0206</t>
        </is>
      </c>
      <c r="D467" s="7" t="inlineStr">
        <is>
          <t>specific objective</t>
        </is>
      </c>
      <c r="E467" s="7" t="inlineStr">
        <is>
          <t>Facilitate a single market for lawful, safe and trustworthy AI and prevent fragmentation</t>
        </is>
      </c>
      <c r="F467" s="7" t="inlineStr"/>
      <c r="G467" s="7" t="inlineStr"/>
      <c r="H467" s="7" t="inlineStr"/>
      <c r="I467" s="7" t="inlineStr"/>
      <c r="J467" s="7" t="inlineStr"/>
      <c r="K467" s="7" t="inlineStr"/>
    </row>
    <row r="468">
      <c r="A468" s="7" t="n">
        <v>64</v>
      </c>
      <c r="B468" s="7" t="inlineStr">
        <is>
          <t>Artificial Intelligence Act</t>
        </is>
      </c>
      <c r="C468" s="7" t="inlineStr">
        <is>
          <t>52021PC0206</t>
        </is>
      </c>
      <c r="D468" s="7" t="inlineStr">
        <is>
          <t>indicator (LFS 1.4.4)</t>
        </is>
      </c>
      <c r="E468" s="7" t="inlineStr">
        <is>
          <t>Safety and fundamental rights</t>
        </is>
      </c>
      <c r="F468" s="7" t="inlineStr">
        <is>
          <t>Number of serious incidents or breaches of fundamental-rights obligations (semi-annual), by field, absolute and relative</t>
        </is>
      </c>
      <c r="G468" s="7" t="inlineStr"/>
      <c r="H468" s="7" t="inlineStr">
        <is>
          <t>Not yet reportable: high-risk obligations not yet applicable; the 2026 AI omnibus postponed them to 2 Dec 2027 (Annex III) and 2 Aug 2028 (Annex I).</t>
        </is>
      </c>
      <c r="I468" s="7" t="inlineStr">
        <is>
          <t>not yet measurable</t>
        </is>
      </c>
      <c r="J468" s="7" t="inlineStr">
        <is>
          <t>not measured</t>
        </is>
      </c>
      <c r="K468" s="7" t="inlineStr">
        <is>
          <t>AI omnibus (2026)</t>
        </is>
      </c>
    </row>
    <row r="469">
      <c r="A469" s="7" t="n">
        <v>64</v>
      </c>
      <c r="B469" s="7" t="inlineStr">
        <is>
          <t>Artificial Intelligence Act</t>
        </is>
      </c>
      <c r="C469" s="7" t="inlineStr">
        <is>
          <t>52021PC0206</t>
        </is>
      </c>
      <c r="D469" s="7" t="inlineStr">
        <is>
          <t>indicator (LFS 1.4.4)</t>
        </is>
      </c>
      <c r="E469" s="7" t="inlineStr">
        <is>
          <t>Investment and innovation</t>
        </is>
      </c>
      <c r="F469" s="7" t="inlineStr">
        <is>
          <t>Total AI investment in the EU and by Member State (annual)</t>
        </is>
      </c>
      <c r="G469" s="7" t="inlineStr"/>
      <c r="H469" s="7" t="inlineStr">
        <is>
          <t>No Commission series linked to the Act found yet.</t>
        </is>
      </c>
      <c r="I469" s="7" t="inlineStr">
        <is>
          <t>not measured</t>
        </is>
      </c>
      <c r="J469" s="7" t="inlineStr">
        <is>
          <t>not measured</t>
        </is>
      </c>
      <c r="K469" s="7" t="inlineStr"/>
    </row>
    <row r="470">
      <c r="A470" s="7" t="n">
        <v>64</v>
      </c>
      <c r="B470" s="7" t="inlineStr">
        <is>
          <t>Artificial Intelligence Act</t>
        </is>
      </c>
      <c r="C470" s="7" t="inlineStr">
        <is>
          <t>52021PC0206</t>
        </is>
      </c>
      <c r="D470" s="7" t="inlineStr">
        <is>
          <t>indicator (LFS 1.4.4)</t>
        </is>
      </c>
      <c r="E470" s="7" t="inlineStr">
        <is>
          <t>Uptake</t>
        </is>
      </c>
      <c r="F470" s="7" t="inlineStr">
        <is>
          <t>Share of companies using AI (annual) / share of SMEs using AI</t>
        </is>
      </c>
      <c r="G470" s="7" t="inlineStr"/>
      <c r="H470" s="7" t="inlineStr">
        <is>
          <t>Measurable via Eurostat: 7.7% (2021), 8.1% (2023), 13.5% (2024), about 20% (2025) of EU enterprises with 10+ staff; 55% of large firms in 2025. Rise cannot be attributed to the Act (main obligations not yet applicable; generative-AI boom).</t>
        </is>
      </c>
      <c r="I470" s="7" t="inlineStr">
        <is>
          <t>measured (not attributable)</t>
        </is>
      </c>
      <c r="J470" s="7" t="inlineStr">
        <is>
          <t>measured</t>
        </is>
      </c>
      <c r="K470" s="7" t="inlineStr">
        <is>
          <t>Eurostat</t>
        </is>
      </c>
    </row>
    <row r="471">
      <c r="A471" s="7" t="n">
        <v>64</v>
      </c>
      <c r="B471" s="7" t="inlineStr">
        <is>
          <t>Artificial Intelligence Act</t>
        </is>
      </c>
      <c r="C471" s="7" t="inlineStr">
        <is>
          <t>52021PC0206</t>
        </is>
      </c>
      <c r="D471" s="7" t="inlineStr">
        <is>
          <t>expected impact (impact assessment)</t>
        </is>
      </c>
      <c r="E471" s="7" t="inlineStr">
        <is>
          <t>Compliance costs</t>
        </is>
      </c>
      <c r="F471" s="7" t="inlineStr">
        <is>
          <t>Aggregate compliance cost EUR 100-500m by 2025 (up to 4-5% of high-risk AI investment) plus verification 2-5%; high-risk = 5-15% of AI applications</t>
        </is>
      </c>
      <c r="G471" s="7" t="inlineStr"/>
      <c r="H471" s="7" t="inlineStr">
        <is>
          <t>Not evaluated. Start-up surveys put the high-risk share at 33-50% of their systems, far above the 5-15% assumed; obligations later postponed and simplified.</t>
        </is>
      </c>
      <c r="I471" s="7" t="inlineStr">
        <is>
          <t>not measured (contested assumptions)</t>
        </is>
      </c>
      <c r="J471" s="7" t="inlineStr">
        <is>
          <t>not measured</t>
        </is>
      </c>
      <c r="K471" s="7" t="inlineStr">
        <is>
          <t>SWD(2021) 85; appliedAI/Digital Poland survey</t>
        </is>
      </c>
    </row>
    <row r="472">
      <c r="A472" s="7" t="n">
        <v>93</v>
      </c>
      <c r="B472" s="7" t="inlineStr">
        <is>
          <t>Net-Zero Industry Act</t>
        </is>
      </c>
      <c r="C472" s="7" t="inlineStr">
        <is>
          <t>52023PC0161</t>
        </is>
      </c>
      <c r="D472" s="7" t="inlineStr">
        <is>
          <t>note</t>
        </is>
      </c>
      <c r="E472" s="7" t="inlineStr">
        <is>
          <t>No formal impact assessment was prepared (urgency); the analysis was set out in staff working document SWD(2023) 68. The LFS gives no quantified indicators: the Commission will monitor via annual competitiveness reports on clean energy technologies and evaluate after three years</t>
        </is>
      </c>
      <c r="F472" s="7" t="inlineStr"/>
      <c r="G472" s="7" t="inlineStr"/>
      <c r="H472" s="7" t="inlineStr"/>
      <c r="I472" s="7" t="inlineStr"/>
      <c r="J472" s="7" t="inlineStr"/>
      <c r="K472" s="7" t="inlineStr"/>
    </row>
    <row r="473">
      <c r="A473" s="7" t="n">
        <v>93</v>
      </c>
      <c r="B473" s="7" t="inlineStr">
        <is>
          <t>Net-Zero Industry Act</t>
        </is>
      </c>
      <c r="C473" s="7" t="inlineStr">
        <is>
          <t>52023PC0161</t>
        </is>
      </c>
      <c r="D473" s="7" t="inlineStr">
        <is>
          <t>benchmark (Regulation)</t>
        </is>
      </c>
      <c r="E473" s="7" t="inlineStr">
        <is>
          <t>Manufacturing capacity</t>
        </is>
      </c>
      <c r="F473" s="7" t="inlineStr">
        <is>
          <t>EU net-zero technology manufacturing capacity as share of annual EU deployment needs</t>
        </is>
      </c>
      <c r="G473" s="7" t="inlineStr">
        <is>
          <t>At least 40% by 2030; 15% of world production by 2040</t>
        </is>
      </c>
      <c r="H473" s="7" t="inlineStr">
        <is>
          <t>No published assessment of progress against the benchmark found; Bruegel criticised the 40% benchmark as poorly defined.</t>
        </is>
      </c>
      <c r="I473" s="7" t="inlineStr">
        <is>
          <t>not measured</t>
        </is>
      </c>
      <c r="J473" s="7" t="inlineStr">
        <is>
          <t>not measured</t>
        </is>
      </c>
      <c r="K473" s="7" t="inlineStr">
        <is>
          <t>Regulation (EU) 2024/1735; Tagliapietra et al. 2023</t>
        </is>
      </c>
    </row>
    <row r="474">
      <c r="A474" s="7" t="n">
        <v>93</v>
      </c>
      <c r="B474" s="7" t="inlineStr">
        <is>
          <t>Net-Zero Industry Act</t>
        </is>
      </c>
      <c r="C474" s="7" t="inlineStr">
        <is>
          <t>52023PC0161</t>
        </is>
      </c>
      <c r="D474" s="7" t="inlineStr">
        <is>
          <t>target (Regulation)</t>
        </is>
      </c>
      <c r="E474" s="7" t="inlineStr">
        <is>
          <t>CO2 storage</t>
        </is>
      </c>
      <c r="F474" s="7" t="inlineStr">
        <is>
          <t>Annual CO2 injection capacity</t>
        </is>
      </c>
      <c r="G474" s="7" t="inlineStr">
        <is>
          <t>50 Mt per year by 2030</t>
        </is>
      </c>
      <c r="H474" s="7" t="inlineStr">
        <is>
          <t>Commission to report annually; no figures verified.</t>
        </is>
      </c>
      <c r="I474" s="7" t="inlineStr">
        <is>
          <t>not measured</t>
        </is>
      </c>
      <c r="J474" s="7" t="inlineStr">
        <is>
          <t>not measured</t>
        </is>
      </c>
      <c r="K474" s="7" t="inlineStr"/>
    </row>
    <row r="475">
      <c r="A475" s="7" t="n">
        <v>93</v>
      </c>
      <c r="B475" s="7" t="inlineStr">
        <is>
          <t>Net-Zero Industry Act</t>
        </is>
      </c>
      <c r="C475" s="7" t="inlineStr">
        <is>
          <t>52023PC0161</t>
        </is>
      </c>
      <c r="D475" s="7" t="inlineStr">
        <is>
          <t>expected impact (Commission analysis)</t>
        </is>
      </c>
      <c r="E475" s="7" t="inlineStr">
        <is>
          <t>Investment</t>
        </is>
      </c>
      <c r="F475" s="7" t="inlineStr">
        <is>
          <t>Investment needed for EU net-zero manufacturing</t>
        </is>
      </c>
      <c r="G475" s="7" t="inlineStr">
        <is>
          <t>around EUR 92bn to 2030 (reported)</t>
        </is>
      </c>
      <c r="H475" s="7" t="inlineStr">
        <is>
          <t>Not tracked against the Act.</t>
        </is>
      </c>
      <c r="I475" s="7" t="inlineStr">
        <is>
          <t>not measured</t>
        </is>
      </c>
      <c r="J475" s="7" t="inlineStr">
        <is>
          <t>not measured</t>
        </is>
      </c>
      <c r="K475" s="7" t="inlineStr">
        <is>
          <t>SWD(2023) 68 (figure as reported secondary)</t>
        </is>
      </c>
    </row>
    <row r="476">
      <c r="A476" s="7" t="n">
        <v>80</v>
      </c>
      <c r="B476" s="7" t="inlineStr">
        <is>
          <t>Ecodesign for Sustainable Products Regulation</t>
        </is>
      </c>
      <c r="C476" s="7" t="inlineStr">
        <is>
          <t>52022PC0142</t>
        </is>
      </c>
      <c r="D476" s="7" t="inlineStr">
        <is>
          <t>LFS indicator</t>
        </is>
      </c>
      <c r="E476" s="7" t="inlineStr">
        <is>
          <t>Product sustainability</t>
        </is>
      </c>
      <c r="F476" s="7" t="inlineStr">
        <is>
          <t>Number of product groups covered by delegated acts</t>
        </is>
      </c>
      <c r="G476" s="7" t="inlineStr"/>
      <c r="H476" s="7" t="inlineStr">
        <is>
          <t>First ESPR working plan (April 2025) prioritises steel, aluminium, textiles, furniture, tyres and others, with indicative adoption 2026-2028; ban on destroying unsold apparel and footwear applies to large firms from 19 July 2026. No product-specific ESPR requirements yet in force.</t>
        </is>
      </c>
      <c r="I476" s="7" t="inlineStr">
        <is>
          <t>reported as activity</t>
        </is>
      </c>
      <c r="J476" s="7" t="inlineStr">
        <is>
          <t>reported as activity</t>
        </is>
      </c>
      <c r="K476" s="7" t="inlineStr">
        <is>
          <t>Commission working plan 2025-2030 (secondary reports)</t>
        </is>
      </c>
    </row>
    <row r="477">
      <c r="A477" s="7" t="n">
        <v>80</v>
      </c>
      <c r="B477" s="7" t="inlineStr">
        <is>
          <t>Ecodesign for Sustainable Products Regulation</t>
        </is>
      </c>
      <c r="C477" s="7" t="inlineStr">
        <is>
          <t>52022PC0142</t>
        </is>
      </c>
      <c r="D477" s="7" t="inlineStr">
        <is>
          <t>LFS indicator</t>
        </is>
      </c>
      <c r="E477" s="7" t="inlineStr">
        <is>
          <t>Product sustainability</t>
        </is>
      </c>
      <c r="F477" s="7" t="inlineStr">
        <is>
          <t>Change in GHG and pollutant emissions; energy, water and material efficiency of regulated products</t>
        </is>
      </c>
      <c r="G477" s="7" t="inlineStr"/>
      <c r="H477" s="7" t="inlineStr">
        <is>
          <t>Not measured; depends on future delegated acts.</t>
        </is>
      </c>
      <c r="I477" s="7" t="inlineStr">
        <is>
          <t>not measured</t>
        </is>
      </c>
      <c r="J477" s="7" t="inlineStr">
        <is>
          <t>not measured</t>
        </is>
      </c>
      <c r="K477" s="7" t="inlineStr"/>
    </row>
    <row r="478">
      <c r="A478" s="7" t="n">
        <v>80</v>
      </c>
      <c r="B478" s="7" t="inlineStr">
        <is>
          <t>Ecodesign for Sustainable Products Regulation</t>
        </is>
      </c>
      <c r="C478" s="7" t="inlineStr">
        <is>
          <t>52022PC0142</t>
        </is>
      </c>
      <c r="D478" s="7" t="inlineStr">
        <is>
          <t>LFS indicator</t>
        </is>
      </c>
      <c r="E478" s="7" t="inlineStr">
        <is>
          <t>Circularity</t>
        </is>
      </c>
      <c r="F478" s="7" t="inlineStr">
        <is>
          <t>Product lifetime; recycled content; circular material use rate</t>
        </is>
      </c>
      <c r="G478" s="7" t="inlineStr"/>
      <c r="H478" s="7" t="inlineStr">
        <is>
          <t>Eurostat publishes the circular material use rate, but no attribution to ESPR.</t>
        </is>
      </c>
      <c r="I478" s="7" t="inlineStr">
        <is>
          <t>not measured</t>
        </is>
      </c>
      <c r="J478" s="7" t="inlineStr">
        <is>
          <t>not measured</t>
        </is>
      </c>
      <c r="K478" s="7" t="inlineStr"/>
    </row>
    <row r="479">
      <c r="A479" s="7" t="n">
        <v>80</v>
      </c>
      <c r="B479" s="7" t="inlineStr">
        <is>
          <t>Ecodesign for Sustainable Products Regulation</t>
        </is>
      </c>
      <c r="C479" s="7" t="inlineStr">
        <is>
          <t>52022PC0142</t>
        </is>
      </c>
      <c r="D479" s="7" t="inlineStr">
        <is>
          <t>LFS indicator</t>
        </is>
      </c>
      <c r="E479" s="7" t="inlineStr">
        <is>
          <t>Sustainable business models</t>
        </is>
      </c>
      <c r="F479" s="7" t="inlineStr">
        <is>
          <t>Value added, investment and jobs in recycling, repair and re-use; green public procurement share; consumer cost impacts</t>
        </is>
      </c>
      <c r="G479" s="7" t="inlineStr"/>
      <c r="H479" s="7" t="inlineStr">
        <is>
          <t>Not tracked against ESPR.</t>
        </is>
      </c>
      <c r="I479" s="7" t="inlineStr">
        <is>
          <t>not measured</t>
        </is>
      </c>
      <c r="J479" s="7" t="inlineStr">
        <is>
          <t>not measured</t>
        </is>
      </c>
      <c r="K479" s="7" t="inlineStr"/>
    </row>
    <row r="480">
      <c r="A480" s="7" t="n">
        <v>80</v>
      </c>
      <c r="B480" s="7" t="inlineStr">
        <is>
          <t>Ecodesign for Sustainable Products Regulation</t>
        </is>
      </c>
      <c r="C480" s="7" t="inlineStr">
        <is>
          <t>52022PC0142</t>
        </is>
      </c>
      <c r="D480" s="7" t="inlineStr">
        <is>
          <t>expected impact (Commission)</t>
        </is>
      </c>
      <c r="E480" s="7" t="inlineStr">
        <is>
          <t>Energy savings</t>
        </is>
      </c>
      <c r="F480" s="7" t="inlineStr">
        <is>
          <t>Primary energy savings by 2030 (ecodesign scope)</t>
        </is>
      </c>
      <c r="G480" s="7" t="inlineStr">
        <is>
          <t>132 Mtoe, ~150 bcm gas (reported)</t>
        </is>
      </c>
      <c r="H480" s="7" t="inlineStr">
        <is>
          <t>Not evaluated; evaluation due eight years after application.</t>
        </is>
      </c>
      <c r="I480" s="7" t="inlineStr">
        <is>
          <t>not measured</t>
        </is>
      </c>
      <c r="J480" s="7" t="inlineStr">
        <is>
          <t>not measured</t>
        </is>
      </c>
      <c r="K480" s="7" t="inlineStr">
        <is>
          <t>Commission 2022 announcement as reported by INFORSE-Europe</t>
        </is>
      </c>
    </row>
    <row r="481">
      <c r="A481" s="7" t="n">
        <v>85</v>
      </c>
      <c r="B481" s="7" t="inlineStr">
        <is>
          <t>Single Market Emergency Instrument (IMERA)</t>
        </is>
      </c>
      <c r="C481" s="7" t="inlineStr">
        <is>
          <t>52022PC0459</t>
        </is>
      </c>
      <c r="D481" s="7" t="inlineStr">
        <is>
          <t>note</t>
        </is>
      </c>
      <c r="E481" s="7" t="inlineStr">
        <is>
          <t>The LFS lists no quantified indicators: it promises a Commission evaluation five years after application and regular monitoring of the effect of free-movement measures, information requests and strategic reserves</t>
        </is>
      </c>
      <c r="F481" s="7" t="inlineStr"/>
      <c r="G481" s="7" t="inlineStr"/>
      <c r="H481" s="7" t="inlineStr"/>
      <c r="I481" s="7" t="inlineStr"/>
      <c r="J481" s="7" t="inlineStr"/>
      <c r="K481" s="7" t="inlineStr"/>
    </row>
    <row r="482">
      <c r="A482" s="7" t="n">
        <v>85</v>
      </c>
      <c r="B482" s="7" t="inlineStr">
        <is>
          <t>Single Market Emergency Instrument (IMERA)</t>
        </is>
      </c>
      <c r="C482" s="7" t="inlineStr">
        <is>
          <t>52022PC0459</t>
        </is>
      </c>
      <c r="D482" s="7" t="inlineStr">
        <is>
          <t>LFS objective</t>
        </is>
      </c>
      <c r="E482" s="7" t="inlineStr">
        <is>
          <t>Minimise obstacles to free movement in crises</t>
        </is>
      </c>
      <c r="F482" s="7" t="inlineStr">
        <is>
          <t>Fewer and better-coordinated national crisis restrictions</t>
        </is>
      </c>
      <c r="G482" s="7" t="inlineStr"/>
      <c r="H482" s="7" t="inlineStr">
        <is>
          <t>Regulation applies from 29 May 2026; no vigilance or emergency mode activated and no data found.</t>
        </is>
      </c>
      <c r="I482" s="7" t="inlineStr">
        <is>
          <t>not measured</t>
        </is>
      </c>
      <c r="J482" s="7" t="inlineStr">
        <is>
          <t>not measured</t>
        </is>
      </c>
      <c r="K482" s="7" t="inlineStr"/>
    </row>
    <row r="483">
      <c r="A483" s="7" t="n">
        <v>85</v>
      </c>
      <c r="B483" s="7" t="inlineStr">
        <is>
          <t>Single Market Emergency Instrument (IMERA)</t>
        </is>
      </c>
      <c r="C483" s="7" t="inlineStr">
        <is>
          <t>52022PC0459</t>
        </is>
      </c>
      <c r="D483" s="7" t="inlineStr">
        <is>
          <t>LFS objective</t>
        </is>
      </c>
      <c r="E483" s="7" t="inlineStr">
        <is>
          <t>Safeguard availability of crisis-relevant goods and services</t>
        </is>
      </c>
      <c r="F483" s="7" t="inlineStr">
        <is>
          <t>Availability of crisis-relevant products during emergencies</t>
        </is>
      </c>
      <c r="G483" s="7" t="inlineStr"/>
      <c r="H483" s="7" t="inlineStr">
        <is>
          <t>No crisis activation yet; not measured.</t>
        </is>
      </c>
      <c r="I483" s="7" t="inlineStr">
        <is>
          <t>not measured</t>
        </is>
      </c>
      <c r="J483" s="7" t="inlineStr">
        <is>
          <t>not measured</t>
        </is>
      </c>
      <c r="K483" s="7" t="inlineStr"/>
    </row>
    <row r="484">
      <c r="A484" s="7" t="n">
        <v>83</v>
      </c>
      <c r="B484" s="7" t="inlineStr">
        <is>
          <t>Cyber Resilience Act</t>
        </is>
      </c>
      <c r="C484" s="7" t="inlineStr">
        <is>
          <t>52022PC0454</t>
        </is>
      </c>
      <c r="D484" s="7" t="inlineStr">
        <is>
          <t>LFS indicator</t>
        </is>
      </c>
      <c r="E484" s="7" t="inlineStr">
        <is>
          <t>Secure products throughout their life cycle</t>
        </is>
      </c>
      <c r="F484" s="7" t="inlineStr">
        <is>
          <t>Significant incidents caused by vulnerabilities; share of manufacturers with secure development life cycle; patch frequency and time-to-patch</t>
        </is>
      </c>
      <c r="G484" s="7" t="inlineStr"/>
      <c r="H484" s="7" t="inlineStr">
        <is>
          <t>Reporting obligations apply from Sept 2026 and main requirements from Dec 2027; no measurement yet. A 2025 survey found most open-source respondents unfamiliar with the Act and few manufacturers producing SBOMs.</t>
        </is>
      </c>
      <c r="I484" s="7" t="inlineStr">
        <is>
          <t>not measured</t>
        </is>
      </c>
      <c r="J484" s="7" t="inlineStr">
        <is>
          <t>not measured</t>
        </is>
      </c>
      <c r="K484" s="7" t="inlineStr">
        <is>
          <t>Lawson &amp; Hendrick 2025</t>
        </is>
      </c>
    </row>
    <row r="485">
      <c r="A485" s="7" t="n">
        <v>83</v>
      </c>
      <c r="B485" s="7" t="inlineStr">
        <is>
          <t>Cyber Resilience Act</t>
        </is>
      </c>
      <c r="C485" s="7" t="inlineStr">
        <is>
          <t>52022PC0454</t>
        </is>
      </c>
      <c r="D485" s="7" t="inlineStr">
        <is>
          <t>LFS indicator</t>
        </is>
      </c>
      <c r="E485" s="7" t="inlineStr">
        <is>
          <t>Coherent framework</t>
        </is>
      </c>
      <c r="F485" s="7" t="inlineStr">
        <is>
          <t>Absence of product-specific national cybersecurity legislation</t>
        </is>
      </c>
      <c r="G485" s="7" t="inlineStr"/>
      <c r="H485" s="7" t="inlineStr">
        <is>
          <t>Not assessed.</t>
        </is>
      </c>
      <c r="I485" s="7" t="inlineStr">
        <is>
          <t>not measured</t>
        </is>
      </c>
      <c r="J485" s="7" t="inlineStr">
        <is>
          <t>not measured</t>
        </is>
      </c>
      <c r="K485" s="7" t="inlineStr"/>
    </row>
    <row r="486">
      <c r="A486" s="7" t="n">
        <v>83</v>
      </c>
      <c r="B486" s="7" t="inlineStr">
        <is>
          <t>Cyber Resilience Act</t>
        </is>
      </c>
      <c r="C486" s="7" t="inlineStr">
        <is>
          <t>52022PC0454</t>
        </is>
      </c>
      <c r="D486" s="7" t="inlineStr">
        <is>
          <t>LFS indicator</t>
        </is>
      </c>
      <c r="E486" s="7" t="inlineStr">
        <is>
          <t>Transparency and secure use</t>
        </is>
      </c>
      <c r="F486" s="7" t="inlineStr">
        <is>
          <t>Share of products shipped with security information and secure-use instructions</t>
        </is>
      </c>
      <c r="G486" s="7" t="inlineStr"/>
      <c r="H486" s="7" t="inlineStr">
        <is>
          <t>Not measured.</t>
        </is>
      </c>
      <c r="I486" s="7" t="inlineStr">
        <is>
          <t>not measured</t>
        </is>
      </c>
      <c r="J486" s="7" t="inlineStr">
        <is>
          <t>not measured</t>
        </is>
      </c>
      <c r="K486" s="7" t="inlineStr"/>
    </row>
    <row r="487">
      <c r="A487" s="7" t="n">
        <v>83</v>
      </c>
      <c r="B487" s="7" t="inlineStr">
        <is>
          <t>Cyber Resilience Act</t>
        </is>
      </c>
      <c r="C487" s="7" t="inlineStr">
        <is>
          <t>52022PC0454</t>
        </is>
      </c>
      <c r="D487" s="7" t="inlineStr">
        <is>
          <t>expected impact (impact assessment)</t>
        </is>
      </c>
      <c r="E487" s="7" t="inlineStr">
        <is>
          <t>Fewer cyber incidents</t>
        </is>
      </c>
      <c r="F487" s="7" t="inlineStr">
        <is>
          <t>Reduction in incident costs for businesses</t>
        </is>
      </c>
      <c r="G487" s="7" t="inlineStr">
        <is>
          <t>EUR 180-290bn a year</t>
        </is>
      </c>
      <c r="H487" s="7" t="inlineStr">
        <is>
          <t>Not evaluated; Commission report due 36 months after application.</t>
        </is>
      </c>
      <c r="I487" s="7" t="inlineStr">
        <is>
          <t>not measured</t>
        </is>
      </c>
      <c r="J487" s="7" t="inlineStr">
        <is>
          <t>not measured</t>
        </is>
      </c>
      <c r="K487" s="7" t="inlineStr">
        <is>
          <t>SWD(2022) 283</t>
        </is>
      </c>
    </row>
    <row r="488">
      <c r="A488" s="7" t="n">
        <v>83</v>
      </c>
      <c r="B488" s="7" t="inlineStr">
        <is>
          <t>Cyber Resilience Act</t>
        </is>
      </c>
      <c r="C488" s="7" t="inlineStr">
        <is>
          <t>52022PC0454</t>
        </is>
      </c>
      <c r="D488" s="7" t="inlineStr">
        <is>
          <t>expected impact (impact assessment)</t>
        </is>
      </c>
      <c r="E488" s="7" t="inlineStr">
        <is>
          <t>Compliance costs</t>
        </is>
      </c>
      <c r="F488" s="7" t="inlineStr">
        <is>
          <t>Aggregate compliance costs for manufacturers</t>
        </is>
      </c>
      <c r="G488" s="7" t="inlineStr">
        <is>
          <t>up to ~EUR 29bn (market value up to EUR 1,485bn)</t>
        </is>
      </c>
      <c r="H488" s="7" t="inlineStr">
        <is>
          <t>Not measured.</t>
        </is>
      </c>
      <c r="I488" s="7" t="inlineStr">
        <is>
          <t>not measured</t>
        </is>
      </c>
      <c r="J488" s="7" t="inlineStr">
        <is>
          <t>not measured</t>
        </is>
      </c>
      <c r="K488" s="7" t="inlineStr">
        <is>
          <t>SWD(2022) 283</t>
        </is>
      </c>
    </row>
    <row r="489">
      <c r="A489" s="7" t="n">
        <v>90</v>
      </c>
      <c r="B489" s="7" t="inlineStr">
        <is>
          <t>VAT in the Digital Age (ViDA)</t>
        </is>
      </c>
      <c r="C489" s="7" t="inlineStr">
        <is>
          <t>52022PC0701</t>
        </is>
      </c>
      <c r="D489" s="7" t="inlineStr">
        <is>
          <t>note</t>
        </is>
      </c>
      <c r="E489" s="7" t="inlineStr">
        <is>
          <t>The ViDA proposal (a Council directive) has no LFS indicators section; the memorandum refers to the monitoring indicators in Section 4 of the impact assessment and an evaluation 5 years after entry into force</t>
        </is>
      </c>
      <c r="F489" s="7" t="inlineStr"/>
      <c r="G489" s="7" t="inlineStr"/>
      <c r="H489" s="7" t="inlineStr"/>
      <c r="I489" s="7" t="inlineStr"/>
      <c r="J489" s="7" t="inlineStr"/>
      <c r="K489" s="7" t="inlineStr"/>
    </row>
    <row r="490">
      <c r="A490" s="7" t="n">
        <v>90</v>
      </c>
      <c r="B490" s="7" t="inlineStr">
        <is>
          <t>VAT in the Digital Age (ViDA)</t>
        </is>
      </c>
      <c r="C490" s="7" t="inlineStr">
        <is>
          <t>52022PC0701</t>
        </is>
      </c>
      <c r="D490" s="7" t="inlineStr">
        <is>
          <t>expected impact (impact assessment)</t>
        </is>
      </c>
      <c r="E490" s="7" t="inlineStr">
        <is>
          <t>Improve VAT collection and control</t>
        </is>
      </c>
      <c r="F490" s="7" t="inlineStr">
        <is>
          <t>Additional VAT revenue 2023-2032 (enhanced option)</t>
        </is>
      </c>
      <c r="G490" s="7" t="inlineStr">
        <is>
          <t>EUR 135-177bn over 10 years (about 0.1% of GDP a year)</t>
        </is>
      </c>
      <c r="H490" s="7" t="inlineStr">
        <is>
          <t>Not measurable yet: EU-level digital reporting and e-invoicing for intra-EU trade only applies from 1 July 2030 and the package phases in to 2035. Baseline: the EU VAT compliance gap was EUR 128bn in 2023 (Commission VAT Gap report 2025).</t>
        </is>
      </c>
      <c r="I490" s="7" t="inlineStr">
        <is>
          <t>not measured</t>
        </is>
      </c>
      <c r="J490" s="7" t="inlineStr">
        <is>
          <t>not measured</t>
        </is>
      </c>
      <c r="K490" s="7" t="inlineStr">
        <is>
          <t>SWD(2022) 394; Commission VAT Gap report 2025</t>
        </is>
      </c>
    </row>
    <row r="491">
      <c r="A491" s="7" t="n">
        <v>90</v>
      </c>
      <c r="B491" s="7" t="inlineStr">
        <is>
          <t>VAT in the Digital Age (ViDA)</t>
        </is>
      </c>
      <c r="C491" s="7" t="inlineStr">
        <is>
          <t>52022PC0701</t>
        </is>
      </c>
      <c r="D491" s="7" t="inlineStr">
        <is>
          <t>expected impact (impact assessment)</t>
        </is>
      </c>
      <c r="E491" s="7" t="inlineStr">
        <is>
          <t>Reduce compliance burden</t>
        </is>
      </c>
      <c r="F491" s="7" t="inlineStr">
        <is>
          <t>Business savings 2023-2032 (enhanced option)</t>
        </is>
      </c>
      <c r="G491" s="7" t="inlineStr">
        <is>
          <t>EUR 50.6bn savings (41.4bn reporting, 0.5bn platform economy, 8.7bn registration) against EUR 11.3bn new DRR costs</t>
        </is>
      </c>
      <c r="H491" s="7" t="inlineStr">
        <is>
          <t>Not measured. Commission still cites 'EUR 51 billion in savings for businesses' in its Sept 2025 implementation strategy.</t>
        </is>
      </c>
      <c r="I491" s="7" t="inlineStr">
        <is>
          <t>not measured</t>
        </is>
      </c>
      <c r="J491" s="7" t="inlineStr">
        <is>
          <t>not measured</t>
        </is>
      </c>
      <c r="K491" s="7" t="inlineStr">
        <is>
          <t>SWD(2022) 394; DG TAXUD Sept 2025</t>
        </is>
      </c>
    </row>
    <row r="492">
      <c r="A492" s="7" t="n">
        <v>90</v>
      </c>
      <c r="B492" s="7" t="inlineStr">
        <is>
          <t>VAT in the Digital Age (ViDA)</t>
        </is>
      </c>
      <c r="C492" s="7" t="inlineStr">
        <is>
          <t>52022PC0701</t>
        </is>
      </c>
      <c r="D492" s="7" t="inlineStr">
        <is>
          <t>expected impact (impact assessment)</t>
        </is>
      </c>
      <c r="E492" s="7" t="inlineStr">
        <is>
          <t>Minimise multiple VAT registrations</t>
        </is>
      </c>
      <c r="F492" s="7" t="inlineStr">
        <is>
          <t>SMEs benefiting from extended OSS/IOSS</t>
        </is>
      </c>
      <c r="G492" s="7" t="inlineStr">
        <is>
          <t>280,000 SMEs; up to EUR 7bn saved 2023-2032</t>
        </is>
      </c>
      <c r="H492" s="7" t="inlineStr">
        <is>
          <t>Not measured; single VAT registration measures apply from 2027-2028.</t>
        </is>
      </c>
      <c r="I492" s="7" t="inlineStr">
        <is>
          <t>not measured</t>
        </is>
      </c>
      <c r="J492" s="7" t="inlineStr">
        <is>
          <t>not measured</t>
        </is>
      </c>
      <c r="K492" s="7" t="inlineStr">
        <is>
          <t>SWD(2022) 394</t>
        </is>
      </c>
    </row>
    <row r="493">
      <c r="A493" s="7" t="n">
        <v>90</v>
      </c>
      <c r="B493" s="7" t="inlineStr">
        <is>
          <t>VAT in the Digital Age (ViDA)</t>
        </is>
      </c>
      <c r="C493" s="7" t="inlineStr">
        <is>
          <t>52022PC0701</t>
        </is>
      </c>
      <c r="D493" s="7" t="inlineStr">
        <is>
          <t>expected impact (impact assessment)</t>
        </is>
      </c>
      <c r="E493" s="7" t="inlineStr">
        <is>
          <t>Overall net impact</t>
        </is>
      </c>
      <c r="F493" s="7" t="inlineStr">
        <is>
          <t>Net impact against baseline 2023-2032</t>
        </is>
      </c>
      <c r="G493" s="7" t="inlineStr">
        <is>
          <t>EUR 172-214bn (enhanced option)</t>
        </is>
      </c>
      <c r="H493" s="7" t="inlineStr">
        <is>
          <t>Forecast only; the adopted text differs from the assessed option (some measures softened or delayed), so the figure is an upper reference rather than a forecast for the final law.</t>
        </is>
      </c>
      <c r="I493" s="7" t="inlineStr">
        <is>
          <t>not measured</t>
        </is>
      </c>
      <c r="J493" s="7" t="inlineStr">
        <is>
          <t>not measured</t>
        </is>
      </c>
      <c r="K493" s="7" t="inlineStr">
        <is>
          <t>SWD(2022) 394</t>
        </is>
      </c>
    </row>
    <row r="494">
      <c r="A494" s="7" t="n">
        <v>95</v>
      </c>
      <c r="B494" s="7" t="inlineStr">
        <is>
          <t>Cyber Solidarity Act</t>
        </is>
      </c>
      <c r="C494" s="7" t="inlineStr">
        <is>
          <t>52023PC0209</t>
        </is>
      </c>
      <c r="D494" s="7" t="inlineStr">
        <is>
          <t>LFS indicator</t>
        </is>
      </c>
      <c r="E494" s="7" t="inlineStr">
        <is>
          <t>European Cyber Shield / Cybersecurity Alert System: common detection and situational awareness</t>
        </is>
      </c>
      <c r="F494" s="7" t="inlineStr">
        <is>
          <t>Number of cybersecurity infrastructures or tools, or both, jointly procured</t>
        </is>
      </c>
      <c r="G494" s="7" t="inlineStr"/>
      <c r="H494" s="7" t="inlineStr">
        <is>
          <t>Digital Europe interim evaluation (Dec 2025): 26 cybersecurity infrastructures (CyberHubs) procured, including two cross-border CyberHubs, 'in line with the targets'. Output count only; no data on detection performance.</t>
        </is>
      </c>
      <c r="I494" s="7" t="inlineStr">
        <is>
          <t>reported as activity</t>
        </is>
      </c>
      <c r="J494" s="7" t="inlineStr">
        <is>
          <t>reported as activity</t>
        </is>
      </c>
      <c r="K494" s="7" t="inlineStr">
        <is>
          <t>COM(2025) 771</t>
        </is>
      </c>
    </row>
    <row r="495">
      <c r="A495" s="7" t="n">
        <v>95</v>
      </c>
      <c r="B495" s="7" t="inlineStr">
        <is>
          <t>Cyber Solidarity Act</t>
        </is>
      </c>
      <c r="C495" s="7" t="inlineStr">
        <is>
          <t>52023PC0209</t>
        </is>
      </c>
      <c r="D495" s="7" t="inlineStr">
        <is>
          <t>LFS indicator</t>
        </is>
      </c>
      <c r="E495" s="7" t="inlineStr">
        <is>
          <t>Cybersecurity Emergency Mechanism: preparedness, response and recovery</t>
        </is>
      </c>
      <c r="F495" s="7" t="inlineStr">
        <is>
          <t>Number of actions supporting preparedness and response to cybersecurity incidents under the Mechanism</t>
        </is>
      </c>
      <c r="G495" s="7" t="inlineStr"/>
      <c r="H495" s="7" t="inlineStr">
        <is>
          <t>No figures found yet. The Court of Auditors warned this indicator measures output only and gives little insight into results.</t>
        </is>
      </c>
      <c r="I495" s="7" t="inlineStr">
        <is>
          <t>not measured</t>
        </is>
      </c>
      <c r="J495" s="7" t="inlineStr">
        <is>
          <t>not measured</t>
        </is>
      </c>
      <c r="K495" s="7" t="inlineStr">
        <is>
          <t>ECA Opinion 02/2023</t>
        </is>
      </c>
    </row>
    <row r="496">
      <c r="A496" s="7" t="n">
        <v>95</v>
      </c>
      <c r="B496" s="7" t="inlineStr">
        <is>
          <t>Cyber Solidarity Act</t>
        </is>
      </c>
      <c r="C496" s="7" t="inlineStr">
        <is>
          <t>52023PC0209</t>
        </is>
      </c>
      <c r="D496" s="7" t="inlineStr">
        <is>
          <t>note</t>
        </is>
      </c>
      <c r="E496" s="7" t="inlineStr">
        <is>
          <t>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is>
      </c>
      <c r="F496" s="7" t="inlineStr"/>
      <c r="G496" s="7" t="inlineStr"/>
      <c r="H496" s="7" t="inlineStr"/>
      <c r="I496" s="7" t="inlineStr"/>
      <c r="J496" s="7" t="inlineStr"/>
      <c r="K496" s="7" t="inlineStr">
        <is>
          <t>COM(2023) 209; ECA Opinion 02/2023</t>
        </is>
      </c>
    </row>
    <row r="497">
      <c r="A497" s="7" t="n">
        <v>81</v>
      </c>
      <c r="B497" s="7" t="inlineStr">
        <is>
          <t>European Health Data Space</t>
        </is>
      </c>
      <c r="C497" s="7" t="inlineStr">
        <is>
          <t>52022PC0197</t>
        </is>
      </c>
      <c r="D497" s="7" t="inlineStr">
        <is>
          <t>LFS indicator</t>
        </is>
      </c>
      <c r="E497" s="7" t="inlineStr">
        <is>
          <t>SO1: empower people through digital access to and control of their health data, incl. across borders</t>
        </is>
      </c>
      <c r="F497" s="7" t="inlineStr">
        <is>
          <t>Healthcare providers connected to MyHealth@EU; volume of data shared cross-border; share of people with access to their EHR; satisfaction with MyHealth@EU</t>
        </is>
      </c>
      <c r="G497" s="7" t="inlineStr">
        <is>
          <t>Patient summaries and ePrescriptions to be exchangeable in all Member States by 2029; images, lab results and discharge reports by 2031</t>
        </is>
      </c>
      <c r="H497" s="7" t="inlineStr">
        <is>
          <t>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is>
      </c>
      <c r="I497" s="7" t="inlineStr">
        <is>
          <t>partially measured</t>
        </is>
      </c>
      <c r="J497" s="7" t="inlineStr">
        <is>
          <t>partially measured</t>
        </is>
      </c>
      <c r="K497" s="7" t="inlineStr">
        <is>
          <t>Commission health data rights page (2025)</t>
        </is>
      </c>
    </row>
    <row r="498">
      <c r="A498" s="7" t="n">
        <v>81</v>
      </c>
      <c r="B498" s="7" t="inlineStr">
        <is>
          <t>European Health Data Space</t>
        </is>
      </c>
      <c r="C498" s="7" t="inlineStr">
        <is>
          <t>52022PC0197</t>
        </is>
      </c>
      <c r="D498" s="7" t="inlineStr">
        <is>
          <t>LFS indicator</t>
        </is>
      </c>
      <c r="E498" s="7" t="inlineStr">
        <is>
          <t>SO2: interoperable, secure EHR systems</t>
        </is>
      </c>
      <c r="F498" s="7" t="inlineStr">
        <is>
          <t>Certified EHR systems and labelled wellness apps in the EU database; non-compliance cases</t>
        </is>
      </c>
      <c r="G498" s="7" t="inlineStr"/>
      <c r="H498" s="7" t="inlineStr">
        <is>
          <t>Not measured: EHR requirements apply only from 2029 onward.</t>
        </is>
      </c>
      <c r="I498" s="7" t="inlineStr">
        <is>
          <t>not measured</t>
        </is>
      </c>
      <c r="J498" s="7" t="inlineStr">
        <is>
          <t>not measured</t>
        </is>
      </c>
      <c r="K498" s="7" t="inlineStr"/>
    </row>
    <row r="499">
      <c r="A499" s="7" t="n">
        <v>81</v>
      </c>
      <c r="B499" s="7" t="inlineStr">
        <is>
          <t>European Health Data Space</t>
        </is>
      </c>
      <c r="C499" s="7" t="inlineStr">
        <is>
          <t>52022PC0197</t>
        </is>
      </c>
      <c r="D499" s="7" t="inlineStr">
        <is>
          <t>LFS indicator</t>
        </is>
      </c>
      <c r="E499" s="7" t="inlineStr">
        <is>
          <t>SO3: efficient framework for secondary use of health data</t>
        </is>
      </c>
      <c r="F499" s="7" t="inlineStr">
        <is>
          <t>Datasets in the European data catalogue; data access requests processed/accepted/rejected by health data access bodies</t>
        </is>
      </c>
      <c r="G499" s="7" t="inlineStr"/>
      <c r="H499" s="7" t="inlineStr">
        <is>
          <t>Not measured: secondary-use rules apply from 2029; health data access bodies being set up.</t>
        </is>
      </c>
      <c r="I499" s="7" t="inlineStr">
        <is>
          <t>not measured</t>
        </is>
      </c>
      <c r="J499" s="7" t="inlineStr">
        <is>
          <t>not measured</t>
        </is>
      </c>
      <c r="K499" s="7" t="inlineStr"/>
    </row>
    <row r="500">
      <c r="A500" s="7" t="n">
        <v>81</v>
      </c>
      <c r="B500" s="7" t="inlineStr">
        <is>
          <t>European Health Data Space</t>
        </is>
      </c>
      <c r="C500" s="7" t="inlineStr">
        <is>
          <t>52022PC0197</t>
        </is>
      </c>
      <c r="D500" s="7" t="inlineStr">
        <is>
          <t>expected impact (impact assessment)</t>
        </is>
      </c>
      <c r="E500" s="7" t="inlineStr">
        <is>
          <t>Economic benefit</t>
        </is>
      </c>
      <c r="F500" s="7" t="inlineStr">
        <is>
          <t>Total economic benefits over 10 years</t>
        </is>
      </c>
      <c r="G500" s="7" t="inlineStr">
        <is>
          <t>Above EUR 11bn benefits vs EUR 0.7-2.5bn costs over 10 years</t>
        </is>
      </c>
      <c r="H500" s="7" t="inlineStr">
        <is>
          <t>Forecast only. Independent commentators (EIT Health Think Tank 2024) argue implementation funding is 'significantly misaligned' with the ambition, which could delay benefits.</t>
        </is>
      </c>
      <c r="I500" s="7" t="inlineStr">
        <is>
          <t>not measured</t>
        </is>
      </c>
      <c r="J500" s="7" t="inlineStr">
        <is>
          <t>not measured</t>
        </is>
      </c>
      <c r="K500" s="7" t="inlineStr">
        <is>
          <t>SWD(2022) 132; EIT Health 2024</t>
        </is>
      </c>
    </row>
    <row r="501">
      <c r="A501" s="7" t="n">
        <v>103</v>
      </c>
      <c r="B501" s="7" t="inlineStr">
        <is>
          <t>Toys Safety Regulation</t>
        </is>
      </c>
      <c r="C501" s="7" t="inlineStr">
        <is>
          <t>52023PC0462</t>
        </is>
      </c>
      <c r="D501" s="7" t="inlineStr">
        <is>
          <t>note</t>
        </is>
      </c>
      <c r="E501" s="7" t="inlineStr">
        <is>
          <t>The proposal has no LFS indicators section; the Commission will evaluate the Regulation five years after entry into force and every five years thereafter. The Regulation entered into force in January 2026 and fully applies from 1 August 2030.</t>
        </is>
      </c>
      <c r="F501" s="7" t="inlineStr"/>
      <c r="G501" s="7" t="inlineStr"/>
      <c r="H501" s="7" t="inlineStr"/>
      <c r="I501" s="7" t="inlineStr"/>
      <c r="J501" s="7" t="inlineStr"/>
      <c r="K501" s="7" t="inlineStr"/>
    </row>
    <row r="502">
      <c r="A502" s="7" t="n">
        <v>103</v>
      </c>
      <c r="B502" s="7" t="inlineStr">
        <is>
          <t>Toys Safety Regulation</t>
        </is>
      </c>
      <c r="C502" s="7" t="inlineStr">
        <is>
          <t>52023PC0462</t>
        </is>
      </c>
      <c r="D502" s="7" t="inlineStr">
        <is>
          <t>expected impact (impact assessment)</t>
        </is>
      </c>
      <c r="E502" s="7" t="inlineStr">
        <is>
          <t>Protect children from harmful chemicals</t>
        </is>
      </c>
      <c r="F502" s="7" t="inlineStr">
        <is>
          <t>Avoided health damage from banning endocrine disruptors in toys</t>
        </is>
      </c>
      <c r="G502" s="7" t="inlineStr">
        <is>
          <t>EUR 240m-1.2bn per year</t>
        </is>
      </c>
      <c r="H502" s="7" t="inlineStr">
        <is>
          <t>Not measured; chemical bans apply from 2030.</t>
        </is>
      </c>
      <c r="I502" s="7" t="inlineStr">
        <is>
          <t>not measured</t>
        </is>
      </c>
      <c r="J502" s="7" t="inlineStr">
        <is>
          <t>not measured</t>
        </is>
      </c>
      <c r="K502" s="7" t="inlineStr">
        <is>
          <t>SWD(2023) 270</t>
        </is>
      </c>
    </row>
    <row r="503">
      <c r="A503" s="7" t="n">
        <v>103</v>
      </c>
      <c r="B503" s="7" t="inlineStr">
        <is>
          <t>Toys Safety Regulation</t>
        </is>
      </c>
      <c r="C503" s="7" t="inlineStr">
        <is>
          <t>52023PC0462</t>
        </is>
      </c>
      <c r="D503" s="7" t="inlineStr">
        <is>
          <t>expected impact (impact assessment)</t>
        </is>
      </c>
      <c r="E503" s="7" t="inlineStr">
        <is>
          <t>Fewer unsafe and non-compliant toys on the market (digital product passport, enforcement)</t>
        </is>
      </c>
      <c r="F503" s="7" t="inlineStr">
        <is>
          <t>Non-compliant/unsafe toys; market surveillance efficiency</t>
        </is>
      </c>
      <c r="G503" s="7" t="inlineStr">
        <is>
          <t>Industry savings EUR 13-20m/yr on inspections and EUR 2.6-3.9m/yr from digital information; costs EUR 18m one-off + EUR 10.5m/yr for the passport</t>
        </is>
      </c>
      <c r="H503" s="7" t="inlineStr">
        <is>
          <t>Baseline only. Toys were 15% of the record 4,137 Safety Gate alerts in 2024 (second after cosmetics). Industry test purchases found 80% of 100+ toys from third-party sellers on 10 marketplaces failed EU rules (2024).</t>
        </is>
      </c>
      <c r="I503" s="7" t="inlineStr">
        <is>
          <t>not measured</t>
        </is>
      </c>
      <c r="J503" s="7" t="inlineStr">
        <is>
          <t>not measured</t>
        </is>
      </c>
      <c r="K503" s="7" t="inlineStr">
        <is>
          <t>Safety Gate 2024; TIE 2024</t>
        </is>
      </c>
    </row>
    <row r="504">
      <c r="A504" s="7" t="n">
        <v>103</v>
      </c>
      <c r="B504" s="7" t="inlineStr">
        <is>
          <t>Toys Safety Regulation</t>
        </is>
      </c>
      <c r="C504" s="7" t="inlineStr">
        <is>
          <t>52023PC0462</t>
        </is>
      </c>
      <c r="D504" s="7" t="inlineStr">
        <is>
          <t>expected impact (impact assessment)</t>
        </is>
      </c>
      <c r="E504" s="7" t="inlineStr">
        <is>
          <t>Compliance costs</t>
        </is>
      </c>
      <c r="F504" s="7" t="inlineStr">
        <is>
          <t>One-off redesign costs; products withdrawn</t>
        </is>
      </c>
      <c r="G504" s="7" t="inlineStr">
        <is>
          <t>EUR 23.5-397m one-off; EUR 249-367m of products affected (of EUR 6.56bn industry turnover)</t>
        </is>
      </c>
      <c r="H504" s="7" t="inlineStr">
        <is>
          <t>Not measured.</t>
        </is>
      </c>
      <c r="I504" s="7" t="inlineStr">
        <is>
          <t>not measured</t>
        </is>
      </c>
      <c r="J504" s="7" t="inlineStr">
        <is>
          <t>not measured</t>
        </is>
      </c>
      <c r="K504" s="7" t="inlineStr">
        <is>
          <t>SWD(2023) 270</t>
        </is>
      </c>
    </row>
    <row r="505">
      <c r="A505" s="7" t="n">
        <v>102</v>
      </c>
      <c r="B505" s="7" t="inlineStr">
        <is>
          <t>GDPR Procedural Regulation</t>
        </is>
      </c>
      <c r="C505" s="7" t="inlineStr">
        <is>
          <t>52023PC0348</t>
        </is>
      </c>
      <c r="D505" s="7" t="inlineStr">
        <is>
          <t>note</t>
        </is>
      </c>
      <c r="E505" s="7" t="inlineStr">
        <is>
          <t>No impact assessment and no LFS indicators: the memorandum says only that the Commission will monitor the Regulation together with the GDPR. The Regulation applies to cross-border cases opened after 2 April 2027.</t>
        </is>
      </c>
      <c r="F505" s="7" t="inlineStr"/>
      <c r="G505" s="7" t="inlineStr"/>
      <c r="H505" s="7" t="inlineStr"/>
      <c r="I505" s="7" t="inlineStr"/>
      <c r="J505" s="7" t="inlineStr"/>
      <c r="K505" s="7" t="inlineStr"/>
    </row>
    <row r="506">
      <c r="A506" s="7" t="n">
        <v>102</v>
      </c>
      <c r="B506" s="7" t="inlineStr">
        <is>
          <t>GDPR Procedural Regulation</t>
        </is>
      </c>
      <c r="C506" s="7" t="inlineStr">
        <is>
          <t>52023PC0348</t>
        </is>
      </c>
      <c r="D506" s="7" t="inlineStr">
        <is>
          <t>objective (memorandum)</t>
        </is>
      </c>
      <c r="E506" s="7" t="inlineStr">
        <is>
          <t>Faster cross-border GDPR enforcement and quicker remedies for individuals</t>
        </is>
      </c>
      <c r="F506" s="7" t="inlineStr">
        <is>
          <t>Duration of cross-border investigations; number of disputes sent to the EDPB</t>
        </is>
      </c>
      <c r="G506" s="7" t="inlineStr"/>
      <c r="H506" s="7" t="inlineStr">
        <is>
          <t>Baseline only (Commission 2nd GDPR report, data to Nov 2023): ~2,400 cross-border case entries; ~1,500 lead-authority draft decisions, 990 final infringement decisions; median complaint handling 1-12 months across authorities. No post-application data.</t>
        </is>
      </c>
      <c r="I506" s="7" t="inlineStr">
        <is>
          <t>not measured</t>
        </is>
      </c>
      <c r="J506" s="7" t="inlineStr">
        <is>
          <t>not measured</t>
        </is>
      </c>
      <c r="K506" s="7" t="inlineStr">
        <is>
          <t>COM(2024) 357</t>
        </is>
      </c>
    </row>
    <row r="507">
      <c r="A507" s="7" t="n">
        <v>102</v>
      </c>
      <c r="B507" s="7" t="inlineStr">
        <is>
          <t>GDPR Procedural Regulation</t>
        </is>
      </c>
      <c r="C507" s="7" t="inlineStr">
        <is>
          <t>52023PC0348</t>
        </is>
      </c>
      <c r="D507" s="7" t="inlineStr">
        <is>
          <t>objective (memorandum)</t>
        </is>
      </c>
      <c r="E507" s="7" t="inlineStr">
        <is>
          <t>Harmonised complaint admissibility and procedural rights for complainants and parties</t>
        </is>
      </c>
      <c r="F507" s="7" t="inlineStr"/>
      <c r="G507" s="7" t="inlineStr"/>
      <c r="H507" s="7" t="inlineStr">
        <is>
          <t>Not measured. Critics (noyb) argued the trilogue text created many procedure types and could lengthen cases; no evidence either way yet.</t>
        </is>
      </c>
      <c r="I507" s="7" t="inlineStr">
        <is>
          <t>not measured</t>
        </is>
      </c>
      <c r="J507" s="7" t="inlineStr">
        <is>
          <t>not measured</t>
        </is>
      </c>
      <c r="K507" s="7" t="inlineStr">
        <is>
          <t>Euronews Apr 2025; EDPB-EDPS Joint Opinion 01/2023</t>
        </is>
      </c>
    </row>
    <row r="508">
      <c r="A508" s="7" t="n">
        <v>96</v>
      </c>
      <c r="B508" s="7" t="inlineStr">
        <is>
          <t>Compulsory licensing of patents Regulation</t>
        </is>
      </c>
      <c r="C508" s="7" t="inlineStr">
        <is>
          <t>52023PC0224</t>
        </is>
      </c>
      <c r="D508" s="7" t="inlineStr">
        <is>
          <t>note</t>
        </is>
      </c>
      <c r="E508" s="7" t="inlineStr">
        <is>
          <t>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is>
      </c>
      <c r="F508" s="7" t="inlineStr"/>
      <c r="G508" s="7" t="inlineStr"/>
      <c r="H508" s="7" t="inlineStr"/>
      <c r="I508" s="7" t="inlineStr"/>
      <c r="J508" s="7" t="inlineStr"/>
      <c r="K508" s="7" t="inlineStr"/>
    </row>
    <row r="509">
      <c r="A509" s="7" t="n">
        <v>96</v>
      </c>
      <c r="B509" s="7" t="inlineStr">
        <is>
          <t>Compulsory licensing of patents Regulation</t>
        </is>
      </c>
      <c r="C509" s="7" t="inlineStr">
        <is>
          <t>52023PC0224</t>
        </is>
      </c>
      <c r="D509" s="7" t="inlineStr">
        <is>
          <t>expected impact (impact assessment)</t>
        </is>
      </c>
      <c r="E509" s="7" t="inlineStr">
        <is>
          <t>Effective, EU-wide compulsory licensing in cross-border crises</t>
        </is>
      </c>
      <c r="F509" s="7" t="inlineStr">
        <is>
          <t>Union compulsory licences granted; time to supply of crisis-critical products</t>
        </is>
      </c>
      <c r="G509" s="7" t="inlineStr">
        <is>
          <t>Qualitative only: 'significantly lower risk of delays or unavailability of critical products during crisis'</t>
        </is>
      </c>
      <c r="H509" s="7" t="inlineStr">
        <is>
          <t>No Union compulsory licence was found in searches since the Regulation entered into force (January 2026). Final text narrowed the scope compared with the proposal (EPRS).</t>
        </is>
      </c>
      <c r="I509" s="7" t="inlineStr">
        <is>
          <t>not measured</t>
        </is>
      </c>
      <c r="J509" s="7" t="inlineStr">
        <is>
          <t>not measured</t>
        </is>
      </c>
      <c r="K509" s="7" t="inlineStr">
        <is>
          <t>SWD(2023) 122; EPRS 2024/2025</t>
        </is>
      </c>
    </row>
    <row r="510">
      <c r="A510" s="7" t="n">
        <v>96</v>
      </c>
      <c r="B510" s="7" t="inlineStr">
        <is>
          <t>Compulsory licensing of patents Regulation</t>
        </is>
      </c>
      <c r="C510" s="7" t="inlineStr">
        <is>
          <t>52023PC0224</t>
        </is>
      </c>
      <c r="D510" s="7" t="inlineStr">
        <is>
          <t>expected impact (impact assessment)</t>
        </is>
      </c>
      <c r="E510" s="7" t="inlineStr">
        <is>
          <t>Lower costs and legal certainty for patent holders, licensees and Member States</t>
        </is>
      </c>
      <c r="F510" s="7" t="inlineStr"/>
      <c r="G510" s="7" t="inlineStr">
        <is>
          <t>Qualitative scores only (+/++/+++); no monetised estimates</t>
        </is>
      </c>
      <c r="H510" s="7" t="inlineStr">
        <is>
          <t>Not measured.</t>
        </is>
      </c>
      <c r="I510" s="7" t="inlineStr">
        <is>
          <t>not measured</t>
        </is>
      </c>
      <c r="J510" s="7" t="inlineStr">
        <is>
          <t>not measured</t>
        </is>
      </c>
      <c r="K510" s="7" t="inlineStr">
        <is>
          <t>SWD(2023) 122</t>
        </is>
      </c>
    </row>
    <row r="511">
      <c r="A511" s="7" t="n">
        <v>79</v>
      </c>
      <c r="B511" s="7" t="inlineStr">
        <is>
          <t>Information Security Regulation</t>
        </is>
      </c>
      <c r="C511" s="7" t="inlineStr">
        <is>
          <t>52022PC0119</t>
        </is>
      </c>
      <c r="D511" s="7" t="inlineStr">
        <is>
          <t>LFS indicator</t>
        </is>
      </c>
      <c r="E511" s="7" t="inlineStr">
        <is>
          <t>SO1: harmonised categories of information and common handling rules</t>
        </is>
      </c>
      <c r="F511" s="7" t="inlineStr">
        <is>
          <t>Guidelines adopted; new markings implemented; handling instructions published; common systems for sensitive non-classified information and EUCI</t>
        </is>
      </c>
      <c r="G511" s="7" t="inlineStr"/>
      <c r="H511" s="7" t="inlineStr">
        <is>
          <t>Not applicable yet: proposal still pending (Council Security Committee still revising the text in March 2026; no trilogue agreement found).</t>
        </is>
      </c>
      <c r="I511" s="7" t="inlineStr">
        <is>
          <t>not measured</t>
        </is>
      </c>
      <c r="J511" s="7" t="inlineStr">
        <is>
          <t>not measured</t>
        </is>
      </c>
      <c r="K511" s="7" t="inlineStr"/>
    </row>
    <row r="512">
      <c r="A512" s="7" t="n">
        <v>79</v>
      </c>
      <c r="B512" s="7" t="inlineStr">
        <is>
          <t>Information Security Regulation</t>
        </is>
      </c>
      <c r="C512" s="7" t="inlineStr">
        <is>
          <t>52022PC0119</t>
        </is>
      </c>
      <c r="D512" s="7" t="inlineStr">
        <is>
          <t>LFS indicator</t>
        </is>
      </c>
      <c r="E512" s="7" t="inlineStr">
        <is>
          <t>SO2: identify and close security gaps</t>
        </is>
      </c>
      <c r="F512" s="7" t="inlineStr">
        <is>
          <t>Recommendations made/implemented; number of information leaks across institutions</t>
        </is>
      </c>
      <c r="G512" s="7" t="inlineStr"/>
      <c r="H512" s="7" t="inlineStr">
        <is>
          <t>Not measured. Baseline: Court of Auditors found preparedness 'not commensurate with the threats' and significant incidents up more than tenfold 2018-2021.</t>
        </is>
      </c>
      <c r="I512" s="7" t="inlineStr">
        <is>
          <t>not measured</t>
        </is>
      </c>
      <c r="J512" s="7" t="inlineStr">
        <is>
          <t>not measured</t>
        </is>
      </c>
      <c r="K512" s="7" t="inlineStr">
        <is>
          <t>ECA SR 05/2022</t>
        </is>
      </c>
    </row>
    <row r="513">
      <c r="A513" s="7" t="n">
        <v>79</v>
      </c>
      <c r="B513" s="7" t="inlineStr">
        <is>
          <t>Information Security Regulation</t>
        </is>
      </c>
      <c r="C513" s="7" t="inlineStr">
        <is>
          <t>52022PC0119</t>
        </is>
      </c>
      <c r="D513" s="7" t="inlineStr">
        <is>
          <t>LFS indicator</t>
        </is>
      </c>
      <c r="E513" s="7" t="inlineStr">
        <is>
          <t>SO3-4: lean cooperation and modernised policies (teleworking)</t>
        </is>
      </c>
      <c r="F513" s="7" t="inlineStr">
        <is>
          <t>Centralised vs local procurement; inspection reports; Coordination Group queries; staff trained; awareness; share of staff with secure teleworking equipment</t>
        </is>
      </c>
      <c r="G513" s="7" t="inlineStr"/>
      <c r="H513" s="7" t="inlineStr">
        <is>
          <t>Not measured: proposal pending.</t>
        </is>
      </c>
      <c r="I513" s="7" t="inlineStr">
        <is>
          <t>not measured</t>
        </is>
      </c>
      <c r="J513" s="7" t="inlineStr">
        <is>
          <t>not measured</t>
        </is>
      </c>
      <c r="K513" s="7" t="inlineStr"/>
    </row>
    <row r="514">
      <c r="A514" s="7" t="n">
        <v>79</v>
      </c>
      <c r="B514" s="7" t="inlineStr">
        <is>
          <t>Information Security Regulation</t>
        </is>
      </c>
      <c r="C514" s="7" t="inlineStr">
        <is>
          <t>52022PC0119</t>
        </is>
      </c>
      <c r="D514" s="7" t="inlineStr">
        <is>
          <t>expected impact (impact analysis)</t>
        </is>
      </c>
      <c r="E514" s="7" t="inlineStr">
        <is>
          <t>Efficiency</t>
        </is>
      </c>
      <c r="F514" s="7" t="inlineStr">
        <is>
          <t>Costs for institutions</t>
        </is>
      </c>
      <c r="G514" s="7" t="inlineStr">
        <is>
          <t>Implementation costs offset by efficiency gains; 2 Commission posts (1 AD, 1 AST) for the Coordination Group secretariat; no impact on Member States or private sector</t>
        </is>
      </c>
      <c r="H514" s="7" t="inlineStr">
        <is>
          <t>Not measured.</t>
        </is>
      </c>
      <c r="I514" s="7" t="inlineStr">
        <is>
          <t>not measured</t>
        </is>
      </c>
      <c r="J514" s="7" t="inlineStr">
        <is>
          <t>not measured</t>
        </is>
      </c>
      <c r="K514" s="7" t="inlineStr">
        <is>
          <t>SWD(2022) 65</t>
        </is>
      </c>
    </row>
    <row r="515">
      <c r="A515" s="7" t="n">
        <v>82</v>
      </c>
      <c r="B515" s="7" t="inlineStr">
        <is>
          <t>Child Sexual Abuse Regulation (CSAR)</t>
        </is>
      </c>
      <c r="C515" s="7" t="inlineStr">
        <is>
          <t>52022PC0209</t>
        </is>
      </c>
      <c r="D515" s="7" t="inlineStr">
        <is>
          <t>note</t>
        </is>
      </c>
      <c r="E515" s="7" t="inlineStr">
        <is>
          <t>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is>
      </c>
      <c r="F515" s="7" t="inlineStr"/>
      <c r="G515" s="7" t="inlineStr"/>
      <c r="H515" s="7" t="inlineStr"/>
      <c r="I515" s="7" t="inlineStr"/>
      <c r="J515" s="7" t="inlineStr"/>
      <c r="K515" s="7" t="inlineStr"/>
    </row>
    <row r="516">
      <c r="A516" s="7" t="n">
        <v>82</v>
      </c>
      <c r="B516" s="7" t="inlineStr">
        <is>
          <t>Child Sexual Abuse Regulation (CSAR)</t>
        </is>
      </c>
      <c r="C516" s="7" t="inlineStr">
        <is>
          <t>52022PC0209</t>
        </is>
      </c>
      <c r="D516" s="7" t="inlineStr">
        <is>
          <t>expected impact (impact assessment)</t>
        </is>
      </c>
      <c r="E516" s="7" t="inlineStr">
        <is>
          <t>More effective detection, reporting and removal of child sexual abuse online; better victim support</t>
        </is>
      </c>
      <c r="F516" s="7" t="inlineStr">
        <is>
          <t>Reports of child sexual abuse; removal; victims identified</t>
        </is>
      </c>
      <c r="G516" s="7" t="inlineStr">
        <is>
          <t>Qualitative: number of reports expected to increase; reduced fragmentation</t>
        </is>
      </c>
      <c r="H516" s="7" t="inlineStr">
        <is>
          <t>Not measurable: Regulation not adopted. EPRS complementary IA found tools to detect new material and grooming substantially less accurate than for known material.</t>
        </is>
      </c>
      <c r="I516" s="7" t="inlineStr">
        <is>
          <t>not measured</t>
        </is>
      </c>
      <c r="J516" s="7" t="inlineStr">
        <is>
          <t>not measured</t>
        </is>
      </c>
      <c r="K516" s="7" t="inlineStr">
        <is>
          <t>SWD(2022) 210; EPRS 2023</t>
        </is>
      </c>
    </row>
    <row r="517">
      <c r="A517" s="7" t="n">
        <v>82</v>
      </c>
      <c r="B517" s="7" t="inlineStr">
        <is>
          <t>Child Sexual Abuse Regulation (CSAR)</t>
        </is>
      </c>
      <c r="C517" s="7" t="inlineStr">
        <is>
          <t>52022PC0209</t>
        </is>
      </c>
      <c r="D517" s="7" t="inlineStr">
        <is>
          <t>expected impact (impact assessment)</t>
        </is>
      </c>
      <c r="E517" s="7" t="inlineStr">
        <is>
          <t>Costs</t>
        </is>
      </c>
      <c r="F517" s="7" t="inlineStr">
        <is>
          <t>Costs to providers, public authorities and EU Centre</t>
        </is>
      </c>
      <c r="G517" s="7" t="inlineStr">
        <is>
          <t>Providers EUR 1.6bn one-off + EUR 1.5bn/yr; public authorities EUR 5.4m one-off + EUR 825.6m/yr; EU Centre EUR 5m one-off + EUR 25.7m/yr</t>
        </is>
      </c>
      <c r="H517" s="7" t="inlineStr">
        <is>
          <t>Not measured.</t>
        </is>
      </c>
      <c r="I517" s="7" t="inlineStr">
        <is>
          <t>not measured</t>
        </is>
      </c>
      <c r="J517" s="7" t="inlineStr">
        <is>
          <t>not measured</t>
        </is>
      </c>
      <c r="K517" s="7" t="inlineStr">
        <is>
          <t>SWD(2022) 210</t>
        </is>
      </c>
    </row>
    <row r="518">
      <c r="A518" s="7" t="n">
        <v>82</v>
      </c>
      <c r="B518" s="7" t="inlineStr">
        <is>
          <t>Child Sexual Abuse Regulation (CSAR)</t>
        </is>
      </c>
      <c r="C518" s="7" t="inlineStr">
        <is>
          <t>52022PC0209</t>
        </is>
      </c>
      <c r="D518" s="7" t="inlineStr">
        <is>
          <t>expected impact (impact assessment)</t>
        </is>
      </c>
      <c r="E518" s="7" t="inlineStr">
        <is>
          <t>Respect for fundamental rights (privacy, data protection)</t>
        </is>
      </c>
      <c r="F518" s="7" t="inlineStr"/>
      <c r="G518" s="7" t="inlineStr">
        <is>
          <t>Safeguards to ensure fair balance and respect prohibition of general monitoring</t>
        </is>
      </c>
      <c r="H518" s="7" t="inlineStr">
        <is>
          <t>Contested ex ante: EDPB-EDPS and EPRS concluded detection orders risk generalised scanning and would likely fail the proportionality test for new material and grooming.</t>
        </is>
      </c>
      <c r="I518" s="7" t="inlineStr">
        <is>
          <t>mixed evidence</t>
        </is>
      </c>
      <c r="J518" s="7" t="inlineStr">
        <is>
          <t>mixed evidence</t>
        </is>
      </c>
      <c r="K518" s="7" t="inlineStr">
        <is>
          <t>EDPB-EDPS 2022; EPRS 2023</t>
        </is>
      </c>
    </row>
    <row r="519">
      <c r="A519" s="7" t="n">
        <v>98</v>
      </c>
      <c r="B519" s="7" t="inlineStr">
        <is>
          <t>Financial Data Access Regulation (FiDA)</t>
        </is>
      </c>
      <c r="C519" s="7" t="inlineStr">
        <is>
          <t>52023PC0360</t>
        </is>
      </c>
      <c r="D519" s="7" t="inlineStr">
        <is>
          <t>note</t>
        </is>
      </c>
      <c r="E519" s="7" t="inlineStr">
        <is>
          <t>The FiDA proposal has no LFS indicators section; the memorandum only refers to a Commission review (Art. 31), with evaluation no earlier than 3 years after application</t>
        </is>
      </c>
      <c r="F519" s="7" t="inlineStr"/>
      <c r="G519" s="7" t="inlineStr"/>
      <c r="H519" s="7" t="inlineStr"/>
      <c r="I519" s="7" t="inlineStr"/>
      <c r="J519" s="7" t="inlineStr"/>
      <c r="K519" s="7" t="inlineStr"/>
    </row>
    <row r="520">
      <c r="A520" s="7" t="n">
        <v>98</v>
      </c>
      <c r="B520" s="7" t="inlineStr">
        <is>
          <t>Financial Data Access Regulation (FiDA)</t>
        </is>
      </c>
      <c r="C520" s="7" t="inlineStr">
        <is>
          <t>52023PC0360</t>
        </is>
      </c>
      <c r="D520" s="7" t="inlineStr">
        <is>
          <t>expected impact (impact assessment)</t>
        </is>
      </c>
      <c r="E520" s="7" t="inlineStr">
        <is>
          <t>Open finance uptake and innovation</t>
        </is>
      </c>
      <c r="F520" s="7" t="inlineStr">
        <is>
          <t>Customers share financial data beyond payment accounts; market entry of data-driven start-ups</t>
        </is>
      </c>
      <c r="G520" s="7" t="inlineStr"/>
      <c r="H520" s="7" t="inlineStr">
        <is>
          <t>Not applicable: regulation not adopted (trilogues stalled in 2025-26, per secondary reports).</t>
        </is>
      </c>
      <c r="I520" s="7" t="inlineStr">
        <is>
          <t>not measured</t>
        </is>
      </c>
      <c r="J520" s="7" t="inlineStr">
        <is>
          <t>not measured</t>
        </is>
      </c>
      <c r="K520" s="7" t="inlineStr">
        <is>
          <t>SWD(2023) 224</t>
        </is>
      </c>
    </row>
    <row r="521">
      <c r="A521" s="7" t="n">
        <v>98</v>
      </c>
      <c r="B521" s="7" t="inlineStr">
        <is>
          <t>Financial Data Access Regulation (FiDA)</t>
        </is>
      </c>
      <c r="C521" s="7" t="inlineStr">
        <is>
          <t>52023PC0360</t>
        </is>
      </c>
      <c r="D521" s="7" t="inlineStr">
        <is>
          <t>expected impact (impact assessment)</t>
        </is>
      </c>
      <c r="E521" s="7" t="inlineStr">
        <is>
          <t>Compliance costs</t>
        </is>
      </c>
      <c r="F521" s="7" t="inlineStr">
        <is>
          <t>One-off API cost for 17,745 data holders</t>
        </is>
      </c>
      <c r="G521" s="7" t="inlineStr">
        <is>
          <t>EUR 2.2-2.4bn one-off; EUR 147-465m a year recurring</t>
        </is>
      </c>
      <c r="H521" s="7" t="inlineStr">
        <is>
          <t>Forecast only.</t>
        </is>
      </c>
      <c r="I521" s="7" t="inlineStr">
        <is>
          <t>not measured</t>
        </is>
      </c>
      <c r="J521" s="7" t="inlineStr">
        <is>
          <t>not measured</t>
        </is>
      </c>
      <c r="K521" s="7" t="inlineStr">
        <is>
          <t>SWD(2023) 224</t>
        </is>
      </c>
    </row>
    <row r="522">
      <c r="A522" s="7" t="n">
        <v>98</v>
      </c>
      <c r="B522" s="7" t="inlineStr">
        <is>
          <t>Financial Data Access Regulation (FiDA)</t>
        </is>
      </c>
      <c r="C522" s="7" t="inlineStr">
        <is>
          <t>52023PC0360</t>
        </is>
      </c>
      <c r="D522" s="7" t="inlineStr">
        <is>
          <t>expected impact (impact assessment)</t>
        </is>
      </c>
      <c r="E522" s="7" t="inlineStr">
        <is>
          <t>Economic value</t>
        </is>
      </c>
      <c r="F522" s="7" t="inlineStr">
        <is>
          <t>Potential boost from open financial data (external estimate cited by the IA)</t>
        </is>
      </c>
      <c r="G522" s="7" t="inlineStr">
        <is>
          <t>1-1.5% of EU GDP by 2030</t>
        </is>
      </c>
      <c r="H522" s="7" t="inlineStr">
        <is>
          <t>Third-party estimate cited in the IA; not a Commission forecast of this regulation's effect.</t>
        </is>
      </c>
      <c r="I522" s="7" t="inlineStr">
        <is>
          <t>not measured</t>
        </is>
      </c>
      <c r="J522" s="7" t="inlineStr">
        <is>
          <t>not measured</t>
        </is>
      </c>
      <c r="K522" s="7" t="inlineStr">
        <is>
          <t>SWD(2023) 224</t>
        </is>
      </c>
    </row>
    <row r="523">
      <c r="A523" s="7" t="n">
        <v>100</v>
      </c>
      <c r="B523" s="7" t="inlineStr">
        <is>
          <t>Payment Services Directive 3 (PSD3)</t>
        </is>
      </c>
      <c r="C523" s="7" t="inlineStr">
        <is>
          <t>52023PC0366</t>
        </is>
      </c>
      <c r="D523" s="7" t="inlineStr">
        <is>
          <t>note</t>
        </is>
      </c>
      <c r="E523" s="7" t="inlineStr">
        <is>
          <t>Neither PSD3 nor PSR has LFS indicators; the memorandum provides only for a review five years after application (PSR: focus on open banking, fees, fraud liability). PSD3 and PSR share one impact assessment</t>
        </is>
      </c>
      <c r="F523" s="7" t="inlineStr"/>
      <c r="G523" s="7" t="inlineStr"/>
      <c r="H523" s="7" t="inlineStr"/>
      <c r="I523" s="7" t="inlineStr"/>
      <c r="J523" s="7" t="inlineStr"/>
      <c r="K523" s="7" t="inlineStr"/>
    </row>
    <row r="524">
      <c r="A524" s="7" t="n">
        <v>100</v>
      </c>
      <c r="B524" s="7" t="inlineStr">
        <is>
          <t>Payment Services Directive 3 (PSD3)</t>
        </is>
      </c>
      <c r="C524" s="7" t="inlineStr">
        <is>
          <t>52023PC0366</t>
        </is>
      </c>
      <c r="D524" s="7" t="inlineStr">
        <is>
          <t>expected impact (impact assessment)</t>
        </is>
      </c>
      <c r="E524" s="7" t="inlineStr">
        <is>
          <t>Fraud protection</t>
        </is>
      </c>
      <c r="F524" s="7" t="inlineStr">
        <is>
          <t>Reduce authorised push payment (social engineering) fraud via IBAN/name check, fraud data sharing, conditional refund liability</t>
        </is>
      </c>
      <c r="G524" s="7" t="inlineStr">
        <is>
          <t>Baseline: APP fraud on SEPA credit transfers est. EUR 323m (2020)</t>
        </is>
      </c>
      <c r="H524" s="7" t="inlineStr">
        <is>
          <t>Baseline worsening, pre-application: EBA-ECB report EEA payment fraud EUR 3.4bn (2022), 3.5bn (2023), 4.2bn (2024); credit transfer fraud EUR 2.2bn in 2024 (+16%), ~85% of losses borne by users. Rules not yet applied (provisional agreement Nov 2025).</t>
        </is>
      </c>
      <c r="I524" s="7" t="inlineStr">
        <is>
          <t>not measured</t>
        </is>
      </c>
      <c r="J524" s="7" t="inlineStr">
        <is>
          <t>not measured</t>
        </is>
      </c>
      <c r="K524" s="7" t="inlineStr">
        <is>
          <t>SWD(2023) 231; EBA-ECB 2025</t>
        </is>
      </c>
    </row>
    <row r="525">
      <c r="A525" s="7" t="n">
        <v>100</v>
      </c>
      <c r="B525" s="7" t="inlineStr">
        <is>
          <t>Payment Services Directive 3 (PSD3)</t>
        </is>
      </c>
      <c r="C525" s="7" t="inlineStr">
        <is>
          <t>52023PC0366</t>
        </is>
      </c>
      <c r="D525" s="7" t="inlineStr">
        <is>
          <t>expected impact (impact assessment)</t>
        </is>
      </c>
      <c r="E525" s="7" t="inlineStr">
        <is>
          <t>Open banking</t>
        </is>
      </c>
      <c r="F525" s="7" t="inlineStr">
        <is>
          <t>Better data access interfaces, permission dashboards</t>
        </is>
      </c>
      <c r="G525" s="7" t="inlineStr">
        <is>
          <t>One-off cost ~EUR 185-190m (net) for interfaces; up to EUR 47m for dashboards</t>
        </is>
      </c>
      <c r="H525" s="7" t="inlineStr">
        <is>
          <t>Forecast only.</t>
        </is>
      </c>
      <c r="I525" s="7" t="inlineStr">
        <is>
          <t>not measured</t>
        </is>
      </c>
      <c r="J525" s="7" t="inlineStr">
        <is>
          <t>not measured</t>
        </is>
      </c>
      <c r="K525" s="7" t="inlineStr">
        <is>
          <t>SWD(2023) 231</t>
        </is>
      </c>
    </row>
    <row r="526">
      <c r="A526" s="7" t="n">
        <v>100</v>
      </c>
      <c r="B526" s="7" t="inlineStr">
        <is>
          <t>Payment Services Directive 3 (PSD3)</t>
        </is>
      </c>
      <c r="C526" s="7" t="inlineStr">
        <is>
          <t>52023PC0366</t>
        </is>
      </c>
      <c r="D526" s="7" t="inlineStr">
        <is>
          <t>expected impact (impact assessment)</t>
        </is>
      </c>
      <c r="E526" s="7" t="inlineStr">
        <is>
          <t>Competition / level playing field</t>
        </is>
      </c>
      <c r="F526" s="7" t="inlineStr">
        <is>
          <t>Non-bank PSP access to payment systems and bank accounts; downward pressure on prices</t>
        </is>
      </c>
      <c r="G526" s="7" t="inlineStr"/>
      <c r="H526" s="7" t="inlineStr">
        <is>
          <t>Not measured; Settlement Finality Directive access change partly delivered via the Instant Payments Regulation (2024).</t>
        </is>
      </c>
      <c r="I526" s="7" t="inlineStr">
        <is>
          <t>not measured</t>
        </is>
      </c>
      <c r="J526" s="7" t="inlineStr">
        <is>
          <t>not measured</t>
        </is>
      </c>
      <c r="K526" s="7" t="inlineStr">
        <is>
          <t>SWD(2023) 231</t>
        </is>
      </c>
    </row>
    <row r="527">
      <c r="A527" s="7" t="n">
        <v>99</v>
      </c>
      <c r="B527" s="7" t="inlineStr">
        <is>
          <t>Payment Services Regulation (PSR)</t>
        </is>
      </c>
      <c r="C527" s="7" t="inlineStr">
        <is>
          <t>52023PC0367</t>
        </is>
      </c>
      <c r="D527" s="7" t="inlineStr">
        <is>
          <t>note</t>
        </is>
      </c>
      <c r="E527" s="7" t="inlineStr">
        <is>
          <t>Neither PSD3 nor PSR has LFS indicators; the memorandum provides only for a review five years after application (PSR: focus on open banking, fees, fraud liability). PSD3 and PSR share one impact assessment</t>
        </is>
      </c>
      <c r="F527" s="7" t="inlineStr"/>
      <c r="G527" s="7" t="inlineStr"/>
      <c r="H527" s="7" t="inlineStr"/>
      <c r="I527" s="7" t="inlineStr"/>
      <c r="J527" s="7" t="inlineStr"/>
      <c r="K527" s="7" t="inlineStr"/>
    </row>
    <row r="528">
      <c r="A528" s="7" t="n">
        <v>99</v>
      </c>
      <c r="B528" s="7" t="inlineStr">
        <is>
          <t>Payment Services Regulation (PSR)</t>
        </is>
      </c>
      <c r="C528" s="7" t="inlineStr">
        <is>
          <t>52023PC0367</t>
        </is>
      </c>
      <c r="D528" s="7" t="inlineStr">
        <is>
          <t>expected impact (impact assessment)</t>
        </is>
      </c>
      <c r="E528" s="7" t="inlineStr">
        <is>
          <t>Fraud protection</t>
        </is>
      </c>
      <c r="F528" s="7" t="inlineStr">
        <is>
          <t>Reduce authorised push payment (social engineering) fraud via IBAN/name check, fraud data sharing, conditional refund liability</t>
        </is>
      </c>
      <c r="G528" s="7" t="inlineStr">
        <is>
          <t>Baseline: APP fraud on SEPA credit transfers est. EUR 323m (2020)</t>
        </is>
      </c>
      <c r="H528" s="7" t="inlineStr">
        <is>
          <t>Baseline worsening, pre-application: EBA-ECB report EEA payment fraud EUR 3.4bn (2022), 3.5bn (2023), 4.2bn (2024); credit transfer fraud EUR 2.2bn in 2024 (+16%), ~85% of losses borne by users. Rules not yet applied (provisional agreement Nov 2025).</t>
        </is>
      </c>
      <c r="I528" s="7" t="inlineStr">
        <is>
          <t>not measured</t>
        </is>
      </c>
      <c r="J528" s="7" t="inlineStr">
        <is>
          <t>not measured</t>
        </is>
      </c>
      <c r="K528" s="7" t="inlineStr">
        <is>
          <t>SWD(2023) 231; EBA-ECB 2025</t>
        </is>
      </c>
    </row>
    <row r="529">
      <c r="A529" s="7" t="n">
        <v>99</v>
      </c>
      <c r="B529" s="7" t="inlineStr">
        <is>
          <t>Payment Services Regulation (PSR)</t>
        </is>
      </c>
      <c r="C529" s="7" t="inlineStr">
        <is>
          <t>52023PC0367</t>
        </is>
      </c>
      <c r="D529" s="7" t="inlineStr">
        <is>
          <t>expected impact (impact assessment)</t>
        </is>
      </c>
      <c r="E529" s="7" t="inlineStr">
        <is>
          <t>Open banking</t>
        </is>
      </c>
      <c r="F529" s="7" t="inlineStr">
        <is>
          <t>Better data access interfaces, permission dashboards</t>
        </is>
      </c>
      <c r="G529" s="7" t="inlineStr">
        <is>
          <t>One-off cost ~EUR 185-190m (net) for interfaces; up to EUR 47m for dashboards</t>
        </is>
      </c>
      <c r="H529" s="7" t="inlineStr">
        <is>
          <t>Forecast only.</t>
        </is>
      </c>
      <c r="I529" s="7" t="inlineStr">
        <is>
          <t>not measured</t>
        </is>
      </c>
      <c r="J529" s="7" t="inlineStr">
        <is>
          <t>not measured</t>
        </is>
      </c>
      <c r="K529" s="7" t="inlineStr">
        <is>
          <t>SWD(2023) 231</t>
        </is>
      </c>
    </row>
    <row r="530">
      <c r="A530" s="7" t="n">
        <v>99</v>
      </c>
      <c r="B530" s="7" t="inlineStr">
        <is>
          <t>Payment Services Regulation (PSR)</t>
        </is>
      </c>
      <c r="C530" s="7" t="inlineStr">
        <is>
          <t>52023PC0367</t>
        </is>
      </c>
      <c r="D530" s="7" t="inlineStr">
        <is>
          <t>expected impact (impact assessment)</t>
        </is>
      </c>
      <c r="E530" s="7" t="inlineStr">
        <is>
          <t>Competition / level playing field</t>
        </is>
      </c>
      <c r="F530" s="7" t="inlineStr">
        <is>
          <t>Non-bank PSP access to payment systems and bank accounts; downward pressure on prices</t>
        </is>
      </c>
      <c r="G530" s="7" t="inlineStr"/>
      <c r="H530" s="7" t="inlineStr">
        <is>
          <t>Not measured; Settlement Finality Directive access change partly delivered via the Instant Payments Regulation (2024).</t>
        </is>
      </c>
      <c r="I530" s="7" t="inlineStr">
        <is>
          <t>not measured</t>
        </is>
      </c>
      <c r="J530" s="7" t="inlineStr">
        <is>
          <t>not measured</t>
        </is>
      </c>
      <c r="K530" s="7" t="inlineStr">
        <is>
          <t>SWD(2023) 231</t>
        </is>
      </c>
    </row>
    <row r="531">
      <c r="A531" s="7" t="n">
        <v>101</v>
      </c>
      <c r="B531" s="7" t="inlineStr">
        <is>
          <t>Digital Euro Regulation</t>
        </is>
      </c>
      <c r="C531" s="7" t="inlineStr">
        <is>
          <t>52023PC0369</t>
        </is>
      </c>
      <c r="D531" s="7" t="inlineStr">
        <is>
          <t>note</t>
        </is>
      </c>
      <c r="E531" s="7" t="inlineStr">
        <is>
          <t>No LFS indicators section; the memorandum names monitoring indicators and requires a Commission review three years after application and every three years thereafter</t>
        </is>
      </c>
      <c r="F531" s="7" t="inlineStr"/>
      <c r="G531" s="7" t="inlineStr"/>
      <c r="H531" s="7" t="inlineStr"/>
      <c r="I531" s="7" t="inlineStr"/>
      <c r="J531" s="7" t="inlineStr"/>
      <c r="K531" s="7" t="inlineStr"/>
    </row>
    <row r="532">
      <c r="A532" s="7" t="n">
        <v>101</v>
      </c>
      <c r="B532" s="7" t="inlineStr">
        <is>
          <t>Digital Euro Regulation</t>
        </is>
      </c>
      <c r="C532" s="7" t="inlineStr">
        <is>
          <t>52023PC0369</t>
        </is>
      </c>
      <c r="D532" s="7" t="inlineStr">
        <is>
          <t>monitoring indicator (memorandum)</t>
        </is>
      </c>
      <c r="E532" s="7" t="inlineStr">
        <is>
          <t>Use of central bank money in digital payments</t>
        </is>
      </c>
      <c r="F532" s="7" t="inlineStr">
        <is>
          <t>Amount of digital euro in circulation; number and value of retail payments in digital euro and share vs other means of payment</t>
        </is>
      </c>
      <c r="G532" s="7" t="inlineStr"/>
      <c r="H532" s="7" t="inlineStr">
        <is>
          <t>Not applicable: regulation not adopted (Council position Dec 2025; Parliament mandate 2026; ECB targets issuance around 2029).</t>
        </is>
      </c>
      <c r="I532" s="7" t="inlineStr">
        <is>
          <t>not measured</t>
        </is>
      </c>
      <c r="J532" s="7" t="inlineStr">
        <is>
          <t>not measured</t>
        </is>
      </c>
      <c r="K532" s="7" t="inlineStr">
        <is>
          <t>COM(2023) 369 memorandum</t>
        </is>
      </c>
    </row>
    <row r="533">
      <c r="A533" s="7" t="n">
        <v>101</v>
      </c>
      <c r="B533" s="7" t="inlineStr">
        <is>
          <t>Digital Euro Regulation</t>
        </is>
      </c>
      <c r="C533" s="7" t="inlineStr">
        <is>
          <t>52023PC0369</t>
        </is>
      </c>
      <c r="D533" s="7" t="inlineStr">
        <is>
          <t>expected impact (impact assessment)</t>
        </is>
      </c>
      <c r="E533" s="7" t="inlineStr">
        <is>
          <t>Financial stability / bank intermediation</t>
        </is>
      </c>
      <c r="F533" s="7" t="inlineStr">
        <is>
          <t>Holding limits keep deposit substitution manageable</t>
        </is>
      </c>
      <c r="G533" s="7" t="inlineStr">
        <is>
          <t>ECB: a EUR 3,000 holding limit caps supply at max ~EUR 1tn</t>
        </is>
      </c>
      <c r="H533" s="7" t="inlineStr">
        <is>
          <t>Ex-ante simulations only: ECB (2025) estimates flight-to-safety outflows of EUR 156bn (EUR 500 limit) to EUR 699bn (EUR 3,000 limit; 8.2% of retail sight deposits); contained in business-as-usual.</t>
        </is>
      </c>
      <c r="I533" s="7" t="inlineStr">
        <is>
          <t>not measured</t>
        </is>
      </c>
      <c r="J533" s="7" t="inlineStr">
        <is>
          <t>not measured</t>
        </is>
      </c>
      <c r="K533" s="7" t="inlineStr">
        <is>
          <t>SWD(2023) 233; ECB 2025; Adalid et al. 2022</t>
        </is>
      </c>
    </row>
    <row r="534">
      <c r="A534" s="7" t="n">
        <v>101</v>
      </c>
      <c r="B534" s="7" t="inlineStr">
        <is>
          <t>Digital Euro Regulation</t>
        </is>
      </c>
      <c r="C534" s="7" t="inlineStr">
        <is>
          <t>52023PC0369</t>
        </is>
      </c>
      <c r="D534" s="7" t="inlineStr">
        <is>
          <t>expected impact (impact assessment)</t>
        </is>
      </c>
      <c r="E534" s="7" t="inlineStr">
        <is>
          <t>Costs</t>
        </is>
      </c>
      <c r="F534" s="7" t="inlineStr">
        <is>
          <t>One-off costs for PSPs and merchants</t>
        </is>
      </c>
      <c r="G534" s="7" t="inlineStr">
        <is>
          <t>PSPs up to EUR 3.6-6.8bn; merchants already accepting cards EUR 0.8-14bn</t>
        </is>
      </c>
      <c r="H534" s="7" t="inlineStr">
        <is>
          <t>Contested ex-ante: bank-commissioned PwC study puts bank costs at ~EUR 18bn over four years; ECB counters with ~EUR 4-5.8bn (per secondary reports).</t>
        </is>
      </c>
      <c r="I534" s="7" t="inlineStr">
        <is>
          <t>mixed evidence</t>
        </is>
      </c>
      <c r="J534" s="7" t="inlineStr">
        <is>
          <t>mixed evidence</t>
        </is>
      </c>
      <c r="K534" s="7" t="inlineStr">
        <is>
          <t>SWD(2023) 233; PwC 2025</t>
        </is>
      </c>
    </row>
    <row r="535">
      <c r="A535" s="7" t="n">
        <v>104</v>
      </c>
      <c r="B535" s="7" t="inlineStr">
        <is>
          <t>Late Payment Regulation</t>
        </is>
      </c>
      <c r="C535" s="7" t="inlineStr">
        <is>
          <t>52023PC0533</t>
        </is>
      </c>
      <c r="D535" s="7" t="inlineStr">
        <is>
          <t>monitoring target (memorandum)</t>
        </is>
      </c>
      <c r="E535" s="7" t="inlineStr">
        <is>
          <t>Fewer late payments</t>
        </is>
      </c>
      <c r="F535" s="7" t="inlineStr">
        <is>
          <t>Share of companies reporting late payments as a problem (ECB/Commission SAFE survey)</t>
        </is>
      </c>
      <c r="G535" s="7" t="inlineStr">
        <is>
          <t>Target 28% from 2022 baseline 43% (-35%)</t>
        </is>
      </c>
      <c r="H535" s="7" t="inlineStr">
        <is>
          <t>Not applicable: regulation not adopted (Parliament position 2024; blocking minority reported in Council).</t>
        </is>
      </c>
      <c r="I535" s="7" t="inlineStr">
        <is>
          <t>not measured</t>
        </is>
      </c>
      <c r="J535" s="7" t="inlineStr">
        <is>
          <t>not measured</t>
        </is>
      </c>
      <c r="K535" s="7" t="inlineStr">
        <is>
          <t>COM(2023) 533 memorandum</t>
        </is>
      </c>
    </row>
    <row r="536">
      <c r="A536" s="7" t="n">
        <v>104</v>
      </c>
      <c r="B536" s="7" t="inlineStr">
        <is>
          <t>Late Payment Regulation</t>
        </is>
      </c>
      <c r="C536" s="7" t="inlineStr">
        <is>
          <t>52023PC0533</t>
        </is>
      </c>
      <c r="D536" s="7" t="inlineStr">
        <is>
          <t>monitoring target (memorandum)</t>
        </is>
      </c>
      <c r="E536" s="7" t="inlineStr">
        <is>
          <t>Fewer late payments, by firm size</t>
        </is>
      </c>
      <c r="F536" s="7" t="inlineStr">
        <is>
          <t>Same SAFE indicator per size class</t>
        </is>
      </c>
      <c r="G536" s="7" t="inlineStr">
        <is>
          <t>Target 26-31% from baselines 40-47% (-35%)</t>
        </is>
      </c>
      <c r="H536" s="7" t="inlineStr">
        <is>
          <t>Not applicable: regulation not adopted.</t>
        </is>
      </c>
      <c r="I536" s="7" t="inlineStr">
        <is>
          <t>not measured</t>
        </is>
      </c>
      <c r="J536" s="7" t="inlineStr">
        <is>
          <t>not measured</t>
        </is>
      </c>
      <c r="K536" s="7" t="inlineStr">
        <is>
          <t>COM(2023) 533 memorandum</t>
        </is>
      </c>
    </row>
    <row r="537">
      <c r="A537" s="7" t="n">
        <v>104</v>
      </c>
      <c r="B537" s="7" t="inlineStr">
        <is>
          <t>Late Payment Regulation</t>
        </is>
      </c>
      <c r="C537" s="7" t="inlineStr">
        <is>
          <t>52023PC0533</t>
        </is>
      </c>
      <c r="D537" s="7" t="inlineStr">
        <is>
          <t>expected impact (impact assessment)</t>
        </is>
      </c>
      <c r="E537" s="7" t="inlineStr">
        <is>
          <t>Cash flow and admin burden</t>
        </is>
      </c>
      <c r="F537" s="7" t="inlineStr">
        <is>
          <t>Payment times cut ~35%; hassle costs of chasing debtors (340.2m hours, EUR 8.74bn) significantly reduced; EUR 27m/yr court savings from mediation</t>
        </is>
      </c>
      <c r="G537" s="7" t="inlineStr">
        <is>
          <t>Costs: EUR 243m one-off (invoices); EUR 70-105m/yr public enforcement and mediation</t>
        </is>
      </c>
      <c r="H537" s="7" t="inlineStr">
        <is>
          <t>Forecast only; industry (trade credit insurers) claims a strict 30-day cap creates up to EUR 2tn new financing need.</t>
        </is>
      </c>
      <c r="I537" s="7" t="inlineStr">
        <is>
          <t>not measured</t>
        </is>
      </c>
      <c r="J537" s="7" t="inlineStr">
        <is>
          <t>not measured</t>
        </is>
      </c>
      <c r="K537" s="7" t="inlineStr">
        <is>
          <t>SWD(2023) 314; ICISA</t>
        </is>
      </c>
    </row>
    <row r="538">
      <c r="A538" s="7" t="n">
        <v>105</v>
      </c>
      <c r="B538" s="7" t="inlineStr">
        <is>
          <t>Child Sexual Abuse Directive (recast)</t>
        </is>
      </c>
      <c r="C538" s="7" t="inlineStr">
        <is>
          <t>52024PC0060</t>
        </is>
      </c>
      <c r="D538" s="7" t="inlineStr">
        <is>
          <t>note</t>
        </is>
      </c>
      <c r="E538" s="7" t="inlineStr">
        <is>
          <t>No LFS indicators; the memorandum relies on transposition checks, periodic Commission reports, and new obligations for Member States to collect statistics and run a population-based victim survey every 3 years (Eurostat methodology)</t>
        </is>
      </c>
      <c r="F538" s="7" t="inlineStr"/>
      <c r="G538" s="7" t="inlineStr"/>
      <c r="H538" s="7" t="inlineStr"/>
      <c r="I538" s="7" t="inlineStr"/>
      <c r="J538" s="7" t="inlineStr"/>
      <c r="K538" s="7" t="inlineStr"/>
    </row>
    <row r="539">
      <c r="A539" s="7" t="n">
        <v>105</v>
      </c>
      <c r="B539" s="7" t="inlineStr">
        <is>
          <t>Child Sexual Abuse Directive (recast)</t>
        </is>
      </c>
      <c r="C539" s="7" t="inlineStr">
        <is>
          <t>52024PC0060</t>
        </is>
      </c>
      <c r="D539" s="7" t="inlineStr">
        <is>
          <t>monitoring obligation (memorandum)</t>
        </is>
      </c>
      <c r="E539" s="7" t="inlineStr">
        <is>
          <t>Measure the phenomenon</t>
        </is>
      </c>
      <c r="F539" s="7" t="inlineStr">
        <is>
          <t>Administrative statistics on offences (Arts 3-9) and 3-yearly prevalence survey</t>
        </is>
      </c>
      <c r="G539" s="7" t="inlineStr">
        <is>
          <t>Baseline cited in IA: at least one in five children falls victim to sexual violence</t>
        </is>
      </c>
      <c r="H539" s="7" t="inlineStr">
        <is>
          <t>Not yet applicable: provisional agreement reported June 2026; not adopted or transposed. Current data not comparable across Member States.</t>
        </is>
      </c>
      <c r="I539" s="7" t="inlineStr">
        <is>
          <t>not measured</t>
        </is>
      </c>
      <c r="J539" s="7" t="inlineStr">
        <is>
          <t>not measured</t>
        </is>
      </c>
      <c r="K539" s="7" t="inlineStr">
        <is>
          <t>COM(2024) 60 memorandum; SWD(2024) 33</t>
        </is>
      </c>
    </row>
    <row r="540">
      <c r="A540" s="7" t="n">
        <v>105</v>
      </c>
      <c r="B540" s="7" t="inlineStr">
        <is>
          <t>Child Sexual Abuse Directive (recast)</t>
        </is>
      </c>
      <c r="C540" s="7" t="inlineStr">
        <is>
          <t>52024PC0060</t>
        </is>
      </c>
      <c r="D540" s="7" t="inlineStr">
        <is>
          <t>expected impact (impact assessment)</t>
        </is>
      </c>
      <c r="E540" s="7" t="inlineStr">
        <is>
          <t>Prevention, investigation and victim support</t>
        </is>
      </c>
      <c r="F540" s="7" t="inlineStr">
        <is>
          <t>Criminalise livestreamed abuse and online solicitation; longer limitation periods; national coordinating authorities</t>
        </is>
      </c>
      <c r="G540" s="7" t="inlineStr"/>
      <c r="H540" s="7" t="inlineStr">
        <is>
          <t>Benefits described qualitatively; costs to Member States described as limited and not quantified.</t>
        </is>
      </c>
      <c r="I540" s="7" t="inlineStr">
        <is>
          <t>not measured</t>
        </is>
      </c>
      <c r="J540" s="7" t="inlineStr">
        <is>
          <t>not measured</t>
        </is>
      </c>
      <c r="K540" s="7" t="inlineStr">
        <is>
          <t>SWD(2024) 33</t>
        </is>
      </c>
    </row>
    <row r="541">
      <c r="A541" s="7" t="n">
        <v>106</v>
      </c>
      <c r="B541" s="7" t="inlineStr">
        <is>
          <t>EU Digital Travel Application Regulation</t>
        </is>
      </c>
      <c r="C541" s="7" t="inlineStr">
        <is>
          <t>52024PC0670</t>
        </is>
      </c>
      <c r="D541" s="7" t="inlineStr">
        <is>
          <t>LFS indicator (1.4.4)</t>
        </is>
      </c>
      <c r="E541" s="7" t="inlineStr">
        <is>
          <t>Common standard and app</t>
        </is>
      </c>
      <c r="F541" s="7" t="inlineStr">
        <is>
          <t>Adoption of implementing acts; start of operation of the EU Digital Travel application</t>
        </is>
      </c>
      <c r="G541" s="7" t="inlineStr">
        <is>
          <t>Start of operation by end 2030</t>
        </is>
      </c>
      <c r="H541" s="7" t="inlineStr">
        <is>
          <t>Not applicable: proposal not adopted; app not built.</t>
        </is>
      </c>
      <c r="I541" s="7" t="inlineStr">
        <is>
          <t>not measured</t>
        </is>
      </c>
      <c r="J541" s="7" t="inlineStr">
        <is>
          <t>not measured</t>
        </is>
      </c>
      <c r="K541" s="7" t="inlineStr">
        <is>
          <t>COM(2024) 670 LFS</t>
        </is>
      </c>
    </row>
    <row r="542">
      <c r="A542" s="7" t="n">
        <v>106</v>
      </c>
      <c r="B542" s="7" t="inlineStr">
        <is>
          <t>EU Digital Travel Application Regulation</t>
        </is>
      </c>
      <c r="C542" s="7" t="inlineStr">
        <is>
          <t>52024PC0670</t>
        </is>
      </c>
      <c r="D542" s="7" t="inlineStr">
        <is>
          <t>LFS indicator (1.4.4)</t>
        </is>
      </c>
      <c r="E542" s="7" t="inlineStr">
        <is>
          <t>Advance checks</t>
        </is>
      </c>
      <c r="F542" s="7" t="inlineStr">
        <is>
          <t>Share of Member States connected to the Traveller Router at go-live</t>
        </is>
      </c>
      <c r="G542" s="7" t="inlineStr">
        <is>
          <t>100%</t>
        </is>
      </c>
      <c r="H542" s="7" t="inlineStr">
        <is>
          <t>Not measured.</t>
        </is>
      </c>
      <c r="I542" s="7" t="inlineStr">
        <is>
          <t>not measured</t>
        </is>
      </c>
      <c r="J542" s="7" t="inlineStr">
        <is>
          <t>not measured</t>
        </is>
      </c>
      <c r="K542" s="7" t="inlineStr">
        <is>
          <t>COM(2024) 670 LFS</t>
        </is>
      </c>
    </row>
    <row r="543">
      <c r="A543" s="7" t="n">
        <v>106</v>
      </c>
      <c r="B543" s="7" t="inlineStr">
        <is>
          <t>EU Digital Travel Application Regulation</t>
        </is>
      </c>
      <c r="C543" s="7" t="inlineStr">
        <is>
          <t>52024PC0670</t>
        </is>
      </c>
      <c r="D543" s="7" t="inlineStr">
        <is>
          <t>LFS indicator (1.4.4)</t>
        </is>
      </c>
      <c r="E543" s="7" t="inlineStr">
        <is>
          <t>Uptake</t>
        </is>
      </c>
      <c r="F543" s="7" t="inlineStr">
        <is>
          <t>Share of passport/ID applicants also requesting a digital travel credential; share of border crossers using DTCs</t>
        </is>
      </c>
      <c r="G543" s="7" t="inlineStr">
        <is>
          <t>0 to 25% of applicants within 2 years; 30% of travellers within 5 years</t>
        </is>
      </c>
      <c r="H543" s="7" t="inlineStr">
        <is>
          <t>Not measured; only national DTC pilots (e.g. Finland, Croatia, Netherlands) exist.</t>
        </is>
      </c>
      <c r="I543" s="7" t="inlineStr">
        <is>
          <t>not measured</t>
        </is>
      </c>
      <c r="J543" s="7" t="inlineStr">
        <is>
          <t>not measured</t>
        </is>
      </c>
      <c r="K543" s="7" t="inlineStr">
        <is>
          <t>COM(2024) 670 LFS; SWD(2024) 671</t>
        </is>
      </c>
    </row>
    <row r="544">
      <c r="A544" s="7" t="n">
        <v>106</v>
      </c>
      <c r="B544" s="7" t="inlineStr">
        <is>
          <t>EU Digital Travel Application Regulation</t>
        </is>
      </c>
      <c r="C544" s="7" t="inlineStr">
        <is>
          <t>52024PC0670</t>
        </is>
      </c>
      <c r="D544" s="7" t="inlineStr">
        <is>
          <t>LFS indicator (1.4.4)</t>
        </is>
      </c>
      <c r="E544" s="7" t="inlineStr">
        <is>
          <t>Data quality</t>
        </is>
      </c>
      <c r="F544" s="7" t="inlineStr">
        <is>
          <t>Errors in creating/submitting DTCs from ICAO-compliant documents</t>
        </is>
      </c>
      <c r="G544" s="7" t="inlineStr">
        <is>
          <t>0%</t>
        </is>
      </c>
      <c r="H544" s="7" t="inlineStr">
        <is>
          <t>Not measured.</t>
        </is>
      </c>
      <c r="I544" s="7" t="inlineStr">
        <is>
          <t>not measured</t>
        </is>
      </c>
      <c r="J544" s="7" t="inlineStr">
        <is>
          <t>not measured</t>
        </is>
      </c>
      <c r="K544" s="7" t="inlineStr">
        <is>
          <t>COM(2024) 670 LFS</t>
        </is>
      </c>
    </row>
    <row r="545">
      <c r="A545" s="7" t="n">
        <v>106</v>
      </c>
      <c r="B545" s="7" t="inlineStr">
        <is>
          <t>EU Digital Travel Application Regulation</t>
        </is>
      </c>
      <c r="C545" s="7" t="inlineStr">
        <is>
          <t>52024PC0670</t>
        </is>
      </c>
      <c r="D545" s="7" t="inlineStr">
        <is>
          <t>expected impact (impact assessment)</t>
        </is>
      </c>
      <c r="E545" s="7" t="inlineStr">
        <is>
          <t>Smoother border crossing</t>
        </is>
      </c>
      <c r="F545" s="7" t="inlineStr">
        <is>
          <t>Shorter waiting times at external borders; 1-3 minutes for travellers to create a DTC</t>
        </is>
      </c>
      <c r="G545" s="7" t="inlineStr"/>
      <c r="H545" s="7" t="inlineStr">
        <is>
          <t>Pilot evidence only (Finland, Croatia, Netherlands, cited in IA): processing time of pre-cleared DTC travellers fell from 30-90 seconds to under 9 seconds; monetary value of time savings not quantified.</t>
        </is>
      </c>
      <c r="I545" s="7" t="inlineStr">
        <is>
          <t>partially measured</t>
        </is>
      </c>
      <c r="J545" s="7" t="inlineStr">
        <is>
          <t>partially measured</t>
        </is>
      </c>
      <c r="K545" s="7" t="inlineStr">
        <is>
          <t>SWD(2024) 671</t>
        </is>
      </c>
    </row>
    <row r="546">
      <c r="A546" s="7" t="n">
        <v>107</v>
      </c>
      <c r="B546" s="7" t="inlineStr">
        <is>
          <t>EU Space Act</t>
        </is>
      </c>
      <c r="C546" s="7" t="inlineStr">
        <is>
          <t>52025PC0335</t>
        </is>
      </c>
      <c r="D546" s="7" t="inlineStr">
        <is>
          <t>note</t>
        </is>
      </c>
      <c r="E546" s="7" t="inlineStr">
        <is>
          <t>No LFS indicators extracted; memorandum says specific objectives would be monitored annually and the act evaluated five years after entry into force (IA executive summary says three years), focusing on market and SME impact</t>
        </is>
      </c>
      <c r="F546" s="7" t="inlineStr"/>
      <c r="G546" s="7" t="inlineStr"/>
      <c r="H546" s="7" t="inlineStr"/>
      <c r="I546" s="7" t="inlineStr"/>
      <c r="J546" s="7" t="inlineStr"/>
      <c r="K546" s="7" t="inlineStr"/>
    </row>
    <row r="547">
      <c r="A547" s="7" t="n">
        <v>107</v>
      </c>
      <c r="B547" s="7" t="inlineStr">
        <is>
          <t>EU Space Act</t>
        </is>
      </c>
      <c r="C547" s="7" t="inlineStr">
        <is>
          <t>52025PC0335</t>
        </is>
      </c>
      <c r="D547" s="7" t="inlineStr">
        <is>
          <t>expected impact (impact assessment)</t>
        </is>
      </c>
      <c r="E547" s="7" t="inlineStr">
        <is>
          <t>Single market for space</t>
        </is>
      </c>
      <c r="F547" s="7" t="inlineStr">
        <is>
          <t>One set of EU licensing requirements instead of 13+ national regimes; lower administrative burden; cross-border recognition</t>
        </is>
      </c>
      <c r="G547" s="7" t="inlineStr"/>
      <c r="H547" s="7" t="inlineStr">
        <is>
          <t>Not applicable: proposal pending (June 2025).</t>
        </is>
      </c>
      <c r="I547" s="7" t="inlineStr">
        <is>
          <t>not measured</t>
        </is>
      </c>
      <c r="J547" s="7" t="inlineStr">
        <is>
          <t>not measured</t>
        </is>
      </c>
      <c r="K547" s="7" t="inlineStr">
        <is>
          <t>SWD(2025) 335</t>
        </is>
      </c>
    </row>
    <row r="548">
      <c r="A548" s="7" t="n">
        <v>107</v>
      </c>
      <c r="B548" s="7" t="inlineStr">
        <is>
          <t>EU Space Act</t>
        </is>
      </c>
      <c r="C548" s="7" t="inlineStr">
        <is>
          <t>52025PC0335</t>
        </is>
      </c>
      <c r="D548" s="7" t="inlineStr">
        <is>
          <t>expected impact (impact assessment)</t>
        </is>
      </c>
      <c r="E548" s="7" t="inlineStr">
        <is>
          <t>Compliance costs</t>
        </is>
      </c>
      <c r="F548" s="7" t="inlineStr">
        <is>
          <t>Satellite manufacturing cost increase from binding safety, resilience and environmental requirements</t>
        </is>
      </c>
      <c r="G548" s="7" t="inlineStr">
        <is>
          <t>+3-10% vs baseline; risk management up to EUR 240,000 initial then ~1% of turnover</t>
        </is>
      </c>
      <c r="H548" s="7" t="inlineStr">
        <is>
          <t>Forecast only; US government and some industry argue costs and burdens are underestimated and discriminatory (qualitative, no published cost estimate).</t>
        </is>
      </c>
      <c r="I548" s="7" t="inlineStr">
        <is>
          <t>not measured</t>
        </is>
      </c>
      <c r="J548" s="7" t="inlineStr">
        <is>
          <t>not measured</t>
        </is>
      </c>
      <c r="K548" s="7" t="inlineStr">
        <is>
          <t>SWD(2025) 335; US Government comments 2025</t>
        </is>
      </c>
    </row>
    <row r="549">
      <c r="A549" s="7" t="n">
        <v>107</v>
      </c>
      <c r="B549" s="7" t="inlineStr">
        <is>
          <t>EU Space Act</t>
        </is>
      </c>
      <c r="C549" s="7" t="inlineStr">
        <is>
          <t>52025PC0335</t>
        </is>
      </c>
      <c r="D549" s="7" t="inlineStr">
        <is>
          <t>expected impact (impact assessment)</t>
        </is>
      </c>
      <c r="E549" s="7" t="inlineStr">
        <is>
          <t>Safety and sustainability</t>
        </is>
      </c>
      <c r="F549" s="7" t="inlineStr">
        <is>
          <t>Less space debris; trackable space objects; cybersecurity risk framework; common environmental footprint method</t>
        </is>
      </c>
      <c r="G549" s="7" t="inlineStr"/>
      <c r="H549" s="7" t="inlineStr">
        <is>
          <t>Not measured.</t>
        </is>
      </c>
      <c r="I549" s="7" t="inlineStr">
        <is>
          <t>not measured</t>
        </is>
      </c>
      <c r="J549" s="7" t="inlineStr">
        <is>
          <t>not measured</t>
        </is>
      </c>
      <c r="K549" s="7" t="inlineStr">
        <is>
          <t>SWD(2025) 335</t>
        </is>
      </c>
    </row>
  </sheetData>
  <autoFilter ref="A1:K54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6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6" customWidth="1" min="3" max="3"/>
    <col width="22" customWidth="1" min="4" max="4"/>
    <col width="60" customWidth="1" min="5" max="5"/>
    <col width="6" customWidth="1" min="6" max="6"/>
    <col width="18" customWidth="1" min="7" max="7"/>
    <col width="30" customWidth="1" min="8" max="8"/>
    <col width="25" customWidth="1" min="9" max="9"/>
    <col width="18" customWidth="1" min="10" max="10"/>
    <col width="60" customWidth="1" min="11" max="11"/>
    <col width="60" customWidth="1" min="12" max="12"/>
    <col width="18" customWidth="1" min="13" max="13"/>
    <col width="40" customWidth="1" min="14" max="14"/>
    <col width="30" customWidth="1" min="15" max="15"/>
    <col width="14" customWidth="1" min="16" max="16"/>
    <col width="14" customWidth="1" min="17" max="17"/>
    <col width="11" customWidth="1" min="18" max="18"/>
    <col width="40" customWidth="1" min="19" max="19"/>
    <col width="30" customWidth="1" min="20" max="20"/>
    <col width="40" customWidth="1" min="21" max="21"/>
  </cols>
  <sheetData>
    <row r="1" ht="45" customHeight="1">
      <c r="A1" s="1" t="inlineStr">
        <is>
          <t>parent_row_id</t>
        </is>
      </c>
      <c r="B1" s="1" t="inlineStr">
        <is>
          <t>parent_name</t>
        </is>
      </c>
      <c r="C1" s="1" t="inlineStr">
        <is>
          <t>category</t>
        </is>
      </c>
      <c r="D1" s="1" t="inlineStr">
        <is>
          <t>source_class</t>
        </is>
      </c>
      <c r="E1" s="1" t="inlineStr">
        <is>
          <t>added_in</t>
        </is>
      </c>
      <c r="F1" s="1" t="inlineStr">
        <is>
          <t>id</t>
        </is>
      </c>
      <c r="G1" s="1" t="inlineStr">
        <is>
          <t>citation</t>
        </is>
      </c>
      <c r="H1" s="1" t="inlineStr">
        <is>
          <t>year</t>
        </is>
      </c>
      <c r="I1" s="1" t="inlineStr">
        <is>
          <t>source_type</t>
        </is>
      </c>
      <c r="J1" s="1" t="inlineStr">
        <is>
          <t>method</t>
        </is>
      </c>
      <c r="K1" s="1" t="inlineStr">
        <is>
          <t>outcomes</t>
        </is>
      </c>
      <c r="L1" s="1" t="inlineStr">
        <is>
          <t>direction</t>
        </is>
      </c>
      <c r="M1" s="1" t="inlineStr">
        <is>
          <t>headline finding</t>
        </is>
      </c>
      <c r="N1" s="1" t="inlineStr">
        <is>
          <t>plain-language summary</t>
        </is>
      </c>
      <c r="O1" s="1" t="inlineStr">
        <is>
          <t>period / geography</t>
        </is>
      </c>
      <c r="P1" s="1" t="inlineStr">
        <is>
          <t>quality notes</t>
        </is>
      </c>
      <c r="Q1" s="1" t="inlineStr">
        <is>
          <t>interested party</t>
        </is>
      </c>
      <c r="R1" s="1" t="inlineStr">
        <is>
          <t>access</t>
        </is>
      </c>
      <c r="S1" s="1" t="inlineStr">
        <is>
          <t>verified</t>
        </is>
      </c>
      <c r="T1" s="1" t="inlineStr">
        <is>
          <t>accessed</t>
        </is>
      </c>
      <c r="U1" s="1" t="inlineStr">
        <is>
          <t>url</t>
        </is>
      </c>
      <c r="V1" s="1" t="inlineStr">
        <is>
          <t>pdf_url</t>
        </is>
      </c>
      <c r="W1" s="1" t="inlineStr">
        <is>
          <t>archive_url</t>
        </is>
      </c>
    </row>
    <row r="2">
      <c r="A2" s="7" t="n">
        <v>1</v>
      </c>
      <c r="B2" s="7" t="inlineStr">
        <is>
          <t>Frequency Bands Directive (GSM)</t>
        </is>
      </c>
      <c r="C2" s="7" t="inlineStr">
        <is>
          <t>evidence</t>
        </is>
      </c>
      <c r="D2" s="7" t="inlineStr">
        <is>
          <t>academic</t>
        </is>
      </c>
      <c r="E2" s="7" t="inlineStr">
        <is>
          <t>initial review</t>
        </is>
      </c>
      <c r="F2" s="7" t="inlineStr">
        <is>
          <t>gruber-verboven-2001-standards</t>
        </is>
      </c>
      <c r="G2" s="7" t="inlineStr">
        <is>
          <t>Gruber &amp; Verboven (2001), The evolution of markets under entry and standards regulation - the case of global mobile telecommunications, International Journal of Industrial Organization 19(7) (CEPR DP 2440)</t>
        </is>
      </c>
      <c r="H2" s="7" t="n">
        <v>2001</v>
      </c>
      <c r="I2" s="7" t="inlineStr">
        <is>
          <t>peer-reviewed</t>
        </is>
      </c>
      <c r="J2" s="7" t="inlineStr">
        <is>
          <t>econometric diffusion model, panel of countries 1981-1997 (not a clean causal design)</t>
        </is>
      </c>
      <c r="K2" s="7" t="inlineStr">
        <is>
          <t>mobile diffusion; standards; entry</t>
        </is>
      </c>
      <c r="L2" s="7" t="inlineStr">
        <is>
          <t>mixed</t>
        </is>
      </c>
      <c r="M2" s="7" t="inlineStr">
        <is>
          <t>Setting a single standard significantly sped up diffusion for analogue mobile, but not for digital; network benefits of one standard appear offset by gains from competition between digital systems; adding competitors had a strong immediate effect</t>
        </is>
      </c>
      <c r="N2" s="7" t="inlineStr">
        <is>
          <t>A worldwide study found that imposing one standard helped analogue mobile spread, but the single digital standard (as with GSM in Europe) brought no measurable extra boost.</t>
        </is>
      </c>
      <c r="O2" s="7" t="inlineStr">
        <is>
          <t>global, 1981-1997</t>
        </is>
      </c>
      <c r="P2" s="7" t="inlineStr">
        <is>
          <t>established authors; correlational panel</t>
        </is>
      </c>
      <c r="Q2" s="7" t="inlineStr"/>
      <c r="R2" s="7" t="inlineStr">
        <is>
          <t>open</t>
        </is>
      </c>
      <c r="S2" s="7" t="inlineStr">
        <is>
          <t>abstract read</t>
        </is>
      </c>
      <c r="T2" s="7" t="inlineStr">
        <is>
          <t>2026-10-10</t>
        </is>
      </c>
      <c r="U2" s="7" t="inlineStr">
        <is>
          <t>https://doi.org/10.1016/S0167-7187(01)00069-8</t>
        </is>
      </c>
      <c r="V2" s="7" t="inlineStr">
        <is>
          <t>https://repec.cepr.org/repec/cpr/ceprdp/Dp2440.pdf</t>
        </is>
      </c>
      <c r="W2" s="7" t="inlineStr"/>
    </row>
    <row r="3">
      <c r="A3" s="7" t="n">
        <v>1</v>
      </c>
      <c r="B3" s="7" t="inlineStr">
        <is>
          <t>Frequency Bands Directive (GSM)</t>
        </is>
      </c>
      <c r="C3" s="7" t="inlineStr">
        <is>
          <t>evidence</t>
        </is>
      </c>
      <c r="D3" s="7" t="inlineStr">
        <is>
          <t>academic</t>
        </is>
      </c>
      <c r="E3" s="7" t="inlineStr">
        <is>
          <t>initial review</t>
        </is>
      </c>
      <c r="F3" s="7" t="inlineStr">
        <is>
          <t>gruber-verboven-2001-eu-diffusion</t>
        </is>
      </c>
      <c r="G3" s="7" t="inlineStr">
        <is>
          <t>Gruber &amp; Verboven (2001), The diffusion of mobile telecommunications services in the European Union, European Economic Review 45(3)</t>
        </is>
      </c>
      <c r="H3" s="7" t="n">
        <v>2001</v>
      </c>
      <c r="I3" s="7" t="inlineStr">
        <is>
          <t>peer-reviewed</t>
        </is>
      </c>
      <c r="J3" s="7" t="inlineStr">
        <is>
          <t>logistic diffusion model, EU countries</t>
        </is>
      </c>
      <c r="K3" s="7" t="inlineStr">
        <is>
          <t>mobile diffusion</t>
        </is>
      </c>
      <c r="L3" s="7" t="inlineStr">
        <is>
          <t>positive</t>
        </is>
      </c>
      <c r="M3" s="7" t="inlineStr">
        <is>
          <t>Transition from analogue to digital in the early 1990s, with the increase in spectrum capacity, had a major impact on diffusion; competition also significant; late-licensing countries catch up</t>
        </is>
      </c>
      <c r="N3" s="7" t="inlineStr">
        <is>
          <t>Across the EU, the switch to digital mobile (GSM) and the extra spectrum it brought were the main drivers of mobile phone take-up in the 1990s.</t>
        </is>
      </c>
      <c r="O3" s="7" t="inlineStr">
        <is>
          <t>EU, 1980s-1990s</t>
        </is>
      </c>
      <c r="P3" s="7" t="inlineStr">
        <is>
          <t>correlational; cannot separate the Directive from the technology</t>
        </is>
      </c>
      <c r="Q3" s="7" t="inlineStr"/>
      <c r="R3" s="7" t="inlineStr">
        <is>
          <t>open</t>
        </is>
      </c>
      <c r="S3" s="7" t="inlineStr">
        <is>
          <t>abstract read</t>
        </is>
      </c>
      <c r="T3" s="7" t="inlineStr">
        <is>
          <t>2026-10-10</t>
        </is>
      </c>
      <c r="U3" s="7" t="inlineStr">
        <is>
          <t>https://doi.org/10.1016/S0014-2921(00)00068-4</t>
        </is>
      </c>
      <c r="V3" s="7" t="inlineStr"/>
      <c r="W3" s="7" t="inlineStr"/>
    </row>
    <row r="4">
      <c r="A4" s="7" t="n">
        <v>1</v>
      </c>
      <c r="B4" s="7" t="inlineStr">
        <is>
          <t>Frequency Bands Directive (GSM)</t>
        </is>
      </c>
      <c r="C4" s="7" t="inlineStr">
        <is>
          <t>ex-ante assessment</t>
        </is>
      </c>
      <c r="D4" s="7" t="inlineStr">
        <is>
          <t>official</t>
        </is>
      </c>
      <c r="E4" s="7" t="inlineStr">
        <is>
          <t>initial review</t>
        </is>
      </c>
      <c r="F4" s="7" t="inlineStr">
        <is>
          <t>ec-2007-gsm-repeal-proposal</t>
        </is>
      </c>
      <c r="G4" s="7" t="inlineStr">
        <is>
          <t>European Commission (2007), Proposal for a Directive repealing Council Directive 87/372/EEC (GSM Directive), COM(2007) 367</t>
        </is>
      </c>
      <c r="H4" s="7" t="n">
        <v>2007</v>
      </c>
      <c r="I4" s="7" t="inlineStr">
        <is>
          <t>Commission proposal (impact statement)</t>
        </is>
      </c>
      <c r="J4" s="7" t="inlineStr">
        <is>
          <t>ex-ante (CEPT technical studies; no quantified IA in the text)</t>
        </is>
      </c>
      <c r="K4" s="7" t="inlineStr">
        <is>
          <t>spectrum flexibility; rural coverage</t>
        </is>
      </c>
      <c r="L4" s="7" t="inlineStr">
        <is>
          <t>positive (forecast)</t>
        </is>
      </c>
      <c r="M4" s="7" t="inlineStr">
        <is>
          <t>Reserving 900 MHz exclusively for GSM blocks more advanced systems such as UMTS; the band's propagation allows cheaper coverage of rural areas; CEPT found UMTS can coexist with GSM</t>
        </is>
      </c>
      <c r="N4" s="7" t="inlineStr">
        <is>
          <t>By 2007 the Commission saw the GSM-only rule as a barrier and proposed opening the band to 3G, citing cheaper rural coverage.</t>
        </is>
      </c>
      <c r="O4" s="7" t="inlineStr">
        <is>
          <t>EU, forecast</t>
        </is>
      </c>
      <c r="P4" s="7" t="inlineStr">
        <is>
          <t>forecast; qualitative</t>
        </is>
      </c>
      <c r="Q4" s="7" t="inlineStr"/>
      <c r="R4" s="7" t="inlineStr">
        <is>
          <t>open</t>
        </is>
      </c>
      <c r="S4" s="7" t="inlineStr">
        <is>
          <t>full text read</t>
        </is>
      </c>
      <c r="T4" s="7" t="inlineStr">
        <is>
          <t>2026-10-10</t>
        </is>
      </c>
      <c r="U4" s="7" t="inlineStr">
        <is>
          <t>https://eur-lex.europa.eu/legal-content/EN/TXT/?uri=CELEX:52007PC0367</t>
        </is>
      </c>
      <c r="V4" s="7" t="inlineStr"/>
      <c r="W4" s="7" t="inlineStr">
        <is>
          <t>http://web.archive.org/web/20230804165404/https://eur-lex.europa.eu/legal-content/EN/TXT/?uri=CELEX:52007PC0367</t>
        </is>
      </c>
    </row>
    <row r="5">
      <c r="A5" s="7" t="n">
        <v>1</v>
      </c>
      <c r="B5" s="7" t="inlineStr">
        <is>
          <t>Frequency Bands Directive (GSM)</t>
        </is>
      </c>
      <c r="C5" s="7" t="inlineStr">
        <is>
          <t>evidence</t>
        </is>
      </c>
      <c r="D5" s="7" t="inlineStr">
        <is>
          <t>official</t>
        </is>
      </c>
      <c r="E5" s="7" t="inlineStr">
        <is>
          <t>initial review</t>
        </is>
      </c>
      <c r="F5" s="7" t="inlineStr">
        <is>
          <t>telecoms-2009-umts900</t>
        </is>
      </c>
      <c r="G5" s="7" t="inlineStr">
        <is>
          <t>Telecoms.com (2009), EU move lends helping hand to UMTS900, trade press</t>
        </is>
      </c>
      <c r="H5" s="7" t="n">
        <v>2009</v>
      </c>
      <c r="I5" s="7" t="inlineStr">
        <is>
          <t>press report of Commission estimate</t>
        </is>
      </c>
      <c r="J5" s="7" t="inlineStr">
        <is>
          <t>secondary report</t>
        </is>
      </c>
      <c r="K5" s="7" t="inlineStr">
        <is>
          <t>capital cost savings</t>
        </is>
      </c>
      <c r="L5" s="7" t="inlineStr">
        <is>
          <t>positive (forecast)</t>
        </is>
      </c>
      <c r="M5" s="7" t="inlineStr">
        <is>
          <t>Commission expected industry savings of up to EUR 1.6 billion from reforming the GSM Directive (amended by Directive 2009/114/EC)</t>
        </is>
      </c>
      <c r="N5" s="7" t="inlineStr">
        <is>
          <t>The Commission expected opening the GSM band to 3G to save operators up to EUR 1.6 billion in network costs.</t>
        </is>
      </c>
      <c r="O5" s="7" t="inlineStr">
        <is>
          <t>EU, forecast</t>
        </is>
      </c>
      <c r="P5" s="7" t="inlineStr">
        <is>
          <t>secondary; forecast</t>
        </is>
      </c>
      <c r="Q5" s="7" t="inlineStr"/>
      <c r="R5" s="7" t="inlineStr">
        <is>
          <t>open</t>
        </is>
      </c>
      <c r="S5" s="7" t="inlineStr">
        <is>
          <t>page summary via search</t>
        </is>
      </c>
      <c r="T5" s="7" t="inlineStr">
        <is>
          <t>2026-10-10</t>
        </is>
      </c>
      <c r="U5" s="7" t="inlineStr">
        <is>
          <t>https://www.telecoms.com/wireless-networking/eu-move-lends-helping-hand-to-umts900</t>
        </is>
      </c>
      <c r="V5" s="7" t="inlineStr"/>
      <c r="W5" s="7" t="inlineStr">
        <is>
          <t>http://web.archive.org/web/20250122033910/https://www.telecoms.com/wireless-networking/eu-move-lends-helping-hand-to-umts900</t>
        </is>
      </c>
    </row>
    <row r="6">
      <c r="A6" s="7" t="n">
        <v>2</v>
      </c>
      <c r="B6" s="7" t="inlineStr">
        <is>
          <t>Unfair Contract Terms Directive</t>
        </is>
      </c>
      <c r="C6" s="7" t="inlineStr">
        <is>
          <t>evidence</t>
        </is>
      </c>
      <c r="D6" s="7" t="inlineStr">
        <is>
          <t>official</t>
        </is>
      </c>
      <c r="E6" s="7" t="inlineStr">
        <is>
          <t>initial review</t>
        </is>
      </c>
      <c r="F6" s="7" t="inlineStr">
        <is>
          <t>ec-2000-uctd-report</t>
        </is>
      </c>
      <c r="G6" s="7" t="inlineStr">
        <is>
          <t>European Commission (2000), Report on the implementation of Council Directive 93/13/EEC on unfair terms in consumer contracts, COM(2000) 248</t>
        </is>
      </c>
      <c r="H6" s="7" t="n">
        <v>2000</v>
      </c>
      <c r="I6" s="7" t="inlineStr">
        <is>
          <t>Commission evaluation (implementation report)</t>
        </is>
      </c>
      <c r="J6" s="7" t="inlineStr">
        <is>
          <t>review (national reports, CLAB case-law database, 1999 conference)</t>
        </is>
      </c>
      <c r="K6" s="7" t="inlineStr">
        <is>
          <t>transposition; enforcement; contract practice</t>
        </is>
      </c>
      <c r="L6" s="7" t="inlineStr">
        <is>
          <t>mixed</t>
        </is>
      </c>
      <c r="M6" s="7" t="inlineStr">
        <is>
          <t>Injunction actions in new-technology sectors (mobile, cable and satellite TV), car rental, timeshare and holidays mostly led traders to change terms; but traders rarely give consumers the terms before contracting; sanctions and national control systems vary widely</t>
        </is>
      </c>
      <c r="N6" s="7" t="inlineStr">
        <is>
          <t>The first review found collective court actions got many companies to drop unfair terms, but consumers still seldom saw contract terms before signing.</t>
        </is>
      </c>
      <c r="O6" s="7" t="inlineStr">
        <is>
          <t>EU-15, 1995-1999</t>
        </is>
      </c>
      <c r="P6" s="7" t="inlineStr">
        <is>
          <t>self-evaluation; descriptive</t>
        </is>
      </c>
      <c r="Q6" s="7" t="inlineStr"/>
      <c r="R6" s="7" t="inlineStr">
        <is>
          <t>open</t>
        </is>
      </c>
      <c r="S6" s="7" t="inlineStr">
        <is>
          <t>full text read</t>
        </is>
      </c>
      <c r="T6" s="7" t="inlineStr">
        <is>
          <t>2026-10-10</t>
        </is>
      </c>
      <c r="U6" s="7" t="inlineStr">
        <is>
          <t>https://eur-lex.europa.eu/legal-content/EN/TXT/?uri=CELEX:52000DC0248</t>
        </is>
      </c>
      <c r="V6" s="7" t="inlineStr"/>
      <c r="W6" s="7" t="inlineStr"/>
    </row>
    <row r="7">
      <c r="A7" s="7" t="n">
        <v>2</v>
      </c>
      <c r="B7" s="7" t="inlineStr">
        <is>
          <t>Unfair Contract Terms Directive</t>
        </is>
      </c>
      <c r="C7" s="7" t="inlineStr">
        <is>
          <t>evidence</t>
        </is>
      </c>
      <c r="D7" s="7" t="inlineStr">
        <is>
          <t>official</t>
        </is>
      </c>
      <c r="E7" s="7" t="inlineStr">
        <is>
          <t>initial review</t>
        </is>
      </c>
      <c r="F7" s="7" t="inlineStr">
        <is>
          <t>ec-2017-consumer-fitness-check</t>
        </is>
      </c>
      <c r="G7" s="7" t="inlineStr">
        <is>
          <t>European Commission (2017), Report of the Fitness Check of EU consumer and marketing law (incl. the UCPD), SWD(2017) 209</t>
        </is>
      </c>
      <c r="H7" s="7" t="n">
        <v>2017</v>
      </c>
      <c r="I7" s="7" t="inlineStr">
        <is>
          <t>Commission evaluation (fitness check)</t>
        </is>
      </c>
      <c r="J7" s="7" t="inlineStr">
        <is>
          <t>review (Civic Consulting support study, surveys, consultation)</t>
        </is>
      </c>
      <c r="K7" s="7" t="inlineStr">
        <is>
          <t>effectiveness; compliance costs</t>
        </is>
      </c>
      <c r="L7" s="7" t="inlineStr">
        <is>
          <t>positive overall, enforcement gaps</t>
        </is>
      </c>
      <c r="M7" s="7" t="inlineStr">
        <is>
          <t>Consumer rules including the UCTD still largely fit for purpose if effectively enforced; compliance costs proportionate; low awareness and uneven enforcement; led to 2019 Omnibus adding fines for UCTD breaches</t>
        </is>
      </c>
      <c r="N7" s="7" t="inlineStr">
        <is>
          <t>The 2017 review concluded EU consumer rules, including the unfair terms directive, were largely fit for purpose but poorly known and unevenly enforced.</t>
        </is>
      </c>
      <c r="O7" s="7" t="inlineStr">
        <is>
          <t>EU, to 2016</t>
        </is>
      </c>
      <c r="P7" s="7" t="inlineStr">
        <is>
          <t>self-evaluation</t>
        </is>
      </c>
      <c r="Q7" s="7" t="inlineStr"/>
      <c r="R7" s="7" t="inlineStr">
        <is>
          <t>open</t>
        </is>
      </c>
      <c r="S7" s="7" t="inlineStr">
        <is>
          <t>page summary via search</t>
        </is>
      </c>
      <c r="T7" s="7" t="inlineStr">
        <is>
          <t>2026-10-10</t>
        </is>
      </c>
      <c r="U7" s="7" t="inlineStr">
        <is>
          <t>https://www.eumonitor.eu/9353000/1/j9vvik7m1c3gyxp/vkewrzaq4ozm</t>
        </is>
      </c>
      <c r="V7" s="7" t="inlineStr"/>
      <c r="W7" s="7" t="inlineStr"/>
    </row>
    <row r="8">
      <c r="A8" s="7" t="n">
        <v>2</v>
      </c>
      <c r="B8" s="7" t="inlineStr">
        <is>
          <t>Unfair Contract Terms Directive</t>
        </is>
      </c>
      <c r="C8" s="7" t="inlineStr">
        <is>
          <t>evidence</t>
        </is>
      </c>
      <c r="D8" s="7" t="inlineStr">
        <is>
          <t>official</t>
        </is>
      </c>
      <c r="E8" s="7" t="inlineStr">
        <is>
          <t>initial review</t>
        </is>
      </c>
      <c r="F8" s="7" t="inlineStr">
        <is>
          <t>ec-2024-digital-fairness-fitness-check</t>
        </is>
      </c>
      <c r="G8" s="7" t="inlineStr">
        <is>
          <t>European Commission (2024), Fitness Check of EU consumer law on digital fairness (executive summary SWD(2024) 231), SWD(2024) 230</t>
        </is>
      </c>
      <c r="H8" s="7" t="n">
        <v>2024</v>
      </c>
      <c r="I8" s="7" t="inlineStr">
        <is>
          <t>Commission evaluation (fitness check)</t>
        </is>
      </c>
      <c r="J8" s="7" t="inlineStr">
        <is>
          <t>review 2017-2023 (surveys, consultation, detriment estimate)</t>
        </is>
      </c>
      <c r="K8" s="7" t="inlineStr">
        <is>
          <t>consumer detriment; compliance costs; effectiveness</t>
        </is>
      </c>
      <c r="L8" s="7" t="inlineStr">
        <is>
          <t>mixed</t>
        </is>
      </c>
      <c r="M8" s="7" t="inlineStr">
        <is>
          <t>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is>
      </c>
      <c r="N8" s="7" t="inlineStr">
        <is>
          <t>The Commission's 2024 review found the UCPD and sister directives still relevant and cheap to comply with, but only partly effective online, with consumers losing at least EUR 7.9 billion a year.</t>
        </is>
      </c>
      <c r="O8" s="7" t="inlineStr">
        <is>
          <t>EU, 2017-2023</t>
        </is>
      </c>
      <c r="P8" s="7" t="inlineStr">
        <is>
          <t>self-evaluation; detriment estimate conservative and not attributable to the directives</t>
        </is>
      </c>
      <c r="Q8" s="7" t="inlineStr"/>
      <c r="R8" s="7" t="inlineStr">
        <is>
          <t>open</t>
        </is>
      </c>
      <c r="S8" s="7" t="inlineStr">
        <is>
          <t>full text read (executive summary)</t>
        </is>
      </c>
      <c r="T8" s="7" t="inlineStr">
        <is>
          <t>2026-10-10</t>
        </is>
      </c>
      <c r="U8" s="7" t="inlineStr">
        <is>
          <t>https://commission.europa.eu/document/download/d3b2a18b-7eec-4fe6-8421-8961a9ceb288_en</t>
        </is>
      </c>
      <c r="V8" s="7" t="inlineStr"/>
      <c r="W8" s="7" t="inlineStr"/>
    </row>
    <row r="9">
      <c r="A9" s="7" t="n">
        <v>2</v>
      </c>
      <c r="B9" s="7" t="inlineStr">
        <is>
          <t>Unfair Contract Terms Directive</t>
        </is>
      </c>
      <c r="C9" s="7" t="inlineStr">
        <is>
          <t>evidence</t>
        </is>
      </c>
      <c r="D9" s="7" t="inlineStr">
        <is>
          <t>academic</t>
        </is>
      </c>
      <c r="E9" s="7" t="inlineStr">
        <is>
          <t>initial review</t>
        </is>
      </c>
      <c r="F9" s="7" t="inlineStr">
        <is>
          <t>loos-luzak-2016-bigger-stick</t>
        </is>
      </c>
      <c r="G9" s="7" t="inlineStr">
        <is>
          <t>Loos &amp; Luzak (2016), Wanted: a Bigger Stick. On Unfair Terms in Consumer Contracts with Online Service Providers, Journal of Consumer Policy 39(1)</t>
        </is>
      </c>
      <c r="H9" s="7" t="n">
        <v>2016</v>
      </c>
      <c r="I9" s="7" t="inlineStr">
        <is>
          <t>peer-reviewed</t>
        </is>
      </c>
      <c r="J9" s="7" t="inlineStr">
        <is>
          <t>legal analysis of standard terms of major online service providers against CJEU case law</t>
        </is>
      </c>
      <c r="K9" s="7" t="inlineStr">
        <is>
          <t>contract terms; enforcement</t>
        </is>
      </c>
      <c r="L9" s="7" t="inlineStr">
        <is>
          <t>negative</t>
        </is>
      </c>
      <c r="M9" s="7" t="inlineStr">
        <is>
          <t>Several common terms of international online service providers (unilateral changes of terms or service, unilateral termination, liability exclusions, jurisdiction and choice-of-law clauses) are unlikely to pass the UCTD unfairness test; stronger sanctions needed</t>
        </is>
      </c>
      <c r="N9" s="7" t="inlineStr">
        <is>
          <t>A legal study of the terms used by big online services found many likely breach the unfair terms rules, suggesting the Directive is weakly enforced online.</t>
        </is>
      </c>
      <c r="O9" s="7" t="inlineStr">
        <is>
          <t>EU, c. 2015</t>
        </is>
      </c>
      <c r="P9" s="7" t="inlineStr">
        <is>
          <t>legal-doctrinal, not quantitative</t>
        </is>
      </c>
      <c r="Q9" s="7" t="inlineStr"/>
      <c r="R9" s="7" t="inlineStr">
        <is>
          <t>open</t>
        </is>
      </c>
      <c r="S9" s="7" t="inlineStr">
        <is>
          <t>abstract read</t>
        </is>
      </c>
      <c r="T9" s="7" t="inlineStr">
        <is>
          <t>2026-10-10</t>
        </is>
      </c>
      <c r="U9" s="7" t="inlineStr">
        <is>
          <t>https://doi.org/10.1007/s10603-015-9303-7</t>
        </is>
      </c>
      <c r="V9" s="7" t="inlineStr"/>
      <c r="W9" s="7" t="inlineStr"/>
    </row>
    <row r="10">
      <c r="A10" s="7" t="n">
        <v>3</v>
      </c>
      <c r="B10" s="7" t="inlineStr">
        <is>
          <t>Satellite and Cable Directive</t>
        </is>
      </c>
      <c r="C10" s="7" t="inlineStr">
        <is>
          <t>evidence</t>
        </is>
      </c>
      <c r="D10" s="7" t="inlineStr">
        <is>
          <t>official</t>
        </is>
      </c>
      <c r="E10" s="7" t="inlineStr">
        <is>
          <t>initial review</t>
        </is>
      </c>
      <c r="F10" s="7" t="inlineStr">
        <is>
          <t>ec-2002-satcab-report</t>
        </is>
      </c>
      <c r="G10" s="7" t="inlineStr">
        <is>
          <t>European Commission (2002), Report on the application of Council Directive 93/83/EEC (satellite broadcasting and cable retransmission), COM(2002) 430</t>
        </is>
      </c>
      <c r="H10" s="7" t="n">
        <v>2002</v>
      </c>
      <c r="I10" s="7" t="inlineStr">
        <is>
          <t>Commission evaluation (implementation report)</t>
        </is>
      </c>
      <c r="J10" s="7" t="inlineStr">
        <is>
          <t>review (transposition, stakeholder input)</t>
        </is>
      </c>
      <c r="K10" s="7" t="inlineStr">
        <is>
          <t>rights clearance; cross-border broadcasting</t>
        </is>
      </c>
      <c r="L10" s="7" t="inlineStr">
        <is>
          <t>mixed</t>
        </is>
      </c>
      <c r="M10" s="7" t="inlineStr">
        <is>
          <t>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is>
      </c>
      <c r="N10" s="7" t="inlineStr">
        <is>
          <t>The first review found the directive's rules worked on paper and helped cross-border TV, but broadcasters still sold rights country by country and scrambled signals.</t>
        </is>
      </c>
      <c r="O10" s="7" t="inlineStr">
        <is>
          <t>EU-15, to 2002</t>
        </is>
      </c>
      <c r="P10" s="7" t="inlineStr">
        <is>
          <t>self-evaluation; descriptive</t>
        </is>
      </c>
      <c r="Q10" s="7" t="inlineStr"/>
      <c r="R10" s="7" t="inlineStr">
        <is>
          <t>open</t>
        </is>
      </c>
      <c r="S10" s="7" t="inlineStr">
        <is>
          <t>full text read</t>
        </is>
      </c>
      <c r="T10" s="7" t="inlineStr">
        <is>
          <t>2026-10-10</t>
        </is>
      </c>
      <c r="U10" s="7" t="inlineStr">
        <is>
          <t>https://eur-lex.europa.eu/legal-content/EN/TXT/?uri=CELEX:52002DC0430</t>
        </is>
      </c>
      <c r="V10" s="7" t="inlineStr"/>
      <c r="W10" s="7" t="inlineStr"/>
    </row>
    <row r="11">
      <c r="A11" s="7" t="n">
        <v>3</v>
      </c>
      <c r="B11" s="7" t="inlineStr">
        <is>
          <t>Satellite and Cable Directive</t>
        </is>
      </c>
      <c r="C11" s="7" t="inlineStr">
        <is>
          <t>evidence</t>
        </is>
      </c>
      <c r="D11" s="7" t="inlineStr">
        <is>
          <t>official</t>
        </is>
      </c>
      <c r="E11" s="7" t="inlineStr">
        <is>
          <t>initial review</t>
        </is>
      </c>
      <c r="F11" s="7" t="inlineStr">
        <is>
          <t>ec-2016-satcab-evaluation</t>
        </is>
      </c>
      <c r="G11" s="7" t="inlineStr">
        <is>
          <t>European Commission (2016), Ex-post (REFIT) evaluation of the Satellite and Cable Directive (93/83/EEC), SWD(2016) 308</t>
        </is>
      </c>
      <c r="H11" s="7" t="n">
        <v>2016</v>
      </c>
      <c r="I11" s="7" t="inlineStr">
        <is>
          <t>Commission evaluation</t>
        </is>
      </c>
      <c r="J11" s="7" t="inlineStr">
        <is>
          <t>REFIT evaluation (SatCab study, public consultation 2015)</t>
        </is>
      </c>
      <c r="K11" s="7" t="inlineStr">
        <is>
          <t>rights clearance; relevance</t>
        </is>
      </c>
      <c r="L11" s="7" t="inlineStr">
        <is>
          <t>mixed</t>
        </is>
      </c>
      <c r="M11" s="7" t="inlineStr">
        <is>
          <t>Mechanisms helped clear rights for cross-border satellite broadcasts and simultaneous cable retransmission, but technology-specific provisions do not cover newer digital and online transmission; study data limited</t>
        </is>
      </c>
      <c r="N11" s="7" t="inlineStr">
        <is>
          <t>The 2016 evaluation found the directive eased rights clearing for satellite and cable, but its rules do not cover online TV.</t>
        </is>
      </c>
      <c r="O11" s="7" t="inlineStr">
        <is>
          <t>EU, to 2015</t>
        </is>
      </c>
      <c r="P11" s="7" t="inlineStr">
        <is>
          <t>self-evaluation; data gaps acknowledged</t>
        </is>
      </c>
      <c r="Q11" s="7" t="inlineStr"/>
      <c r="R11" s="7" t="inlineStr">
        <is>
          <t>open</t>
        </is>
      </c>
      <c r="S11" s="7" t="inlineStr">
        <is>
          <t>page summary via search</t>
        </is>
      </c>
      <c r="T11" s="7" t="inlineStr">
        <is>
          <t>2026-10-10</t>
        </is>
      </c>
      <c r="U11" s="7" t="inlineStr">
        <is>
          <t>https://data.consilium.europa.eu/doc/document/ST-12281-2016-INIT/en/pdf</t>
        </is>
      </c>
      <c r="V11" s="7" t="inlineStr"/>
      <c r="W11" s="7" t="inlineStr">
        <is>
          <t>http://web.archive.org/web/20220812152401/https://data.consilium.europa.eu/doc/document/ST-12281-2016-INIT/en/pdf</t>
        </is>
      </c>
    </row>
    <row r="12">
      <c r="A12" s="7" t="n">
        <v>3</v>
      </c>
      <c r="B12" s="7" t="inlineStr">
        <is>
          <t>Satellite and Cable Directive</t>
        </is>
      </c>
      <c r="C12" s="7" t="inlineStr">
        <is>
          <t>ex-ante assessment</t>
        </is>
      </c>
      <c r="D12" s="7" t="inlineStr">
        <is>
          <t>official</t>
        </is>
      </c>
      <c r="E12" s="7" t="inlineStr">
        <is>
          <t>initial review</t>
        </is>
      </c>
      <c r="F12" s="7" t="inlineStr">
        <is>
          <t>ec-2016-copyright-ia-satcab</t>
        </is>
      </c>
      <c r="G12" s="7" t="inlineStr">
        <is>
          <t>European Commission (2016), Impact assessment on the modernisation of EU copyright rules (online transmissions of broadcasters), SWD(2016) 301</t>
        </is>
      </c>
      <c r="H12" s="7" t="n">
        <v>2016</v>
      </c>
      <c r="I12" s="7" t="inlineStr">
        <is>
          <t>Commission impact assessment</t>
        </is>
      </c>
      <c r="J12" s="7" t="inlineStr">
        <is>
          <t>ex-ante</t>
        </is>
      </c>
      <c r="K12" s="7" t="inlineStr">
        <is>
          <t>online availability of broadcasts; licensing</t>
        </is>
      </c>
      <c r="L12" s="7" t="inlineStr">
        <is>
          <t>positive (forecast)</t>
        </is>
      </c>
      <c r="M12" s="7" t="inlineStr">
        <is>
          <t>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is>
      </c>
      <c r="N12" s="7" t="inlineStr">
        <is>
          <t>The Commission found most broadcasters block their online services abroad and proposed extending the satellite rule online; commercial TV feared it would undermine exclusive licensing.</t>
        </is>
      </c>
      <c r="O12" s="7" t="inlineStr">
        <is>
          <t>EU, forecast</t>
        </is>
      </c>
      <c r="P12" s="7" t="inlineStr">
        <is>
          <t>forecast; qualitative</t>
        </is>
      </c>
      <c r="Q12" s="7" t="inlineStr"/>
      <c r="R12" s="7" t="inlineStr">
        <is>
          <t>open</t>
        </is>
      </c>
      <c r="S12" s="7" t="inlineStr">
        <is>
          <t>full text partly read</t>
        </is>
      </c>
      <c r="T12" s="7" t="inlineStr">
        <is>
          <t>2026-10-10</t>
        </is>
      </c>
      <c r="U12" s="7" t="inlineStr">
        <is>
          <t>https://eur-lex.europa.eu/legal-content/EN/TXT/?uri=CELEX:52016SC0301</t>
        </is>
      </c>
      <c r="V12" s="7" t="inlineStr"/>
      <c r="W12" s="7" t="inlineStr"/>
    </row>
    <row r="13">
      <c r="A13" s="7" t="n">
        <v>4</v>
      </c>
      <c r="B13" s="7" t="inlineStr">
        <is>
          <t>Database Directive</t>
        </is>
      </c>
      <c r="C13" s="7" t="inlineStr">
        <is>
          <t>evidence</t>
        </is>
      </c>
      <c r="D13" s="7" t="inlineStr">
        <is>
          <t>official</t>
        </is>
      </c>
      <c r="E13" s="7" t="inlineStr">
        <is>
          <t>initial review</t>
        </is>
      </c>
      <c r="F13" s="7" t="inlineStr">
        <is>
          <t>ec-2005-database-evaluation</t>
        </is>
      </c>
      <c r="G13" s="7" t="inlineStr">
        <is>
          <t>European Commission, DG Internal Market and Services (2005), First evaluation of Directive 96/9/EC on the legal protection of databases, DG MARKT working paper, 12 December 2005</t>
        </is>
      </c>
      <c r="H13" s="7" t="n">
        <v>2005</v>
      </c>
      <c r="I13" s="7" t="inlineStr">
        <is>
          <t>Commission evaluation</t>
        </is>
      </c>
      <c r="J13" s="7" t="inlineStr">
        <is>
          <t>descriptive (Gale Directory of Databases counts; online industry survey)</t>
        </is>
      </c>
      <c r="K13" s="7" t="inlineStr">
        <is>
          <t>database production; EU vs US competitiveness</t>
        </is>
      </c>
      <c r="L13" s="7" t="inlineStr">
        <is>
          <t>no effect / negative</t>
        </is>
      </c>
      <c r="M13" s="7" t="inlineStr">
        <is>
          <t>'The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is>
      </c>
      <c r="N13" s="7" t="inlineStr">
        <is>
          <t>The Commission's first evaluation found that EU database production was no higher in 2004 than before the Directive, while the US - with no such right - pulled further ahead.</t>
        </is>
      </c>
      <c r="O13" s="7" t="inlineStr">
        <is>
          <t>EU vs US, 1996-2004</t>
        </is>
      </c>
      <c r="P13" s="7" t="inlineStr">
        <is>
          <t>descriptive counts; no control for other factors</t>
        </is>
      </c>
      <c r="Q13" s="7" t="inlineStr"/>
      <c r="R13" s="7" t="inlineStr">
        <is>
          <t>open</t>
        </is>
      </c>
      <c r="S13" s="7" t="inlineStr">
        <is>
          <t>page summary via search (report quoted verbatim by EDRi and Harvard Berkman blog; original URL now offline)</t>
        </is>
      </c>
      <c r="T13" s="7" t="inlineStr">
        <is>
          <t>2026-10-10</t>
        </is>
      </c>
      <c r="U13" s="7" t="inlineStr">
        <is>
          <t>https://ec.europa.eu/internal_market/copyright/docs/databases/evaluation_report_en.pdf</t>
        </is>
      </c>
      <c r="V13" s="7" t="inlineStr"/>
      <c r="W13" s="7" t="inlineStr"/>
    </row>
    <row r="14">
      <c r="A14" s="7" t="n">
        <v>4</v>
      </c>
      <c r="B14" s="7" t="inlineStr">
        <is>
          <t>Database Directive</t>
        </is>
      </c>
      <c r="C14" s="7" t="inlineStr">
        <is>
          <t>evidence</t>
        </is>
      </c>
      <c r="D14" s="7" t="inlineStr">
        <is>
          <t>official</t>
        </is>
      </c>
      <c r="E14" s="7" t="inlineStr">
        <is>
          <t>initial review</t>
        </is>
      </c>
      <c r="F14" s="7" t="inlineStr">
        <is>
          <t>ec-2018-database-evaluation</t>
        </is>
      </c>
      <c r="G14" s="7" t="inlineStr">
        <is>
          <t>European Commission (2018), Evaluation of Directive 96/9/EC on the legal protection of databases (executive summary SWD(2018) 147), SWD(2018) 146</t>
        </is>
      </c>
      <c r="H14" s="7" t="n">
        <v>2018</v>
      </c>
      <c r="I14" s="7" t="inlineStr">
        <is>
          <t>Commission evaluation</t>
        </is>
      </c>
      <c r="J14" s="7" t="inlineStr">
        <is>
          <t>review (supporting study, stakeholder survey, legal analysis)</t>
        </is>
      </c>
      <c r="K14" s="7" t="inlineStr">
        <is>
          <t>database production; competitiveness; costs and benefits</t>
        </is>
      </c>
      <c r="L14" s="7" t="inlineStr">
        <is>
          <t>no proven effect</t>
        </is>
      </c>
      <c r="M14" s="7" t="inlineStr">
        <is>
          <t>The sui generis right 'continues to have no proven impact on the overall production of databases in Europe, nor on the competitiveness of the EU database industry'; harmonisation effective; costs and benefits moderate with benefits seeming higher; reform judged disproportionate</t>
        </is>
      </c>
      <c r="N14" s="7" t="inlineStr">
        <is>
          <t>The Commission's second evaluation repeated that the special database right has not been shown to increase database production in Europe, but kept it because costs appear modest and many stakeholders value it.</t>
        </is>
      </c>
      <c r="O14" s="7" t="inlineStr">
        <is>
          <t>EU, 2005-2017</t>
        </is>
      </c>
      <c r="P14" s="7" t="inlineStr">
        <is>
          <t>self-evaluation; largely qualitative</t>
        </is>
      </c>
      <c r="Q14" s="7" t="inlineStr"/>
      <c r="R14" s="7" t="inlineStr">
        <is>
          <t>open</t>
        </is>
      </c>
      <c r="S14" s="7" t="inlineStr">
        <is>
          <t>executive summary full text read</t>
        </is>
      </c>
      <c r="T14" s="7" t="inlineStr">
        <is>
          <t>2026-10-10</t>
        </is>
      </c>
      <c r="U14" s="7" t="inlineStr">
        <is>
          <t>https://digital-strategy.ec.europa.eu/en/library/staff-working-document-and-executive-summary-evaluation-directive-969ec-legal-protection-databases</t>
        </is>
      </c>
      <c r="V14" s="7" t="inlineStr">
        <is>
          <t>https://data.consilium.europa.eu/doc/document/ST-8467-2018-INIT/en/pdf</t>
        </is>
      </c>
      <c r="W14" s="7" t="inlineStr"/>
    </row>
    <row r="15">
      <c r="A15" s="7" t="n">
        <v>4</v>
      </c>
      <c r="B15" s="7" t="inlineStr">
        <is>
          <t>Database Directive</t>
        </is>
      </c>
      <c r="C15" s="7" t="inlineStr">
        <is>
          <t>evidence</t>
        </is>
      </c>
      <c r="D15" s="7" t="inlineStr">
        <is>
          <t>official</t>
        </is>
      </c>
      <c r="E15" s="7" t="inlineStr">
        <is>
          <t>initial review</t>
        </is>
      </c>
      <c r="F15" s="7" t="inlineStr">
        <is>
          <t>technopolis-jiip-2018-database-study</t>
        </is>
      </c>
      <c r="G15" s="7" t="inlineStr">
        <is>
          <t>JIIP, Technopolis Group, University of Cambridge &amp; University of Nottingham (2018), Study in support of the evaluation of Directive 96/9/EC on the legal protection of databases, Study for the European Commission (DG CONNECT)</t>
        </is>
      </c>
      <c r="H15" s="7" t="n">
        <v>2018</v>
      </c>
      <c r="I15" s="7" t="inlineStr">
        <is>
          <t>Commission-commissioned evaluation study</t>
        </is>
      </c>
      <c r="J15" s="7" t="inlineStr">
        <is>
          <t>legal literature review, stakeholder survey, expert interviews</t>
        </is>
      </c>
      <c r="K15" s="7" t="inlineStr">
        <is>
          <t>data economy; access to data; scope</t>
        </is>
      </c>
      <c r="L15" s="7" t="inlineStr">
        <is>
          <t>mixed</t>
        </is>
      </c>
      <c r="M15" s="7" t="inlineStr">
        <is>
          <t>Views divided on extending protection to machine-generated data; academic researchers feared more data locked in closed databases or costly access models</t>
        </is>
      </c>
      <c r="N15" s="7" t="inlineStr">
        <is>
          <t>The study behind the 2018 evaluation found stakeholders split on the right, with researchers worried it could lock up data.</t>
        </is>
      </c>
      <c r="O15" s="7" t="inlineStr">
        <is>
          <t>EU, 2017</t>
        </is>
      </c>
      <c r="P15" s="7" t="inlineStr">
        <is>
          <t>qualitative</t>
        </is>
      </c>
      <c r="Q15" s="7" t="inlineStr"/>
      <c r="R15" s="7" t="inlineStr">
        <is>
          <t>open</t>
        </is>
      </c>
      <c r="S15" s="7" t="inlineStr">
        <is>
          <t>page summary via search</t>
        </is>
      </c>
      <c r="T15" s="7" t="inlineStr">
        <is>
          <t>2026-10-10</t>
        </is>
      </c>
      <c r="U15" s="7" t="inlineStr">
        <is>
          <t>https://www.technopolis-group.com/?p=8227</t>
        </is>
      </c>
      <c r="V15" s="7" t="inlineStr"/>
      <c r="W15" s="7" t="inlineStr"/>
    </row>
    <row r="16">
      <c r="A16" s="7" t="n">
        <v>4</v>
      </c>
      <c r="B16" s="7" t="inlineStr">
        <is>
          <t>Database Directive</t>
        </is>
      </c>
      <c r="C16" s="7" t="inlineStr">
        <is>
          <t>evidence</t>
        </is>
      </c>
      <c r="D16" s="7" t="inlineStr">
        <is>
          <t>other</t>
        </is>
      </c>
      <c r="E16" s="7" t="inlineStr">
        <is>
          <t>initial review</t>
        </is>
      </c>
      <c r="F16" s="7" t="inlineStr">
        <is>
          <t>boyle-2004-database-experiment</t>
        </is>
      </c>
      <c r="G16" s="7" t="inlineStr">
        <is>
          <t>Boyle (2004), A natural experiment: Do we want 'faith-based' IP policy?, Financial Times online, 22 November 2004</t>
        </is>
      </c>
      <c r="H16" s="7" t="n">
        <v>2004</v>
      </c>
      <c r="I16" s="7" t="inlineStr">
        <is>
          <t>commentary</t>
        </is>
      </c>
      <c r="J16" s="7" t="inlineStr">
        <is>
          <t>descriptive comparison (EU with database right vs US without, Gale Directory data)</t>
        </is>
      </c>
      <c r="K16" s="7" t="inlineStr">
        <is>
          <t>database production</t>
        </is>
      </c>
      <c r="L16" s="7" t="inlineStr">
        <is>
          <t>negative</t>
        </is>
      </c>
      <c r="M16" s="7" t="inlineStr">
        <is>
          <t>Argues the EU-US divergence after 1996 is a natural experiment showing the right did not boost EU database production; calls for evidence-based IP policy</t>
        </is>
      </c>
      <c r="N16" s="7" t="inlineStr">
        <is>
          <t>A leading copyright scholar argued that comparing Europe, which created a database right, with the US, which did not, shows the right failed to boost European databases.</t>
        </is>
      </c>
      <c r="O16" s="7" t="inlineStr">
        <is>
          <t>EU vs US, 1990s-2004</t>
        </is>
      </c>
      <c r="P16" s="7" t="inlineStr">
        <is>
          <t>opinion piece; descriptive</t>
        </is>
      </c>
      <c r="Q16" s="7" t="inlineStr"/>
      <c r="R16" s="7" t="inlineStr">
        <is>
          <t>open</t>
        </is>
      </c>
      <c r="S16" s="7" t="inlineStr">
        <is>
          <t>full text read</t>
        </is>
      </c>
      <c r="T16" s="7" t="inlineStr">
        <is>
          <t>2026-10-10</t>
        </is>
      </c>
      <c r="U16" s="7" t="inlineStr">
        <is>
          <t>https://law.duke.edu/boylesite/experiment.html</t>
        </is>
      </c>
      <c r="V16" s="7" t="inlineStr"/>
      <c r="W16" s="7" t="inlineStr">
        <is>
          <t>http://web.archive.org/web/20260803192909/https://law.duke.edu/boylesite/experiment.html</t>
        </is>
      </c>
    </row>
    <row r="17">
      <c r="A17" s="7" t="n">
        <v>6</v>
      </c>
      <c r="B17" s="7" t="inlineStr">
        <is>
          <t>Price Indication Directive</t>
        </is>
      </c>
      <c r="C17" s="7" t="inlineStr">
        <is>
          <t>evidence</t>
        </is>
      </c>
      <c r="D17" s="7" t="inlineStr">
        <is>
          <t>official</t>
        </is>
      </c>
      <c r="E17" s="7" t="inlineStr">
        <is>
          <t>initial review</t>
        </is>
      </c>
      <c r="F17" s="7" t="inlineStr">
        <is>
          <t>ec-2006-pid-communication</t>
        </is>
      </c>
      <c r="G17" s="7" t="inlineStr">
        <is>
          <t>European Commission (2006), Communication on the implementation of Directive 98/6/EC on consumer protection in the indication of prices, COM(2006) 325</t>
        </is>
      </c>
      <c r="H17" s="7" t="n">
        <v>2006</v>
      </c>
      <c r="I17" s="7" t="inlineStr">
        <is>
          <t>Commission evaluation (implementation report)</t>
        </is>
      </c>
      <c r="J17" s="7" t="inlineStr">
        <is>
          <t>review (transposition check, study of EU-15 small retailers)</t>
        </is>
      </c>
      <c r="K17" s="7" t="inlineStr">
        <is>
          <t>transposition; exemptions</t>
        </is>
      </c>
      <c r="L17" s="7" t="inlineStr">
        <is>
          <t>neutral</t>
        </is>
      </c>
      <c r="M17" s="7" t="inlineStr">
        <is>
          <t>All Member States transposed without major problems; national exemptions from unit pricing (small shops, product lists, quantity thresholds from 5g to 100g) diverge widely; consultation launched on simplification</t>
        </is>
      </c>
      <c r="N17" s="7" t="inlineStr">
        <is>
          <t>The 2006 review found every country had adopted the price-display rules, but with very different exemptions.</t>
        </is>
      </c>
      <c r="O17" s="7" t="inlineStr">
        <is>
          <t>EU, to 2005</t>
        </is>
      </c>
      <c r="P17" s="7" t="inlineStr">
        <is>
          <t>self-evaluation; descriptive</t>
        </is>
      </c>
      <c r="Q17" s="7" t="inlineStr"/>
      <c r="R17" s="7" t="inlineStr">
        <is>
          <t>open</t>
        </is>
      </c>
      <c r="S17" s="7" t="inlineStr">
        <is>
          <t>full text partly read</t>
        </is>
      </c>
      <c r="T17" s="7" t="inlineStr">
        <is>
          <t>2026-10-10</t>
        </is>
      </c>
      <c r="U17" s="7" t="inlineStr">
        <is>
          <t>https://eur-lex.europa.eu/legal-content/EN/TXT/?uri=CELEX:52006DC0325</t>
        </is>
      </c>
      <c r="V17" s="7" t="inlineStr"/>
      <c r="W17" s="7" t="inlineStr">
        <is>
          <t>http://web.archive.org/web/20260327203225/https://eur-lex.europa.eu/legal-content/EN/TXT/?uri=CELEX%3A52006DC0325</t>
        </is>
      </c>
    </row>
    <row r="18">
      <c r="A18" s="7" t="n">
        <v>6</v>
      </c>
      <c r="B18" s="7" t="inlineStr">
        <is>
          <t>Price Indication Directive</t>
        </is>
      </c>
      <c r="C18" s="7" t="inlineStr">
        <is>
          <t>evidence</t>
        </is>
      </c>
      <c r="D18" s="7" t="inlineStr">
        <is>
          <t>official</t>
        </is>
      </c>
      <c r="E18" s="7" t="inlineStr">
        <is>
          <t>initial review</t>
        </is>
      </c>
      <c r="F18" s="7" t="inlineStr">
        <is>
          <t>ec-2017-consumer-fitness-check</t>
        </is>
      </c>
      <c r="G18" s="7" t="inlineStr">
        <is>
          <t>European Commission (2017), Report of the Fitness Check of EU consumer and marketing law (incl. the UCPD), SWD(2017) 209</t>
        </is>
      </c>
      <c r="H18" s="7" t="n">
        <v>2017</v>
      </c>
      <c r="I18" s="7" t="inlineStr">
        <is>
          <t>Commission evaluation (fitness check)</t>
        </is>
      </c>
      <c r="J18" s="7" t="inlineStr">
        <is>
          <t>review (Civic Consulting support study, surveys, consultation)</t>
        </is>
      </c>
      <c r="K18" s="7" t="inlineStr">
        <is>
          <t>effectiveness; compliance costs</t>
        </is>
      </c>
      <c r="L18" s="7" t="inlineStr">
        <is>
          <t>positive overall, enforcement gaps</t>
        </is>
      </c>
      <c r="M18" s="7" t="inlineStr">
        <is>
          <t>Consumer and marketing rules, including the Price Indication Directive, still largely fit for purpose if effectively enforced; compliance costs proportionate; led to the 2019 Omnibus, which added the 30-day prior-price rule for price reductions</t>
        </is>
      </c>
      <c r="N18" s="7" t="inlineStr">
        <is>
          <t>The 2017 review found EU consumer rules, including price-display rules, largely fit for purpose but unevenly enforced; it led to a new rule on genuine price reductions.</t>
        </is>
      </c>
      <c r="O18" s="7" t="inlineStr">
        <is>
          <t>EU, to 2016</t>
        </is>
      </c>
      <c r="P18" s="7" t="inlineStr">
        <is>
          <t>self-evaluation</t>
        </is>
      </c>
      <c r="Q18" s="7" t="inlineStr"/>
      <c r="R18" s="7" t="inlineStr">
        <is>
          <t>open</t>
        </is>
      </c>
      <c r="S18" s="7" t="inlineStr">
        <is>
          <t>page summary via search</t>
        </is>
      </c>
      <c r="T18" s="7" t="inlineStr">
        <is>
          <t>2026-10-10</t>
        </is>
      </c>
      <c r="U18" s="7" t="inlineStr">
        <is>
          <t>https://www.eumonitor.eu/9353000/1/j9vvik7m1c3gyxp/vkewrzaq4ozm</t>
        </is>
      </c>
      <c r="V18" s="7" t="inlineStr"/>
      <c r="W18" s="7" t="inlineStr"/>
    </row>
    <row r="19">
      <c r="A19" s="7" t="n">
        <v>6</v>
      </c>
      <c r="B19" s="7" t="inlineStr">
        <is>
          <t>Price Indication Directive</t>
        </is>
      </c>
      <c r="C19" s="7" t="inlineStr">
        <is>
          <t>evidence</t>
        </is>
      </c>
      <c r="D19" s="7" t="inlineStr">
        <is>
          <t>official</t>
        </is>
      </c>
      <c r="E19" s="7" t="inlineStr">
        <is>
          <t>initial review</t>
        </is>
      </c>
      <c r="F19" s="7" t="inlineStr">
        <is>
          <t>ec-2024-omnibus-report</t>
        </is>
      </c>
      <c r="G19" s="7" t="inlineStr">
        <is>
          <t>European Commission (2024), Report on the implementation of Directive (EU) 2019/2161 (Modernisation/Omnibus Directive), COM(2024) 258</t>
        </is>
      </c>
      <c r="H19" s="7" t="n">
        <v>2024</v>
      </c>
      <c r="I19" s="7" t="inlineStr">
        <is>
          <t>Commission evaluation</t>
        </is>
      </c>
      <c r="J19" s="7" t="inlineStr">
        <is>
          <t>implementation report (transposition, sweeps, surveys)</t>
        </is>
      </c>
      <c r="K19" s="7" t="inlineStr">
        <is>
          <t>price-reduction compliance; transposition</t>
        </is>
      </c>
      <c r="L19" s="7" t="inlineStr">
        <is>
          <t>mixed (early)</t>
        </is>
      </c>
      <c r="M19" s="7" t="inlineStr">
        <is>
          <t>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is>
      </c>
      <c r="N19" s="7" t="inlineStr">
        <is>
          <t>The new rule that discounts must be measured against the lowest price of the past 30 days was widely breached in early checks: about a quarter of discounts in an EU-wide sweep did not comply.</t>
        </is>
      </c>
      <c r="O19" s="7" t="inlineStr">
        <is>
          <t>EU, 2022-2023</t>
        </is>
      </c>
      <c r="P19" s="7" t="inlineStr">
        <is>
          <t>descriptive</t>
        </is>
      </c>
      <c r="Q19" s="7" t="inlineStr"/>
      <c r="R19" s="7" t="inlineStr">
        <is>
          <t>open</t>
        </is>
      </c>
      <c r="S19" s="7" t="inlineStr">
        <is>
          <t>full text partly read</t>
        </is>
      </c>
      <c r="T19" s="7" t="inlineStr">
        <is>
          <t>2026-10-10</t>
        </is>
      </c>
      <c r="U19" s="7" t="inlineStr">
        <is>
          <t>https://eur-lex.europa.eu/legal-content/EN/TXT/?uri=CELEX:52024DC0258</t>
        </is>
      </c>
      <c r="V19" s="7" t="inlineStr"/>
      <c r="W19" s="7" t="inlineStr">
        <is>
          <t>http://web.archive.org/web/20251212002809/https://eur-lex.europa.eu/legal-content/EN/TXT/?uri=celex:52024DC0258</t>
        </is>
      </c>
    </row>
    <row r="20">
      <c r="A20" s="7" t="n">
        <v>8</v>
      </c>
      <c r="B20" s="7" t="inlineStr">
        <is>
          <t>E-commerce Directive</t>
        </is>
      </c>
      <c r="C20" s="7" t="inlineStr">
        <is>
          <t>evidence</t>
        </is>
      </c>
      <c r="D20" s="7" t="inlineStr">
        <is>
          <t>official</t>
        </is>
      </c>
      <c r="E20" s="7" t="inlineStr">
        <is>
          <t>initial review</t>
        </is>
      </c>
      <c r="F20" s="7" t="inlineStr">
        <is>
          <t>ec-2003-ecd-first-report</t>
        </is>
      </c>
      <c r="G20" s="7" t="inlineStr">
        <is>
          <t>European Commission (2003), First Report on the application of Directive 2000/31/EC on electronic commerce, COM(2003) 702</t>
        </is>
      </c>
      <c r="H20" s="7" t="n">
        <v>2003</v>
      </c>
      <c r="I20" s="7" t="inlineStr">
        <is>
          <t>Commission review</t>
        </is>
      </c>
      <c r="J20" s="7" t="inlineStr">
        <is>
          <t>implementation review</t>
        </is>
      </c>
      <c r="K20" s="7" t="inlineStr">
        <is>
          <t>transposition; e-commerce development</t>
        </is>
      </c>
      <c r="L20" s="7" t="inlineStr">
        <is>
          <t>positive (qualitative)</t>
        </is>
      </c>
      <c r="M20" s="7" t="inlineStr">
        <is>
          <t>Directive 'has had a substantial and positive effect on e-commerce within Europe' despite limited experience; revision premature</t>
        </is>
      </c>
      <c r="N20" s="7" t="inlineStr">
        <is>
          <t>Three years in, the Commission judged the Directive positive for online business but said it was too early to measure its effects.</t>
        </is>
      </c>
      <c r="O20" s="7" t="inlineStr">
        <is>
          <t>EU15, 2000-03</t>
        </is>
      </c>
      <c r="P20" s="7" t="inlineStr">
        <is>
          <t>early qualitative review</t>
        </is>
      </c>
      <c r="Q20" s="7" t="inlineStr"/>
      <c r="R20" s="7" t="inlineStr">
        <is>
          <t>open</t>
        </is>
      </c>
      <c r="S20" s="7" t="inlineStr">
        <is>
          <t>full text read</t>
        </is>
      </c>
      <c r="T20" s="7" t="inlineStr">
        <is>
          <t>2026-10-10</t>
        </is>
      </c>
      <c r="U20" s="7" t="inlineStr">
        <is>
          <t>https://eur-lex.europa.eu/legal-content/EN/TXT/?uri=CELEX:52003DC0702</t>
        </is>
      </c>
      <c r="V20" s="7" t="inlineStr"/>
      <c r="W20" s="7" t="inlineStr"/>
    </row>
    <row r="21">
      <c r="A21" s="7" t="n">
        <v>8</v>
      </c>
      <c r="B21" s="7" t="inlineStr">
        <is>
          <t>E-commerce Directive</t>
        </is>
      </c>
      <c r="C21" s="7" t="inlineStr">
        <is>
          <t>evidence</t>
        </is>
      </c>
      <c r="D21" s="7" t="inlineStr">
        <is>
          <t>official</t>
        </is>
      </c>
      <c r="E21" s="7" t="inlineStr">
        <is>
          <t>initial review</t>
        </is>
      </c>
      <c r="F21" s="7" t="inlineStr">
        <is>
          <t>ec-2020-ecd-evaluation</t>
        </is>
      </c>
      <c r="G21" s="7" t="inlineStr">
        <is>
          <t>European Commission (2020), Evaluation of the e-Commerce Directive (Annex 5 to the Digital Services Act impact assessment), SWD(2020) 348</t>
        </is>
      </c>
      <c r="H21" s="7" t="n">
        <v>2020</v>
      </c>
      <c r="I21" s="7" t="inlineStr">
        <is>
          <t>Commission evaluation</t>
        </is>
      </c>
      <c r="J21" s="7" t="inlineStr">
        <is>
          <t>ex-post evaluation (consultation, studies, case law)</t>
        </is>
      </c>
      <c r="K21" s="7" t="inlineStr">
        <is>
          <t>cross-border services; legal certainty; fundamental rights</t>
        </is>
      </c>
      <c r="L21" s="7" t="inlineStr">
        <is>
          <t>mixed</t>
        </is>
      </c>
      <c r="M21" s="7" t="inlineStr">
        <is>
          <t>Core principles still valid; enabled cross-border growth of digital services; liability regime gave minimum legal certainty but conflicting national interpretations and fragmentation; only partially achieved protection of fundamental rights; cooperation mechanism little used</t>
        </is>
      </c>
      <c r="N21" s="7" t="inlineStr">
        <is>
          <t>The Commission's own evaluation found the Directive's core rules helped online services grow across borders, but national courts applied them inconsistently and removal of legal content was not well protected.</t>
        </is>
      </c>
      <c r="O21" s="7" t="inlineStr">
        <is>
          <t>EU, 2000-2020</t>
        </is>
      </c>
      <c r="P21" s="7" t="inlineStr">
        <is>
          <t>qualitative evaluation; no counterfactual</t>
        </is>
      </c>
      <c r="Q21" s="7" t="inlineStr"/>
      <c r="R21" s="7" t="inlineStr">
        <is>
          <t>open</t>
        </is>
      </c>
      <c r="S21" s="7" t="inlineStr">
        <is>
          <t>full text read</t>
        </is>
      </c>
      <c r="T21" s="7" t="inlineStr">
        <is>
          <t>2026-10-10</t>
        </is>
      </c>
      <c r="U21" s="7" t="inlineStr">
        <is>
          <t>https://eur-lex.europa.eu/legal-content/EN/TXT/?uri=CELEX:52020SC0348</t>
        </is>
      </c>
      <c r="V21" s="7" t="inlineStr"/>
      <c r="W21" s="7" t="inlineStr">
        <is>
          <t>http://web.archive.org/web/20260818202611/https://eur-lex.europa.eu/legal-content/EN/TXT/?uri=celex%3A52020SC0348</t>
        </is>
      </c>
    </row>
    <row r="22">
      <c r="A22" s="7" t="n">
        <v>8</v>
      </c>
      <c r="B22" s="7" t="inlineStr">
        <is>
          <t>E-commerce Directive</t>
        </is>
      </c>
      <c r="C22" s="7" t="inlineStr">
        <is>
          <t>evidence</t>
        </is>
      </c>
      <c r="D22" s="7" t="inlineStr">
        <is>
          <t>official</t>
        </is>
      </c>
      <c r="E22" s="7" t="inlineStr">
        <is>
          <t>initial review</t>
        </is>
      </c>
      <c r="F22" s="7" t="inlineStr">
        <is>
          <t>eprs-2020-dsa-eava</t>
        </is>
      </c>
      <c r="G22" s="7" t="inlineStr">
        <is>
          <t>Lomba &amp; Evas (EPRS) (2020), Digital Services Act: European added value assessment, European Parliamentary Research Service, PE 654.180</t>
        </is>
      </c>
      <c r="H22" s="7" t="n">
        <v>2020</v>
      </c>
      <c r="I22" s="7" t="inlineStr">
        <is>
          <t>Parliament research</t>
        </is>
      </c>
      <c r="J22" s="7" t="inlineStr">
        <is>
          <t>gap analysis plus macro-model simulation (Cambridge Econometrics E3ME)</t>
        </is>
      </c>
      <c r="K22" s="7" t="inlineStr">
        <is>
          <t>GDP</t>
        </is>
      </c>
      <c r="L22" s="7" t="inlineStr">
        <is>
          <t>positive (forecast)</t>
        </is>
      </c>
      <c r="M22" s="7" t="inlineStr">
        <is>
          <t>Identified 22 gaps and risks in the e-Commerce Directive framework; reform packages on consumer protection/common e-commerce rules and on content management estimated to add about EUR 47bn and EUR 29bn to EU GDP over 2020-30</t>
        </is>
      </c>
      <c r="N22" s="7" t="inlineStr">
        <is>
          <t>The Parliament's research service estimated that fixing gaps in the e-Commerce Directive could add tens of billions of euros to EU GDP over a decade.</t>
        </is>
      </c>
      <c r="O22" s="7" t="inlineStr">
        <is>
          <t>EU, forecast 2020-30</t>
        </is>
      </c>
      <c r="P22" s="7" t="inlineStr">
        <is>
          <t>ex-ante simulation</t>
        </is>
      </c>
      <c r="Q22" s="7" t="inlineStr"/>
      <c r="R22" s="7" t="inlineStr">
        <is>
          <t>open</t>
        </is>
      </c>
      <c r="S22" s="7" t="inlineStr">
        <is>
          <t>page summary via search</t>
        </is>
      </c>
      <c r="T22" s="7" t="inlineStr">
        <is>
          <t>2026-10-10</t>
        </is>
      </c>
      <c r="U22" s="7" t="inlineStr">
        <is>
          <t>https://www.europarl.europa.eu/thinktank/en/document/EPRS_STU(2020)654180</t>
        </is>
      </c>
      <c r="V22" s="7" t="inlineStr">
        <is>
          <t>https://www.camecon.com/wp-content/uploads/2021/07/EPRS_STU2020654180_EN.pdf</t>
        </is>
      </c>
      <c r="W22" s="7" t="inlineStr"/>
    </row>
    <row r="23">
      <c r="A23" s="7" t="n">
        <v>8</v>
      </c>
      <c r="B23" s="7" t="inlineStr">
        <is>
          <t>E-commerce Directive</t>
        </is>
      </c>
      <c r="C23" s="7" t="inlineStr">
        <is>
          <t>evidence</t>
        </is>
      </c>
      <c r="D23" s="7" t="inlineStr">
        <is>
          <t>consultancy or industry</t>
        </is>
      </c>
      <c r="E23" s="7" t="inlineStr">
        <is>
          <t>initial review</t>
        </is>
      </c>
      <c r="F23" s="7" t="inlineStr">
        <is>
          <t>oxera-2015-safe-harbours</t>
        </is>
      </c>
      <c r="G23" s="7" t="inlineStr">
        <is>
          <t>Oxera (2015), The economic impact of safe harbours on Internet intermediary start-ups, Oxera report prepared for Google</t>
        </is>
      </c>
      <c r="H23" s="7" t="n">
        <v>2015</v>
      </c>
      <c r="I23" s="7" t="inlineStr">
        <is>
          <t>consultancy report</t>
        </is>
      </c>
      <c r="J23" s="7" t="inlineStr">
        <is>
          <t>simulation model of start-up success (Chile, Germany, India, Thailand)</t>
        </is>
      </c>
      <c r="K23" s="7" t="inlineStr">
        <is>
          <t>start-up success rates; start-up value</t>
        </is>
      </c>
      <c r="L23" s="7" t="inlineStr">
        <is>
          <t>positive</t>
        </is>
      </c>
      <c r="M23" s="7" t="inlineStr">
        <is>
          <t>A clear, low-cost liability regime could raise intermediary start-up success rates by 4% (Chile) to 24% (Thailand); in Germany by 1.6 percentage points (about 9%), NPV +3%; results are order-of-magnitude only</t>
        </is>
      </c>
      <c r="N23" s="7" t="inlineStr">
        <is>
          <t>A Google-funded simulation estimated that clearer liability protection could make German internet start-ups about 9% more likely to succeed.</t>
        </is>
      </c>
      <c r="O23" s="7" t="inlineStr">
        <is>
          <t>Chile, Germany, India, Thailand</t>
        </is>
      </c>
      <c r="P23" s="7" t="inlineStr">
        <is>
          <t>simulation with assumed parameters; not causal</t>
        </is>
      </c>
      <c r="Q23" s="7" t="inlineStr">
        <is>
          <t>Commissioned by Google</t>
        </is>
      </c>
      <c r="R23" s="7" t="inlineStr">
        <is>
          <t>open</t>
        </is>
      </c>
      <c r="S23" s="7" t="inlineStr">
        <is>
          <t>full text read</t>
        </is>
      </c>
      <c r="T23" s="7" t="inlineStr">
        <is>
          <t>2026-10-10</t>
        </is>
      </c>
      <c r="U23" s="7" t="inlineStr">
        <is>
          <t>https://www.oxera.com/wp-content/uploads/2018/07/The-economic-impact-of-safe-harbours-on-Internet-intermediary-start-ups.pdf.pdf</t>
        </is>
      </c>
      <c r="V23" s="7" t="inlineStr"/>
      <c r="W23" s="7" t="inlineStr"/>
    </row>
    <row r="24">
      <c r="A24" s="7" t="n">
        <v>8</v>
      </c>
      <c r="B24" s="7" t="inlineStr">
        <is>
          <t>E-commerce Directive</t>
        </is>
      </c>
      <c r="C24" s="7" t="inlineStr">
        <is>
          <t>evidence</t>
        </is>
      </c>
      <c r="D24" s="7" t="inlineStr">
        <is>
          <t>academic</t>
        </is>
      </c>
      <c r="E24" s="7" t="inlineStr">
        <is>
          <t>initial review</t>
        </is>
      </c>
      <c r="F24" s="7" t="inlineStr">
        <is>
          <t>lefouili-madio-2022-platform-liability</t>
        </is>
      </c>
      <c r="G24" s="7" t="inlineStr">
        <is>
          <t>Lefouili &amp; Madio (2022), The economics of platform liability, European Journal of Law and Economics 53(3), 319-351</t>
        </is>
      </c>
      <c r="H24" s="7" t="n">
        <v>2022</v>
      </c>
      <c r="I24" s="7" t="inlineStr">
        <is>
          <t>peer-reviewed</t>
        </is>
      </c>
      <c r="J24" s="7" t="inlineStr">
        <is>
          <t>economic theory and literature review</t>
        </is>
      </c>
      <c r="K24" s="7" t="inlineStr">
        <is>
          <t>prices; business models; investment; competition</t>
        </is>
      </c>
      <c r="L24" s="7" t="inlineStr">
        <is>
          <t>mixed</t>
        </is>
      </c>
      <c r="M24" s="7" t="inlineStr">
        <is>
          <t>Reviews platforms' incentives to curb misconduct without liability and how stricter liability would affect prices, terms, business models, investment, competition and third-party sellers; weighs costs and benefits of policy proposals</t>
        </is>
      </c>
      <c r="N24" s="7" t="inlineStr">
        <is>
          <t>An economics review finds that making platforms more liable for users' misconduct has both benefits and costs, including effects on prices, investment and competition.</t>
        </is>
      </c>
      <c r="O24" s="7" t="inlineStr">
        <is>
          <t>theory/review</t>
        </is>
      </c>
      <c r="P24" s="7" t="inlineStr">
        <is>
          <t>review; partly based on a report for the European Commission</t>
        </is>
      </c>
      <c r="Q24" s="7" t="inlineStr"/>
      <c r="R24" s="7" t="inlineStr">
        <is>
          <t>open</t>
        </is>
      </c>
      <c r="S24" s="7" t="inlineStr">
        <is>
          <t>abstract read</t>
        </is>
      </c>
      <c r="T24" s="7" t="inlineStr">
        <is>
          <t>2026-10-10</t>
        </is>
      </c>
      <c r="U24" s="7" t="inlineStr">
        <is>
          <t>https://doi.org/10.1007/s10657-022-09728-7</t>
        </is>
      </c>
      <c r="V24" s="7" t="inlineStr">
        <is>
          <t>https://pmc.ncbi.nlm.nih.gov/articles/PMC8857911</t>
        </is>
      </c>
      <c r="W24" s="7" t="inlineStr"/>
    </row>
    <row r="25">
      <c r="A25" s="7" t="n">
        <v>8</v>
      </c>
      <c r="B25" s="7" t="inlineStr">
        <is>
          <t>E-commerce Directive</t>
        </is>
      </c>
      <c r="C25" s="7" t="inlineStr">
        <is>
          <t>evidence</t>
        </is>
      </c>
      <c r="D25" s="7" t="inlineStr">
        <is>
          <t>academic</t>
        </is>
      </c>
      <c r="E25" s="7" t="inlineStr">
        <is>
          <t>initial review</t>
        </is>
      </c>
      <c r="F25" s="7" t="inlineStr">
        <is>
          <t>erickson-kretschmer-2020-empirical-il</t>
        </is>
      </c>
      <c r="G25" s="7" t="inlineStr">
        <is>
          <t>Erickson &amp; Kretschmer (2020), Empirical Approaches to Intermediary Liability, in G. Frosio (ed.), Oxford Handbook of Online Intermediary Liability, OUP, 104-121</t>
        </is>
      </c>
      <c r="H25" s="7" t="n">
        <v>2020</v>
      </c>
      <c r="I25" s="7" t="inlineStr">
        <is>
          <t>book chapter (systematic review)</t>
        </is>
      </c>
      <c r="J25" s="7" t="inlineStr">
        <is>
          <t>systematic review of empirical studies on notice-and-takedown, 1998-2018</t>
        </is>
      </c>
      <c r="K25" s="7" t="inlineStr">
        <is>
          <t>takedown volumes; accuracy; over-enforcement</t>
        </is>
      </c>
      <c r="L25" s="7" t="inlineStr">
        <is>
          <t>mixed</t>
        </is>
      </c>
      <c r="M25" s="7" t="inlineStr">
        <is>
          <t>Rightholders make heavy use of notice-and-takedown, accelerated by automation since about 2012; abuse is real but probably overstated; due process and transparency need improvement</t>
        </is>
      </c>
      <c r="N25" s="7" t="inlineStr">
        <is>
          <t>A review of 20 years of research on safe-harbour takedown systems finds heavy and growing use, some abuse, and weak transparency.</t>
        </is>
      </c>
      <c r="O25" s="7" t="inlineStr">
        <is>
          <t>multi-country, 1998-2018</t>
        </is>
      </c>
      <c r="P25" s="7" t="inlineStr">
        <is>
          <t>systematic review</t>
        </is>
      </c>
      <c r="Q25" s="7" t="inlineStr"/>
      <c r="R25" s="7" t="inlineStr">
        <is>
          <t>open</t>
        </is>
      </c>
      <c r="S25" s="7" t="inlineStr">
        <is>
          <t>abstract read</t>
        </is>
      </c>
      <c r="T25" s="7" t="inlineStr">
        <is>
          <t>2026-10-10</t>
        </is>
      </c>
      <c r="U25" s="7" t="inlineStr">
        <is>
          <t>https://papers.ssrn.com/abstract=3400230</t>
        </is>
      </c>
      <c r="V25" s="7" t="inlineStr"/>
      <c r="W25" s="7" t="inlineStr"/>
    </row>
    <row r="26">
      <c r="A26" s="7" t="n">
        <v>7</v>
      </c>
      <c r="B26" s="7" t="inlineStr">
        <is>
          <t>Information Society (InfoSoc) Directive</t>
        </is>
      </c>
      <c r="C26" s="7" t="inlineStr">
        <is>
          <t>evidence</t>
        </is>
      </c>
      <c r="D26" s="7" t="inlineStr">
        <is>
          <t>official</t>
        </is>
      </c>
      <c r="E26" s="7" t="inlineStr">
        <is>
          <t>initial review</t>
        </is>
      </c>
      <c r="F26" s="7" t="inlineStr">
        <is>
          <t>ivir-2007-infosoc-study</t>
        </is>
      </c>
      <c r="G26" s="7" t="inlineStr">
        <is>
          <t>Westkamp, Rieber-Mohn, van Eechoud, Guibault, Helberger &amp; Hugenholtz (IViR) (2007), Study on the Implementation and Effect in Member States' Laws of Directive 2001/29/EC, Study for the European Commission (DG Internal Market)</t>
        </is>
      </c>
      <c r="H26" s="7" t="n">
        <v>2007</v>
      </c>
      <c r="I26" s="7" t="inlineStr">
        <is>
          <t>Commission-commissioned evaluation study</t>
        </is>
      </c>
      <c r="J26" s="7" t="inlineStr">
        <is>
          <t>legal comparative review, stakeholder workshop</t>
        </is>
      </c>
      <c r="K26" s="7" t="inlineStr">
        <is>
          <t>harmonisation; legal certainty; online business models</t>
        </is>
      </c>
      <c r="L26" s="7" t="inlineStr">
        <is>
          <t>negative</t>
        </is>
      </c>
      <c r="M26" s="7" t="inlineStr">
        <is>
          <t>Harmonising effect of the optional exceptions 'very modest at best', a 'mosaic' of national rules; DRM rules offer 'confusion, legal uncertainty and disharmonisation'; the Directive 'at best only partly achieved' its goal of promoting growth and innovation in online content services</t>
        </is>
      </c>
      <c r="N26" s="7" t="inlineStr">
        <is>
          <t>The Commission's own commissioned evaluation found the Directive did little to harmonise copyright exceptions across the EU and only partly met its goal of boosting online content services.</t>
        </is>
      </c>
      <c r="O26" s="7" t="inlineStr">
        <is>
          <t>EU-25, 2001-2006</t>
        </is>
      </c>
      <c r="P26" s="7" t="inlineStr">
        <is>
          <t>legal analysis; no quantitative impact estimates</t>
        </is>
      </c>
      <c r="Q26" s="7" t="inlineStr"/>
      <c r="R26" s="7" t="inlineStr">
        <is>
          <t>open</t>
        </is>
      </c>
      <c r="S26" s="7" t="inlineStr">
        <is>
          <t>full text partly read</t>
        </is>
      </c>
      <c r="T26" s="7" t="inlineStr">
        <is>
          <t>2026-10-10</t>
        </is>
      </c>
      <c r="U26" s="7" t="inlineStr">
        <is>
          <t>https://www.ivir.nl/publicaties/download/Infosoc_report_2007.pdf</t>
        </is>
      </c>
      <c r="V26" s="7" t="inlineStr"/>
      <c r="W26" s="7" t="inlineStr">
        <is>
          <t>http://web.archive.org/web/20261004172942/https://www.ivir.nl/publicaties/download/Infosoc_report_2007.pdf</t>
        </is>
      </c>
    </row>
    <row r="27">
      <c r="A27" s="7" t="n">
        <v>7</v>
      </c>
      <c r="B27" s="7" t="inlineStr">
        <is>
          <t>Information Society (InfoSoc) Directive</t>
        </is>
      </c>
      <c r="C27" s="7" t="inlineStr">
        <is>
          <t>evidence</t>
        </is>
      </c>
      <c r="D27" s="7" t="inlineStr">
        <is>
          <t>official</t>
        </is>
      </c>
      <c r="E27" s="7" t="inlineStr">
        <is>
          <t>initial review</t>
        </is>
      </c>
      <c r="F27" s="7" t="inlineStr">
        <is>
          <t>ec-2007-infosoc-application</t>
        </is>
      </c>
      <c r="G27" s="7" t="inlineStr">
        <is>
          <t>European Commission (2007), Report to the Council, the European Parliament and the Economic and Social Committee on the application of Directive 2001/29/EC, SEC(2007) 1556 (summary via European Parliament Legislative Observatory)</t>
        </is>
      </c>
      <c r="H27" s="7" t="n">
        <v>2007</v>
      </c>
      <c r="I27" s="7" t="inlineStr">
        <is>
          <t>Commission evaluation</t>
        </is>
      </c>
      <c r="J27" s="7" t="inlineStr">
        <is>
          <t>review of transposition and national case law (Arts 5, 6, 8)</t>
        </is>
      </c>
      <c r="K27" s="7" t="inlineStr">
        <is>
          <t>exceptions; DRM; sanctions</t>
        </is>
      </c>
      <c r="L27" s="7" t="inlineStr">
        <is>
          <t>mixed</t>
        </is>
      </c>
      <c r="M27" s="7" t="inlineStr">
        <is>
          <t>Courts often sidestepped the exceptions by interpreting the reproduction right; national private-copying, library and parody exceptions very diverse; Member States chose very different mechanisms (none, mediation, courts, administrative bodies) to reconcile DRM with exceptions</t>
        </is>
      </c>
      <c r="N27" s="7" t="inlineStr">
        <is>
          <t>The Commission's first review found Member States had implemented the copyright exceptions and anti-circumvention rules in very different ways.</t>
        </is>
      </c>
      <c r="O27" s="7" t="inlineStr">
        <is>
          <t>EU, 2001-2007</t>
        </is>
      </c>
      <c r="P27" s="7" t="inlineStr">
        <is>
          <t>legal review only; no economic data</t>
        </is>
      </c>
      <c r="Q27" s="7" t="inlineStr"/>
      <c r="R27" s="7" t="inlineStr">
        <is>
          <t>open</t>
        </is>
      </c>
      <c r="S27" s="7" t="inlineStr">
        <is>
          <t>page summary (official procedure summary read)</t>
        </is>
      </c>
      <c r="T27" s="7" t="inlineStr">
        <is>
          <t>2026-10-10</t>
        </is>
      </c>
      <c r="U27" s="7" t="inlineStr">
        <is>
          <t>https://oeil.europarl.europa.eu/oeil/en/procedure-document-summary/pdf?id=1035933</t>
        </is>
      </c>
      <c r="V27" s="7" t="inlineStr"/>
      <c r="W27" s="7" t="inlineStr"/>
    </row>
    <row r="28">
      <c r="A28" s="7" t="n">
        <v>7</v>
      </c>
      <c r="B28" s="7" t="inlineStr">
        <is>
          <t>Information Society (InfoSoc) Directive</t>
        </is>
      </c>
      <c r="C28" s="7" t="inlineStr">
        <is>
          <t>ex-ante assessment</t>
        </is>
      </c>
      <c r="D28" s="7" t="inlineStr">
        <is>
          <t>official</t>
        </is>
      </c>
      <c r="E28" s="7" t="inlineStr">
        <is>
          <t>initial review</t>
        </is>
      </c>
      <c r="F28" s="7" t="inlineStr">
        <is>
          <t>ec-2016-copyright-ia</t>
        </is>
      </c>
      <c r="G28" s="7" t="inlineStr">
        <is>
          <t>European Commission (2016), Impact assessment on the modernisation of EU copyright rules (executive summary SWD(2016) 302), SWD(2016) 301</t>
        </is>
      </c>
      <c r="H28" s="7" t="n">
        <v>2016</v>
      </c>
      <c r="I28" s="7" t="inlineStr">
        <is>
          <t>Commission impact assessment</t>
        </is>
      </c>
      <c r="J28" s="7" t="inlineStr">
        <is>
          <t>ex-ante (for successor Directive 2019/790); includes problem review of InfoSoc exceptions</t>
        </is>
      </c>
      <c r="K28" s="7" t="inlineStr">
        <is>
          <t>legal certainty; research; education; cultural heritage</t>
        </is>
      </c>
      <c r="L28" s="7" t="inlineStr">
        <is>
          <t>negative (problem diagnosis for InfoSoc)</t>
        </is>
      </c>
      <c r="M28" s="7" t="inlineStr">
        <is>
          <t>Legal uncertainty over acts allowed under existing exceptions in the digital environment identified as a major issue for teachers, researchers doing text and data mining, and cultural heritage institutions; new mandatory exceptions proposed</t>
        </is>
      </c>
      <c r="N28" s="7" t="inlineStr">
        <is>
          <t>Fifteen years on, the Commission concluded that the Directive's optional exceptions left teachers, researchers and libraries uncertain about what they may do online, and proposed new mandatory exceptions.</t>
        </is>
      </c>
      <c r="O28" s="7" t="inlineStr">
        <is>
          <t>EU, 2016</t>
        </is>
      </c>
      <c r="P28" s="7" t="inlineStr">
        <is>
          <t>ex-ante; qualitative on InfoSoc</t>
        </is>
      </c>
      <c r="Q28" s="7" t="inlineStr"/>
      <c r="R28" s="7" t="inlineStr">
        <is>
          <t>open</t>
        </is>
      </c>
      <c r="S28" s="7" t="inlineStr">
        <is>
          <t>executive summary read</t>
        </is>
      </c>
      <c r="T28" s="7" t="inlineStr">
        <is>
          <t>2026-10-10</t>
        </is>
      </c>
      <c r="U28" s="7" t="inlineStr">
        <is>
          <t>https://eur-lex.europa.eu/legal-content/EN/TXT/?uri=CELEX:52016SC0301</t>
        </is>
      </c>
      <c r="V28" s="7" t="inlineStr"/>
      <c r="W28" s="7" t="inlineStr">
        <is>
          <t>http://web.archive.org/web/20250411215956/https://eur-lex.europa.eu/legal-content/en/TXT/?uri=CELEX:52016SC0301</t>
        </is>
      </c>
    </row>
    <row r="29">
      <c r="A29" s="7" t="n">
        <v>7</v>
      </c>
      <c r="B29" s="7" t="inlineStr">
        <is>
          <t>Information Society (InfoSoc) Directive</t>
        </is>
      </c>
      <c r="C29" s="7" t="inlineStr">
        <is>
          <t>evidence</t>
        </is>
      </c>
      <c r="D29" s="7" t="inlineStr">
        <is>
          <t>academic</t>
        </is>
      </c>
      <c r="E29" s="7" t="inlineStr">
        <is>
          <t>initial review</t>
        </is>
      </c>
      <c r="F29" s="7" t="inlineStr">
        <is>
          <t>handke-guibault-vallbe-2015</t>
        </is>
      </c>
      <c r="G29" s="7" t="inlineStr">
        <is>
          <t>Handke, Guibault &amp; Vallbe (2015), Is Europe Falling Behind in Data Mining? Copyright's Impact on Data Mining in Academic Research, ELPUB 2015 proceedings, IOS Press (SSRN 2608513)</t>
        </is>
      </c>
      <c r="H29" s="7" t="n">
        <v>2015</v>
      </c>
      <c r="I29" s="7" t="inlineStr">
        <is>
          <t>peer-reviewed (conference)</t>
        </is>
      </c>
      <c r="J29" s="7" t="inlineStr">
        <is>
          <t>cross-country panel regression (bibliometric data, 42 countries, 1992-2014); correlational</t>
        </is>
      </c>
      <c r="K29" s="7" t="inlineStr">
        <is>
          <t>research output (data mining)</t>
        </is>
      </c>
      <c r="L29" s="7" t="inlineStr">
        <is>
          <t>negative</t>
        </is>
      </c>
      <c r="M29" s="7" t="inlineStr">
        <is>
          <t>Where data mining requires express rightholder consent, it accounts for a significantly smaller share of research output; authors describe it as the first empirical study to find a significant negative association between copyright protection and innovation</t>
        </is>
      </c>
      <c r="N29" s="7" t="inlineStr">
        <is>
          <t>Countries whose copyright law requires permission for text and data mining - including most EU states before 2019 - produce noticeably less data-mining research.</t>
        </is>
      </c>
      <c r="O29" s="7" t="inlineStr">
        <is>
          <t>42 countries, 1992-2014</t>
        </is>
      </c>
      <c r="P29" s="7" t="inlineStr">
        <is>
          <t>observational; not a strict causal design</t>
        </is>
      </c>
      <c r="Q29" s="7" t="inlineStr"/>
      <c r="R29" s="7" t="inlineStr">
        <is>
          <t>open (SSRN)</t>
        </is>
      </c>
      <c r="S29" s="7" t="inlineStr">
        <is>
          <t>abstract read (via search)</t>
        </is>
      </c>
      <c r="T29" s="7" t="inlineStr">
        <is>
          <t>2026-10-10</t>
        </is>
      </c>
      <c r="U29" s="7" t="inlineStr">
        <is>
          <t>https://doi.org/10.3233/978-1-61499-562-3-120</t>
        </is>
      </c>
      <c r="V29" s="7" t="inlineStr">
        <is>
          <t>https://papers.ssrn.com/sol3/papers.cfm?abstract_id=2608513</t>
        </is>
      </c>
      <c r="W29" s="7" t="inlineStr"/>
    </row>
    <row r="30">
      <c r="A30" s="7" t="n">
        <v>7</v>
      </c>
      <c r="B30" s="7" t="inlineStr">
        <is>
          <t>Information Society (InfoSoc) Directive</t>
        </is>
      </c>
      <c r="C30" s="7" t="inlineStr">
        <is>
          <t>evidence</t>
        </is>
      </c>
      <c r="D30" s="7" t="inlineStr">
        <is>
          <t>academic</t>
        </is>
      </c>
      <c r="E30" s="7" t="inlineStr">
        <is>
          <t>initial review</t>
        </is>
      </c>
      <c r="F30" s="7" t="inlineStr">
        <is>
          <t>zhang-2018-drm</t>
        </is>
      </c>
      <c r="G30" s="7" t="inlineStr">
        <is>
          <t>Zhang (2018), Intellectual Property Strategy and the Long Tail: Evidence from the Recorded Music Industry, Management Science 64(1), 24-42</t>
        </is>
      </c>
      <c r="H30" s="7" t="n">
        <v>2018</v>
      </c>
      <c r="I30" s="7" t="inlineStr">
        <is>
          <t>peer-reviewed</t>
        </is>
      </c>
      <c r="J30" s="7" t="inlineStr">
        <is>
          <t>causal: difference-in-differences (DRM removal by major labels, ~5,900 albums)</t>
        </is>
      </c>
      <c r="K30" s="7" t="inlineStr">
        <is>
          <t>sales; DRM</t>
        </is>
      </c>
      <c r="L30" s="7" t="inlineStr">
        <is>
          <t>negative (for DRM)</t>
        </is>
      </c>
      <c r="M30" s="7" t="inlineStr">
        <is>
          <t>Removing DRM increased digital album sales by about 10%, with large gains for lower-selling ('long tail') albums and no benefit for top sellers</t>
        </is>
      </c>
      <c r="N30" s="7" t="inlineStr">
        <is>
          <t>When record labels dropped copy protection (DRM), digital music sales rose about 10%, mostly for lesser-known albums - evidence that the DRM the Directive protects did not help sales.</t>
        </is>
      </c>
      <c r="O30" s="7" t="inlineStr">
        <is>
          <t>US digital music market, 2000s</t>
        </is>
      </c>
      <c r="P30" s="7" t="inlineStr">
        <is>
          <t>not EU-specific; tests DRM, not the Directive itself</t>
        </is>
      </c>
      <c r="Q30" s="7" t="inlineStr"/>
      <c r="R30" s="7" t="inlineStr">
        <is>
          <t>paywalled</t>
        </is>
      </c>
      <c r="S30" s="7" t="inlineStr">
        <is>
          <t>abstract read (via search)</t>
        </is>
      </c>
      <c r="T30" s="7" t="inlineStr">
        <is>
          <t>2026-10-10</t>
        </is>
      </c>
      <c r="U30" s="7" t="inlineStr">
        <is>
          <t>https://doi.org/10.1287/mnsc.2016.2562</t>
        </is>
      </c>
      <c r="V30" s="7" t="inlineStr"/>
      <c r="W30" s="7" t="inlineStr"/>
    </row>
    <row r="31">
      <c r="A31" s="7" t="n">
        <v>10</v>
      </c>
      <c r="B31" s="7" t="inlineStr">
        <is>
          <t>Radio Spectrum Decision</t>
        </is>
      </c>
      <c r="C31" s="7" t="inlineStr">
        <is>
          <t>evidence</t>
        </is>
      </c>
      <c r="D31" s="7" t="inlineStr">
        <is>
          <t>official</t>
        </is>
      </c>
      <c r="E31" s="7" t="inlineStr">
        <is>
          <t>initial review</t>
        </is>
      </c>
      <c r="F31" s="7" t="inlineStr">
        <is>
          <t>ec-2014-rspp-report</t>
        </is>
      </c>
      <c r="G31" s="7" t="inlineStr">
        <is>
          <t>European Commission (2014), Report on the implementation of the Radio Spectrum Policy Programme (incl. Art. 9 Radio Spectrum Decision), COM(2014) 228</t>
        </is>
      </c>
      <c r="H31" s="7" t="n">
        <v>2014</v>
      </c>
      <c r="I31" s="7" t="inlineStr">
        <is>
          <t>Commission evaluation (implementation report)</t>
        </is>
      </c>
      <c r="J31" s="7" t="inlineStr">
        <is>
          <t>implementation review</t>
        </is>
      </c>
      <c r="K31" s="7" t="inlineStr">
        <is>
          <t>spectrum harmonisation</t>
        </is>
      </c>
      <c r="L31" s="7" t="inlineStr">
        <is>
          <t>positive</t>
        </is>
      </c>
      <c r="M31" s="7" t="inlineStr">
        <is>
          <t>Radio Spectrum Decision 'has proven successful' in making harmonised spectrum available; 990 MHz harmonised for wireless broadband, Member States had assigned on average about 600 MHz; stronger coordination of authorisations needed</t>
        </is>
      </c>
      <c r="N31" s="7" t="inlineStr">
        <is>
          <t>The Commission judged its spectrum-harmonisation machinery a success, while noting countries had put only part of the harmonised spectrum to use.</t>
        </is>
      </c>
      <c r="O31" s="7" t="inlineStr">
        <is>
          <t>EU, 2002-2013</t>
        </is>
      </c>
      <c r="P31" s="7" t="inlineStr">
        <is>
          <t>self-evaluation; descriptive</t>
        </is>
      </c>
      <c r="Q31" s="7" t="inlineStr"/>
      <c r="R31" s="7" t="inlineStr">
        <is>
          <t>open</t>
        </is>
      </c>
      <c r="S31" s="7" t="inlineStr">
        <is>
          <t>full text partly read</t>
        </is>
      </c>
      <c r="T31" s="7" t="inlineStr">
        <is>
          <t>2026-10-10</t>
        </is>
      </c>
      <c r="U31" s="7" t="inlineStr">
        <is>
          <t>https://eur-lex.europa.eu/legal-content/EN/TXT/?uri=CELEX:52014DC0228</t>
        </is>
      </c>
      <c r="V31" s="7" t="inlineStr"/>
      <c r="W31" s="7" t="inlineStr">
        <is>
          <t>http://web.archive.org/web/20260113041719/https://eur-lex.europa.eu/legal-content/EN/TXT/?uri=CELEX:52014DC0228</t>
        </is>
      </c>
    </row>
    <row r="32">
      <c r="A32" s="7" t="n">
        <v>10</v>
      </c>
      <c r="B32" s="7" t="inlineStr">
        <is>
          <t>Radio Spectrum Decision</t>
        </is>
      </c>
      <c r="C32" s="7" t="inlineStr">
        <is>
          <t>evidence</t>
        </is>
      </c>
      <c r="D32" s="7" t="inlineStr">
        <is>
          <t>official</t>
        </is>
      </c>
      <c r="E32" s="7" t="inlineStr">
        <is>
          <t>initial review</t>
        </is>
      </c>
      <c r="F32" s="7" t="inlineStr">
        <is>
          <t>ec-2016-ecomms-evaluation</t>
        </is>
      </c>
      <c r="G32" s="7" t="inlineStr">
        <is>
          <t>European Commission (2016), Evaluation of the regulatory framework for electronic communications, SWD(2016) 313</t>
        </is>
      </c>
      <c r="H32" s="7" t="n">
        <v>2016</v>
      </c>
      <c r="I32" s="7" t="inlineStr">
        <is>
          <t>Commission evaluation</t>
        </is>
      </c>
      <c r="J32" s="7" t="inlineStr">
        <is>
          <t>REFIT evaluation (study, consultation)</t>
        </is>
      </c>
      <c r="K32" s="7" t="inlineStr">
        <is>
          <t>spectrum assignment; internal market</t>
        </is>
      </c>
      <c r="L32" s="7" t="inlineStr">
        <is>
          <t>mixed</t>
        </is>
      </c>
      <c r="M32" s="7" t="inlineStr">
        <is>
          <t>Framework identified more spectrum for wireless broadband (up to 1,268 MHz) than Australia, South Korea, Japan or the US, but Member States had assigned only 708 MHz on average in 2015; multi-year lags between first and last Member State (e.g. 800 MHz) delayed services</t>
        </is>
      </c>
      <c r="N32" s="7" t="inlineStr">
        <is>
          <t>The 2016 evaluation found the EU harmonised plenty of mobile spectrum, but national governments were slow and uneven in handing it out.</t>
        </is>
      </c>
      <c r="O32" s="7" t="inlineStr">
        <is>
          <t>EU, 2009-2015</t>
        </is>
      </c>
      <c r="P32" s="7" t="inlineStr">
        <is>
          <t>self-evaluation</t>
        </is>
      </c>
      <c r="Q32" s="7" t="inlineStr"/>
      <c r="R32" s="7" t="inlineStr">
        <is>
          <t>open</t>
        </is>
      </c>
      <c r="S32" s="7" t="inlineStr">
        <is>
          <t>full text partly read</t>
        </is>
      </c>
      <c r="T32" s="7" t="inlineStr">
        <is>
          <t>2026-10-10</t>
        </is>
      </c>
      <c r="U32" s="7" t="inlineStr">
        <is>
          <t>https://eur-lex.europa.eu/legal-content/EN/TXT/?uri=CELEX:52016SC0313</t>
        </is>
      </c>
      <c r="V32" s="7" t="inlineStr"/>
      <c r="W32" s="7" t="inlineStr">
        <is>
          <t>http://web.archive.org/web/20260312235058/https://eur-lex.europa.eu/legal-content/EN/TXT/?uri=celex:52016SC0313</t>
        </is>
      </c>
    </row>
    <row r="33">
      <c r="A33" s="7" t="n">
        <v>10</v>
      </c>
      <c r="B33" s="7" t="inlineStr">
        <is>
          <t>Radio Spectrum Decision</t>
        </is>
      </c>
      <c r="C33" s="7" t="inlineStr">
        <is>
          <t>ex-ante assessment</t>
        </is>
      </c>
      <c r="D33" s="7" t="inlineStr">
        <is>
          <t>official</t>
        </is>
      </c>
      <c r="E33" s="7" t="inlineStr">
        <is>
          <t>initial review</t>
        </is>
      </c>
      <c r="F33" s="7" t="inlineStr">
        <is>
          <t>ec-2026-dna-ia</t>
        </is>
      </c>
      <c r="G33" s="7" t="inlineStr">
        <is>
          <t>European Commission (2026), Impact assessment accompanying the proposal for a Digital Networks Act (amending Decision 676/2002/EC), SWD(2026) 13</t>
        </is>
      </c>
      <c r="H33" s="7" t="n">
        <v>2026</v>
      </c>
      <c r="I33" s="7" t="inlineStr">
        <is>
          <t>Commission impact assessment</t>
        </is>
      </c>
      <c r="J33" s="7" t="inlineStr">
        <is>
          <t>ex-ante, with evaluation annex</t>
        </is>
      </c>
      <c r="K33" s="7" t="inlineStr">
        <is>
          <t>5G spectrum assignment; investment</t>
        </is>
      </c>
      <c r="L33" s="7" t="inlineStr">
        <is>
          <t>negative (baseline)</t>
        </is>
      </c>
      <c r="M33" s="7" t="inlineStr">
        <is>
          <t>5G pioneer band (700 MHz, 3.6 GHz, 26 GHz) assignment spanned more than ten years; about half of Member States missed the end-2020 deadline; correlation between assignment timing and 5G coverage; spectrum about 7% of mobile revenues</t>
        </is>
      </c>
      <c r="N33" s="7" t="inlineStr">
        <is>
          <t>The Commission's 2026 assessment found Europe's 5G spectrum was handed out late and unevenly, which it links to slower 5G roll-out.</t>
        </is>
      </c>
      <c r="O33" s="7" t="inlineStr">
        <is>
          <t>EU, 2016-2025</t>
        </is>
      </c>
      <c r="P33" s="7" t="inlineStr">
        <is>
          <t>self-assessment; correlational</t>
        </is>
      </c>
      <c r="Q33" s="7" t="inlineStr"/>
      <c r="R33" s="7" t="inlineStr">
        <is>
          <t>open</t>
        </is>
      </c>
      <c r="S33" s="7" t="inlineStr">
        <is>
          <t>full text partly read</t>
        </is>
      </c>
      <c r="T33" s="7" t="inlineStr">
        <is>
          <t>2026-10-10</t>
        </is>
      </c>
      <c r="U33" s="7" t="inlineStr">
        <is>
          <t>https://eur-lex.europa.eu/legal-content/EN/TXT/?uri=CELEX:52026SC0013</t>
        </is>
      </c>
      <c r="V33" s="7" t="inlineStr"/>
      <c r="W33" s="7" t="inlineStr">
        <is>
          <t>http://web.archive.org/web/20260327044123/https://eur-lex.europa.eu/legal-content/EN/TXT/?uri=celex%3A52026SC0013</t>
        </is>
      </c>
    </row>
    <row r="34">
      <c r="A34" s="7" t="n">
        <v>9</v>
      </c>
      <c r="B34" s="7" t="inlineStr">
        <is>
          <t>ePrivacy Directive</t>
        </is>
      </c>
      <c r="C34" s="7" t="inlineStr">
        <is>
          <t>evidence</t>
        </is>
      </c>
      <c r="D34" s="7" t="inlineStr">
        <is>
          <t>official</t>
        </is>
      </c>
      <c r="E34" s="7" t="inlineStr">
        <is>
          <t>initial review</t>
        </is>
      </c>
      <c r="F34" s="7" t="inlineStr">
        <is>
          <t>ec-2017-eprivacy-refit</t>
        </is>
      </c>
      <c r="G34" s="7" t="inlineStr">
        <is>
          <t>European Commission (2017), Ex-post REFIT evaluation of the ePrivacy Directive 2002/58/EC (executive summary SWD(2017) 6), SWD(2017) 5</t>
        </is>
      </c>
      <c r="H34" s="7" t="n">
        <v>2017</v>
      </c>
      <c r="I34" s="7" t="inlineStr">
        <is>
          <t>Commission evaluation</t>
        </is>
      </c>
      <c r="J34" s="7" t="inlineStr">
        <is>
          <t>REFIT evaluation (studies, consultation)</t>
        </is>
      </c>
      <c r="K34" s="7" t="inlineStr">
        <is>
          <t>effectiveness; compliance costs</t>
        </is>
      </c>
      <c r="L34" s="7" t="inlineStr">
        <is>
          <t>mixed</t>
        </is>
      </c>
      <c r="M34" s="7" t="inlineStr">
        <is>
          <t>Directive broadly appropriate but enforcement fragmented; cookie rule not fully effective and over-inclusive; compliance costs around EUR 658 per business; robust cost data lacking</t>
        </is>
      </c>
      <c r="N34" s="7" t="inlineStr">
        <is>
          <t>The Commission found the cookie consent rule had not really given people control - they click 'accept' without understanding - while costing businesses a few hundred euros each.</t>
        </is>
      </c>
      <c r="O34" s="7" t="inlineStr">
        <is>
          <t>EU, 2002-2016</t>
        </is>
      </c>
      <c r="P34" s="7" t="inlineStr">
        <is>
          <t>self-evaluation; data gaps acknowledged</t>
        </is>
      </c>
      <c r="Q34" s="7" t="inlineStr"/>
      <c r="R34" s="7" t="inlineStr">
        <is>
          <t>open</t>
        </is>
      </c>
      <c r="S34" s="7" t="inlineStr">
        <is>
          <t>full text read</t>
        </is>
      </c>
      <c r="T34" s="7" t="inlineStr">
        <is>
          <t>2026-10-10</t>
        </is>
      </c>
      <c r="U34" s="7" t="inlineStr">
        <is>
          <t>https://eur-lex.europa.eu/legal-content/EN/TXT/?uri=CELEX:52017SC0006</t>
        </is>
      </c>
      <c r="V34" s="7" t="inlineStr"/>
      <c r="W34" s="7" t="inlineStr"/>
    </row>
    <row r="35">
      <c r="A35" s="7" t="n">
        <v>9</v>
      </c>
      <c r="B35" s="7" t="inlineStr">
        <is>
          <t>ePrivacy Directive</t>
        </is>
      </c>
      <c r="C35" s="7" t="inlineStr">
        <is>
          <t>evidence</t>
        </is>
      </c>
      <c r="D35" s="7" t="inlineStr">
        <is>
          <t>academic</t>
        </is>
      </c>
      <c r="E35" s="7" t="inlineStr">
        <is>
          <t>initial review</t>
        </is>
      </c>
      <c r="F35" s="7" t="inlineStr">
        <is>
          <t>goldfarb-tucker-2011</t>
        </is>
      </c>
      <c r="G35" s="7" t="inlineStr">
        <is>
          <t>Goldfarb &amp; Tucker (2011), Privacy Regulation and Online Advertising, Management Science 57(1)</t>
        </is>
      </c>
      <c r="H35" s="7" t="n">
        <v>2011</v>
      </c>
      <c r="I35" s="7" t="inlineStr">
        <is>
          <t>peer-reviewed</t>
        </is>
      </c>
      <c r="J35" s="7" t="inlineStr">
        <is>
          <t>causal: difference-in-differences (3.3m survey takers, 9,596 ad campaigns; EU vs other countries)</t>
        </is>
      </c>
      <c r="K35" s="7" t="inlineStr">
        <is>
          <t>advertising effectiveness; firm performance</t>
        </is>
      </c>
      <c r="L35" s="7" t="inlineStr">
        <is>
          <t>negative</t>
        </is>
      </c>
      <c r="M35" s="7" t="inlineStr">
        <is>
          <t>After the EU privacy rules (ePrivacy Directive) took effect, display advertising became far less effective at changing purchase intent relative to other countries; larger losses for general-content sites such as news and for plain, small ads</t>
        </is>
      </c>
      <c r="N35" s="7" t="inlineStr">
        <is>
          <t>Early EU privacy rules on tracking made online display ads much less effective, hitting news sites hardest.</t>
        </is>
      </c>
      <c r="O35" s="7" t="inlineStr">
        <is>
          <t>EU vs non-EU, early 2000s</t>
        </is>
      </c>
      <c r="P35" s="7" t="inlineStr">
        <is>
          <t>measures ad effectiveness (stated purchase intent), not revenue</t>
        </is>
      </c>
      <c r="Q35" s="7" t="inlineStr"/>
      <c r="R35" s="7" t="inlineStr">
        <is>
          <t>paywalled</t>
        </is>
      </c>
      <c r="S35" s="7" t="inlineStr">
        <is>
          <t>abstract read (Crossref)</t>
        </is>
      </c>
      <c r="T35" s="7" t="inlineStr">
        <is>
          <t>2026-10-10</t>
        </is>
      </c>
      <c r="U35" s="7" t="inlineStr">
        <is>
          <t>https://doi.org/10.1287/mnsc.1100.1246</t>
        </is>
      </c>
      <c r="V35" s="7" t="inlineStr"/>
      <c r="W35" s="7" t="inlineStr"/>
    </row>
    <row r="36">
      <c r="A36" s="7" t="n">
        <v>5</v>
      </c>
      <c r="B36" s="7" t="inlineStr">
        <is>
          <t>Community Design Regulation</t>
        </is>
      </c>
      <c r="C36" s="7" t="inlineStr">
        <is>
          <t>evidence</t>
        </is>
      </c>
      <c r="D36" s="7" t="inlineStr">
        <is>
          <t>official</t>
        </is>
      </c>
      <c r="E36" s="7" t="inlineStr">
        <is>
          <t>initial review</t>
        </is>
      </c>
      <c r="F36" s="7" t="inlineStr">
        <is>
          <t>ec-2020-design-evaluation</t>
        </is>
      </c>
      <c r="G36" s="7" t="inlineStr">
        <is>
          <t>European Commission (2020), Evaluation of EU legislation on design protection (executive summary SWD(2020) 265), SWD(2020) 264</t>
        </is>
      </c>
      <c r="H36" s="7" t="n">
        <v>2020</v>
      </c>
      <c r="I36" s="7" t="inlineStr">
        <is>
          <t>Commission evaluation</t>
        </is>
      </c>
      <c r="J36" s="7" t="inlineStr">
        <is>
          <t>evaluation (external studies, consultation)</t>
        </is>
      </c>
      <c r="K36" s="7" t="inlineStr">
        <is>
          <t>access to protection; single market; costs</t>
        </is>
      </c>
      <c r="L36" s="7" t="inlineStr">
        <is>
          <t>positive overall, shortcomings</t>
        </is>
      </c>
      <c r="M36" s="7" t="inlineStr">
        <is>
          <t>Broadly fit for purpose; unitary registration lowered costs, complexity and delays; benefits outweigh costs; but system underused (lack of awareness), not adapted to digital designs, spare parts market fragmented, fees and procedures create unnecessary burden</t>
        </is>
      </c>
      <c r="N36" s="7" t="inlineStr">
        <is>
          <t>The Commission's 2020 review found the EU design right works well and is cheaper than national routes, but is underused and out of date for digital designs.</t>
        </is>
      </c>
      <c r="O36" s="7" t="inlineStr">
        <is>
          <t>EU, 2003-2019</t>
        </is>
      </c>
      <c r="P36" s="7" t="inlineStr">
        <is>
          <t>self-evaluation</t>
        </is>
      </c>
      <c r="Q36" s="7" t="inlineStr"/>
      <c r="R36" s="7" t="inlineStr">
        <is>
          <t>open</t>
        </is>
      </c>
      <c r="S36" s="7" t="inlineStr">
        <is>
          <t>full text read (executive summary)</t>
        </is>
      </c>
      <c r="T36" s="7" t="inlineStr">
        <is>
          <t>2026-10-10</t>
        </is>
      </c>
      <c r="U36" s="7" t="inlineStr">
        <is>
          <t>https://eur-lex.europa.eu/legal-content/EN/TXT/?uri=CELEX:52020SC0264</t>
        </is>
      </c>
      <c r="V36" s="7" t="inlineStr"/>
      <c r="W36" s="7" t="inlineStr">
        <is>
          <t>http://web.archive.org/web/20231115082100/https://eur-lex.europa.eu/legal-content/en/TXT/?uri=CELEX:52020SC0264</t>
        </is>
      </c>
    </row>
    <row r="37">
      <c r="A37" s="7" t="n">
        <v>5</v>
      </c>
      <c r="B37" s="7" t="inlineStr">
        <is>
          <t>Community Design Regulation</t>
        </is>
      </c>
      <c r="C37" s="7" t="inlineStr">
        <is>
          <t>ex-ante assessment</t>
        </is>
      </c>
      <c r="D37" s="7" t="inlineStr">
        <is>
          <t>official</t>
        </is>
      </c>
      <c r="E37" s="7" t="inlineStr">
        <is>
          <t>initial review</t>
        </is>
      </c>
      <c r="F37" s="7" t="inlineStr">
        <is>
          <t>ec-2022-design-ia</t>
        </is>
      </c>
      <c r="G37" s="7" t="inlineStr">
        <is>
          <t>European Commission (2022), Impact assessment on the revision of EU design legislation (executive summary SWD(2022) 369), SWD(2022) 368</t>
        </is>
      </c>
      <c r="H37" s="7" t="n">
        <v>2022</v>
      </c>
      <c r="I37" s="7" t="inlineStr">
        <is>
          <t>Commission impact assessment</t>
        </is>
      </c>
      <c r="J37" s="7" t="inlineStr">
        <is>
          <t>ex-ante</t>
        </is>
      </c>
      <c r="K37" s="7" t="inlineStr">
        <is>
          <t>consumer savings; fees</t>
        </is>
      </c>
      <c r="L37" s="7" t="inlineStr">
        <is>
          <t>positive (forecast)</t>
        </is>
      </c>
      <c r="M37" s="7" t="inlineStr">
        <is>
          <t>Design-intensive industries almost 16% of EU GDP and 14% of jobs (2014-2016); liberalising spare parts to save consumers EUR 340-544m once fully phased in; lower fees save EUR 6m a year; simpler procedures EUR 1.6m a year</t>
        </is>
      </c>
      <c r="N37" s="7" t="inlineStr">
        <is>
          <t>The Commission expected its design-law reform to save consumers EUR 340-544 million by opening up the car spare-parts market.</t>
        </is>
      </c>
      <c r="O37" s="7" t="inlineStr">
        <is>
          <t>EU, forecast</t>
        </is>
      </c>
      <c r="P37" s="7" t="inlineStr">
        <is>
          <t>forecast</t>
        </is>
      </c>
      <c r="Q37" s="7" t="inlineStr"/>
      <c r="R37" s="7" t="inlineStr">
        <is>
          <t>open</t>
        </is>
      </c>
      <c r="S37" s="7" t="inlineStr">
        <is>
          <t>full text read (executive summary)</t>
        </is>
      </c>
      <c r="T37" s="7" t="inlineStr">
        <is>
          <t>2026-10-10</t>
        </is>
      </c>
      <c r="U37" s="7" t="inlineStr">
        <is>
          <t>https://eur-lex.europa.eu/legal-content/EN/TXT/?uri=CELEX:52022SC0368</t>
        </is>
      </c>
      <c r="V37" s="7" t="inlineStr"/>
      <c r="W37" s="7" t="inlineStr">
        <is>
          <t>http://web.archive.org/web/20240809041951/https://eur-lex.europa.eu/legal-content/EN/TXT/?uri=celex%3A52022SC0368</t>
        </is>
      </c>
    </row>
    <row r="38">
      <c r="A38" s="7" t="n">
        <v>5</v>
      </c>
      <c r="B38" s="7" t="inlineStr">
        <is>
          <t>Community Design Regulation</t>
        </is>
      </c>
      <c r="C38" s="7" t="inlineStr">
        <is>
          <t>evidence</t>
        </is>
      </c>
      <c r="D38" s="7" t="inlineStr">
        <is>
          <t>academic</t>
        </is>
      </c>
      <c r="E38" s="7" t="inlineStr">
        <is>
          <t>initial review</t>
        </is>
      </c>
      <c r="F38" s="7" t="inlineStr">
        <is>
          <t>filitz-henkel-tether-2015</t>
        </is>
      </c>
      <c r="G38" s="7" t="inlineStr">
        <is>
          <t>Filitz, Henkel &amp; Tether (2015), Protecting aesthetic innovations? An exploration of the use of registered community designs, Research Policy 44(6)</t>
        </is>
      </c>
      <c r="H38" s="7" t="n">
        <v>2015</v>
      </c>
      <c r="I38" s="7" t="inlineStr">
        <is>
          <t>peer-reviewed</t>
        </is>
      </c>
      <c r="J38" s="7" t="inlineStr">
        <is>
          <t>exploratory qualitative (German firms in footwear, cars, tool-making) plus filing statistics</t>
        </is>
      </c>
      <c r="K38" s="7" t="inlineStr">
        <is>
          <t>use of design rights</t>
        </is>
      </c>
      <c r="L38" s="7" t="inlineStr">
        <is>
          <t>neutral</t>
        </is>
      </c>
      <c r="M38" s="7" t="inlineStr">
        <is>
          <t>About three-quarters of a million RCDs filed in the first decade; firms use RCDs in very different ways across industries; little prior empirical research on design rights</t>
        </is>
      </c>
      <c r="N38" s="7" t="inlineStr">
        <is>
          <t>A study of German firms found registered Community designs are widely used but in very different ways across industries, and that their economic effects are barely studied.</t>
        </is>
      </c>
      <c r="O38" s="7" t="inlineStr">
        <is>
          <t>EU/Germany</t>
        </is>
      </c>
      <c r="P38" s="7" t="inlineStr">
        <is>
          <t>qualitative; no effect estimate</t>
        </is>
      </c>
      <c r="Q38" s="7" t="inlineStr"/>
      <c r="R38" s="7" t="inlineStr">
        <is>
          <t>open</t>
        </is>
      </c>
      <c r="S38" s="7" t="inlineStr">
        <is>
          <t>abstract read</t>
        </is>
      </c>
      <c r="T38" s="7" t="inlineStr">
        <is>
          <t>2026-10-10</t>
        </is>
      </c>
      <c r="U38" s="7" t="inlineStr">
        <is>
          <t>https://doi.org/10.1016/j.respol.2015.02.004</t>
        </is>
      </c>
      <c r="V38" s="7" t="inlineStr"/>
      <c r="W38" s="7" t="inlineStr"/>
    </row>
    <row r="39">
      <c r="A39" s="7" t="n">
        <v>12</v>
      </c>
      <c r="B39" s="7" t="inlineStr">
        <is>
          <t>IPR Enforcement Directive</t>
        </is>
      </c>
      <c r="C39" s="7" t="inlineStr">
        <is>
          <t>evidence</t>
        </is>
      </c>
      <c r="D39" s="7" t="inlineStr">
        <is>
          <t>official</t>
        </is>
      </c>
      <c r="E39" s="7" t="inlineStr">
        <is>
          <t>initial review</t>
        </is>
      </c>
      <c r="F39" s="7" t="inlineStr">
        <is>
          <t>ec-2010-ipred-report</t>
        </is>
      </c>
      <c r="G39" s="7" t="inlineStr">
        <is>
          <t>European Commission (2010), Report on the application of Directive 2004/48/EC on the enforcement of intellectual property rights (with SEC(2010) 1589), COM(2010) 779</t>
        </is>
      </c>
      <c r="H39" s="7" t="n">
        <v>2010</v>
      </c>
      <c r="I39" s="7" t="inlineStr">
        <is>
          <t>Commission evaluation (implementation report)</t>
        </is>
      </c>
      <c r="J39" s="7" t="inlineStr">
        <is>
          <t>review (national reports)</t>
        </is>
      </c>
      <c r="K39" s="7" t="inlineStr">
        <is>
          <t>civil enforcement</t>
        </is>
      </c>
      <c r="L39" s="7" t="inlineStr">
        <is>
          <t>positive</t>
        </is>
      </c>
      <c r="M39" s="7" t="inlineStr">
        <is>
          <t>Directive had a 'substantial and positive effect' on civil protection of IP rights, but was not designed for the challenge of internet infringements; issues with right of information, damages and intermediaries</t>
        </is>
      </c>
      <c r="N39" s="7" t="inlineStr">
        <is>
          <t>The first review found the directive had strengthened IP enforcement in court but was not built for online piracy.</t>
        </is>
      </c>
      <c r="O39" s="7" t="inlineStr">
        <is>
          <t>EU, 2006-2009</t>
        </is>
      </c>
      <c r="P39" s="7" t="inlineStr">
        <is>
          <t>self-evaluation; based on national reports</t>
        </is>
      </c>
      <c r="Q39" s="7" t="inlineStr"/>
      <c r="R39" s="7" t="inlineStr">
        <is>
          <t>open</t>
        </is>
      </c>
      <c r="S39" s="7" t="inlineStr">
        <is>
          <t>full text partly read</t>
        </is>
      </c>
      <c r="T39" s="7" t="inlineStr">
        <is>
          <t>2026-10-10</t>
        </is>
      </c>
      <c r="U39" s="7" t="inlineStr">
        <is>
          <t>https://eur-lex.europa.eu/legal-content/EN/TXT/?uri=CELEX:52010DC0779</t>
        </is>
      </c>
      <c r="V39" s="7" t="inlineStr"/>
      <c r="W39" s="7" t="inlineStr">
        <is>
          <t>http://web.archive.org/web/20251125023736/https://eur-lex.europa.eu/legal-content/EN/TXT/?uri=celex:52010DC0779</t>
        </is>
      </c>
    </row>
    <row r="40">
      <c r="A40" s="7" t="n">
        <v>12</v>
      </c>
      <c r="B40" s="7" t="inlineStr">
        <is>
          <t>IPR Enforcement Directive</t>
        </is>
      </c>
      <c r="C40" s="7" t="inlineStr">
        <is>
          <t>evidence</t>
        </is>
      </c>
      <c r="D40" s="7" t="inlineStr">
        <is>
          <t>official</t>
        </is>
      </c>
      <c r="E40" s="7" t="inlineStr">
        <is>
          <t>initial review</t>
        </is>
      </c>
      <c r="F40" s="7" t="inlineStr">
        <is>
          <t>ec-2017-ipred-evaluation</t>
        </is>
      </c>
      <c r="G40" s="7" t="inlineStr">
        <is>
          <t>European Commission (2017), Evaluation of Directive 2004/48/EC (accompanying guidance communication), SWD(2017) 431</t>
        </is>
      </c>
      <c r="H40" s="7" t="n">
        <v>2017</v>
      </c>
      <c r="I40" s="7" t="inlineStr">
        <is>
          <t>Commission evaluation</t>
        </is>
      </c>
      <c r="J40" s="7" t="inlineStr">
        <is>
          <t>evaluation study incl. econometric analysis of IP court cases 2005-2015, consultation</t>
        </is>
      </c>
      <c r="K40" s="7" t="inlineStr">
        <is>
          <t>litigation; costs; effectiveness</t>
        </is>
      </c>
      <c r="L40" s="7" t="inlineStr">
        <is>
          <t>mixed</t>
        </is>
      </c>
      <c r="M40" s="7" t="inlineStr">
        <is>
          <t>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is>
      </c>
      <c r="N40" s="7" t="inlineStr">
        <is>
          <t>The 2017 evaluation judged the directive useful and cheap, but could find no measurable effect on court enforcement, and counterfeiting kept growing.</t>
        </is>
      </c>
      <c r="O40" s="7" t="inlineStr">
        <is>
          <t>EU, 2005-2016</t>
        </is>
      </c>
      <c r="P40" s="7" t="inlineStr">
        <is>
          <t>self-evaluation; weak data acknowledged</t>
        </is>
      </c>
      <c r="Q40" s="7" t="inlineStr"/>
      <c r="R40" s="7" t="inlineStr">
        <is>
          <t>open</t>
        </is>
      </c>
      <c r="S40" s="7" t="inlineStr">
        <is>
          <t>full text partly read</t>
        </is>
      </c>
      <c r="T40" s="7" t="inlineStr">
        <is>
          <t>2026-10-10</t>
        </is>
      </c>
      <c r="U40" s="7" t="inlineStr">
        <is>
          <t>https://eur-lex.europa.eu/legal-content/EN/TXT/?uri=CELEX:52017SC0431</t>
        </is>
      </c>
      <c r="V40" s="7" t="inlineStr"/>
      <c r="W40" s="7" t="inlineStr"/>
    </row>
    <row r="41">
      <c r="A41" s="7" t="n">
        <v>12</v>
      </c>
      <c r="B41" s="7" t="inlineStr">
        <is>
          <t>IPR Enforcement Directive</t>
        </is>
      </c>
      <c r="C41" s="7" t="inlineStr">
        <is>
          <t>evidence</t>
        </is>
      </c>
      <c r="D41" s="7" t="inlineStr">
        <is>
          <t>academic</t>
        </is>
      </c>
      <c r="E41" s="7" t="inlineStr">
        <is>
          <t>initial review</t>
        </is>
      </c>
      <c r="F41" s="7" t="inlineStr">
        <is>
          <t>adermon-liang-2014-ipred</t>
        </is>
      </c>
      <c r="G41" s="7" t="inlineStr">
        <is>
          <t>Adermon &amp; Liang (2014), Piracy and music sales: The effects of an anti-piracy law, Journal of Economic Behavior &amp; Organization 105</t>
        </is>
      </c>
      <c r="H41" s="7" t="n">
        <v>2014</v>
      </c>
      <c r="I41" s="7" t="inlineStr">
        <is>
          <t>peer-reviewed</t>
        </is>
      </c>
      <c r="J41" s="7" t="inlineStr">
        <is>
          <t>natural experiment (time-series around Sweden's IPRED implementation, 1 April 2009)</t>
        </is>
      </c>
      <c r="K41" s="7" t="inlineStr">
        <is>
          <t>piracy; music and film sales</t>
        </is>
      </c>
      <c r="L41" s="7" t="inlineStr">
        <is>
          <t>positive (short-run)</t>
        </is>
      </c>
      <c r="M41" s="7" t="inlineStr">
        <is>
          <t>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is>
      </c>
      <c r="N41" s="7" t="inlineStr">
        <is>
          <t>When Sweden implemented the directive, file-sharing dropped and music sales jumped for several months, but film sales did not change and the effect faded.</t>
        </is>
      </c>
      <c r="O41" s="7" t="inlineStr">
        <is>
          <t>Sweden, 2008-2009</t>
        </is>
      </c>
      <c r="P41" s="7" t="inlineStr">
        <is>
          <t>credible causal design; single country, short-run</t>
        </is>
      </c>
      <c r="Q41" s="7" t="inlineStr"/>
      <c r="R41" s="7" t="inlineStr">
        <is>
          <t>open</t>
        </is>
      </c>
      <c r="S41" s="7" t="inlineStr">
        <is>
          <t>abstract read (working paper)</t>
        </is>
      </c>
      <c r="T41" s="7" t="inlineStr">
        <is>
          <t>2026-10-10</t>
        </is>
      </c>
      <c r="U41" s="7" t="inlineStr">
        <is>
          <t>https://doi.org/10.1016/j.jebo.2014.04.026</t>
        </is>
      </c>
      <c r="V41" s="7" t="inlineStr">
        <is>
          <t>https://swopec.hhs.se/iuiwop/abs/iuiwop0854.htm</t>
        </is>
      </c>
      <c r="W41" s="7" t="inlineStr"/>
    </row>
    <row r="42">
      <c r="A42" s="7" t="n">
        <v>11</v>
      </c>
      <c r="B42" s="7" t="inlineStr">
        <is>
          <t>EC Merger Regulation</t>
        </is>
      </c>
      <c r="C42" s="7" t="inlineStr">
        <is>
          <t>evidence</t>
        </is>
      </c>
      <c r="D42" s="7" t="inlineStr">
        <is>
          <t>official</t>
        </is>
      </c>
      <c r="E42" s="7" t="inlineStr">
        <is>
          <t>initial review</t>
        </is>
      </c>
      <c r="F42" s="7" t="inlineStr">
        <is>
          <t>ec-2021-merger-evaluation</t>
        </is>
      </c>
      <c r="G42" s="7" t="inlineStr">
        <is>
          <t>European Commission (2021), Evaluation of procedural and jurisdictional aspects of EU merger control (executive summary SWD(2021) 67), SWD(2021) 66</t>
        </is>
      </c>
      <c r="H42" s="7" t="n">
        <v>2021</v>
      </c>
      <c r="I42" s="7" t="inlineStr">
        <is>
          <t>Commission evaluation</t>
        </is>
      </c>
      <c r="J42" s="7" t="inlineStr">
        <is>
          <t>review (public consultation, deal-activity research, enforcement data)</t>
        </is>
      </c>
      <c r="K42" s="7" t="inlineStr">
        <is>
          <t>jurisdictional thresholds; referrals; administrative burden</t>
        </is>
      </c>
      <c r="L42" s="7" t="inlineStr">
        <is>
          <t>positive overall, with gaps</t>
        </is>
      </c>
      <c r="M42" s="7" t="inlineStr">
        <is>
          <t>Turnover thresholds plus referrals 'generally proved effective'; but some acquisitions of nascent and innovative firms (digital, pharma, biotech) escaped review; referral mechanisms served one-stop-shop aim well; 2013 simplification reduced burden</t>
        </is>
      </c>
      <c r="N42" s="7" t="inlineStr">
        <is>
          <t>The Commission's evaluation found the merger rules generally capture the deals that matter and simplification cut red tape, but acknowledged that some takeovers of promising start-ups slip through.</t>
        </is>
      </c>
      <c r="O42" s="7" t="inlineStr">
        <is>
          <t>EU, 2013-2020</t>
        </is>
      </c>
      <c r="P42" s="7" t="inlineStr">
        <is>
          <t>self-evaluation; did not assess substantive outcomes</t>
        </is>
      </c>
      <c r="Q42" s="7" t="inlineStr"/>
      <c r="R42" s="7" t="inlineStr">
        <is>
          <t>open</t>
        </is>
      </c>
      <c r="S42" s="7" t="inlineStr">
        <is>
          <t>executive summary full text read</t>
        </is>
      </c>
      <c r="T42" s="7" t="inlineStr">
        <is>
          <t>2026-10-10</t>
        </is>
      </c>
      <c r="U42" s="7" t="inlineStr">
        <is>
          <t>https://data.consilium.europa.eu/doc/document/ST-7792-2021-ADD-2/en/pdf</t>
        </is>
      </c>
      <c r="V42" s="7" t="inlineStr"/>
      <c r="W42" s="7" t="inlineStr">
        <is>
          <t>http://web.archive.org/web/20210424031543/https://data.consilium.europa.eu/doc/document/ST-7792-2021-ADD-2/en/pdf</t>
        </is>
      </c>
    </row>
    <row r="43">
      <c r="A43" s="7" t="n">
        <v>11</v>
      </c>
      <c r="B43" s="7" t="inlineStr">
        <is>
          <t>EC Merger Regulation</t>
        </is>
      </c>
      <c r="C43" s="7" t="inlineStr">
        <is>
          <t>evidence</t>
        </is>
      </c>
      <c r="D43" s="7" t="inlineStr">
        <is>
          <t>official</t>
        </is>
      </c>
      <c r="E43" s="7" t="inlineStr">
        <is>
          <t>initial review</t>
        </is>
      </c>
      <c r="F43" s="7" t="inlineStr">
        <is>
          <t>ec-2009-merger-report</t>
        </is>
      </c>
      <c r="G43" s="7" t="inlineStr">
        <is>
          <t>European Commission (2009), Report on the functioning of Regulation No 139/2004, COM(2009) 281</t>
        </is>
      </c>
      <c r="H43" s="7" t="n">
        <v>2009</v>
      </c>
      <c r="I43" s="7" t="inlineStr">
        <is>
          <t>Commission evaluation</t>
        </is>
      </c>
      <c r="J43" s="7" t="inlineStr">
        <is>
          <t>review (case statistics, stakeholder consultation)</t>
        </is>
      </c>
      <c r="K43" s="7" t="inlineStr">
        <is>
          <t>thresholds; referrals</t>
        </is>
      </c>
      <c r="L43" s="7" t="inlineStr">
        <is>
          <t>positive overall</t>
        </is>
      </c>
      <c r="M43" s="7" t="inlineStr">
        <is>
          <t>Jurisdictional thresholds and referral system broadly functioning; at least 240 cases reviewable in two or more Member States in 2007; stakeholders suggested further streamlining of Article 4(5) referrals</t>
        </is>
      </c>
      <c r="N43" s="7" t="inlineStr">
        <is>
          <t>The Commission's five-year review found the rules on which authority reviews which merger broadly worked, though some deals were still reviewed in several countries.</t>
        </is>
      </c>
      <c r="O43" s="7" t="inlineStr">
        <is>
          <t>EU, 2004-2008</t>
        </is>
      </c>
      <c r="P43" s="7" t="inlineStr">
        <is>
          <t>procedural review only</t>
        </is>
      </c>
      <c r="Q43" s="7" t="inlineStr"/>
      <c r="R43" s="7" t="inlineStr">
        <is>
          <t>open</t>
        </is>
      </c>
      <c r="S43" s="7" t="inlineStr">
        <is>
          <t>full text partly read</t>
        </is>
      </c>
      <c r="T43" s="7" t="inlineStr">
        <is>
          <t>2026-10-10</t>
        </is>
      </c>
      <c r="U43" s="7" t="inlineStr">
        <is>
          <t>https://eur-lex.europa.eu/legal-content/EN/TXT/?uri=CELEX:52009DC0281</t>
        </is>
      </c>
      <c r="V43" s="7" t="inlineStr"/>
      <c r="W43" s="7" t="inlineStr"/>
    </row>
    <row r="44">
      <c r="A44" s="7" t="n">
        <v>11</v>
      </c>
      <c r="B44" s="7" t="inlineStr">
        <is>
          <t>EC Merger Regulation</t>
        </is>
      </c>
      <c r="C44" s="7" t="inlineStr">
        <is>
          <t>evidence</t>
        </is>
      </c>
      <c r="D44" s="7" t="inlineStr">
        <is>
          <t>official</t>
        </is>
      </c>
      <c r="E44" s="7" t="inlineStr">
        <is>
          <t>initial review</t>
        </is>
      </c>
      <c r="F44" s="7" t="inlineStr">
        <is>
          <t>verouden-et-al-2026-customer-savings</t>
        </is>
      </c>
      <c r="G44" s="7" t="inlineStr">
        <is>
          <t>Verouden, Bovin, Ilzkovitz, Giacalone &amp; Deisenhofer (DG Competition) (2026), Estimating customer savings generated by competition enforcement in the EU, Competition Policy Brief 1/2026, European Commission</t>
        </is>
      </c>
      <c r="H44" s="7" t="n">
        <v>2026</v>
      </c>
      <c r="I44" s="7" t="inlineStr">
        <is>
          <t>Commission estimate</t>
        </is>
      </c>
      <c r="J44" s="7" t="inlineStr">
        <is>
          <t>ex-ante calculation (OECD method: avoided price rise x turnover x duration)</t>
        </is>
      </c>
      <c r="K44" s="7" t="inlineStr">
        <is>
          <t>customer savings (prices)</t>
        </is>
      </c>
      <c r="L44" s="7" t="inlineStr">
        <is>
          <t>positive</t>
        </is>
      </c>
      <c r="M44" s="7" t="inlineStr">
        <is>
          <t>EC enforcement generated direct customer savings of about EUR 12-21bn per year over 2012-2025; merger control accounted for about 60% of savings and 63% of interventions; explicitly not an ex-post evaluation and assumes decisions were correct</t>
        </is>
      </c>
      <c r="N44" s="7" t="inlineStr">
        <is>
          <t>The Commission's own economists estimate that blocking or fixing harmful mergers saves customers several billion euros a year, but the method assumes every decision was right.</t>
        </is>
      </c>
      <c r="O44" s="7" t="inlineStr">
        <is>
          <t>EU, 2012-2025</t>
        </is>
      </c>
      <c r="P44" s="7" t="inlineStr">
        <is>
          <t>self-assessment; assumptions not tested ex post</t>
        </is>
      </c>
      <c r="Q44" s="7" t="inlineStr">
        <is>
          <t>Authored by Commission (DG Competition) staff assessing their own enforcement</t>
        </is>
      </c>
      <c r="R44" s="7" t="inlineStr">
        <is>
          <t>open</t>
        </is>
      </c>
      <c r="S44" s="7" t="inlineStr">
        <is>
          <t>full text partly read</t>
        </is>
      </c>
      <c r="T44" s="7" t="inlineStr">
        <is>
          <t>2026-10-10</t>
        </is>
      </c>
      <c r="U44" s="7" t="inlineStr">
        <is>
          <t>https://www.sipotra.it/wp-content/uploads/2026/06/Estimating-customer-savings-generated-by-competition-enforcement-in-the-EU.pdf</t>
        </is>
      </c>
      <c r="V44" s="7" t="inlineStr"/>
      <c r="W44" s="7" t="inlineStr"/>
    </row>
    <row r="45">
      <c r="A45" s="7" t="n">
        <v>11</v>
      </c>
      <c r="B45" s="7" t="inlineStr">
        <is>
          <t>EC Merger Regulation</t>
        </is>
      </c>
      <c r="C45" s="7" t="inlineStr">
        <is>
          <t>evidence</t>
        </is>
      </c>
      <c r="D45" s="7" t="inlineStr">
        <is>
          <t>academic</t>
        </is>
      </c>
      <c r="E45" s="7" t="inlineStr">
        <is>
          <t>initial review</t>
        </is>
      </c>
      <c r="F45" s="7" t="inlineStr">
        <is>
          <t>duso-gugler-yurtoglu-2011</t>
        </is>
      </c>
      <c r="G45" s="7" t="inlineStr">
        <is>
          <t>Duso, Gugler &amp; Yurtoglu (2011), How effective is European merger control?, European Economic Review 55(7), 980-1006</t>
        </is>
      </c>
      <c r="H45" s="7" t="n">
        <v>2011</v>
      </c>
      <c r="I45" s="7" t="inlineStr">
        <is>
          <t>peer-reviewed</t>
        </is>
      </c>
      <c r="J45" s="7" t="inlineStr">
        <is>
          <t>causal: event study (stock-market reactions at announcement and decision, large EU mergers 1990-2002)</t>
        </is>
      </c>
      <c r="K45" s="7" t="inlineStr">
        <is>
          <t>market power rents; remedies</t>
        </is>
      </c>
      <c r="L45" s="7" t="inlineStr">
        <is>
          <t>mixed</t>
        </is>
      </c>
      <c r="M45" s="7" t="inlineStr">
        <is>
          <t>Only outright prohibitions completely reverse the rents measured at merger announcement; remedies only partially, more effective in Phase I than Phase II; the Commission appears to learn over time</t>
        </is>
      </c>
      <c r="N45" s="7" t="inlineStr">
        <is>
          <t>Stock market evidence suggests EU merger control fully removes expected market-power gains only when it blocks deals; conditions imposed on approved mergers work only partly.</t>
        </is>
      </c>
      <c r="O45" s="7" t="inlineStr">
        <is>
          <t>EU, 1990-2002 (pre-2004 Regulation)</t>
        </is>
      </c>
      <c r="P45" s="7" t="inlineStr">
        <is>
          <t>covers predecessor Regulation 4064/89; relies on market-efficiency assumptions</t>
        </is>
      </c>
      <c r="Q45" s="7" t="inlineStr"/>
      <c r="R45" s="7" t="inlineStr">
        <is>
          <t>paywalled</t>
        </is>
      </c>
      <c r="S45" s="7" t="inlineStr">
        <is>
          <t>abstract read (via search)</t>
        </is>
      </c>
      <c r="T45" s="7" t="inlineStr">
        <is>
          <t>2026-10-10</t>
        </is>
      </c>
      <c r="U45" s="7" t="inlineStr">
        <is>
          <t>https://doi.org/10.1016/j.euroecorev.2011.04.003</t>
        </is>
      </c>
      <c r="V45" s="7" t="inlineStr">
        <is>
          <t>https://econpapers.repec.org/RePEc:zbw:dicedp:15</t>
        </is>
      </c>
      <c r="W45" s="7" t="inlineStr"/>
    </row>
    <row r="46">
      <c r="A46" s="7" t="n">
        <v>11</v>
      </c>
      <c r="B46" s="7" t="inlineStr">
        <is>
          <t>EC Merger Regulation</t>
        </is>
      </c>
      <c r="C46" s="7" t="inlineStr">
        <is>
          <t>evidence</t>
        </is>
      </c>
      <c r="D46" s="7" t="inlineStr">
        <is>
          <t>academic</t>
        </is>
      </c>
      <c r="E46" s="7" t="inlineStr">
        <is>
          <t>initial review</t>
        </is>
      </c>
      <c r="F46" s="7" t="inlineStr">
        <is>
          <t>genakos-valletti-verboven-2018</t>
        </is>
      </c>
      <c r="G46" s="7" t="inlineStr">
        <is>
          <t>Genakos, Valletti &amp; Verboven (2018), Evaluating market consolidation in mobile communications, Economic Policy 33(93), 45-100</t>
        </is>
      </c>
      <c r="H46" s="7" t="n">
        <v>2018</v>
      </c>
      <c r="I46" s="7" t="inlineStr">
        <is>
          <t>peer-reviewed</t>
        </is>
      </c>
      <c r="J46" s="7" t="inlineStr">
        <is>
          <t>causal: panel regression with fixed effects (33 OECD countries, 2002-2014)</t>
        </is>
      </c>
      <c r="K46" s="7" t="inlineStr">
        <is>
          <t>prices; investment</t>
        </is>
      </c>
      <c r="L46" s="7" t="inlineStr">
        <is>
          <t>mixed</t>
        </is>
      </c>
      <c r="M46" s="7" t="inlineStr">
        <is>
          <t>A hypothetical 4-to-3 merger raises end-user prices by about 16% on average and investment per operator by about 19%; effect on total industry investment not significant</t>
        </is>
      </c>
      <c r="N46" s="7" t="inlineStr">
        <is>
          <t>Mergers that cut the number of mobile operators from four to three raise phone bills by about 16%, while total network investment does not clearly rise.</t>
        </is>
      </c>
      <c r="O46" s="7" t="inlineStr">
        <is>
          <t>33 OECD countries, 2002-2014</t>
        </is>
      </c>
      <c r="P46" s="7" t="inlineStr">
        <is>
          <t>sector-specific</t>
        </is>
      </c>
      <c r="Q46" s="7" t="inlineStr">
        <is>
          <t>Valletti later served as DG Competition chief economist (2016-2019)</t>
        </is>
      </c>
      <c r="R46" s="7" t="inlineStr">
        <is>
          <t>paywalled</t>
        </is>
      </c>
      <c r="S46" s="7" t="inlineStr">
        <is>
          <t>abstract read (via search)</t>
        </is>
      </c>
      <c r="T46" s="7" t="inlineStr">
        <is>
          <t>2026-10-10</t>
        </is>
      </c>
      <c r="U46" s="7" t="inlineStr">
        <is>
          <t>https://doi.org/10.1093/epolic/eix020</t>
        </is>
      </c>
      <c r="V46" s="7" t="inlineStr">
        <is>
          <t>https://www.cesifo.org/DocDL/cesifo1_wp6509.pdf</t>
        </is>
      </c>
      <c r="W46" s="7" t="inlineStr"/>
    </row>
    <row r="47">
      <c r="A47" s="7" t="n">
        <v>11</v>
      </c>
      <c r="B47" s="7" t="inlineStr">
        <is>
          <t>EC Merger Regulation</t>
        </is>
      </c>
      <c r="C47" s="7" t="inlineStr">
        <is>
          <t>evidence</t>
        </is>
      </c>
      <c r="D47" s="7" t="inlineStr">
        <is>
          <t>academic</t>
        </is>
      </c>
      <c r="E47" s="7" t="inlineStr">
        <is>
          <t>initial review</t>
        </is>
      </c>
      <c r="F47" s="7" t="inlineStr">
        <is>
          <t>affeldt-et-al-2021-concentration</t>
        </is>
      </c>
      <c r="G47" s="7" t="inlineStr">
        <is>
          <t>Affeldt, Duso, Gugler &amp; Piechucka (2021), Market Concentration in Europe: Evidence from Antitrust Markets, DIW Discussion Paper 1930 / CESifo WP 8866</t>
        </is>
      </c>
      <c r="H47" s="7" t="n">
        <v>2021</v>
      </c>
      <c r="I47" s="7" t="inlineStr">
        <is>
          <t>working paper</t>
        </is>
      </c>
      <c r="J47" s="7" t="inlineStr">
        <is>
          <t>descriptive and correlational (20,000+ antitrust markets in 2,000+ EC merger cases, 1995-2014)</t>
        </is>
      </c>
      <c r="K47" s="7" t="inlineStr">
        <is>
          <t>market concentration</t>
        </is>
      </c>
      <c r="L47" s="7" t="inlineStr">
        <is>
          <t>negative (rising concentration)</t>
        </is>
      </c>
      <c r="M47" s="7" t="inlineStr">
        <is>
          <t>Concentration in EU antitrust markets is at least ten times higher than industry-level measures suggest and has risen over time; strict past merger enforcement is associated with lower concentration, more so in 1995-2004 than afterwards</t>
        </is>
      </c>
      <c r="N47" s="7" t="inlineStr">
        <is>
          <t>Using the Commission's own merger files, researchers find markets in Europe are far more concentrated than thought and have become more so; tougher merger enforcement goes with lower concentration.</t>
        </is>
      </c>
      <c r="O47" s="7" t="inlineStr">
        <is>
          <t>EU, 1995-2014</t>
        </is>
      </c>
      <c r="P47" s="7" t="inlineStr">
        <is>
          <t>correlational</t>
        </is>
      </c>
      <c r="Q47" s="7" t="inlineStr"/>
      <c r="R47" s="7" t="inlineStr">
        <is>
          <t>open (SSRN)</t>
        </is>
      </c>
      <c r="S47" s="7" t="inlineStr">
        <is>
          <t>abstract read (via search)</t>
        </is>
      </c>
      <c r="T47" s="7" t="inlineStr">
        <is>
          <t>2026-10-10</t>
        </is>
      </c>
      <c r="U47" s="7" t="inlineStr">
        <is>
          <t>https://doi.org/10.2139/ssrn.3775524</t>
        </is>
      </c>
      <c r="V47" s="7" t="inlineStr"/>
      <c r="W47" s="7" t="inlineStr"/>
    </row>
    <row r="48">
      <c r="A48" s="7" t="n">
        <v>11</v>
      </c>
      <c r="B48" s="7" t="inlineStr">
        <is>
          <t>EC Merger Regulation</t>
        </is>
      </c>
      <c r="C48" s="7" t="inlineStr">
        <is>
          <t>evidence</t>
        </is>
      </c>
      <c r="D48" s="7" t="inlineStr">
        <is>
          <t>academic</t>
        </is>
      </c>
      <c r="E48" s="7" t="inlineStr">
        <is>
          <t>initial review</t>
        </is>
      </c>
      <c r="F48" s="7" t="inlineStr">
        <is>
          <t>cunningham-ederer-ma-2021</t>
        </is>
      </c>
      <c r="G48" s="7" t="inlineStr">
        <is>
          <t>Cunningham, Ederer &amp; Ma (2021), Killer Acquisitions, Journal of Political Economy 129(3), 649-702</t>
        </is>
      </c>
      <c r="H48" s="7" t="n">
        <v>2021</v>
      </c>
      <c r="I48" s="7" t="inlineStr">
        <is>
          <t>peer-reviewed</t>
        </is>
      </c>
      <c r="J48" s="7" t="inlineStr">
        <is>
          <t>causal: difference-in-differences on drug development projects after acquisition</t>
        </is>
      </c>
      <c r="K48" s="7" t="inlineStr">
        <is>
          <t>innovation; acquisitions</t>
        </is>
      </c>
      <c r="L48" s="7" t="inlineStr">
        <is>
          <t>negative (gap in merger control)</t>
        </is>
      </c>
      <c r="M48" s="7" t="inlineStr">
        <is>
          <t>5.3-7.4% of pharmaceutical acquisitions are 'killer acquisitions' that discontinue overlapping drug projects, often below antitrust notification thresholds</t>
        </is>
      </c>
      <c r="N48" s="7" t="inlineStr">
        <is>
          <t>Some pharmaceutical takeovers are made to kill off rival drugs, often in deals too small to be reviewed - the problem behind the EU's Article 22 debate.</t>
        </is>
      </c>
      <c r="O48" s="7" t="inlineStr">
        <is>
          <t>US pharma, 1989-2011</t>
        </is>
      </c>
      <c r="P48" s="7" t="inlineStr">
        <is>
          <t>US evidence; informs EU threshold debate</t>
        </is>
      </c>
      <c r="Q48" s="7" t="inlineStr"/>
      <c r="R48" s="7" t="inlineStr">
        <is>
          <t>paywalled</t>
        </is>
      </c>
      <c r="S48" s="7" t="inlineStr">
        <is>
          <t>page summary via search</t>
        </is>
      </c>
      <c r="T48" s="7" t="inlineStr">
        <is>
          <t>2026-10-10</t>
        </is>
      </c>
      <c r="U48" s="7" t="inlineStr">
        <is>
          <t>https://doi.org/10.1086/712506</t>
        </is>
      </c>
      <c r="V48" s="7" t="inlineStr"/>
      <c r="W48" s="7" t="inlineStr"/>
    </row>
    <row r="49">
      <c r="A49" s="7" t="n">
        <v>11</v>
      </c>
      <c r="B49" s="7" t="inlineStr">
        <is>
          <t>EC Merger Regulation</t>
        </is>
      </c>
      <c r="C49" s="7" t="inlineStr">
        <is>
          <t>enforcement or case law</t>
        </is>
      </c>
      <c r="D49" s="7" t="inlineStr">
        <is>
          <t>official</t>
        </is>
      </c>
      <c r="E49" s="7" t="inlineStr">
        <is>
          <t>initial review</t>
        </is>
      </c>
      <c r="F49" s="7" t="inlineStr">
        <is>
          <t>cjeu-2024-illumina</t>
        </is>
      </c>
      <c r="G49" s="7" t="inlineStr">
        <is>
          <t>Court of Justice of the EU (2024), Illumina v Commission (Joined Cases C-611/22 P and C-625/22 P), Judgment of 3 September 2024</t>
        </is>
      </c>
      <c r="H49" s="7" t="n">
        <v>2024</v>
      </c>
      <c r="I49" s="7" t="inlineStr">
        <is>
          <t>court judgment</t>
        </is>
      </c>
      <c r="J49" s="7" t="inlineStr">
        <is>
          <t>legal ruling</t>
        </is>
      </c>
      <c r="K49" s="7" t="inlineStr">
        <is>
          <t>jurisdiction (Article 22 referrals)</t>
        </is>
      </c>
      <c r="L49" s="7" t="inlineStr">
        <is>
          <t>n/a</t>
        </is>
      </c>
      <c r="M49" s="7" t="inlineStr">
        <is>
          <t>Commission cannot accept Article 22 referrals from Member States lacking jurisdiction under national law; annulled Commission decision on Illumina/Grail; the Court noted threshold-based systems cannot catch every problematic deal</t>
        </is>
      </c>
      <c r="N49" s="7" t="inlineStr">
        <is>
          <t>Europe's top court ruled that the Commission overstepped by reviewing a deal below all national thresholds, closing the main route it had chosen to catch 'killer acquisitions'.</t>
        </is>
      </c>
      <c r="O49" s="7" t="inlineStr">
        <is>
          <t>EU, 2024</t>
        </is>
      </c>
      <c r="P49" s="7" t="inlineStr"/>
      <c r="Q49" s="7" t="inlineStr"/>
      <c r="R49" s="7" t="inlineStr">
        <is>
          <t>open</t>
        </is>
      </c>
      <c r="S49" s="7" t="inlineStr">
        <is>
          <t>page summary via search</t>
        </is>
      </c>
      <c r="T49" s="7" t="inlineStr">
        <is>
          <t>2026-10-10</t>
        </is>
      </c>
      <c r="U49" s="7" t="inlineStr">
        <is>
          <t>https://eur-lex.europa.eu/legal-content/EN/TXT/?uri=CELEX:62022CJ0611</t>
        </is>
      </c>
      <c r="V49" s="7" t="inlineStr"/>
      <c r="W49" s="7" t="inlineStr">
        <is>
          <t>http://web.archive.org/web/20260212201803/https://eur-lex.europa.eu/legal-content/EN/TXT/?uri=celex%3A62022CJ0611</t>
        </is>
      </c>
    </row>
    <row r="50">
      <c r="A50" s="7" t="n">
        <v>13</v>
      </c>
      <c r="B50" s="7" t="inlineStr">
        <is>
          <t>Unfair Commercial Practices Directive</t>
        </is>
      </c>
      <c r="C50" s="7" t="inlineStr">
        <is>
          <t>ex-ante assessment</t>
        </is>
      </c>
      <c r="D50" s="7" t="inlineStr">
        <is>
          <t>official</t>
        </is>
      </c>
      <c r="E50" s="7" t="inlineStr">
        <is>
          <t>initial review</t>
        </is>
      </c>
      <c r="F50" s="7" t="inlineStr">
        <is>
          <t>ec-2003-ucpd-eia</t>
        </is>
      </c>
      <c r="G50" s="7" t="inlineStr">
        <is>
          <t>European Commission (2003), Extended impact assessment on the Unfair Commercial Practices Directive, SEC(2003) 724</t>
        </is>
      </c>
      <c r="H50" s="7" t="n">
        <v>2003</v>
      </c>
      <c r="I50" s="7" t="inlineStr">
        <is>
          <t>Commission impact assessment</t>
        </is>
      </c>
      <c r="J50" s="7" t="inlineStr">
        <is>
          <t>ex-ante (Eurobarometer surveys of 2,899 businesses and 16,129 consumers; consultation)</t>
        </is>
      </c>
      <c r="K50" s="7" t="inlineStr">
        <is>
          <t>cross-border trade; consumer confidence; compliance costs</t>
        </is>
      </c>
      <c r="L50" s="7" t="inlineStr">
        <is>
          <t>positive (forecast, qualitative)</t>
        </is>
      </c>
      <c r="M50" s="7" t="inlineStr">
        <is>
          <t>Divergent national fairness rules are a significant internal-market barrier; only 13% of consumers had bought cross-border in the past 12 months; harmonisation expected to raise cross-border marketing and purchases (not quantified)</t>
        </is>
      </c>
      <c r="N50" s="7" t="inlineStr">
        <is>
          <t>The Commission argued that one EU-wide set of rules on unfair selling would help firms sell, and consumers shop, across borders; it did not put a number on the gain.</t>
        </is>
      </c>
      <c r="O50" s="7" t="inlineStr">
        <is>
          <t>EU-15, 2002 baseline</t>
        </is>
      </c>
      <c r="P50" s="7" t="inlineStr">
        <is>
          <t>forecast; qualitative</t>
        </is>
      </c>
      <c r="Q50" s="7" t="inlineStr"/>
      <c r="R50" s="7" t="inlineStr">
        <is>
          <t>open</t>
        </is>
      </c>
      <c r="S50" s="7" t="inlineStr">
        <is>
          <t>full text partly read</t>
        </is>
      </c>
      <c r="T50" s="7" t="inlineStr">
        <is>
          <t>2026-10-10</t>
        </is>
      </c>
      <c r="U50" s="7" t="inlineStr">
        <is>
          <t>https://eur-lex.europa.eu/legal-content/EN/TXT/?uri=CELEX:52003SC0724</t>
        </is>
      </c>
      <c r="V50" s="7" t="inlineStr"/>
      <c r="W50" s="7" t="inlineStr">
        <is>
          <t>http://web.archive.org/web/20251009141108/https://eur-lex.europa.eu/legal-content/EN/TXT/?uri=CELEX%3A52003SC0724</t>
        </is>
      </c>
    </row>
    <row r="51">
      <c r="A51" s="7" t="n">
        <v>13</v>
      </c>
      <c r="B51" s="7" t="inlineStr">
        <is>
          <t>Unfair Commercial Practices Directive</t>
        </is>
      </c>
      <c r="C51" s="7" t="inlineStr">
        <is>
          <t>evidence</t>
        </is>
      </c>
      <c r="D51" s="7" t="inlineStr">
        <is>
          <t>official</t>
        </is>
      </c>
      <c r="E51" s="7" t="inlineStr">
        <is>
          <t>initial review</t>
        </is>
      </c>
      <c r="F51" s="7" t="inlineStr">
        <is>
          <t>ec-2013-ucpd-report</t>
        </is>
      </c>
      <c r="G51" s="7" t="inlineStr">
        <is>
          <t>European Commission (2013), First Report on the application of the Unfair Commercial Practices Directive, COM(2013) 139</t>
        </is>
      </c>
      <c r="H51" s="7" t="n">
        <v>2013</v>
      </c>
      <c r="I51" s="7" t="inlineStr">
        <is>
          <t>Commission evaluation</t>
        </is>
      </c>
      <c r="J51" s="7" t="inlineStr">
        <is>
          <t>review (consultation, enforcement experience, Eurobarometer)</t>
        </is>
      </c>
      <c r="K51" s="7" t="inlineStr">
        <is>
          <t>cross-border shopping interest; enforcement</t>
        </is>
      </c>
      <c r="L51" s="7" t="inlineStr">
        <is>
          <t>positive with gaps</t>
        </is>
      </c>
      <c r="M51" s="7" t="inlineStr">
        <is>
          <t>Directive judged to have removed obstacles and simplified rules; 52% of consumers interested in cross-border purchases (+19 points vs 2006); ~80% of websites found in breach in EU sweeps were corrected; enforcement, especially cross-border, needs strengthening; no amendment proposed</t>
        </is>
      </c>
      <c r="N51" s="7" t="inlineStr">
        <is>
          <t>The Commission's first review found the directive worked but said enforcement, especially across borders, had to improve.</t>
        </is>
      </c>
      <c r="O51" s="7" t="inlineStr">
        <is>
          <t>EU, 2007-2012</t>
        </is>
      </c>
      <c r="P51" s="7" t="inlineStr">
        <is>
          <t>self-evaluation; descriptive</t>
        </is>
      </c>
      <c r="Q51" s="7" t="inlineStr"/>
      <c r="R51" s="7" t="inlineStr">
        <is>
          <t>open</t>
        </is>
      </c>
      <c r="S51" s="7" t="inlineStr">
        <is>
          <t>full text partly read</t>
        </is>
      </c>
      <c r="T51" s="7" t="inlineStr">
        <is>
          <t>2026-10-10</t>
        </is>
      </c>
      <c r="U51" s="7" t="inlineStr">
        <is>
          <t>https://eur-lex.europa.eu/legal-content/EN/TXT/?uri=CELEX:52013DC0139</t>
        </is>
      </c>
      <c r="V51" s="7" t="inlineStr"/>
      <c r="W51" s="7" t="inlineStr">
        <is>
          <t>http://web.archive.org/web/20251123133623/https://eur-lex.europa.eu/legal-content/EN/TXT/?uri=celex%3A52013DC0139</t>
        </is>
      </c>
    </row>
    <row r="52">
      <c r="A52" s="7" t="n">
        <v>13</v>
      </c>
      <c r="B52" s="7" t="inlineStr">
        <is>
          <t>Unfair Commercial Practices Directive</t>
        </is>
      </c>
      <c r="C52" s="7" t="inlineStr">
        <is>
          <t>evidence</t>
        </is>
      </c>
      <c r="D52" s="7" t="inlineStr">
        <is>
          <t>official</t>
        </is>
      </c>
      <c r="E52" s="7" t="inlineStr">
        <is>
          <t>initial review</t>
        </is>
      </c>
      <c r="F52" s="7" t="inlineStr">
        <is>
          <t>ec-2017-consumer-fitness-check</t>
        </is>
      </c>
      <c r="G52" s="7" t="inlineStr">
        <is>
          <t>European Commission (2017), Report of the Fitness Check of EU consumer and marketing law (incl. the UCPD), SWD(2017) 209</t>
        </is>
      </c>
      <c r="H52" s="7" t="n">
        <v>2017</v>
      </c>
      <c r="I52" s="7" t="inlineStr">
        <is>
          <t>Commission evaluation (fitness check)</t>
        </is>
      </c>
      <c r="J52" s="7" t="inlineStr">
        <is>
          <t>review (Civic Consulting support study, surveys, consultation)</t>
        </is>
      </c>
      <c r="K52" s="7" t="inlineStr">
        <is>
          <t>effectiveness; compliance costs</t>
        </is>
      </c>
      <c r="L52" s="7" t="inlineStr">
        <is>
          <t>positive overall, enforcement gaps</t>
        </is>
      </c>
      <c r="M52" s="7" t="inlineStr">
        <is>
          <t>Rules still largely fit for purpose if effectively enforced; compliance costs very proportionate, including for SMEs, so limited scope for burden reduction; led to the 2018 New Deal / Omnibus proposal on enforcement and modernisation</t>
        </is>
      </c>
      <c r="N52" s="7" t="inlineStr">
        <is>
          <t>The 2017 review concluded EU consumer rules were largely fit for purpose and cheap to comply with, but poorly known and unevenly enforced.</t>
        </is>
      </c>
      <c r="O52" s="7" t="inlineStr">
        <is>
          <t>EU, to 2016</t>
        </is>
      </c>
      <c r="P52" s="7" t="inlineStr">
        <is>
          <t>self-evaluation</t>
        </is>
      </c>
      <c r="Q52" s="7" t="inlineStr"/>
      <c r="R52" s="7" t="inlineStr">
        <is>
          <t>open</t>
        </is>
      </c>
      <c r="S52" s="7" t="inlineStr">
        <is>
          <t>page summary via search</t>
        </is>
      </c>
      <c r="T52" s="7" t="inlineStr">
        <is>
          <t>2026-10-10</t>
        </is>
      </c>
      <c r="U52" s="7" t="inlineStr">
        <is>
          <t>https://www.eumonitor.eu/9353000/1/j9vvik7m1c3gyxp/vkewrzaq4ozm</t>
        </is>
      </c>
      <c r="V52" s="7" t="inlineStr"/>
      <c r="W52" s="7" t="inlineStr"/>
    </row>
    <row r="53">
      <c r="A53" s="7" t="n">
        <v>13</v>
      </c>
      <c r="B53" s="7" t="inlineStr">
        <is>
          <t>Unfair Commercial Practices Directive</t>
        </is>
      </c>
      <c r="C53" s="7" t="inlineStr">
        <is>
          <t>evidence</t>
        </is>
      </c>
      <c r="D53" s="7" t="inlineStr">
        <is>
          <t>academic</t>
        </is>
      </c>
      <c r="E53" s="7" t="inlineStr">
        <is>
          <t>initial review</t>
        </is>
      </c>
      <c r="F53" s="7" t="inlineStr">
        <is>
          <t>roesner-haucap-heimeshoff-2020</t>
        </is>
      </c>
      <c r="G53" s="7" t="inlineStr">
        <is>
          <t>Rösner, Haucap &amp; Heimeshoff (2020), The impact of consumer protection in the digital age: Evidence from the European Union, International Journal of Industrial Organization 73 (CESifo WP 8081)</t>
        </is>
      </c>
      <c r="H53" s="7" t="n">
        <v>2020</v>
      </c>
      <c r="I53" s="7" t="inlineStr">
        <is>
          <t>peer-reviewed</t>
        </is>
      </c>
      <c r="J53" s="7" t="inlineStr">
        <is>
          <t>causal: difference-in-differences with multiple periods (staggered UCPD transposition 2007-2010; Eurobarometer 2006-2014)</t>
        </is>
      </c>
      <c r="K53" s="7" t="inlineStr">
        <is>
          <t>consumer trust; cross-border purchases</t>
        </is>
      </c>
      <c r="L53" s="7" t="inlineStr">
        <is>
          <t>positive (conditional)</t>
        </is>
      </c>
      <c r="M53" s="7" t="inlineStr">
        <is>
          <t>UCPD introduction significantly associated with higher consumer trust and more cross-border purchases, but only for countries with low consumer protection before the directive; effect grows over time then stabilises</t>
        </is>
      </c>
      <c r="N53" s="7" t="inlineStr">
        <is>
          <t>Countries that had weak consumer protection before the UCPD saw consumer trust and cross-border shopping rise after adopting it; countries that already had strong rules saw no clear change.</t>
        </is>
      </c>
      <c r="O53" s="7" t="inlineStr">
        <is>
          <t>EU member states, 2006-2014</t>
        </is>
      </c>
      <c r="P53" s="7" t="inlineStr">
        <is>
          <t>causal design; survey outcomes</t>
        </is>
      </c>
      <c r="Q53" s="7" t="inlineStr"/>
      <c r="R53" s="7" t="inlineStr">
        <is>
          <t>paywalled (CESifo WP open)</t>
        </is>
      </c>
      <c r="S53" s="7" t="inlineStr">
        <is>
          <t>abstract read</t>
        </is>
      </c>
      <c r="T53" s="7" t="inlineStr">
        <is>
          <t>2026-10-10</t>
        </is>
      </c>
      <c r="U53" s="7" t="inlineStr">
        <is>
          <t>https://doi.org/10.1016/j.ijindorg.2020.102585</t>
        </is>
      </c>
      <c r="V53" s="7" t="inlineStr">
        <is>
          <t>https://ideas.repec.org/p/ces/ceswps/_8081.html</t>
        </is>
      </c>
      <c r="W53" s="7" t="inlineStr"/>
    </row>
    <row r="54">
      <c r="A54" s="7" t="n">
        <v>13</v>
      </c>
      <c r="B54" s="7" t="inlineStr">
        <is>
          <t>Unfair Commercial Practices Directive</t>
        </is>
      </c>
      <c r="C54" s="7" t="inlineStr">
        <is>
          <t>evidence</t>
        </is>
      </c>
      <c r="D54" s="7" t="inlineStr">
        <is>
          <t>official</t>
        </is>
      </c>
      <c r="E54" s="7" t="inlineStr">
        <is>
          <t>initial review</t>
        </is>
      </c>
      <c r="F54" s="7" t="inlineStr">
        <is>
          <t>lupianez-villanueva-2022-dark-patterns</t>
        </is>
      </c>
      <c r="G54" s="7" t="inlineStr">
        <is>
          <t>Lupiáñez-Villanueva, Boluda, Bogliacino et al. (for European Commission, DG JUST) (2022), Behavioural study on unfair commercial practices in the digital environment: dark patterns and manipulative personalisation, Publications Office of the EU, doi:10.2838/859030</t>
        </is>
      </c>
      <c r="H54" s="7" t="n">
        <v>2022</v>
      </c>
      <c r="I54" s="7" t="inlineStr">
        <is>
          <t>Commission-commissioned study</t>
        </is>
      </c>
      <c r="J54" s="7" t="inlineStr">
        <is>
          <t>mystery shopping of popular websites/apps; online experiments</t>
        </is>
      </c>
      <c r="K54" s="7" t="inlineStr">
        <is>
          <t>prevalence of dark patterns; consumer behaviour</t>
        </is>
      </c>
      <c r="L54" s="7" t="inlineStr">
        <is>
          <t>negative (persistent harm)</t>
        </is>
      </c>
      <c r="M54" s="7" t="inlineStr">
        <is>
          <t>97% of the most popular websites and apps used by EU consumers deployed at least one dark pattern; consumers have limited ability to recognise them</t>
        </is>
      </c>
      <c r="N54" s="7" t="inlineStr">
        <is>
          <t>Almost all of the most popular websites and apps used at least one manipulative design trick, years after the UCPD banned misleading and aggressive practices.</t>
        </is>
      </c>
      <c r="O54" s="7" t="inlineStr">
        <is>
          <t>EU, 2021-2022</t>
        </is>
      </c>
      <c r="P54" s="7" t="inlineStr">
        <is>
          <t>descriptive prevalence + experiments</t>
        </is>
      </c>
      <c r="Q54" s="7" t="inlineStr"/>
      <c r="R54" s="7" t="inlineStr">
        <is>
          <t>open</t>
        </is>
      </c>
      <c r="S54" s="7" t="inlineStr">
        <is>
          <t>page summary via search</t>
        </is>
      </c>
      <c r="T54" s="7" t="inlineStr">
        <is>
          <t>2026-10-10</t>
        </is>
      </c>
      <c r="U54" s="7" t="inlineStr">
        <is>
          <t>https://data.europa.eu/doi/10.2838/859030</t>
        </is>
      </c>
      <c r="V54" s="7" t="inlineStr"/>
      <c r="W54" s="7" t="inlineStr"/>
    </row>
    <row r="55">
      <c r="A55" s="7" t="n">
        <v>13</v>
      </c>
      <c r="B55" s="7" t="inlineStr">
        <is>
          <t>Unfair Commercial Practices Directive</t>
        </is>
      </c>
      <c r="C55" s="7" t="inlineStr">
        <is>
          <t>enforcement or case law</t>
        </is>
      </c>
      <c r="D55" s="7" t="inlineStr">
        <is>
          <t>official</t>
        </is>
      </c>
      <c r="E55" s="7" t="inlineStr">
        <is>
          <t>initial review</t>
        </is>
      </c>
      <c r="F55" s="7" t="inlineStr">
        <is>
          <t>cpc-2023-dark-patterns-sweep</t>
        </is>
      </c>
      <c r="G55" s="7" t="inlineStr">
        <is>
          <t>European Commission and CPC Network (2023), Sweep of online shops for dark patterns (press release IP/23/418), IP/23/418, 30 January 2023</t>
        </is>
      </c>
      <c r="H55" s="7" t="n">
        <v>2023</v>
      </c>
      <c r="I55" s="7" t="inlineStr">
        <is>
          <t>enforcement record</t>
        </is>
      </c>
      <c r="J55" s="7" t="inlineStr">
        <is>
          <t>enforcement sweep (399 online shops, 23 Member States + NO, IS)</t>
        </is>
      </c>
      <c r="K55" s="7" t="inlineStr">
        <is>
          <t>compliance</t>
        </is>
      </c>
      <c r="L55" s="7" t="inlineStr">
        <is>
          <t>negative (non-compliance)</t>
        </is>
      </c>
      <c r="M55" s="7" t="inlineStr">
        <is>
          <t>148 of 399 online shops used at least one dark pattern (fake countdown timers, steering design, hidden information); 27 of 102 apps checked also did</t>
        </is>
      </c>
      <c r="N55" s="7" t="inlineStr">
        <is>
          <t>Consumer authorities found manipulative designs in almost 40% of online shops checked in 2022-23.</t>
        </is>
      </c>
      <c r="O55" s="7" t="inlineStr">
        <is>
          <t>EU/EEA, late 2022</t>
        </is>
      </c>
      <c r="P55" s="7" t="inlineStr">
        <is>
          <t>screening, not legal findings</t>
        </is>
      </c>
      <c r="Q55" s="7" t="inlineStr"/>
      <c r="R55" s="7" t="inlineStr">
        <is>
          <t>open</t>
        </is>
      </c>
      <c r="S55" s="7" t="inlineStr">
        <is>
          <t>page summary via search</t>
        </is>
      </c>
      <c r="T55" s="7" t="inlineStr">
        <is>
          <t>2026-10-10</t>
        </is>
      </c>
      <c r="U55" s="7" t="inlineStr">
        <is>
          <t>https://ec.europa.eu/commission/presscorner/detail/en/ip_23_418</t>
        </is>
      </c>
      <c r="V55" s="7" t="inlineStr"/>
      <c r="W55" s="7" t="inlineStr">
        <is>
          <t>http://web.archive.org/web/20261004181804/https://ec.europa.eu/commission/presscorner/detail/en/ip_23_418</t>
        </is>
      </c>
    </row>
    <row r="56">
      <c r="A56" s="7" t="n">
        <v>13</v>
      </c>
      <c r="B56" s="7" t="inlineStr">
        <is>
          <t>Unfair Commercial Practices Directive</t>
        </is>
      </c>
      <c r="C56" s="7" t="inlineStr">
        <is>
          <t>evidence</t>
        </is>
      </c>
      <c r="D56" s="7" t="inlineStr">
        <is>
          <t>official</t>
        </is>
      </c>
      <c r="E56" s="7" t="inlineStr">
        <is>
          <t>initial review</t>
        </is>
      </c>
      <c r="F56" s="7" t="inlineStr">
        <is>
          <t>ec-2024-digital-fairness-fitness-check</t>
        </is>
      </c>
      <c r="G56" s="7" t="inlineStr">
        <is>
          <t>European Commission (2024), Fitness Check of EU consumer law on digital fairness (executive summary SWD(2024) 231), SWD(2024) 230</t>
        </is>
      </c>
      <c r="H56" s="7" t="n">
        <v>2024</v>
      </c>
      <c r="I56" s="7" t="inlineStr">
        <is>
          <t>Commission evaluation (fitness check)</t>
        </is>
      </c>
      <c r="J56" s="7" t="inlineStr">
        <is>
          <t>review 2017-2023 (surveys, consultation, detriment estimate)</t>
        </is>
      </c>
      <c r="K56" s="7" t="inlineStr">
        <is>
          <t>consumer detriment; compliance costs; effectiveness</t>
        </is>
      </c>
      <c r="L56" s="7" t="inlineStr">
        <is>
          <t>mixed</t>
        </is>
      </c>
      <c r="M56" s="7" t="inlineStr">
        <is>
          <t>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is>
      </c>
      <c r="N56" s="7" t="inlineStr">
        <is>
          <t>The Commission's 2024 review found the UCPD and sister directives still relevant and cheap to comply with, but only partly effective online, with consumers losing at least EUR 7.9 billion a year.</t>
        </is>
      </c>
      <c r="O56" s="7" t="inlineStr">
        <is>
          <t>EU, 2017-2023</t>
        </is>
      </c>
      <c r="P56" s="7" t="inlineStr">
        <is>
          <t>self-evaluation; detriment estimate conservative and not attributable to the directives</t>
        </is>
      </c>
      <c r="Q56" s="7" t="inlineStr"/>
      <c r="R56" s="7" t="inlineStr">
        <is>
          <t>open</t>
        </is>
      </c>
      <c r="S56" s="7" t="inlineStr">
        <is>
          <t>full text read (executive summary)</t>
        </is>
      </c>
      <c r="T56" s="7" t="inlineStr">
        <is>
          <t>2026-10-10</t>
        </is>
      </c>
      <c r="U56" s="7" t="inlineStr">
        <is>
          <t>https://commission.europa.eu/document/download/d3b2a18b-7eec-4fe6-8421-8961a9ceb288_en</t>
        </is>
      </c>
      <c r="V56" s="7" t="inlineStr"/>
      <c r="W56" s="7" t="inlineStr"/>
    </row>
    <row r="57">
      <c r="A57" s="7" t="n">
        <v>13</v>
      </c>
      <c r="B57" s="7" t="inlineStr">
        <is>
          <t>Unfair Commercial Practices Directive</t>
        </is>
      </c>
      <c r="C57" s="7" t="inlineStr">
        <is>
          <t>evidence</t>
        </is>
      </c>
      <c r="D57" s="7" t="inlineStr">
        <is>
          <t>official</t>
        </is>
      </c>
      <c r="E57" s="7" t="inlineStr">
        <is>
          <t>initial review</t>
        </is>
      </c>
      <c r="F57" s="7" t="inlineStr">
        <is>
          <t>ec-2024-omnibus-report</t>
        </is>
      </c>
      <c r="G57" s="7" t="inlineStr">
        <is>
          <t>European Commission (2024), Report on the implementation of Directive (EU) 2019/2161 (Modernisation/Omnibus Directive), COM(2024) 258</t>
        </is>
      </c>
      <c r="H57" s="7" t="n">
        <v>2024</v>
      </c>
      <c r="I57" s="7" t="inlineStr">
        <is>
          <t>Commission evaluation</t>
        </is>
      </c>
      <c r="J57" s="7" t="inlineStr">
        <is>
          <t>implementation report (transposition, sweeps, surveys)</t>
        </is>
      </c>
      <c r="K57" s="7" t="inlineStr">
        <is>
          <t>penalties; price-reduction rules; consumer remedies</t>
        </is>
      </c>
      <c r="L57" s="7" t="inlineStr">
        <is>
          <t>too early</t>
        </is>
      </c>
      <c r="M57" s="7" t="inlineStr">
        <is>
          <t>Directive at an early stage of application; most Member States now provide fines of at least 4% of turnover for coordinated cross-border cases and individual remedies for victims of unfair practices; sweeps found 23% of price-reduction announcements breached the new rules</t>
        </is>
      </c>
      <c r="N57" s="7" t="inlineStr">
        <is>
          <t>The 2019 upgrade to the UCPD gave authorities bigger fines and consumers new remedies, but the Commission says it is too early to judge their effect.</t>
        </is>
      </c>
      <c r="O57" s="7" t="inlineStr">
        <is>
          <t>EU, 2022-2023</t>
        </is>
      </c>
      <c r="P57" s="7" t="inlineStr">
        <is>
          <t>descriptive</t>
        </is>
      </c>
      <c r="Q57" s="7" t="inlineStr"/>
      <c r="R57" s="7" t="inlineStr">
        <is>
          <t>open</t>
        </is>
      </c>
      <c r="S57" s="7" t="inlineStr">
        <is>
          <t>full text partly read</t>
        </is>
      </c>
      <c r="T57" s="7" t="inlineStr">
        <is>
          <t>2026-10-10</t>
        </is>
      </c>
      <c r="U57" s="7" t="inlineStr">
        <is>
          <t>https://eur-lex.europa.eu/legal-content/EN/TXT/?uri=CELEX:52024DC0258</t>
        </is>
      </c>
      <c r="V57" s="7" t="inlineStr"/>
      <c r="W57" s="7" t="inlineStr"/>
    </row>
    <row r="58">
      <c r="A58" s="7" t="n">
        <v>14</v>
      </c>
      <c r="B58" s="7" t="inlineStr">
        <is>
          <t>Common VAT system Directive</t>
        </is>
      </c>
      <c r="C58" s="7" t="inlineStr">
        <is>
          <t>ex-ante assessment</t>
        </is>
      </c>
      <c r="D58" s="7" t="inlineStr">
        <is>
          <t>official</t>
        </is>
      </c>
      <c r="E58" s="7" t="inlineStr">
        <is>
          <t>initial review</t>
        </is>
      </c>
      <c r="F58" s="7" t="inlineStr">
        <is>
          <t>ec-2016-vat-ecommerce-ia</t>
        </is>
      </c>
      <c r="G58" s="7" t="inlineStr">
        <is>
          <t>European Commission (2016), Impact assessment on modernising VAT for cross-border B2C e-commerce, SWD(2016) 379</t>
        </is>
      </c>
      <c r="H58" s="7" t="n">
        <v>2016</v>
      </c>
      <c r="I58" s="7" t="inlineStr">
        <is>
          <t>Commission impact assessment</t>
        </is>
      </c>
      <c r="J58" s="7" t="inlineStr">
        <is>
          <t>ex-ante (external study)</t>
        </is>
      </c>
      <c r="K58" s="7" t="inlineStr">
        <is>
          <t>VAT revenue; compliance costs</t>
        </is>
      </c>
      <c r="L58" s="7" t="inlineStr">
        <is>
          <t>positive (forecast)</t>
        </is>
      </c>
      <c r="M58" s="7" t="inlineStr">
        <is>
          <t>MOSS (2015): ~EUR 3bn VAT paid, ~70% of e-service supplies, saved businesses ~EUR 500m; status quo: cross-border compliance costs EUR 4.2bn a year, VAT losses EUR 7bn a year by 2020; preferred option cuts admin burden 42% (EUR 1.8bn)</t>
        </is>
      </c>
      <c r="N58" s="7" t="inlineStr">
        <is>
          <t>The Commission expected its e-commerce VAT reform to cut business paperwork by 42% and close a EUR 7 billion a year revenue gap.</t>
        </is>
      </c>
      <c r="O58" s="7" t="inlineStr">
        <is>
          <t>EU, forecast</t>
        </is>
      </c>
      <c r="P58" s="7" t="inlineStr">
        <is>
          <t>forecast</t>
        </is>
      </c>
      <c r="Q58" s="7" t="inlineStr"/>
      <c r="R58" s="7" t="inlineStr">
        <is>
          <t>open</t>
        </is>
      </c>
      <c r="S58" s="7" t="inlineStr">
        <is>
          <t>full text partly read</t>
        </is>
      </c>
      <c r="T58" s="7" t="inlineStr">
        <is>
          <t>2026-10-10</t>
        </is>
      </c>
      <c r="U58" s="7" t="inlineStr">
        <is>
          <t>https://eur-lex.europa.eu/legal-content/EN/TXT/?uri=CELEX:52016SC0379</t>
        </is>
      </c>
      <c r="V58" s="7" t="inlineStr"/>
      <c r="W58" s="7" t="inlineStr">
        <is>
          <t>http://web.archive.org/web/20251125210527/https://eur-lex.europa.eu/legal-content/EN/TXT/?uri=CELEX:52016SC0379</t>
        </is>
      </c>
    </row>
    <row r="59">
      <c r="A59" s="7" t="n">
        <v>14</v>
      </c>
      <c r="B59" s="7" t="inlineStr">
        <is>
          <t>Common VAT system Directive</t>
        </is>
      </c>
      <c r="C59" s="7" t="inlineStr">
        <is>
          <t>evidence</t>
        </is>
      </c>
      <c r="D59" s="7" t="inlineStr">
        <is>
          <t>official</t>
        </is>
      </c>
      <c r="E59" s="7" t="inlineStr">
        <is>
          <t>initial review</t>
        </is>
      </c>
      <c r="F59" s="7" t="inlineStr">
        <is>
          <t>ec-2025-oss-report</t>
        </is>
      </c>
      <c r="G59" s="7" t="inlineStr">
        <is>
          <t>European Commission (2025), Report on the application of the VAT e-commerce package for 2024, VAT One Stop Shop portal, 14 July 2025</t>
        </is>
      </c>
      <c r="H59" s="7" t="n">
        <v>2025</v>
      </c>
      <c r="I59" s="7" t="inlineStr">
        <is>
          <t>Commission monitoring report</t>
        </is>
      </c>
      <c r="J59" s="7" t="inlineStr">
        <is>
          <t>administrative data</t>
        </is>
      </c>
      <c r="K59" s="7" t="inlineStr">
        <is>
          <t>VAT collected through OSS/IOSS</t>
        </is>
      </c>
      <c r="L59" s="7" t="inlineStr">
        <is>
          <t>positive</t>
        </is>
      </c>
      <c r="M59" s="7" t="inlineStr">
        <is>
          <t>VAT declared via the three OSS schemes rose from EUR 26.3bn in 2023 to EUR 33.1bn in 2024 (+26%); about EUR 88bn declared 2021-2024</t>
        </is>
      </c>
      <c r="N59" s="7" t="inlineStr">
        <is>
          <t>VAT collected through the EU's one-stop-shop for online sales reached EUR 33 billion in 2024, up 26% on 2023.</t>
        </is>
      </c>
      <c r="O59" s="7" t="inlineStr">
        <is>
          <t>EU, 2021-2024</t>
        </is>
      </c>
      <c r="P59" s="7" t="inlineStr">
        <is>
          <t>gross collections; not a causal estimate</t>
        </is>
      </c>
      <c r="Q59" s="7" t="inlineStr"/>
      <c r="R59" s="7" t="inlineStr">
        <is>
          <t>open</t>
        </is>
      </c>
      <c r="S59" s="7" t="inlineStr">
        <is>
          <t>page summary via search</t>
        </is>
      </c>
      <c r="T59" s="7" t="inlineStr">
        <is>
          <t>2026-10-10</t>
        </is>
      </c>
      <c r="U59" s="7" t="inlineStr">
        <is>
          <t>https://vat-one-stop-shop.ec.europa.eu/report-application-vat-e-commerce-package-2024-2025-07-14_en</t>
        </is>
      </c>
      <c r="V59" s="7" t="inlineStr"/>
      <c r="W59" s="7" t="inlineStr">
        <is>
          <t>http://web.archive.org/web/20261001140540/https://vat-one-stop-shop.ec.europa.eu/report-application-vat-e-commerce-package-2024-2025-07-14_en</t>
        </is>
      </c>
    </row>
    <row r="60">
      <c r="A60" s="7" t="n">
        <v>14</v>
      </c>
      <c r="B60" s="7" t="inlineStr">
        <is>
          <t>Common VAT system Directive</t>
        </is>
      </c>
      <c r="C60" s="7" t="inlineStr">
        <is>
          <t>ex-ante assessment</t>
        </is>
      </c>
      <c r="D60" s="7" t="inlineStr">
        <is>
          <t>official</t>
        </is>
      </c>
      <c r="E60" s="7" t="inlineStr">
        <is>
          <t>initial review</t>
        </is>
      </c>
      <c r="F60" s="7" t="inlineStr">
        <is>
          <t>ec-2022-vida-ia</t>
        </is>
      </c>
      <c r="G60" s="7" t="inlineStr">
        <is>
          <t>European Commission (2022), Impact assessment on VAT in the digital age (executive summary SWD(2022) 394), SWD(2022) 393</t>
        </is>
      </c>
      <c r="H60" s="7" t="n">
        <v>2022</v>
      </c>
      <c r="I60" s="7" t="inlineStr">
        <is>
          <t>Commission impact assessment</t>
        </is>
      </c>
      <c r="J60" s="7" t="inlineStr">
        <is>
          <t>ex-ante</t>
        </is>
      </c>
      <c r="K60" s="7" t="inlineStr">
        <is>
          <t>VAT revenue; compliance costs</t>
        </is>
      </c>
      <c r="L60" s="7" t="inlineStr">
        <is>
          <t>positive (forecast)</t>
        </is>
      </c>
      <c r="M60" s="7" t="inlineStr">
        <is>
          <t>Preferred approach: EUR 172-214bn net impact 2023-2032; EUR 50.6bn savings; EUR 135-177bn additional VAT revenue; EUR 11.3bn new reporting costs for business; 280,000 SMEs benefit from extended OSS</t>
        </is>
      </c>
      <c r="N60" s="7" t="inlineStr">
        <is>
          <t>The Commission expected digitising VAT to raise EUR 135-177 billion of extra VAT and save firms about EUR 50 billion over ten years.</t>
        </is>
      </c>
      <c r="O60" s="7" t="inlineStr">
        <is>
          <t>EU, forecast 2023-2032</t>
        </is>
      </c>
      <c r="P60" s="7" t="inlineStr">
        <is>
          <t>forecast</t>
        </is>
      </c>
      <c r="Q60" s="7" t="inlineStr"/>
      <c r="R60" s="7" t="inlineStr">
        <is>
          <t>open</t>
        </is>
      </c>
      <c r="S60" s="7" t="inlineStr">
        <is>
          <t>full text read (executive summary)</t>
        </is>
      </c>
      <c r="T60" s="7" t="inlineStr">
        <is>
          <t>2026-10-10</t>
        </is>
      </c>
      <c r="U60" s="7" t="inlineStr">
        <is>
          <t>https://eur-lex.europa.eu/legal-content/EN/TXT/?uri=CELEX:52022SC0393</t>
        </is>
      </c>
      <c r="V60" s="7" t="inlineStr"/>
      <c r="W60" s="7" t="inlineStr">
        <is>
          <t>http://web.archive.org/web/20260313193926/https://eur-lex.europa.eu/legal-content/EN/TXT/?uri=celex:52022SC0393</t>
        </is>
      </c>
    </row>
    <row r="61">
      <c r="A61" s="7" t="n">
        <v>14</v>
      </c>
      <c r="B61" s="7" t="inlineStr">
        <is>
          <t>Common VAT system Directive</t>
        </is>
      </c>
      <c r="C61" s="7" t="inlineStr">
        <is>
          <t>evidence</t>
        </is>
      </c>
      <c r="D61" s="7" t="inlineStr">
        <is>
          <t>academic</t>
        </is>
      </c>
      <c r="E61" s="7" t="inlineStr">
        <is>
          <t>initial review</t>
        </is>
      </c>
      <c r="F61" s="7" t="inlineStr">
        <is>
          <t>benzarti-et-al-2020-vat</t>
        </is>
      </c>
      <c r="G61" s="7" t="inlineStr">
        <is>
          <t>Benzarti, Carloni, Harju &amp; Kosonen (2020), What Goes Up May Not Come Down: Asymmetric Incidence of Value-Added Taxes, Journal of Political Economy 128(12) (NBER WP 23849)</t>
        </is>
      </c>
      <c r="H61" s="7" t="n">
        <v>2020</v>
      </c>
      <c r="I61" s="7" t="inlineStr">
        <is>
          <t>peer-reviewed</t>
        </is>
      </c>
      <c r="J61" s="7" t="inlineStr">
        <is>
          <t>quasi-experimental (two exogenous VAT changes) plus panel of all EU VAT changes 1996-2015</t>
        </is>
      </c>
      <c r="K61" s="7" t="inlineStr">
        <is>
          <t>consumer prices; markups</t>
        </is>
      </c>
      <c r="L61" s="7" t="inlineStr">
        <is>
          <t>mixed</t>
        </is>
      </c>
      <c r="M61" s="7" t="inlineStr">
        <is>
          <t>Prices respond twice as much to VAT increases as to decreases; asymmetry raises profits and markups and persists for years; similar asymmetry across all EU VAT changes 1996-2015</t>
        </is>
      </c>
      <c r="N61" s="7" t="inlineStr">
        <is>
          <t>Studying VAT changes across the EU, economists found shops pass on VAT rises about twice as fully as VAT cuts.</t>
        </is>
      </c>
      <c r="O61" s="7" t="inlineStr">
        <is>
          <t>EU, 1996-2015</t>
        </is>
      </c>
      <c r="P61" s="7" t="inlineStr">
        <is>
          <t>strong causal design; about VAT rates, not the Directive itself</t>
        </is>
      </c>
      <c r="Q61" s="7" t="inlineStr"/>
      <c r="R61" s="7" t="inlineStr">
        <is>
          <t>open</t>
        </is>
      </c>
      <c r="S61" s="7" t="inlineStr">
        <is>
          <t>abstract read</t>
        </is>
      </c>
      <c r="T61" s="7" t="inlineStr">
        <is>
          <t>2026-10-10</t>
        </is>
      </c>
      <c r="U61" s="7" t="inlineStr">
        <is>
          <t>https://www.nber.org/papers/w23849</t>
        </is>
      </c>
      <c r="V61" s="7" t="inlineStr"/>
      <c r="W61" s="7" t="inlineStr">
        <is>
          <t>http://web.archive.org/web/20261001073646/https://www.nber.org/papers/w23849</t>
        </is>
      </c>
    </row>
    <row r="62">
      <c r="A62" s="7" t="n">
        <v>17</v>
      </c>
      <c r="B62" s="7" t="inlineStr">
        <is>
          <t>Toys Safety Directive</t>
        </is>
      </c>
      <c r="C62" s="7" t="inlineStr">
        <is>
          <t>ex-ante assessment</t>
        </is>
      </c>
      <c r="D62" s="7" t="inlineStr">
        <is>
          <t>official</t>
        </is>
      </c>
      <c r="E62" s="7" t="inlineStr">
        <is>
          <t>initial review</t>
        </is>
      </c>
      <c r="F62" s="7" t="inlineStr">
        <is>
          <t>ec-2008-toys-ia</t>
        </is>
      </c>
      <c r="G62" s="7" t="inlineStr">
        <is>
          <t>European Commission (2008), Executive summary of the impact assessment for the proposal on the safety of toys, SEC(2008) 39</t>
        </is>
      </c>
      <c r="H62" s="7" t="n">
        <v>2008</v>
      </c>
      <c r="I62" s="7" t="inlineStr">
        <is>
          <t>Commission impact assessment</t>
        </is>
      </c>
      <c r="J62" s="7" t="inlineStr">
        <is>
          <t>ex-ante (three external studies, consultation of 1,500+ respondents)</t>
        </is>
      </c>
      <c r="K62" s="7" t="inlineStr">
        <is>
          <t>child health; compliance costs</t>
        </is>
      </c>
      <c r="L62" s="7" t="inlineStr">
        <is>
          <t>positive (forecast)</t>
        </is>
      </c>
      <c r="M62" s="7" t="inlineStr">
        <is>
          <t>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is>
      </c>
      <c r="N62" s="7" t="inlineStr">
        <is>
          <t>The Commission expected tighter toy rules to raise costs somewhat but deliver large, hard-to-measure health gains for children.</t>
        </is>
      </c>
      <c r="O62" s="7" t="inlineStr">
        <is>
          <t>EU, forecast</t>
        </is>
      </c>
      <c r="P62" s="7" t="inlineStr">
        <is>
          <t>forecast; largely qualitative</t>
        </is>
      </c>
      <c r="Q62" s="7" t="inlineStr"/>
      <c r="R62" s="7" t="inlineStr">
        <is>
          <t>open</t>
        </is>
      </c>
      <c r="S62" s="7" t="inlineStr">
        <is>
          <t>full text read</t>
        </is>
      </c>
      <c r="T62" s="7" t="inlineStr">
        <is>
          <t>2026-10-10</t>
        </is>
      </c>
      <c r="U62" s="7" t="inlineStr">
        <is>
          <t>https://eur-lex.europa.eu/legal-content/EN/TXT/?uri=CELEX:52008SC0039</t>
        </is>
      </c>
      <c r="V62" s="7" t="inlineStr"/>
      <c r="W62" s="7" t="inlineStr">
        <is>
          <t>http://web.archive.org/web/20220808175357/https://eur-lex.europa.eu/legal-content/EN/TXT/?uri=CELEX%3A52008SC0039</t>
        </is>
      </c>
    </row>
    <row r="63">
      <c r="A63" s="7" t="n">
        <v>17</v>
      </c>
      <c r="B63" s="7" t="inlineStr">
        <is>
          <t>Toys Safety Directive</t>
        </is>
      </c>
      <c r="C63" s="7" t="inlineStr">
        <is>
          <t>evidence</t>
        </is>
      </c>
      <c r="D63" s="7" t="inlineStr">
        <is>
          <t>official</t>
        </is>
      </c>
      <c r="E63" s="7" t="inlineStr">
        <is>
          <t>initial review</t>
        </is>
      </c>
      <c r="F63" s="7" t="inlineStr">
        <is>
          <t>ec-2020-toys-evaluation</t>
        </is>
      </c>
      <c r="G63" s="7" t="inlineStr">
        <is>
          <t>European Commission (2020), Evaluation of Directive 2009/48/EC on the safety of toys (executive summary SWD(2020) 288), SWD(2020) 287</t>
        </is>
      </c>
      <c r="H63" s="7" t="n">
        <v>2020</v>
      </c>
      <c r="I63" s="7" t="inlineStr">
        <is>
          <t>Commission evaluation</t>
        </is>
      </c>
      <c r="J63" s="7" t="inlineStr">
        <is>
          <t>evaluation (2015 external study, JRC cost-benefit study, consultations, national reports)</t>
        </is>
      </c>
      <c r="K63" s="7" t="inlineStr">
        <is>
          <t>safety; trade; costs</t>
        </is>
      </c>
      <c r="L63" s="7" t="inlineStr">
        <is>
          <t>mixed</t>
        </is>
      </c>
      <c r="M63" s="7" t="inlineStr">
        <is>
          <t>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is>
      </c>
      <c r="N63" s="7" t="inlineStr">
        <is>
          <t>The 2020 evaluation found toy trade flourished and costs were modest, but a third of inspected toys broke the rules and there is no data on whether injuries fell.</t>
        </is>
      </c>
      <c r="O63" s="7" t="inlineStr">
        <is>
          <t>EU, 2009-2019</t>
        </is>
      </c>
      <c r="P63" s="7" t="inlineStr">
        <is>
          <t>self-evaluation; weak data acknowledged</t>
        </is>
      </c>
      <c r="Q63" s="7" t="inlineStr"/>
      <c r="R63" s="7" t="inlineStr">
        <is>
          <t>open</t>
        </is>
      </c>
      <c r="S63" s="7" t="inlineStr">
        <is>
          <t>full text read (executive summary)</t>
        </is>
      </c>
      <c r="T63" s="7" t="inlineStr">
        <is>
          <t>2026-10-10</t>
        </is>
      </c>
      <c r="U63" s="7" t="inlineStr">
        <is>
          <t>https://eur-lex.europa.eu/legal-content/EN/TXT/?uri=CELEX:52020SC0287</t>
        </is>
      </c>
      <c r="V63" s="7" t="inlineStr"/>
      <c r="W63" s="7" t="inlineStr">
        <is>
          <t>http://web.archive.org/web/20231115082444/http://eur-lex.europa.eu/legal-content/en/TXT/?uri=CELEX:52020SC0287</t>
        </is>
      </c>
    </row>
    <row r="64">
      <c r="A64" s="7" t="n">
        <v>17</v>
      </c>
      <c r="B64" s="7" t="inlineStr">
        <is>
          <t>Toys Safety Directive</t>
        </is>
      </c>
      <c r="C64" s="7" t="inlineStr">
        <is>
          <t>ex-ante assessment</t>
        </is>
      </c>
      <c r="D64" s="7" t="inlineStr">
        <is>
          <t>official</t>
        </is>
      </c>
      <c r="E64" s="7" t="inlineStr">
        <is>
          <t>initial review</t>
        </is>
      </c>
      <c r="F64" s="7" t="inlineStr">
        <is>
          <t>ec-2023-toys-ia</t>
        </is>
      </c>
      <c r="G64" s="7" t="inlineStr">
        <is>
          <t>European Commission (2023), Impact assessment for the proposal for a Toy Safety Regulation (executive summary SWD(2023) 270), SWD(2023) 269</t>
        </is>
      </c>
      <c r="H64" s="7" t="n">
        <v>2023</v>
      </c>
      <c r="I64" s="7" t="inlineStr">
        <is>
          <t>Commission impact assessment</t>
        </is>
      </c>
      <c r="J64" s="7" t="inlineStr">
        <is>
          <t>ex-ante</t>
        </is>
      </c>
      <c r="K64" s="7" t="inlineStr">
        <is>
          <t>health benefits; industry costs</t>
        </is>
      </c>
      <c r="L64" s="7" t="inlineStr">
        <is>
          <t>positive (forecast)</t>
        </is>
      </c>
      <c r="M64" s="7" t="inlineStr">
        <is>
          <t>Generic bans on harmful chemicals: health benefits EUR 240m-1.2bn a year for endocrine disruptors alone; one-off redesign costs EUR 23.5-396.66m; testing +EUR 7.3-11.7m a year; EUR 249-367m of products could be affected; digital passport saves industry EUR 13-20m a year in inspections</t>
        </is>
      </c>
      <c r="N64" s="7" t="inlineStr">
        <is>
          <t>The Commission expected the new toy rules to avoid EUR 240 million to 1.2 billion a year of health damage from hormone-disrupting chemicals alone.</t>
        </is>
      </c>
      <c r="O64" s="7" t="inlineStr">
        <is>
          <t>EU, forecast</t>
        </is>
      </c>
      <c r="P64" s="7" t="inlineStr">
        <is>
          <t>forecast</t>
        </is>
      </c>
      <c r="Q64" s="7" t="inlineStr"/>
      <c r="R64" s="7" t="inlineStr">
        <is>
          <t>open</t>
        </is>
      </c>
      <c r="S64" s="7" t="inlineStr">
        <is>
          <t>full text read (executive summary)</t>
        </is>
      </c>
      <c r="T64" s="7" t="inlineStr">
        <is>
          <t>2026-10-10</t>
        </is>
      </c>
      <c r="U64" s="7" t="inlineStr">
        <is>
          <t>https://eur-lex.europa.eu/legal-content/EN/TXT/?uri=CELEX:52023SC0269</t>
        </is>
      </c>
      <c r="V64" s="7" t="inlineStr"/>
      <c r="W64" s="7" t="inlineStr"/>
    </row>
    <row r="65">
      <c r="A65" s="7" t="n">
        <v>16</v>
      </c>
      <c r="B65" s="7" t="inlineStr">
        <is>
          <t>European Statistics Regulation</t>
        </is>
      </c>
      <c r="C65" s="7" t="inlineStr">
        <is>
          <t>evidence</t>
        </is>
      </c>
      <c r="D65" s="7" t="inlineStr">
        <is>
          <t>official</t>
        </is>
      </c>
      <c r="E65" s="7" t="inlineStr">
        <is>
          <t>initial review</t>
        </is>
      </c>
      <c r="F65" s="7" t="inlineStr">
        <is>
          <t>eca-2012-statistics</t>
        </is>
      </c>
      <c r="G65" s="7" t="inlineStr">
        <is>
          <t>European Court of Auditors (2012), Did the Commission and Eurostat improve the process for producing reliable and credible European statistics?, Special Report No 12/2012</t>
        </is>
      </c>
      <c r="H65" s="7" t="n">
        <v>2012</v>
      </c>
      <c r="I65" s="7" t="inlineStr">
        <is>
          <t>independent audit</t>
        </is>
      </c>
      <c r="J65" s="7" t="inlineStr">
        <is>
          <t>performance audit</t>
        </is>
      </c>
      <c r="K65" s="7" t="inlineStr">
        <is>
          <t>governance; Code of Practice compliance</t>
        </is>
      </c>
      <c r="L65" s="7" t="inlineStr">
        <is>
          <t>negative</t>
        </is>
      </c>
      <c r="M65" s="7" t="inlineStr">
        <is>
          <t>Commission and Eurostat had not yet achieved full implementation of the Code of Practice; Code demanding but lacks strong verification and enforcement tools; ambiguity over which elements are binding; statistical programme not an effective planning and accountability tool</t>
        </is>
      </c>
      <c r="N65" s="7" t="inlineStr">
        <is>
          <t>The EU's auditors found in 2012 that the rules meant to guarantee trustworthy EU statistics were not fully applied or enforced.</t>
        </is>
      </c>
      <c r="O65" s="7" t="inlineStr">
        <is>
          <t>EU, to 2011</t>
        </is>
      </c>
      <c r="P65" s="7" t="inlineStr">
        <is>
          <t>independent audit</t>
        </is>
      </c>
      <c r="Q65" s="7" t="inlineStr"/>
      <c r="R65" s="7" t="inlineStr">
        <is>
          <t>open</t>
        </is>
      </c>
      <c r="S65" s="7" t="inlineStr">
        <is>
          <t>page summary via search</t>
        </is>
      </c>
      <c r="T65" s="7" t="inlineStr">
        <is>
          <t>2026-10-10</t>
        </is>
      </c>
      <c r="U65" s="7" t="inlineStr">
        <is>
          <t>https://www.eca.europa.eu/Lists/ECADocuments/SR12_12/SR12_12_EN.PDF</t>
        </is>
      </c>
      <c r="V65" s="7" t="inlineStr"/>
      <c r="W65" s="7" t="inlineStr"/>
    </row>
    <row r="66">
      <c r="A66" s="7" t="n">
        <v>16</v>
      </c>
      <c r="B66" s="7" t="inlineStr">
        <is>
          <t>European Statistics Regulation</t>
        </is>
      </c>
      <c r="C66" s="7" t="inlineStr">
        <is>
          <t>evidence</t>
        </is>
      </c>
      <c r="D66" s="7" t="inlineStr">
        <is>
          <t>official</t>
        </is>
      </c>
      <c r="E66" s="7" t="inlineStr">
        <is>
          <t>initial review</t>
        </is>
      </c>
      <c r="F66" s="7" t="inlineStr">
        <is>
          <t>ec-2016-cop-report</t>
        </is>
      </c>
      <c r="G66" s="7" t="inlineStr">
        <is>
          <t>European Commission (2016), Report on the implementation of the European Statistics Code of Practice and coordination within the ESS, COM(2016) 114</t>
        </is>
      </c>
      <c r="H66" s="7" t="n">
        <v>2016</v>
      </c>
      <c r="I66" s="7" t="inlineStr">
        <is>
          <t>Commission evaluation (peer review synthesis)</t>
        </is>
      </c>
      <c r="J66" s="7" t="inlineStr">
        <is>
          <t>peer reviews of all Member States, EFTA countries and Eurostat (2013-2015)</t>
        </is>
      </c>
      <c r="K66" s="7" t="inlineStr">
        <is>
          <t>independence; quality; coordination</t>
        </is>
      </c>
      <c r="L66" s="7" t="inlineStr">
        <is>
          <t>mixed</t>
        </is>
      </c>
      <c r="M66" s="7" t="inlineStr">
        <is>
          <t>707 peer-review recommendations (avg 21 per country), 65 needed to achieve compliance; professional independence (88 recommendations) and the need to revise statistical laws on appointment and dismissal of chief statisticians were main issues</t>
        </is>
      </c>
      <c r="N66" s="7" t="inlineStr">
        <is>
          <t>Independent peer reviews in 2013-2015 made over 700 recommendations, often about protecting statistical offices' independence.</t>
        </is>
      </c>
      <c r="O66" s="7" t="inlineStr">
        <is>
          <t>EU/EFTA, 2013-2015</t>
        </is>
      </c>
      <c r="P66" s="7" t="inlineStr">
        <is>
          <t>peer review; descriptive</t>
        </is>
      </c>
      <c r="Q66" s="7" t="inlineStr"/>
      <c r="R66" s="7" t="inlineStr">
        <is>
          <t>open</t>
        </is>
      </c>
      <c r="S66" s="7" t="inlineStr">
        <is>
          <t>full text partly read</t>
        </is>
      </c>
      <c r="T66" s="7" t="inlineStr">
        <is>
          <t>2026-10-10</t>
        </is>
      </c>
      <c r="U66" s="7" t="inlineStr">
        <is>
          <t>https://eur-lex.europa.eu/legal-content/EN/TXT/?uri=CELEX:52016DC0114</t>
        </is>
      </c>
      <c r="V66" s="7" t="inlineStr"/>
      <c r="W66" s="7" t="inlineStr"/>
    </row>
    <row r="67">
      <c r="A67" s="7" t="n">
        <v>16</v>
      </c>
      <c r="B67" s="7" t="inlineStr">
        <is>
          <t>European Statistics Regulation</t>
        </is>
      </c>
      <c r="C67" s="7" t="inlineStr">
        <is>
          <t>ex-ante assessment</t>
        </is>
      </c>
      <c r="D67" s="7" t="inlineStr">
        <is>
          <t>official</t>
        </is>
      </c>
      <c r="E67" s="7" t="inlineStr">
        <is>
          <t>initial review</t>
        </is>
      </c>
      <c r="F67" s="7" t="inlineStr">
        <is>
          <t>ec-2023-ess-ia</t>
        </is>
      </c>
      <c r="G67" s="7" t="inlineStr">
        <is>
          <t>European Commission (2023), Impact assessment for the amendment of Regulation (EC) No 223/2009 (executive summary SWD(2023) 241), SWD(2023) 240</t>
        </is>
      </c>
      <c r="H67" s="7" t="n">
        <v>2023</v>
      </c>
      <c r="I67" s="7" t="inlineStr">
        <is>
          <t>Commission impact assessment</t>
        </is>
      </c>
      <c r="J67" s="7" t="inlineStr">
        <is>
          <t>ex-ante</t>
        </is>
      </c>
      <c r="K67" s="7" t="inlineStr">
        <is>
          <t>timeliness; response burden; costs</t>
        </is>
      </c>
      <c r="L67" s="7" t="inlineStr">
        <is>
          <t>positive (forecast)</t>
        </is>
      </c>
      <c r="M67" s="7" t="inlineStr">
        <is>
          <t>Statistics not timely, frequent, detailed or cost-efficient enough; preferred targeted revision: direct benefits EUR 1.5bn a year (EUR 577m for business) vs direct costs EUR 757m a year (EUR 196m for business); micro and small firms exempt from mandatory data sharing</t>
        </is>
      </c>
      <c r="N67" s="7" t="inlineStr">
        <is>
          <t>The Commission expected giving statisticians access to private and administrative data to bring EUR 1.5 billion a year of benefits for EUR 757 million of costs.</t>
        </is>
      </c>
      <c r="O67" s="7" t="inlineStr">
        <is>
          <t>EU, forecast</t>
        </is>
      </c>
      <c r="P67" s="7" t="inlineStr">
        <is>
          <t>forecast</t>
        </is>
      </c>
      <c r="Q67" s="7" t="inlineStr"/>
      <c r="R67" s="7" t="inlineStr">
        <is>
          <t>open</t>
        </is>
      </c>
      <c r="S67" s="7" t="inlineStr">
        <is>
          <t>full text read (executive summary)</t>
        </is>
      </c>
      <c r="T67" s="7" t="inlineStr">
        <is>
          <t>2026-10-10</t>
        </is>
      </c>
      <c r="U67" s="7" t="inlineStr">
        <is>
          <t>https://eur-lex.europa.eu/legal-content/EN/TXT/?uri=CELEX:52023SC0241</t>
        </is>
      </c>
      <c r="V67" s="7" t="inlineStr"/>
      <c r="W67" s="7" t="inlineStr">
        <is>
          <t>http://web.archive.org/web/20260223065025/https://eur-lex.europa.eu/legal-content/EN/TXT/?uri=celex%3A52023SC0241</t>
        </is>
      </c>
    </row>
    <row r="68">
      <c r="A68" s="7" t="n">
        <v>15</v>
      </c>
      <c r="B68" s="7" t="inlineStr">
        <is>
          <t>Audiovisual Media Services Directive</t>
        </is>
      </c>
      <c r="C68" s="7" t="inlineStr">
        <is>
          <t>evidence</t>
        </is>
      </c>
      <c r="D68" s="7" t="inlineStr">
        <is>
          <t>official</t>
        </is>
      </c>
      <c r="E68" s="7" t="inlineStr">
        <is>
          <t>initial review</t>
        </is>
      </c>
      <c r="F68" s="7" t="inlineStr">
        <is>
          <t>ec-2016-avmsd-evaluation</t>
        </is>
      </c>
      <c r="G68" s="7" t="inlineStr">
        <is>
          <t>European Commission (2016), Ex-post REFIT evaluation of the Audiovisual Media Services Directive 2010/13/EU (executive summary SWD(2016) 171), SWD(2016) 170</t>
        </is>
      </c>
      <c r="H68" s="7" t="n">
        <v>2016</v>
      </c>
      <c r="I68" s="7" t="inlineStr">
        <is>
          <t>Commission evaluation</t>
        </is>
      </c>
      <c r="J68" s="7" t="inlineStr">
        <is>
          <t>REFIT evaluation (three public consultations, studies, monitoring reports)</t>
        </is>
      </c>
      <c r="K68" s="7" t="inlineStr">
        <is>
          <t>single market; cultural diversity; pluralism; costs</t>
        </is>
      </c>
      <c r="L68" s="7" t="inlineStr">
        <is>
          <t>mixed</t>
        </is>
      </c>
      <c r="M68" s="7" t="inlineStr">
        <is>
          <t>Country-of-origin principle effective; Directive enhanced cultural diversity on TV but less so on demand; partly effective on media freedom; robust economic data and compliance-cost data lacking; no effective monitoring system</t>
        </is>
      </c>
      <c r="N68" s="7" t="inlineStr">
        <is>
          <t>The 2016 evaluation found the rules let broadcasters operate EU-wide under one country's law, but admitted there was little hard data on their effects.</t>
        </is>
      </c>
      <c r="O68" s="7" t="inlineStr">
        <is>
          <t>EU, 2007-2015</t>
        </is>
      </c>
      <c r="P68" s="7" t="inlineStr">
        <is>
          <t>self-evaluation; data gaps acknowledged</t>
        </is>
      </c>
      <c r="Q68" s="7" t="inlineStr"/>
      <c r="R68" s="7" t="inlineStr">
        <is>
          <t>open</t>
        </is>
      </c>
      <c r="S68" s="7" t="inlineStr">
        <is>
          <t>full text read (executive summary)</t>
        </is>
      </c>
      <c r="T68" s="7" t="inlineStr">
        <is>
          <t>2026-10-10</t>
        </is>
      </c>
      <c r="U68" s="7" t="inlineStr">
        <is>
          <t>https://eur-lex.europa.eu/legal-content/EN/TXT/?uri=CELEX:52016SC0170</t>
        </is>
      </c>
      <c r="V68" s="7" t="inlineStr"/>
      <c r="W68" s="7" t="inlineStr">
        <is>
          <t>http://web.archive.org/web/20260227044509/https://eur-lex.europa.eu/legal-content/EN/TXT/?uri=celex%3A52016SC0170</t>
        </is>
      </c>
    </row>
    <row r="69">
      <c r="A69" s="7" t="n">
        <v>15</v>
      </c>
      <c r="B69" s="7" t="inlineStr">
        <is>
          <t>Audiovisual Media Services Directive</t>
        </is>
      </c>
      <c r="C69" s="7" t="inlineStr">
        <is>
          <t>ex-ante assessment</t>
        </is>
      </c>
      <c r="D69" s="7" t="inlineStr">
        <is>
          <t>official</t>
        </is>
      </c>
      <c r="E69" s="7" t="inlineStr">
        <is>
          <t>initial review</t>
        </is>
      </c>
      <c r="F69" s="7" t="inlineStr">
        <is>
          <t>ec-2016-avmsd-ia</t>
        </is>
      </c>
      <c r="G69" s="7" t="inlineStr">
        <is>
          <t>European Commission (2016), Impact assessment for the amendment of Directive 2010/13/EU (executive summary SWD(2016) 169), SWD(2016) 168</t>
        </is>
      </c>
      <c r="H69" s="7" t="n">
        <v>2016</v>
      </c>
      <c r="I69" s="7" t="inlineStr">
        <is>
          <t>Commission impact assessment</t>
        </is>
      </c>
      <c r="J69" s="7" t="inlineStr">
        <is>
          <t>ex-ante</t>
        </is>
      </c>
      <c r="K69" s="7" t="inlineStr">
        <is>
          <t>minors' protection; level playing field</t>
        </is>
      </c>
      <c r="L69" s="7" t="inlineStr">
        <is>
          <t>positive (forecast)</t>
        </is>
      </c>
      <c r="M69" s="7" t="inlineStr">
        <is>
          <t>Preferred options: obligations on video-sharing platforms for minors and hate speech, stronger European-works rules for on-demand services, independent regulators; costs mainly on on-demand and video-sharing services, mitigated by existing practice; not quantified</t>
        </is>
      </c>
      <c r="N69" s="7" t="inlineStr">
        <is>
          <t>The Commission proposed extending the rules to video-sharing platforms and on-demand services, without putting numbers on costs or benefits.</t>
        </is>
      </c>
      <c r="O69" s="7" t="inlineStr">
        <is>
          <t>EU, forecast</t>
        </is>
      </c>
      <c r="P69" s="7" t="inlineStr">
        <is>
          <t>forecast; qualitative</t>
        </is>
      </c>
      <c r="Q69" s="7" t="inlineStr"/>
      <c r="R69" s="7" t="inlineStr">
        <is>
          <t>open</t>
        </is>
      </c>
      <c r="S69" s="7" t="inlineStr">
        <is>
          <t>full text read (executive summary)</t>
        </is>
      </c>
      <c r="T69" s="7" t="inlineStr">
        <is>
          <t>2026-10-10</t>
        </is>
      </c>
      <c r="U69" s="7" t="inlineStr">
        <is>
          <t>https://eur-lex.europa.eu/legal-content/EN/TXT/?uri=CELEX:52016SC0168</t>
        </is>
      </c>
      <c r="V69" s="7" t="inlineStr"/>
      <c r="W69" s="7" t="inlineStr"/>
    </row>
    <row r="70">
      <c r="A70" s="7" t="n">
        <v>15</v>
      </c>
      <c r="B70" s="7" t="inlineStr">
        <is>
          <t>Audiovisual Media Services Directive</t>
        </is>
      </c>
      <c r="C70" s="7" t="inlineStr">
        <is>
          <t>evidence</t>
        </is>
      </c>
      <c r="D70" s="7" t="inlineStr">
        <is>
          <t>official</t>
        </is>
      </c>
      <c r="E70" s="7" t="inlineStr">
        <is>
          <t>initial review</t>
        </is>
      </c>
      <c r="F70" s="7" t="inlineStr">
        <is>
          <t>ec-2024-avmsd-european-works-report</t>
        </is>
      </c>
      <c r="G70" s="7" t="inlineStr">
        <is>
          <t>European Commission (2024), Report on the application of Articles 13, 16 and 17 of Directive 2010/13/EU for 2020-2021 (with SWD(2024) 149), COM(2024) 261</t>
        </is>
      </c>
      <c r="H70" s="7" t="n">
        <v>2024</v>
      </c>
      <c r="I70" s="7" t="inlineStr">
        <is>
          <t>Commission monitoring report</t>
        </is>
      </c>
      <c r="J70" s="7" t="inlineStr">
        <is>
          <t>Member State reports plus independent sample study</t>
        </is>
      </c>
      <c r="K70" s="7" t="inlineStr">
        <is>
          <t>share of European works</t>
        </is>
      </c>
      <c r="L70" s="7" t="inlineStr">
        <is>
          <t>mixed</t>
        </is>
      </c>
      <c r="M70" s="7" t="inlineStr">
        <is>
          <t>VOD: Member States report 63-64% European works, independent study of 1,062 services finds 35%; TV: reported 68-69% vs 38% in the study, independent productions reported 40-41% vs under 3% in the study; SVOD revenues EUR 6.7bn (2019) to EUR 11.7bn (2021)</t>
        </is>
      </c>
      <c r="N70" s="7" t="inlineStr">
        <is>
          <t>Countries report that European works make up about two-thirds of TV and streaming content, but an independent check found only about 35-38%.</t>
        </is>
      </c>
      <c r="O70" s="7" t="inlineStr">
        <is>
          <t>EU/EEA, 2020-2023</t>
        </is>
      </c>
      <c r="P70" s="7" t="inlineStr">
        <is>
          <t>official data inconsistent with independent sample</t>
        </is>
      </c>
      <c r="Q70" s="7" t="inlineStr"/>
      <c r="R70" s="7" t="inlineStr">
        <is>
          <t>open</t>
        </is>
      </c>
      <c r="S70" s="7" t="inlineStr">
        <is>
          <t>full text read</t>
        </is>
      </c>
      <c r="T70" s="7" t="inlineStr">
        <is>
          <t>2026-10-10</t>
        </is>
      </c>
      <c r="U70" s="7" t="inlineStr">
        <is>
          <t>https://eur-lex.europa.eu/legal-content/EN/TXT/?uri=CELEX:52024DC0261</t>
        </is>
      </c>
      <c r="V70" s="7" t="inlineStr"/>
      <c r="W70" s="7" t="inlineStr">
        <is>
          <t>http://web.archive.org/web/20260312183224/https://eur-lex.europa.eu/legal-content/EN/TXT/?uri=CELEX%3A52024DC0261</t>
        </is>
      </c>
    </row>
    <row r="71">
      <c r="A71" s="7" t="n">
        <v>19</v>
      </c>
      <c r="B71" s="7" t="inlineStr">
        <is>
          <t>Administrative cooperation in taxation (DAC)</t>
        </is>
      </c>
      <c r="C71" s="7" t="inlineStr">
        <is>
          <t>evidence</t>
        </is>
      </c>
      <c r="D71" s="7" t="inlineStr">
        <is>
          <t>official</t>
        </is>
      </c>
      <c r="E71" s="7" t="inlineStr">
        <is>
          <t>initial review</t>
        </is>
      </c>
      <c r="F71" s="7" t="inlineStr">
        <is>
          <t>ec-2019-dac-evaluation</t>
        </is>
      </c>
      <c r="G71" s="7" t="inlineStr">
        <is>
          <t>European Commission (2019), Evaluation of Council Directive 2011/16/EU on administrative cooperation in the field of taxation, SWD(2019) 327 (executive summary SWD(2019) 328)</t>
        </is>
      </c>
      <c r="H71" s="7" t="n">
        <v>2019</v>
      </c>
      <c r="I71" s="7" t="inlineStr">
        <is>
          <t>Commission evaluation</t>
        </is>
      </c>
      <c r="J71" s="7" t="inlineStr">
        <is>
          <t>ex-post evaluation (Member State data 2013-2017, consultation, contractor study)</t>
        </is>
      </c>
      <c r="K71" s="7" t="inlineStr">
        <is>
          <t>tax compliance; costs; benefits</t>
        </is>
      </c>
      <c r="L71" s="7" t="inlineStr">
        <is>
          <t>positive but weakly evidenced</t>
        </is>
      </c>
      <c r="M71" s="7" t="inlineStr">
        <is>
          <t>Limited evidence of effectiveness; cumulative costs about EUR 230m; the few monetised benefit estimates total about EUR 620m; monitoring failed to collect data on benefits</t>
        </is>
      </c>
      <c r="N71" s="7" t="inlineStr">
        <is>
          <t>The first evaluation found the tax-information exchange framework works, but data on its benefits were too thin to draw firm conclusions.</t>
        </is>
      </c>
      <c r="O71" s="7" t="inlineStr">
        <is>
          <t>EU, 2013-2017</t>
        </is>
      </c>
      <c r="P71" s="7" t="inlineStr">
        <is>
          <t>Commission self-assessment; data gaps acknowledged</t>
        </is>
      </c>
      <c r="Q71" s="7" t="inlineStr"/>
      <c r="R71" s="7" t="inlineStr">
        <is>
          <t>open</t>
        </is>
      </c>
      <c r="S71" s="7" t="inlineStr">
        <is>
          <t>full text read (executive summary)</t>
        </is>
      </c>
      <c r="T71" s="7" t="inlineStr">
        <is>
          <t>2026-10-10</t>
        </is>
      </c>
      <c r="U71" s="7" t="inlineStr">
        <is>
          <t>https://eur-lex.europa.eu/legal-content/EN/TXT/?uri=CELEX:52019SC0328</t>
        </is>
      </c>
      <c r="V71" s="7" t="inlineStr"/>
      <c r="W71" s="7" t="inlineStr"/>
    </row>
    <row r="72">
      <c r="A72" s="7" t="n">
        <v>19</v>
      </c>
      <c r="B72" s="7" t="inlineStr">
        <is>
          <t>Administrative cooperation in taxation (DAC)</t>
        </is>
      </c>
      <c r="C72" s="7" t="inlineStr">
        <is>
          <t>evidence</t>
        </is>
      </c>
      <c r="D72" s="7" t="inlineStr">
        <is>
          <t>official</t>
        </is>
      </c>
      <c r="E72" s="7" t="inlineStr">
        <is>
          <t>initial review</t>
        </is>
      </c>
      <c r="F72" s="7" t="inlineStr">
        <is>
          <t>ec-2025-dac-evaluation</t>
        </is>
      </c>
      <c r="G72" s="7" t="inlineStr">
        <is>
          <t>European Commission (2025), Report on the evaluation of Council Directive 2011/16/EU on administrative cooperation in the field of taxation, COM(2025) 695</t>
        </is>
      </c>
      <c r="H72" s="7" t="n">
        <v>2025</v>
      </c>
      <c r="I72" s="7" t="inlineStr">
        <is>
          <t>Commission evaluation</t>
        </is>
      </c>
      <c r="J72" s="7" t="inlineStr">
        <is>
          <t>ex-post evaluation (contractor study, Member State estimates)</t>
        </is>
      </c>
      <c r="K72" s="7" t="inlineStr">
        <is>
          <t>tax revenue; administrative costs</t>
        </is>
      </c>
      <c r="L72" s="7" t="inlineStr">
        <is>
          <t>positive</t>
        </is>
      </c>
      <c r="M72" s="7" t="inlineStr">
        <is>
          <t>Benefits estimated at about EUR 6.8bn a year against recurring costs of about EUR 646m (EUR 604m on business); DAC6 complex and inconsistently applied; 5-15% of data cannot be matched</t>
        </is>
      </c>
      <c r="N72" s="7" t="inlineStr">
        <is>
          <t>The Commission's second evaluation estimates the rules bring in about EUR 6.8 billion a year in tax, roughly ten times their running cost, though most of the cost falls on business.</t>
        </is>
      </c>
      <c r="O72" s="7" t="inlineStr">
        <is>
          <t>EU, 2018-2023</t>
        </is>
      </c>
      <c r="P72" s="7" t="inlineStr">
        <is>
          <t>Commission self-assessment; benefit attribution acknowledged to be difficult</t>
        </is>
      </c>
      <c r="Q72" s="7" t="inlineStr"/>
      <c r="R72" s="7" t="inlineStr">
        <is>
          <t>open</t>
        </is>
      </c>
      <c r="S72" s="7" t="inlineStr">
        <is>
          <t>full text read</t>
        </is>
      </c>
      <c r="T72" s="7" t="inlineStr">
        <is>
          <t>2026-10-10</t>
        </is>
      </c>
      <c r="U72" s="7" t="inlineStr">
        <is>
          <t>https://eur-lex.europa.eu/legal-content/EN/TXT/?uri=CELEX:52025DC0695</t>
        </is>
      </c>
      <c r="V72" s="7" t="inlineStr"/>
      <c r="W72" s="7" t="inlineStr"/>
    </row>
    <row r="73">
      <c r="A73" s="7" t="n">
        <v>19</v>
      </c>
      <c r="B73" s="7" t="inlineStr">
        <is>
          <t>Administrative cooperation in taxation (DAC)</t>
        </is>
      </c>
      <c r="C73" s="7" t="inlineStr">
        <is>
          <t>evidence</t>
        </is>
      </c>
      <c r="D73" s="7" t="inlineStr">
        <is>
          <t>official</t>
        </is>
      </c>
      <c r="E73" s="7" t="inlineStr">
        <is>
          <t>initial review</t>
        </is>
      </c>
      <c r="F73" s="7" t="inlineStr">
        <is>
          <t>eca-2021-tax-exchange</t>
        </is>
      </c>
      <c r="G73" s="7" t="inlineStr">
        <is>
          <t>European Court of Auditors (2021), Exchanging tax information in the EU: solid foundation, cracks in the implementation, Special Report 03/2021</t>
        </is>
      </c>
      <c r="H73" s="7" t="n">
        <v>2021</v>
      </c>
      <c r="I73" s="7" t="inlineStr">
        <is>
          <t>audit report</t>
        </is>
      </c>
      <c r="J73" s="7" t="inlineStr">
        <is>
          <t>performance audit (5 Member States, 2014-2019)</t>
        </is>
      </c>
      <c r="K73" s="7" t="inlineStr">
        <is>
          <t>use of information; monitoring</t>
        </is>
      </c>
      <c r="L73" s="7" t="inlineStr">
        <is>
          <t>mixed</t>
        </is>
      </c>
      <c r="M73" s="7" t="inlineStr">
        <is>
          <t>Framework well established but incomplete; information exchanged often of limited quality or underused; results not monitored</t>
        </is>
      </c>
      <c r="N73" s="7" t="inlineStr">
        <is>
          <t>EU auditors found the system sound in design, but much of the exchanged information is poor quality or unused, and nobody tracks the results.</t>
        </is>
      </c>
      <c r="O73" s="7" t="inlineStr">
        <is>
          <t>IT, NL, PL, ES, CY; 2014-2019</t>
        </is>
      </c>
      <c r="P73" s="7" t="inlineStr">
        <is>
          <t>independent audit</t>
        </is>
      </c>
      <c r="Q73" s="7" t="inlineStr"/>
      <c r="R73" s="7" t="inlineStr">
        <is>
          <t>open</t>
        </is>
      </c>
      <c r="S73" s="7" t="inlineStr">
        <is>
          <t>page summary via search</t>
        </is>
      </c>
      <c r="T73" s="7" t="inlineStr">
        <is>
          <t>2026-10-10</t>
        </is>
      </c>
      <c r="U73" s="7" t="inlineStr">
        <is>
          <t>https://op.europa.eu/webpub/eca/special-reports/tax-03-2021/en/</t>
        </is>
      </c>
      <c r="V73" s="7" t="inlineStr">
        <is>
          <t>https://www.eca.europa.eu/Lists/ECADocuments/SR21_03/SR_Exchange_tax_inform_EN.pdf</t>
        </is>
      </c>
      <c r="W73" s="7" t="inlineStr">
        <is>
          <t>http://web.archive.org/web/20250704043727/https://op.europa.eu/webpub/eca/special-reports/tax-03-2021/en/</t>
        </is>
      </c>
    </row>
    <row r="74">
      <c r="A74" s="7" t="n">
        <v>19</v>
      </c>
      <c r="B74" s="7" t="inlineStr">
        <is>
          <t>Administrative cooperation in taxation (DAC)</t>
        </is>
      </c>
      <c r="C74" s="7" t="inlineStr">
        <is>
          <t>evidence</t>
        </is>
      </c>
      <c r="D74" s="7" t="inlineStr">
        <is>
          <t>academic</t>
        </is>
      </c>
      <c r="E74" s="7" t="inlineStr">
        <is>
          <t>initial review</t>
        </is>
      </c>
      <c r="F74" s="7" t="inlineStr">
        <is>
          <t>casi-spengel-stage-2020</t>
        </is>
      </c>
      <c r="G74" s="7" t="inlineStr">
        <is>
          <t>Casi, Spengel &amp; Stage (2020), Cross-border tax evasion after the common reporting standard: Game over?, Journal of Public Economics 190, 104240</t>
        </is>
      </c>
      <c r="H74" s="7" t="n">
        <v>2020</v>
      </c>
      <c r="I74" s="7" t="inlineStr">
        <is>
          <t>peer-reviewed</t>
        </is>
      </c>
      <c r="J74" s="7" t="inlineStr">
        <is>
          <t>difference-in-differences (BIS bilateral deposit data)</t>
        </is>
      </c>
      <c r="K74" s="7" t="inlineStr">
        <is>
          <t>offshore deposits; tax evasion</t>
        </is>
      </c>
      <c r="L74" s="7" t="inlineStr">
        <is>
          <t>positive (with leakage)</t>
        </is>
      </c>
      <c r="M74" s="7" t="inlineStr">
        <is>
          <t>Automatic exchange under the CRS (implemented in the EU via DAC2) cut cross-border deposits in tax havens by 11.5%, but deposits relocated to non-participating jurisdictions, notably the US</t>
        </is>
      </c>
      <c r="N74" s="7" t="inlineStr">
        <is>
          <t>Automatic sharing of bank account data reduced money parked in tax havens by about 11.5%, but some of it simply moved to countries outside the scheme such as the US.</t>
        </is>
      </c>
      <c r="O74" s="7" t="inlineStr">
        <is>
          <t>global, 2014-2017</t>
        </is>
      </c>
      <c r="P74" s="7" t="inlineStr">
        <is>
          <t>causal; CRS not DAC-specific</t>
        </is>
      </c>
      <c r="Q74" s="7" t="inlineStr"/>
      <c r="R74" s="7" t="inlineStr">
        <is>
          <t>open</t>
        </is>
      </c>
      <c r="S74" s="7" t="inlineStr">
        <is>
          <t>page summary via search</t>
        </is>
      </c>
      <c r="T74" s="7" t="inlineStr">
        <is>
          <t>2026-10-10</t>
        </is>
      </c>
      <c r="U74" s="7" t="inlineStr">
        <is>
          <t>https://doi.org/10.1016/j.jpubeco.2020.104240</t>
        </is>
      </c>
      <c r="V74" s="7" t="inlineStr">
        <is>
          <t>https://ftp.zew.de/pub/zew-docs/dp/dp18036.pdf</t>
        </is>
      </c>
      <c r="W74" s="7" t="inlineStr"/>
    </row>
    <row r="75">
      <c r="A75" s="7" t="n">
        <v>18</v>
      </c>
      <c r="B75" s="7" t="inlineStr">
        <is>
          <t>Consumer Rights Directive</t>
        </is>
      </c>
      <c r="C75" s="7" t="inlineStr">
        <is>
          <t>ex-ante assessment</t>
        </is>
      </c>
      <c r="D75" s="7" t="inlineStr">
        <is>
          <t>official</t>
        </is>
      </c>
      <c r="E75" s="7" t="inlineStr">
        <is>
          <t>initial review</t>
        </is>
      </c>
      <c r="F75" s="7" t="inlineStr">
        <is>
          <t>ec-2008-crd-ia</t>
        </is>
      </c>
      <c r="G75" s="7" t="inlineStr">
        <is>
          <t>European Commission (2008), Impact assessment accompanying the proposal for a Directive on consumer rights (summary SEC(2008) 2545), SEC(2008) 2544</t>
        </is>
      </c>
      <c r="H75" s="7" t="n">
        <v>2008</v>
      </c>
      <c r="I75" s="7" t="inlineStr">
        <is>
          <t>Commission impact assessment</t>
        </is>
      </c>
      <c r="J75" s="7" t="inlineStr">
        <is>
          <t>ex-ante (Eurobarometer, consultation)</t>
        </is>
      </c>
      <c r="K75" s="7" t="inlineStr">
        <is>
          <t>fragmentation costs; cross-border trade; consumer confidence</t>
        </is>
      </c>
      <c r="L75" s="7" t="inlineStr">
        <is>
          <t>positive (forecast, qualitative)</t>
        </is>
      </c>
      <c r="M75" s="7" t="inlineStr">
        <is>
          <t>Minimum-harmonisation clauses fragment national rules; 60% of traders see compliance with different national laws as an important obstacle; full harmonisation expected to boost cross-border sales and confidence</t>
        </is>
      </c>
      <c r="N75" s="7" t="inlineStr">
        <is>
          <t>The Commission argued that one set of consumer-contract rules would make it cheaper for shops to sell across borders and give shoppers more confidence.</t>
        </is>
      </c>
      <c r="O75" s="7" t="inlineStr">
        <is>
          <t>EU-27, 2008 baseline</t>
        </is>
      </c>
      <c r="P75" s="7" t="inlineStr">
        <is>
          <t>forecast; qualitative</t>
        </is>
      </c>
      <c r="Q75" s="7" t="inlineStr"/>
      <c r="R75" s="7" t="inlineStr">
        <is>
          <t>open</t>
        </is>
      </c>
      <c r="S75" s="7" t="inlineStr">
        <is>
          <t>page summary via search</t>
        </is>
      </c>
      <c r="T75" s="7" t="inlineStr">
        <is>
          <t>2026-10-10</t>
        </is>
      </c>
      <c r="U75" s="7" t="inlineStr">
        <is>
          <t>https://eur-lex.europa.eu/legal-content/EN/TXT/?uri=CELEX:52008SC2544</t>
        </is>
      </c>
      <c r="V75" s="7" t="inlineStr"/>
      <c r="W75" s="7" t="inlineStr">
        <is>
          <t>http://web.archive.org/web/20251009141122/https://eur-lex.europa.eu/legal-content/EN/TXT/?uri=celex%3A52008SC2544</t>
        </is>
      </c>
    </row>
    <row r="76">
      <c r="A76" s="7" t="n">
        <v>18</v>
      </c>
      <c r="B76" s="7" t="inlineStr">
        <is>
          <t>Consumer Rights Directive</t>
        </is>
      </c>
      <c r="C76" s="7" t="inlineStr">
        <is>
          <t>ex-ante assessment</t>
        </is>
      </c>
      <c r="D76" s="7" t="inlineStr">
        <is>
          <t>official</t>
        </is>
      </c>
      <c r="E76" s="7" t="inlineStr">
        <is>
          <t>initial review</t>
        </is>
      </c>
      <c r="F76" s="7" t="inlineStr">
        <is>
          <t>uk-bis-2013-crd-ia</t>
        </is>
      </c>
      <c r="G76" s="7" t="inlineStr">
        <is>
          <t>UK Department for Business, Innovation and Skills (2013), Implementation of the EU Consumer Rights Directive (2011/83/EU): Impact Assessment - Final, BIS/13/1367 (IA BIS0396)</t>
        </is>
      </c>
      <c r="H76" s="7" t="n">
        <v>2013</v>
      </c>
      <c r="I76" s="7" t="inlineStr">
        <is>
          <t>national government impact assessment</t>
        </is>
      </c>
      <c r="J76" s="7" t="inlineStr">
        <is>
          <t>ex-ante (cost-benefit, 10 years, IFF retailer survey)</t>
        </is>
      </c>
      <c r="K76" s="7" t="inlineStr">
        <is>
          <t>business costs; harmonisation benefits</t>
        </is>
      </c>
      <c r="L76" s="7" t="inlineStr">
        <is>
          <t>positive (forecast)</t>
        </is>
      </c>
      <c r="M76" s="7" t="inlineStr">
        <is>
          <t>Net present value GBP 2.57bn over 10 years (range 2.07-3.08bn); benefits dominated by an assumed GBP 358m a year from harmonisation; main ongoing cost GBP 56m a year from extended cancellation rights in distance sales</t>
        </is>
      </c>
      <c r="N76" s="7" t="inlineStr">
        <is>
          <t>The UK government expected the directive to bring a net benefit of about GBP 2.6 billion over ten years, almost all from easier cross-border selling - an assumption, not a measurement.</t>
        </is>
      </c>
      <c r="O76" s="7" t="inlineStr">
        <is>
          <t>UK, forecast 2013-2023</t>
        </is>
      </c>
      <c r="P76" s="7" t="inlineStr">
        <is>
          <t>forecast; benefit rests on harmonisation assumption</t>
        </is>
      </c>
      <c r="Q76" s="7" t="inlineStr"/>
      <c r="R76" s="7" t="inlineStr">
        <is>
          <t>open</t>
        </is>
      </c>
      <c r="S76" s="7" t="inlineStr">
        <is>
          <t>full text read (summary sheets)</t>
        </is>
      </c>
      <c r="T76" s="7" t="inlineStr">
        <is>
          <t>2026-10-10</t>
        </is>
      </c>
      <c r="U76" s="7" t="inlineStr">
        <is>
          <t>https://assets.publishing.service.gov.uk/media/5a7f0e37ed915d74e62281cb/bis-13-1367-implementation-eu-consumer-rights-directive-impact-final.pdf</t>
        </is>
      </c>
      <c r="V76" s="7" t="inlineStr"/>
      <c r="W76" s="7" t="inlineStr">
        <is>
          <t>http://web.archive.org/web/20260317092119/https://assets.publishing.service.gov.uk/media/5a7f0e37ed915d74e62281cb/bis-13-1367-implementation-eu-consumer-rights-directive-impact-final.pdf</t>
        </is>
      </c>
    </row>
    <row r="77">
      <c r="A77" s="7" t="n">
        <v>18</v>
      </c>
      <c r="B77" s="7" t="inlineStr">
        <is>
          <t>Consumer Rights Directive</t>
        </is>
      </c>
      <c r="C77" s="7" t="inlineStr">
        <is>
          <t>evidence</t>
        </is>
      </c>
      <c r="D77" s="7" t="inlineStr">
        <is>
          <t>official</t>
        </is>
      </c>
      <c r="E77" s="7" t="inlineStr">
        <is>
          <t>initial review</t>
        </is>
      </c>
      <c r="F77" s="7" t="inlineStr">
        <is>
          <t>ec-2017-crd-evaluation</t>
        </is>
      </c>
      <c r="G77" s="7" t="inlineStr">
        <is>
          <t>European Commission (2017), Evaluation of the Consumer Rights Directive (executive summary SWD(2017) 170) and Report COM(2017) 259, SWD(2017) 169</t>
        </is>
      </c>
      <c r="H77" s="7" t="n">
        <v>2017</v>
      </c>
      <c r="I77" s="7" t="inlineStr">
        <is>
          <t>Commission evaluation</t>
        </is>
      </c>
      <c r="J77" s="7" t="inlineStr">
        <is>
          <t>review (CRD study: surveys, mystery shopping, consultation)</t>
        </is>
      </c>
      <c r="K77" s="7" t="inlineStr">
        <is>
          <t>consumer protection; fragmentation; costs</t>
        </is>
      </c>
      <c r="L77" s="7" t="inlineStr">
        <is>
          <t>positive, early</t>
        </is>
      </c>
      <c r="M77" s="7" t="inlineStr">
        <is>
          <t>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is>
      </c>
      <c r="N77" s="7" t="inlineStr">
        <is>
          <t>The Commission's 2017 review found the directive had helped, but it was too early and data were too thin to measure costs or benefits.</t>
        </is>
      </c>
      <c r="O77" s="7" t="inlineStr">
        <is>
          <t>EU, 2014-2016</t>
        </is>
      </c>
      <c r="P77" s="7" t="inlineStr">
        <is>
          <t>self-evaluation; early</t>
        </is>
      </c>
      <c r="Q77" s="7" t="inlineStr"/>
      <c r="R77" s="7" t="inlineStr">
        <is>
          <t>open</t>
        </is>
      </c>
      <c r="S77" s="7" t="inlineStr">
        <is>
          <t>full text partly read</t>
        </is>
      </c>
      <c r="T77" s="7" t="inlineStr">
        <is>
          <t>2026-10-10</t>
        </is>
      </c>
      <c r="U77" s="7" t="inlineStr">
        <is>
          <t>https://eur-lex.europa.eu/legal-content/EN/TXT/?uri=CELEX:52017SC0169</t>
        </is>
      </c>
      <c r="V77" s="7" t="inlineStr"/>
      <c r="W77" s="7" t="inlineStr"/>
    </row>
    <row r="78">
      <c r="A78" s="7" t="n">
        <v>18</v>
      </c>
      <c r="B78" s="7" t="inlineStr">
        <is>
          <t>Consumer Rights Directive</t>
        </is>
      </c>
      <c r="C78" s="7" t="inlineStr">
        <is>
          <t>evidence</t>
        </is>
      </c>
      <c r="D78" s="7" t="inlineStr">
        <is>
          <t>other</t>
        </is>
      </c>
      <c r="E78" s="7" t="inlineStr">
        <is>
          <t>initial review</t>
        </is>
      </c>
      <c r="F78" s="7" t="inlineStr">
        <is>
          <t>uk-beis-2019-ccr-review</t>
        </is>
      </c>
      <c r="G78" s="7" t="inlineStr">
        <is>
          <t>UK Department for Business, Energy and Industrial Strategy (2019), Statutory Report on the Implementation of the Consumer Contracts (Information, Cancellation and Additional Charges) Regulations 2013, BEIS statutory review (July 2019)</t>
        </is>
      </c>
      <c r="H78" s="7" t="n">
        <v>2019</v>
      </c>
      <c r="I78" s="7" t="inlineStr">
        <is>
          <t>national post-implementation review</t>
        </is>
      </c>
      <c r="J78" s="7" t="inlineStr">
        <is>
          <t>review (call for evidence)</t>
        </is>
      </c>
      <c r="K78" s="7" t="inlineStr">
        <is>
          <t>objectives met; consumer reassurance</t>
        </is>
      </c>
      <c r="L78" s="7" t="inlineStr">
        <is>
          <t>positive (qualitative)</t>
        </is>
      </c>
      <c r="M78" s="7" t="inlineStr">
        <is>
          <t>Respondents generally felt the Regulations still meet their objectives; information and cancellation rules give consumers reassurance to engage; no quantification of the costs and benefits forecast in 2013</t>
        </is>
      </c>
      <c r="N78" s="7" t="inlineStr">
        <is>
          <t>Five years on, the UK review found the rules broadly working but did not check whether the forecast GBP 2.6 billion benefit had materialised.</t>
        </is>
      </c>
      <c r="O78" s="7" t="inlineStr">
        <is>
          <t>UK, 2014-2019</t>
        </is>
      </c>
      <c r="P78" s="7" t="inlineStr">
        <is>
          <t>stakeholder views only</t>
        </is>
      </c>
      <c r="Q78" s="7" t="inlineStr"/>
      <c r="R78" s="7" t="inlineStr">
        <is>
          <t>open</t>
        </is>
      </c>
      <c r="S78" s="7" t="inlineStr">
        <is>
          <t>full text partly read</t>
        </is>
      </c>
      <c r="T78" s="7" t="inlineStr">
        <is>
          <t>2026-10-10</t>
        </is>
      </c>
      <c r="U78" s="7" t="inlineStr">
        <is>
          <t>https://www.gov.uk/government/publications/statutory-report-on-the-implementation-of-the-consumer-contracts-regulations-2013</t>
        </is>
      </c>
      <c r="V78" s="7" t="inlineStr">
        <is>
          <t>https://assets.publishing.service.gov.uk/government/uploads/system/uploads/attachment_data/file/814448/Statutory_Report_on_the_Implementation_of_the_Consumer_Contracts.pdf</t>
        </is>
      </c>
      <c r="W78" s="7" t="inlineStr"/>
    </row>
    <row r="79">
      <c r="A79" s="7" t="n">
        <v>18</v>
      </c>
      <c r="B79" s="7" t="inlineStr">
        <is>
          <t>Consumer Rights Directive</t>
        </is>
      </c>
      <c r="C79" s="7" t="inlineStr">
        <is>
          <t>evidence</t>
        </is>
      </c>
      <c r="D79" s="7" t="inlineStr">
        <is>
          <t>academic</t>
        </is>
      </c>
      <c r="E79" s="7" t="inlineStr">
        <is>
          <t>initial review</t>
        </is>
      </c>
      <c r="F79" s="7" t="inlineStr">
        <is>
          <t>borges-irlenbusch-2007</t>
        </is>
      </c>
      <c r="G79" s="7" t="inlineStr">
        <is>
          <t>Borges &amp; Irlenbusch (2007), Fairness Crowded Out by Law: An Experimental Study on Withdrawal Rights, Journal of Institutional and Theoretical Economics 163(1): 84-101</t>
        </is>
      </c>
      <c r="H79" s="7" t="n">
        <v>2007</v>
      </c>
      <c r="I79" s="7" t="inlineStr">
        <is>
          <t>peer-reviewed</t>
        </is>
      </c>
      <c r="J79" s="7" t="inlineStr">
        <is>
          <t>causal: laboratory experiment (voluntary vs mandatory withdrawal right)</t>
        </is>
      </c>
      <c r="K79" s="7" t="inlineStr">
        <is>
          <t>return behaviour</t>
        </is>
      </c>
      <c r="L79" s="7" t="inlineStr">
        <is>
          <t>mixed</t>
        </is>
      </c>
      <c r="M79" s="7" t="inlineStr">
        <is>
          <t>After Germany legislated a withdrawal right, returns rose sharply though most sellers already offered returns; in the lab, voluntarily offered return rights are reciprocated with less exploitation than legally mandated ones; small return costs barely change behaviour</t>
        </is>
      </c>
      <c r="N79" s="7" t="inlineStr">
        <is>
          <t>A lab experiment suggests that when the law, rather than the seller, grants a right to return goods, buyers use it more aggressively - relevant to the cost of the CRD's 14-day withdrawal right.</t>
        </is>
      </c>
      <c r="O79" s="7" t="inlineStr">
        <is>
          <t>Germany (pre-CRD distance-selling law); lab</t>
        </is>
      </c>
      <c r="P79" s="7" t="inlineStr">
        <is>
          <t>lab experiment; external validity limited; predates CRD</t>
        </is>
      </c>
      <c r="Q79" s="7" t="inlineStr"/>
      <c r="R79" s="7" t="inlineStr">
        <is>
          <t>paywalled</t>
        </is>
      </c>
      <c r="S79" s="7" t="inlineStr">
        <is>
          <t>abstract read</t>
        </is>
      </c>
      <c r="T79" s="7" t="inlineStr">
        <is>
          <t>2026-10-10</t>
        </is>
      </c>
      <c r="U79" s="7" t="inlineStr">
        <is>
          <t>https://doi.org/10.1628/093245607780181937</t>
        </is>
      </c>
      <c r="V79" s="7" t="inlineStr"/>
      <c r="W79" s="7" t="inlineStr"/>
    </row>
    <row r="80">
      <c r="A80" s="7" t="n">
        <v>18</v>
      </c>
      <c r="B80" s="7" t="inlineStr">
        <is>
          <t>Consumer Rights Directive</t>
        </is>
      </c>
      <c r="C80" s="7" t="inlineStr">
        <is>
          <t>evidence</t>
        </is>
      </c>
      <c r="D80" s="7" t="inlineStr">
        <is>
          <t>official</t>
        </is>
      </c>
      <c r="E80" s="7" t="inlineStr">
        <is>
          <t>initial review</t>
        </is>
      </c>
      <c r="F80" s="7" t="inlineStr">
        <is>
          <t>ec-2024-digital-fairness-fitness-check-crd</t>
        </is>
      </c>
      <c r="G80" s="7" t="inlineStr">
        <is>
          <t>European Commission (2024), Fitness Check of EU consumer law on digital fairness (executive summary SWD(2024) 231), SWD(2024) 230</t>
        </is>
      </c>
      <c r="H80" s="7" t="n">
        <v>2024</v>
      </c>
      <c r="I80" s="7" t="inlineStr">
        <is>
          <t>Commission evaluation (fitness check)</t>
        </is>
      </c>
      <c r="J80" s="7" t="inlineStr">
        <is>
          <t>review 2017-2023 (surveys, consultation, detriment estimate)</t>
        </is>
      </c>
      <c r="K80" s="7" t="inlineStr">
        <is>
          <t>consumer detriment; compliance costs; simplification</t>
        </is>
      </c>
      <c r="L80" s="7" t="inlineStr">
        <is>
          <t>mixed</t>
        </is>
      </c>
      <c r="M80" s="7" t="inlineStr">
        <is>
          <t>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is>
      </c>
      <c r="N80" s="7" t="inlineStr">
        <is>
          <t>The 2024 review found the CRD still relevant and not costly, but weak against subscription traps and other online problems, and suggested simplifying its information and withdrawal rules.</t>
        </is>
      </c>
      <c r="O80" s="7" t="inlineStr">
        <is>
          <t>EU, 2017-2023</t>
        </is>
      </c>
      <c r="P80" s="7" t="inlineStr">
        <is>
          <t>self-evaluation</t>
        </is>
      </c>
      <c r="Q80" s="7" t="inlineStr"/>
      <c r="R80" s="7" t="inlineStr">
        <is>
          <t>open</t>
        </is>
      </c>
      <c r="S80" s="7" t="inlineStr">
        <is>
          <t>full text read (executive summary)</t>
        </is>
      </c>
      <c r="T80" s="7" t="inlineStr">
        <is>
          <t>2026-10-10</t>
        </is>
      </c>
      <c r="U80" s="7" t="inlineStr">
        <is>
          <t>https://commission.europa.eu/document/download/d3b2a18b-7eec-4fe6-8421-8961a9ceb288_en</t>
        </is>
      </c>
      <c r="V80" s="7" t="inlineStr"/>
      <c r="W80" s="7" t="inlineStr"/>
    </row>
    <row r="81">
      <c r="A81" s="7" t="n">
        <v>108</v>
      </c>
      <c r="B81" s="7" t="inlineStr">
        <is>
          <t>European Standardisation Regulation</t>
        </is>
      </c>
      <c r="C81" s="7" t="inlineStr">
        <is>
          <t>ex-ante assessment</t>
        </is>
      </c>
      <c r="D81" s="7" t="inlineStr">
        <is>
          <t>official</t>
        </is>
      </c>
      <c r="E81" s="7" t="inlineStr">
        <is>
          <t>initial review</t>
        </is>
      </c>
      <c r="F81" s="7" t="inlineStr">
        <is>
          <t>ec-2011-standardisation-ia</t>
        </is>
      </c>
      <c r="G81" s="7" t="inlineStr">
        <is>
          <t>European Commission (2011), Impact Assessment accompanying the proposal for a Regulation on European standardisation (executive summary), SEC(2011) 672</t>
        </is>
      </c>
      <c r="H81" s="7" t="n">
        <v>2011</v>
      </c>
      <c r="I81" s="7" t="inlineStr">
        <is>
          <t>Commission impact assessment</t>
        </is>
      </c>
      <c r="J81" s="7" t="inlineStr">
        <is>
          <t>ex-ante</t>
        </is>
      </c>
      <c r="K81" s="7" t="inlineStr">
        <is>
          <t>speed of standard-setting; inclusiveness; EU budget</t>
        </is>
      </c>
      <c r="L81" s="7" t="inlineStr">
        <is>
          <t>positive (forecast)</t>
        </is>
      </c>
      <c r="M81" s="7" t="inlineStr">
        <is>
          <t>Problem defined as slow standard-setting and weak SME/societal participation; options costed qualitatively (e.g. extra EUR 150,000-200,000 per standard for some options); no headline economic forecast</t>
        </is>
      </c>
      <c r="N81" s="7" t="inlineStr">
        <is>
          <t>The Commission aimed to speed up European standard-setting and give small firms and civil society more voice, without a quantified economic forecast.</t>
        </is>
      </c>
      <c r="O81" s="7" t="inlineStr">
        <is>
          <t>EU, forecast</t>
        </is>
      </c>
      <c r="P81" s="7" t="inlineStr">
        <is>
          <t>forecast</t>
        </is>
      </c>
      <c r="Q81" s="7" t="inlineStr"/>
      <c r="R81" s="7" t="inlineStr">
        <is>
          <t>open</t>
        </is>
      </c>
      <c r="S81" s="7" t="inlineStr">
        <is>
          <t>full text read (executive summary)</t>
        </is>
      </c>
      <c r="T81" s="7" t="inlineStr">
        <is>
          <t>2026-10-10</t>
        </is>
      </c>
      <c r="U81" s="7" t="inlineStr">
        <is>
          <t>https://eur-lex.europa.eu/legal-content/EN/TXT/?uri=CELEX:52011SC0672</t>
        </is>
      </c>
      <c r="V81" s="7" t="inlineStr"/>
      <c r="W81" s="7" t="inlineStr">
        <is>
          <t>http://web.archive.org/web/20251121112501/https://eur-lex.europa.eu/legal-content/EN/TXT/?uri=CELEX:52011SC0672</t>
        </is>
      </c>
    </row>
    <row r="82">
      <c r="A82" s="7" t="n">
        <v>108</v>
      </c>
      <c r="B82" s="7" t="inlineStr">
        <is>
          <t>European Standardisation Regulation</t>
        </is>
      </c>
      <c r="C82" s="7" t="inlineStr">
        <is>
          <t>evidence</t>
        </is>
      </c>
      <c r="D82" s="7" t="inlineStr">
        <is>
          <t>official</t>
        </is>
      </c>
      <c r="E82" s="7" t="inlineStr">
        <is>
          <t>initial review</t>
        </is>
      </c>
      <c r="F82" s="7" t="inlineStr">
        <is>
          <t>ec-2022-standardisation-report</t>
        </is>
      </c>
      <c r="G82" s="7" t="inlineStr">
        <is>
          <t>European Commission (2022), Report on the implementation of Regulation (EU) No 1025/2012 from 2016 to 2020, COM(2022) 30</t>
        </is>
      </c>
      <c r="H82" s="7" t="n">
        <v>2022</v>
      </c>
      <c r="I82" s="7" t="inlineStr">
        <is>
          <t>Commission implementation report</t>
        </is>
      </c>
      <c r="J82" s="7" t="inlineStr">
        <is>
          <t>monitoring report (Article 24 reporting, contractor study)</t>
        </is>
      </c>
      <c r="K82" s="7" t="inlineStr">
        <is>
          <t>delivery times; inclusiveness; funding</t>
        </is>
      </c>
      <c r="L82" s="7" t="inlineStr">
        <is>
          <t>mixed</t>
        </is>
      </c>
      <c r="M82" s="7" t="inlineStr">
        <is>
          <t>Median 100 days from ESO adoption to delivery for citation; formal objections take on average 1,084 days; 6 of 44 requests rejected; EUR 105m grants 2015-2019; ETSI inclusiveness criticised</t>
        </is>
      </c>
      <c r="N82" s="7" t="inlineStr">
        <is>
          <t>The Commission's second implementation report found improvements in IT tools but persistent delays and weak inclusion of small firms and civil society.</t>
        </is>
      </c>
      <c r="O82" s="7" t="inlineStr">
        <is>
          <t>EU, 2016-2020</t>
        </is>
      </c>
      <c r="P82" s="7" t="inlineStr">
        <is>
          <t>descriptive monitoring</t>
        </is>
      </c>
      <c r="Q82" s="7" t="inlineStr"/>
      <c r="R82" s="7" t="inlineStr">
        <is>
          <t>open</t>
        </is>
      </c>
      <c r="S82" s="7" t="inlineStr">
        <is>
          <t>full text read</t>
        </is>
      </c>
      <c r="T82" s="7" t="inlineStr">
        <is>
          <t>2026-10-10</t>
        </is>
      </c>
      <c r="U82" s="7" t="inlineStr">
        <is>
          <t>https://eur-lex.europa.eu/legal-content/EN/TXT/?uri=CELEX:52022DC0030</t>
        </is>
      </c>
      <c r="V82" s="7" t="inlineStr"/>
      <c r="W82" s="7" t="inlineStr">
        <is>
          <t>http://web.archive.org/web/20250716123838/https://eur-lex.europa.eu/legal-content/EN/TXT/?uri=celex:52022DC0030</t>
        </is>
      </c>
    </row>
    <row r="83">
      <c r="A83" s="7" t="n">
        <v>108</v>
      </c>
      <c r="B83" s="7" t="inlineStr">
        <is>
          <t>European Standardisation Regulation</t>
        </is>
      </c>
      <c r="C83" s="7" t="inlineStr">
        <is>
          <t>evidence</t>
        </is>
      </c>
      <c r="D83" s="7" t="inlineStr">
        <is>
          <t>official</t>
        </is>
      </c>
      <c r="E83" s="7" t="inlineStr">
        <is>
          <t>initial review</t>
        </is>
      </c>
      <c r="F83" s="7" t="inlineStr">
        <is>
          <t>ec-2025-standardisation-evaluation</t>
        </is>
      </c>
      <c r="G83" s="7" t="inlineStr">
        <is>
          <t>European Commission (2025), Evaluation of Regulation (EU) No 1025/2012 on European standardisation (executive summary), SWD(2025) 171 (full evaluation SWD(2025) 170; supporting study by Intellera, Fraunhofer ISI and Trinomics)</t>
        </is>
      </c>
      <c r="H83" s="7" t="n">
        <v>2025</v>
      </c>
      <c r="I83" s="7" t="inlineStr">
        <is>
          <t>Commission evaluation</t>
        </is>
      </c>
      <c r="J83" s="7" t="inlineStr">
        <is>
          <t>ex-post evaluation (contractor study, surveys, consultation)</t>
        </is>
      </c>
      <c r="K83" s="7" t="inlineStr">
        <is>
          <t>speed; inclusiveness; costs; EU added value</t>
        </is>
      </c>
      <c r="L83" s="7" t="inlineStr">
        <is>
          <t>mixed</t>
        </is>
      </c>
      <c r="M83" s="7" t="inlineStr">
        <is>
          <t>Moderately effective in speeding up harmonised standards, but average duration still six years; moderately effective on SME/civil society participation; benefits judged to outweigh costs despite poor data; new procedures after CJEU case law made the process slower</t>
        </is>
      </c>
      <c r="N83" s="7" t="inlineStr">
        <is>
          <t>The 2025 evaluation found the Regulation removed conflicting national standards and modestly sped things up, but harmonised standards still take about six years to produce.</t>
        </is>
      </c>
      <c r="O83" s="7" t="inlineStr">
        <is>
          <t>EU, 2013-2024</t>
        </is>
      </c>
      <c r="P83" s="7" t="inlineStr">
        <is>
          <t>Commission self-assessment; cost data weak</t>
        </is>
      </c>
      <c r="Q83" s="7" t="inlineStr"/>
      <c r="R83" s="7" t="inlineStr">
        <is>
          <t>open</t>
        </is>
      </c>
      <c r="S83" s="7" t="inlineStr">
        <is>
          <t>full text read (executive summary, via Council register)</t>
        </is>
      </c>
      <c r="T83" s="7" t="inlineStr">
        <is>
          <t>2026-10-10</t>
        </is>
      </c>
      <c r="U83" s="7" t="inlineStr">
        <is>
          <t>https://data.consilium.europa.eu/doc/document/ST-10804-2025-INIT/en/pdf</t>
        </is>
      </c>
      <c r="V83" s="7" t="inlineStr"/>
      <c r="W83" s="7" t="inlineStr"/>
    </row>
    <row r="84">
      <c r="A84" s="7" t="n">
        <v>109</v>
      </c>
      <c r="B84" s="7" t="inlineStr">
        <is>
          <t>Electromagnetic Compatibility Directive</t>
        </is>
      </c>
      <c r="C84" s="7" t="inlineStr">
        <is>
          <t>evidence</t>
        </is>
      </c>
      <c r="D84" s="7" t="inlineStr">
        <is>
          <t>official</t>
        </is>
      </c>
      <c r="E84" s="7" t="inlineStr">
        <is>
          <t>initial review</t>
        </is>
      </c>
      <c r="F84" s="7" t="inlineStr">
        <is>
          <t>ec-2023-emcd-evaluation</t>
        </is>
      </c>
      <c r="G84" s="7" t="inlineStr">
        <is>
          <t>European Commission (2023), Evaluation of Electromagnetic Compatibility Directive 2014/30/EU (executive summary), SWD(2023) 8 (full evaluation SWD(2023) 7)</t>
        </is>
      </c>
      <c r="H84" s="7" t="n">
        <v>2023</v>
      </c>
      <c r="I84" s="7" t="inlineStr">
        <is>
          <t>Commission evaluation</t>
        </is>
      </c>
      <c r="J84" s="7" t="inlineStr">
        <is>
          <t>ex-post REFIT evaluation (14 product groups; stakeholder consultation, supporting study)</t>
        </is>
      </c>
      <c r="K84" s="7" t="inlineStr">
        <is>
          <t>interference; compliance costs; market surveillance</t>
        </is>
      </c>
      <c r="L84" s="7" t="inlineStr">
        <is>
          <t>positive</t>
        </is>
      </c>
      <c r="M84" s="7" t="inlineStr">
        <is>
          <t>Directive reduced interference and supported the internal market; benefits outweigh costs; compliance costs estimated by industry at 5-10% of production costs; persistent non-compliant low-cost online imports</t>
        </is>
      </c>
      <c r="N84" s="7" t="inlineStr">
        <is>
          <t>The Commission's evaluation judged the EMC rules effective and worth their cost, but noted many cheap non-compliant gadgets still reach EU buyers online.</t>
        </is>
      </c>
      <c r="O84" s="7" t="inlineStr">
        <is>
          <t>EU, 2016-2021</t>
        </is>
      </c>
      <c r="P84" s="7" t="inlineStr">
        <is>
          <t>Commission self-assessment; largely qualitative</t>
        </is>
      </c>
      <c r="Q84" s="7" t="inlineStr"/>
      <c r="R84" s="7" t="inlineStr">
        <is>
          <t>open</t>
        </is>
      </c>
      <c r="S84" s="7" t="inlineStr">
        <is>
          <t>full text read (executive summary)</t>
        </is>
      </c>
      <c r="T84" s="7" t="inlineStr">
        <is>
          <t>2026-10-10</t>
        </is>
      </c>
      <c r="U84" s="7" t="inlineStr">
        <is>
          <t>https://eur-lex.europa.eu/legal-content/EN/TXT/?uri=CELEX:52023SC0008</t>
        </is>
      </c>
      <c r="V84" s="7" t="inlineStr"/>
      <c r="W84" s="7" t="inlineStr">
        <is>
          <t>http://web.archive.org/web/20231115082019/http://eur-lex.europa.eu/legal-content/EN/TXT/?uri=CELEX:52023SC0008</t>
        </is>
      </c>
    </row>
    <row r="85">
      <c r="A85" s="7" t="n">
        <v>110</v>
      </c>
      <c r="B85" s="7" t="inlineStr">
        <is>
          <t>Radio Equipment Directive</t>
        </is>
      </c>
      <c r="C85" s="7" t="inlineStr">
        <is>
          <t>ex-ante assessment</t>
        </is>
      </c>
      <c r="D85" s="7" t="inlineStr">
        <is>
          <t>official</t>
        </is>
      </c>
      <c r="E85" s="7" t="inlineStr">
        <is>
          <t>initial review</t>
        </is>
      </c>
      <c r="F85" s="7" t="inlineStr">
        <is>
          <t>ec-2012-red-ia</t>
        </is>
      </c>
      <c r="G85" s="7" t="inlineStr">
        <is>
          <t>European Commission (2012), Impact Assessment accompanying the proposal for a Directive on radio equipment, SWD(2012) 329 (executive summary SWD(2012) 300)</t>
        </is>
      </c>
      <c r="H85" s="7" t="n">
        <v>2012</v>
      </c>
      <c r="I85" s="7" t="inlineStr">
        <is>
          <t>Commission impact assessment</t>
        </is>
      </c>
      <c r="J85" s="7" t="inlineStr">
        <is>
          <t>ex-ante</t>
        </is>
      </c>
      <c r="K85" s="7" t="inlineStr">
        <is>
          <t>compliance; market surveillance; administrative costs</t>
        </is>
      </c>
      <c r="L85" s="7" t="inlineStr">
        <is>
          <t>positive (forecast)</t>
        </is>
      </c>
      <c r="M85" s="7" t="inlineStr">
        <is>
          <t>Baseline compliance with essential requirements of only 28-56% in surveillance campaigns; revision expected to raise compliance via traceability and registration with limited extra burden</t>
        </is>
      </c>
      <c r="N85" s="7" t="inlineStr">
        <is>
          <t>The Commission found that up to half of radio devices checked broke the rules and expected the revised directive to raise compliance at little extra cost.</t>
        </is>
      </c>
      <c r="O85" s="7" t="inlineStr">
        <is>
          <t>EU, forecast</t>
        </is>
      </c>
      <c r="P85" s="7" t="inlineStr">
        <is>
          <t>forecast</t>
        </is>
      </c>
      <c r="Q85" s="7" t="inlineStr"/>
      <c r="R85" s="7" t="inlineStr">
        <is>
          <t>open</t>
        </is>
      </c>
      <c r="S85" s="7" t="inlineStr">
        <is>
          <t>full text read (executive summary; IA tables checked)</t>
        </is>
      </c>
      <c r="T85" s="7" t="inlineStr">
        <is>
          <t>2026-10-10</t>
        </is>
      </c>
      <c r="U85" s="7" t="inlineStr">
        <is>
          <t>https://eur-lex.europa.eu/legal-content/EN/TXT/?uri=CELEX:52012SC0329</t>
        </is>
      </c>
      <c r="V85" s="7" t="inlineStr"/>
      <c r="W85" s="7" t="inlineStr">
        <is>
          <t>http://web.archive.org/web/20251106193711/https://eur-lex.europa.eu/legal-content/EN/TXT/?uri=celex%3A52012SC0329</t>
        </is>
      </c>
    </row>
    <row r="86">
      <c r="A86" s="7" t="n">
        <v>110</v>
      </c>
      <c r="B86" s="7" t="inlineStr">
        <is>
          <t>Radio Equipment Directive</t>
        </is>
      </c>
      <c r="C86" s="7" t="inlineStr">
        <is>
          <t>evidence</t>
        </is>
      </c>
      <c r="D86" s="7" t="inlineStr">
        <is>
          <t>official</t>
        </is>
      </c>
      <c r="E86" s="7" t="inlineStr">
        <is>
          <t>initial review</t>
        </is>
      </c>
      <c r="F86" s="7" t="inlineStr">
        <is>
          <t>ec-2018-red-report</t>
        </is>
      </c>
      <c r="G86" s="7" t="inlineStr">
        <is>
          <t>European Commission (2018), Report on the operation of the Radio Equipment Directive 2014/53/EU, COM(2018) 740</t>
        </is>
      </c>
      <c r="H86" s="7" t="n">
        <v>2018</v>
      </c>
      <c r="I86" s="7" t="inlineStr">
        <is>
          <t>Commission implementation report</t>
        </is>
      </c>
      <c r="J86" s="7" t="inlineStr">
        <is>
          <t>monitoring report (Article 47)</t>
        </is>
      </c>
      <c r="K86" s="7" t="inlineStr">
        <is>
          <t>transposition; compliance; standards</t>
        </is>
      </c>
      <c r="L86" s="7" t="inlineStr">
        <is>
          <t>n/a</t>
        </is>
      </c>
      <c r="M86" s="7" t="inlineStr">
        <is>
          <t>Too early to judge effectiveness; manufacturers used the old directive during transition; no evidence of any category with low compliance</t>
        </is>
      </c>
      <c r="N86" s="7" t="inlineStr">
        <is>
          <t>The first review, a year after the transition, said it was too early to judge the directive's effects.</t>
        </is>
      </c>
      <c r="O86" s="7" t="inlineStr">
        <is>
          <t>EU, 2016-2018</t>
        </is>
      </c>
      <c r="P86" s="7" t="inlineStr">
        <is>
          <t>descriptive</t>
        </is>
      </c>
      <c r="Q86" s="7" t="inlineStr"/>
      <c r="R86" s="7" t="inlineStr">
        <is>
          <t>open</t>
        </is>
      </c>
      <c r="S86" s="7" t="inlineStr">
        <is>
          <t>full text read</t>
        </is>
      </c>
      <c r="T86" s="7" t="inlineStr">
        <is>
          <t>2026-10-10</t>
        </is>
      </c>
      <c r="U86" s="7" t="inlineStr">
        <is>
          <t>https://eur-lex.europa.eu/legal-content/EN/TXT/?uri=CELEX:52018DC0740</t>
        </is>
      </c>
      <c r="V86" s="7" t="inlineStr"/>
      <c r="W86" s="7" t="inlineStr">
        <is>
          <t>http://web.archive.org/web/20250911184710/https://eur-lex.europa.eu/legal-content/EN/TXT/?uri=celex%3A52018DC0740</t>
        </is>
      </c>
    </row>
    <row r="87">
      <c r="A87" s="7" t="n">
        <v>110</v>
      </c>
      <c r="B87" s="7" t="inlineStr">
        <is>
          <t>Radio Equipment Directive</t>
        </is>
      </c>
      <c r="C87" s="7" t="inlineStr">
        <is>
          <t>evidence</t>
        </is>
      </c>
      <c r="D87" s="7" t="inlineStr">
        <is>
          <t>official</t>
        </is>
      </c>
      <c r="E87" s="7" t="inlineStr">
        <is>
          <t>initial review</t>
        </is>
      </c>
      <c r="F87" s="7" t="inlineStr">
        <is>
          <t>ec-2024-red-report</t>
        </is>
      </c>
      <c r="G87" s="7" t="inlineStr">
        <is>
          <t>European Commission (2024), Second Report on the operation of Radio Equipment Directive 2014/53/EU, COM(2024) 158</t>
        </is>
      </c>
      <c r="H87" s="7" t="n">
        <v>2024</v>
      </c>
      <c r="I87" s="7" t="inlineStr">
        <is>
          <t>Commission implementation report</t>
        </is>
      </c>
      <c r="J87" s="7" t="inlineStr">
        <is>
          <t>monitoring report (Article 47; ADCO statistics, stakeholder survey)</t>
        </is>
      </c>
      <c r="K87" s="7" t="inlineStr">
        <is>
          <t>compliance; market surveillance; common charger</t>
        </is>
      </c>
      <c r="L87" s="7" t="inlineStr">
        <is>
          <t>mixed</t>
        </is>
      </c>
      <c r="M87" s="7" t="inlineStr">
        <is>
          <t>11,491 inspections in 2022 with about 60% non-compliance (targeted, not representative); stakeholders say self-assessment has led to low compliance; common charger (USB-C) amendment adopted 2022</t>
        </is>
      </c>
      <c r="N87" s="7" t="inlineStr">
        <is>
          <t>The second review reports that about 60% of radio products inspected in 2022 failed checks, though inspectors target risky products, and stakeholders doubt self-certification works.</t>
        </is>
      </c>
      <c r="O87" s="7" t="inlineStr">
        <is>
          <t>EU, 2018-2023</t>
        </is>
      </c>
      <c r="P87" s="7" t="inlineStr">
        <is>
          <t>descriptive; non-representative sampling</t>
        </is>
      </c>
      <c r="Q87" s="7" t="inlineStr"/>
      <c r="R87" s="7" t="inlineStr">
        <is>
          <t>open</t>
        </is>
      </c>
      <c r="S87" s="7" t="inlineStr">
        <is>
          <t>full text read</t>
        </is>
      </c>
      <c r="T87" s="7" t="inlineStr">
        <is>
          <t>2026-10-10</t>
        </is>
      </c>
      <c r="U87" s="7" t="inlineStr">
        <is>
          <t>https://eur-lex.europa.eu/legal-content/EN/TXT/?uri=CELEX:52024DC0158</t>
        </is>
      </c>
      <c r="V87" s="7" t="inlineStr"/>
      <c r="W87" s="7" t="inlineStr">
        <is>
          <t>http://web.archive.org/web/20240731080647/https://eur-lex.europa.eu/legal-content/EN/TXT/?uri=CELEX:52024DC0158</t>
        </is>
      </c>
    </row>
    <row r="88">
      <c r="A88" s="7" t="n">
        <v>111</v>
      </c>
      <c r="B88" s="7" t="inlineStr">
        <is>
          <t>E-invoicing Directive</t>
        </is>
      </c>
      <c r="C88" s="7" t="inlineStr">
        <is>
          <t>ex-ante assessment</t>
        </is>
      </c>
      <c r="D88" s="7" t="inlineStr">
        <is>
          <t>official</t>
        </is>
      </c>
      <c r="E88" s="7" t="inlineStr">
        <is>
          <t>initial review</t>
        </is>
      </c>
      <c r="F88" s="7" t="inlineStr">
        <is>
          <t>ec-2013-einvoicing-ia</t>
        </is>
      </c>
      <c r="G88" s="7" t="inlineStr">
        <is>
          <t>European Commission (2013), Impact Assessment accompanying the proposal for a Directive on electronic invoicing in public procurement, SWD(2013) 222 (executive summary SWD(2013) 223)</t>
        </is>
      </c>
      <c r="H88" s="7" t="n">
        <v>2013</v>
      </c>
      <c r="I88" s="7" t="inlineStr">
        <is>
          <t>Commission impact assessment</t>
        </is>
      </c>
      <c r="J88" s="7" t="inlineStr">
        <is>
          <t>ex-ante</t>
        </is>
      </c>
      <c r="K88" s="7" t="inlineStr">
        <is>
          <t>procurement costs; administrative burden; environment</t>
        </is>
      </c>
      <c r="L88" s="7" t="inlineStr">
        <is>
          <t>positive (forecast)</t>
        </is>
      </c>
      <c r="M88" s="7" t="inlineStr">
        <is>
          <t>Savings of about EUR 1.5-2.3bn a year potentially achievable if all public procurement invoices were electronic; actual impact of the initiative explicitly said to possibly differ</t>
        </is>
      </c>
      <c r="N88" s="7" t="inlineStr">
        <is>
          <t>The Commission estimated that switching all public procurement invoices to electronic form could save EUR 1.5-2.3 billion a year.</t>
        </is>
      </c>
      <c r="O88" s="7" t="inlineStr">
        <is>
          <t>EU, forecast</t>
        </is>
      </c>
      <c r="P88" s="7" t="inlineStr">
        <is>
          <t>forecast; extrapolated from national estimates</t>
        </is>
      </c>
      <c r="Q88" s="7" t="inlineStr"/>
      <c r="R88" s="7" t="inlineStr">
        <is>
          <t>open</t>
        </is>
      </c>
      <c r="S88" s="7" t="inlineStr">
        <is>
          <t>full text read (relevant sections)</t>
        </is>
      </c>
      <c r="T88" s="7" t="inlineStr">
        <is>
          <t>2026-10-10</t>
        </is>
      </c>
      <c r="U88" s="7" t="inlineStr">
        <is>
          <t>https://eur-lex.europa.eu/legal-content/EN/TXT/?uri=CELEX:52013SC0222</t>
        </is>
      </c>
      <c r="V88" s="7" t="inlineStr"/>
      <c r="W88" s="7" t="inlineStr">
        <is>
          <t>http://web.archive.org/web/20251204001311/https://eur-lex.europa.eu/legal-content/EN/TXT/?uri=celex%3A52013SC0222</t>
        </is>
      </c>
    </row>
    <row r="89">
      <c r="A89" s="7" t="n">
        <v>111</v>
      </c>
      <c r="B89" s="7" t="inlineStr">
        <is>
          <t>E-invoicing Directive</t>
        </is>
      </c>
      <c r="C89" s="7" t="inlineStr">
        <is>
          <t>evidence</t>
        </is>
      </c>
      <c r="D89" s="7" t="inlineStr">
        <is>
          <t>official</t>
        </is>
      </c>
      <c r="E89" s="7" t="inlineStr">
        <is>
          <t>initial review</t>
        </is>
      </c>
      <c r="F89" s="7" t="inlineStr">
        <is>
          <t>ec-2024-einvoicing-evaluation</t>
        </is>
      </c>
      <c r="G89" s="7" t="inlineStr">
        <is>
          <t>European Commission (2024), Evaluation of Directive 2014/55/EU on electronic invoicing in public procurement (executive summary), SWD(2024) 40 (full evaluation SWD(2024) 39)</t>
        </is>
      </c>
      <c r="H89" s="7" t="n">
        <v>2024</v>
      </c>
      <c r="I89" s="7" t="inlineStr">
        <is>
          <t>Commission evaluation</t>
        </is>
      </c>
      <c r="J89" s="7" t="inlineStr">
        <is>
          <t>ex-post evaluation (Member State survey, stakeholder consultation)</t>
        </is>
      </c>
      <c r="K89" s="7" t="inlineStr">
        <is>
          <t>interoperability; uptake; costs</t>
        </is>
      </c>
      <c r="L89" s="7" t="inlineStr">
        <is>
          <t>positive but incomplete</t>
        </is>
      </c>
      <c r="M89" s="7" t="inlineStr">
        <is>
          <t>European standard established and widely accepted by central governments; adoption high only where mandated; 17 of 23 Member States report benefits exceed costs; transmission-level interoperability and divergent national implementations remain problems</t>
        </is>
      </c>
      <c r="N89" s="7" t="inlineStr">
        <is>
          <t>The evaluation found the directive created a common e-invoice standard used across Europe, but uptake is high only where governments make e-invoices compulsory.</t>
        </is>
      </c>
      <c r="O89" s="7" t="inlineStr">
        <is>
          <t>EU, 2014-2023</t>
        </is>
      </c>
      <c r="P89" s="7" t="inlineStr">
        <is>
          <t>Commission self-assessment; savings not quantified</t>
        </is>
      </c>
      <c r="Q89" s="7" t="inlineStr"/>
      <c r="R89" s="7" t="inlineStr">
        <is>
          <t>open</t>
        </is>
      </c>
      <c r="S89" s="7" t="inlineStr">
        <is>
          <t>full text read (executive summary)</t>
        </is>
      </c>
      <c r="T89" s="7" t="inlineStr">
        <is>
          <t>2026-10-10</t>
        </is>
      </c>
      <c r="U89" s="7" t="inlineStr">
        <is>
          <t>https://eur-lex.europa.eu/legal-content/EN/TXT/?uri=CELEX:52024SC0040</t>
        </is>
      </c>
      <c r="V89" s="7" t="inlineStr"/>
      <c r="W89" s="7" t="inlineStr"/>
    </row>
    <row r="90">
      <c r="A90" s="7" t="n">
        <v>25</v>
      </c>
      <c r="B90" s="7" t="inlineStr">
        <is>
          <t>Technology Transfer Block Exemption</t>
        </is>
      </c>
      <c r="C90" s="7" t="inlineStr">
        <is>
          <t>evidence</t>
        </is>
      </c>
      <c r="D90" s="7" t="inlineStr">
        <is>
          <t>official</t>
        </is>
      </c>
      <c r="E90" s="7" t="inlineStr">
        <is>
          <t>initial review</t>
        </is>
      </c>
      <c r="F90" s="7" t="inlineStr">
        <is>
          <t>ec-2024-ttber-evaluation</t>
        </is>
      </c>
      <c r="G90" s="7" t="inlineStr">
        <is>
          <t>European Commission (2024), Evaluation of the Technology Transfer Block Exemption Regulation and Technology Transfer Guidelines, SWD(2024) 268 (with SWD(2024) 269)</t>
        </is>
      </c>
      <c r="H90" s="7" t="n">
        <v>2024</v>
      </c>
      <c r="I90" s="7" t="inlineStr">
        <is>
          <t>Commission evaluation</t>
        </is>
      </c>
      <c r="J90" s="7" t="inlineStr">
        <is>
          <t>ex-post evaluation (stakeholder consultation, targeted survey)</t>
        </is>
      </c>
      <c r="K90" s="7" t="inlineStr">
        <is>
          <t>legal certainty; compliance costs; licensing</t>
        </is>
      </c>
      <c r="L90" s="7" t="inlineStr">
        <is>
          <t>positive with gaps</t>
        </is>
      </c>
      <c r="M90" s="7" t="inlineStr">
        <is>
          <t>Rules largely meet objectives, providing legal certainty and lower compliance costs; problems applying market-share thresholds, the '4+' test and technology pools; data licensing not addressed</t>
        </is>
      </c>
      <c r="N90" s="7" t="inlineStr">
        <is>
          <t>The Commission's evaluation found the licensing safe harbour still useful, but out of date for early-stage technologies and data licensing.</t>
        </is>
      </c>
      <c r="O90" s="7" t="inlineStr">
        <is>
          <t>EU, 2014-2023</t>
        </is>
      </c>
      <c r="P90" s="7" t="inlineStr">
        <is>
          <t>Commission self-assessment based on stakeholder views</t>
        </is>
      </c>
      <c r="Q90" s="7" t="inlineStr"/>
      <c r="R90" s="7" t="inlineStr">
        <is>
          <t>open</t>
        </is>
      </c>
      <c r="S90" s="7" t="inlineStr">
        <is>
          <t>page summary via search</t>
        </is>
      </c>
      <c r="T90" s="7" t="inlineStr">
        <is>
          <t>2026-10-10</t>
        </is>
      </c>
      <c r="U90" s="7" t="inlineStr">
        <is>
          <t>https://competition-policy.ec.europa.eu/public-consultations/2023-technology-transfer_en</t>
        </is>
      </c>
      <c r="V90" s="7" t="inlineStr"/>
      <c r="W90" s="7" t="inlineStr">
        <is>
          <t>http://web.archive.org/web/20260711114357/https://competition-policy.ec.europa.eu/public-consultations/2023-technology-transfer_en</t>
        </is>
      </c>
    </row>
    <row r="91">
      <c r="A91" s="7" t="n">
        <v>25</v>
      </c>
      <c r="B91" s="7" t="inlineStr">
        <is>
          <t>Technology Transfer Block Exemption</t>
        </is>
      </c>
      <c r="C91" s="7" t="inlineStr">
        <is>
          <t>ex-ante assessment</t>
        </is>
      </c>
      <c r="D91" s="7" t="inlineStr">
        <is>
          <t>official</t>
        </is>
      </c>
      <c r="E91" s="7" t="inlineStr">
        <is>
          <t>initial review</t>
        </is>
      </c>
      <c r="F91" s="7" t="inlineStr">
        <is>
          <t>ec-2026-ttber-ia</t>
        </is>
      </c>
      <c r="G91" s="7" t="inlineStr">
        <is>
          <t>European Commission (2026), Impact Assessment accompanying the revised Technology Transfer Block Exemption Regulation and Guidelines (executive summary), SWD(2026) 116 (full IA SWD(2026) 114)</t>
        </is>
      </c>
      <c r="H91" s="7" t="n">
        <v>2026</v>
      </c>
      <c r="I91" s="7" t="inlineStr">
        <is>
          <t>Commission impact assessment</t>
        </is>
      </c>
      <c r="J91" s="7" t="inlineStr">
        <is>
          <t>ex-ante</t>
        </is>
      </c>
      <c r="K91" s="7" t="inlineStr">
        <is>
          <t>compliance costs; licensing; SMEs</t>
        </is>
      </c>
      <c r="L91" s="7" t="inlineStr">
        <is>
          <t>positive (forecast)</t>
        </is>
      </c>
      <c r="M91" s="7" t="inlineStr">
        <is>
          <t>Preferred options to cut cost of applying market-share thresholds by 15-40% per agreement and data-licensing assessment costs by up to 33%; no new obligations on business</t>
        </is>
      </c>
      <c r="N91" s="7" t="inlineStr">
        <is>
          <t>For the replacement rules, the Commission expects firms' legal-assessment costs for licensing deals to fall by 15-40%.</t>
        </is>
      </c>
      <c r="O91" s="7" t="inlineStr">
        <is>
          <t>EU, forecast</t>
        </is>
      </c>
      <c r="P91" s="7" t="inlineStr">
        <is>
          <t>forecast</t>
        </is>
      </c>
      <c r="Q91" s="7" t="inlineStr"/>
      <c r="R91" s="7" t="inlineStr">
        <is>
          <t>open</t>
        </is>
      </c>
      <c r="S91" s="7" t="inlineStr">
        <is>
          <t>full text read (executive summary)</t>
        </is>
      </c>
      <c r="T91" s="7" t="inlineStr">
        <is>
          <t>2026-10-10</t>
        </is>
      </c>
      <c r="U91" s="7" t="inlineStr">
        <is>
          <t>https://eur-lex.europa.eu/legal-content/EN/TXT/?uri=CELEX:52026SC0116</t>
        </is>
      </c>
      <c r="V91" s="7" t="inlineStr"/>
      <c r="W91" s="7" t="inlineStr"/>
    </row>
    <row r="92">
      <c r="A92" s="7" t="n">
        <v>22</v>
      </c>
      <c r="B92" s="7" t="inlineStr">
        <is>
          <t>eIDAS Regulation</t>
        </is>
      </c>
      <c r="C92" s="7" t="inlineStr">
        <is>
          <t>ex-ante assessment</t>
        </is>
      </c>
      <c r="D92" s="7" t="inlineStr">
        <is>
          <t>official</t>
        </is>
      </c>
      <c r="E92" s="7" t="inlineStr">
        <is>
          <t>initial review</t>
        </is>
      </c>
      <c r="F92" s="7" t="inlineStr">
        <is>
          <t>ec-2012-eidas-ia</t>
        </is>
      </c>
      <c r="G92" s="7" t="inlineStr">
        <is>
          <t>European Commission (2012), Impact Assessment accompanying the proposal for a Regulation on electronic identification and trust services for electronic transactions in the internal market (executive summary SWD(2012) 136), SWD(2012) 135</t>
        </is>
      </c>
      <c r="H92" s="7" t="n">
        <v>2012</v>
      </c>
      <c r="I92" s="7" t="inlineStr">
        <is>
          <t>Commission impact assessment</t>
        </is>
      </c>
      <c r="J92" s="7" t="inlineStr">
        <is>
          <t>ex-ante (qualitative comparison of options)</t>
        </is>
      </c>
      <c r="K92" s="7" t="inlineStr">
        <is>
          <t>cross-border e-transactions; market fragmentation; trust</t>
        </is>
      </c>
      <c r="L92" s="7" t="inlineStr">
        <is>
          <t>positive (forecast)</t>
        </is>
      </c>
      <c r="M92" s="7" t="inlineStr">
        <is>
          <t>Preferred option (comprehensive framework incl. ancillary trust services) expected to boost availability and take-up of cross-border eID and trust services; executive summary gives no monetised benefit estimate</t>
        </is>
      </c>
      <c r="N92" s="7" t="inlineStr">
        <is>
          <t>The Commission expected one EU framework for e-ID and e-signatures to remove barriers to secure online transactions across borders, but did not put a number on the gains.</t>
        </is>
      </c>
      <c r="O92" s="7" t="inlineStr">
        <is>
          <t>EU, forecast</t>
        </is>
      </c>
      <c r="P92" s="7" t="inlineStr">
        <is>
          <t>qualitative forecast</t>
        </is>
      </c>
      <c r="Q92" s="7" t="inlineStr"/>
      <c r="R92" s="7" t="inlineStr">
        <is>
          <t>open</t>
        </is>
      </c>
      <c r="S92" s="7" t="inlineStr">
        <is>
          <t>full text read</t>
        </is>
      </c>
      <c r="T92" s="7" t="inlineStr">
        <is>
          <t>2026-10-10</t>
        </is>
      </c>
      <c r="U92" s="7" t="inlineStr">
        <is>
          <t>https://eur-lex.europa.eu/legal-content/EN/TXT/?uri=CELEX:52012SC0136</t>
        </is>
      </c>
      <c r="V92" s="7" t="inlineStr"/>
      <c r="W92" s="7" t="inlineStr"/>
    </row>
    <row r="93">
      <c r="A93" s="7" t="n">
        <v>22</v>
      </c>
      <c r="B93" s="7" t="inlineStr">
        <is>
          <t>eIDAS Regulation</t>
        </is>
      </c>
      <c r="C93" s="7" t="inlineStr">
        <is>
          <t>evidence</t>
        </is>
      </c>
      <c r="D93" s="7" t="inlineStr">
        <is>
          <t>official</t>
        </is>
      </c>
      <c r="E93" s="7" t="inlineStr">
        <is>
          <t>initial review</t>
        </is>
      </c>
      <c r="F93" s="7" t="inlineStr">
        <is>
          <t>ec-2021-eidas-evaluation</t>
        </is>
      </c>
      <c r="G93" s="7" t="inlineStr">
        <is>
          <t>European Commission (2021), Report on the evaluation of Regulation (EU) No 910/2014 (eIDAS), COM(2021) 290</t>
        </is>
      </c>
      <c r="H93" s="7" t="n">
        <v>2021</v>
      </c>
      <c r="I93" s="7" t="inlineStr">
        <is>
          <t>Commission evaluation</t>
        </is>
      </c>
      <c r="J93" s="7" t="inlineStr">
        <is>
          <t>ex-post evaluation (consultations, cost-benefit baseline)</t>
        </is>
      </c>
      <c r="K93" s="7" t="inlineStr">
        <is>
          <t>eID coverage and uptake; trust services; costs and benefits</t>
        </is>
      </c>
      <c r="L93" s="7" t="inlineStr">
        <is>
          <t>mixed</t>
        </is>
      </c>
      <c r="M93" s="7" t="inlineStr">
        <is>
          <t>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is>
      </c>
      <c r="N93" s="7" t="inlineStr">
        <is>
          <t>The Commission's own evaluation found the e-signature and trust-service rules worked reasonably well, but the cross-border e-ID part had so little use that its costs exceeded its benefits.</t>
        </is>
      </c>
      <c r="O93" s="7" t="inlineStr">
        <is>
          <t>EU, 2014-2020</t>
        </is>
      </c>
      <c r="P93" s="7" t="inlineStr">
        <is>
          <t>evaluation with acknowledged data limits</t>
        </is>
      </c>
      <c r="Q93" s="7" t="inlineStr"/>
      <c r="R93" s="7" t="inlineStr">
        <is>
          <t>open</t>
        </is>
      </c>
      <c r="S93" s="7" t="inlineStr">
        <is>
          <t>full text read</t>
        </is>
      </c>
      <c r="T93" s="7" t="inlineStr">
        <is>
          <t>2026-10-10</t>
        </is>
      </c>
      <c r="U93" s="7" t="inlineStr">
        <is>
          <t>https://eur-lex.europa.eu/legal-content/EN/TXT/?uri=CELEX:52021DC0290</t>
        </is>
      </c>
      <c r="V93" s="7" t="inlineStr"/>
      <c r="W93" s="7" t="inlineStr"/>
    </row>
    <row r="94">
      <c r="A94" s="7" t="n">
        <v>22</v>
      </c>
      <c r="B94" s="7" t="inlineStr">
        <is>
          <t>eIDAS Regulation</t>
        </is>
      </c>
      <c r="C94" s="7" t="inlineStr">
        <is>
          <t>evidence</t>
        </is>
      </c>
      <c r="D94" s="7" t="inlineStr">
        <is>
          <t>official</t>
        </is>
      </c>
      <c r="E94" s="7" t="inlineStr">
        <is>
          <t>initial review</t>
        </is>
      </c>
      <c r="F94" s="7" t="inlineStr">
        <is>
          <t>ec-2021-eidas-evaluation-swd</t>
        </is>
      </c>
      <c r="G94" s="7" t="inlineStr">
        <is>
          <t>European Commission (2021), Staff Working Document accompanying the evaluation of the eIDAS Regulation, SWD(2021) 130</t>
        </is>
      </c>
      <c r="H94" s="7" t="n">
        <v>2021</v>
      </c>
      <c r="I94" s="7" t="inlineStr">
        <is>
          <t>Commission evaluation</t>
        </is>
      </c>
      <c r="J94" s="7" t="inlineStr">
        <is>
          <t>ex-post evaluation; stakeholder surveys; cost-benefit analysis based on stakeholder estimates</t>
        </is>
      </c>
      <c r="K94" s="7" t="inlineStr">
        <is>
          <t>trust service market; private-sector eID use; costs</t>
        </is>
      </c>
      <c r="L94" s="7" t="inlineStr">
        <is>
          <t>mixed</t>
        </is>
      </c>
      <c r="M94" s="7" t="inlineStr">
        <is>
          <t>202 active qualified trust service providers in 29 of 30 EU/EEA countries; only 12 Member States notified eID schemes usable by private providers; costs borne mainly by public authorities, benefits mainly by users and market operators; data dispersion large</t>
        </is>
      </c>
      <c r="N94" s="7" t="inlineStr">
        <is>
          <t>Detailed evaluation: a real EU market for qualified trust services emerged (202 providers), but private companies hardly use national e-IDs across borders.</t>
        </is>
      </c>
      <c r="O94" s="7" t="inlineStr">
        <is>
          <t>EU/EEA, 2014-2020</t>
        </is>
      </c>
      <c r="P94" s="7" t="inlineStr">
        <is>
          <t>indicative; stakeholder-reported cost data</t>
        </is>
      </c>
      <c r="Q94" s="7" t="inlineStr"/>
      <c r="R94" s="7" t="inlineStr">
        <is>
          <t>open</t>
        </is>
      </c>
      <c r="S94" s="7" t="inlineStr">
        <is>
          <t>full text read</t>
        </is>
      </c>
      <c r="T94" s="7" t="inlineStr">
        <is>
          <t>2026-10-10</t>
        </is>
      </c>
      <c r="U94" s="7" t="inlineStr">
        <is>
          <t>https://eur-lex.europa.eu/legal-content/EN/TXT/?uri=CELEX:52021SC0130</t>
        </is>
      </c>
      <c r="V94" s="7" t="inlineStr"/>
      <c r="W94" s="7" t="inlineStr">
        <is>
          <t>http://web.archive.org/web/20241228111941/https://eur-lex.europa.eu/legal-content/EN/TXT/?uri=CELEX:52021SC0130</t>
        </is>
      </c>
    </row>
    <row r="95">
      <c r="A95" s="7" t="n">
        <v>22</v>
      </c>
      <c r="B95" s="7" t="inlineStr">
        <is>
          <t>eIDAS Regulation</t>
        </is>
      </c>
      <c r="C95" s="7" t="inlineStr">
        <is>
          <t>evidence</t>
        </is>
      </c>
      <c r="D95" s="7" t="inlineStr">
        <is>
          <t>official</t>
        </is>
      </c>
      <c r="E95" s="7" t="inlineStr">
        <is>
          <t>initial review</t>
        </is>
      </c>
      <c r="F95" s="7" t="inlineStr">
        <is>
          <t>ec-2021-eidas-council-presentation</t>
        </is>
      </c>
      <c r="G95" s="7" t="inlineStr">
        <is>
          <t>European Commission (presentation to Council Telecom Working Party) (2021), Revision of the eIDAS Regulation - European Digital Identity: evaluation preliminary results, Council document WK 163/2021, 7 Jan 2021</t>
        </is>
      </c>
      <c r="H95" s="7" t="n">
        <v>2021</v>
      </c>
      <c r="I95" s="7" t="inlineStr">
        <is>
          <t>Commission evaluation (presentation)</t>
        </is>
      </c>
      <c r="J95" s="7" t="inlineStr">
        <is>
          <t>descriptive usage data</t>
        </is>
      </c>
      <c r="K95" s="7" t="inlineStr">
        <is>
          <t>eID coverage; acceptance; cross-border use</t>
        </is>
      </c>
      <c r="L95" s="7" t="inlineStr">
        <is>
          <t>negative (low uptake)</t>
        </is>
      </c>
      <c r="M95" s="7" t="inlineStr">
        <is>
          <t>19 notified schemes from 14 Member States (59% of population); 67% of Member States can accept notified eIDs; 14% of key cross-border public services offer eIDAS login; 100-30,000 successful cross-border authentications a year vs millions domestically</t>
        </is>
      </c>
      <c r="N95" s="7" t="inlineStr">
        <is>
          <t>Cross-border logins with national e-IDs numbered only between a hundred and thirty thousand a year per country, against millions of domestic logins.</t>
        </is>
      </c>
      <c r="O95" s="7" t="inlineStr">
        <is>
          <t>EU-27, 2020</t>
        </is>
      </c>
      <c r="P95" s="7" t="inlineStr">
        <is>
          <t>preliminary figures</t>
        </is>
      </c>
      <c r="Q95" s="7" t="inlineStr"/>
      <c r="R95" s="7" t="inlineStr">
        <is>
          <t>open</t>
        </is>
      </c>
      <c r="S95" s="7" t="inlineStr">
        <is>
          <t>full text read</t>
        </is>
      </c>
      <c r="T95" s="7" t="inlineStr">
        <is>
          <t>2026-10-10</t>
        </is>
      </c>
      <c r="U95" s="7" t="inlineStr">
        <is>
          <t>https://data.consilium.europa.eu/doc/document/WK-163-2021-INIT/en/pdf</t>
        </is>
      </c>
      <c r="V95" s="7" t="inlineStr"/>
      <c r="W95" s="7" t="inlineStr"/>
    </row>
    <row r="96">
      <c r="A96" s="7" t="n">
        <v>22</v>
      </c>
      <c r="B96" s="7" t="inlineStr">
        <is>
          <t>eIDAS Regulation</t>
        </is>
      </c>
      <c r="C96" s="7" t="inlineStr">
        <is>
          <t>evidence</t>
        </is>
      </c>
      <c r="D96" s="7" t="inlineStr">
        <is>
          <t>official</t>
        </is>
      </c>
      <c r="E96" s="7" t="inlineStr">
        <is>
          <t>initial review</t>
        </is>
      </c>
      <c r="F96" s="7" t="inlineStr">
        <is>
          <t>ec-2026-notified-eid-overview</t>
        </is>
      </c>
      <c r="G96" s="7" t="inlineStr">
        <is>
          <t>European Commission (eID User Community) (2026), Overview of pre-notified and notified eID schemes under eIDAS, Commission web page, last updated 2 Feb 2026</t>
        </is>
      </c>
      <c r="H96" s="7" t="n">
        <v>2026</v>
      </c>
      <c r="I96" s="7" t="inlineStr">
        <is>
          <t>official register</t>
        </is>
      </c>
      <c r="J96" s="7" t="inlineStr">
        <is>
          <t>administrative data</t>
        </is>
      </c>
      <c r="K96" s="7" t="inlineStr">
        <is>
          <t>eID notification</t>
        </is>
      </c>
      <c r="L96" s="7" t="inlineStr">
        <is>
          <t>positive (coverage growing)</t>
        </is>
      </c>
      <c r="M96" s="7" t="inlineStr">
        <is>
          <t>Notified schemes listed for 24 of 27 Member States (first: Germany 2017; latest additions Romania 2024, France Identite 2024, Finland 2025); no notified scheme for Greece, Hungary or Ireland</t>
        </is>
      </c>
      <c r="N96" s="7" t="inlineStr">
        <is>
          <t>By 2026, 24 of 27 EU countries had notified a national e-ID for cross-border use, up from 14 in 2021.</t>
        </is>
      </c>
      <c r="O96" s="7" t="inlineStr">
        <is>
          <t>EU/EEA, 2017-2026</t>
        </is>
      </c>
      <c r="P96" s="7" t="inlineStr">
        <is>
          <t>administrative register</t>
        </is>
      </c>
      <c r="Q96" s="7" t="inlineStr"/>
      <c r="R96" s="7" t="inlineStr">
        <is>
          <t>open</t>
        </is>
      </c>
      <c r="S96" s="7" t="inlineStr">
        <is>
          <t>full text read</t>
        </is>
      </c>
      <c r="T96" s="7" t="inlineStr">
        <is>
          <t>2026-10-10</t>
        </is>
      </c>
      <c r="U96" s="7" t="inlineStr">
        <is>
          <t>https://ec.europa.eu/digital-building-blocks/sites/display/EIDCOMMUNITY/Overview+of+pre-notified+and+notified+eID+schemes+under+eIDAS</t>
        </is>
      </c>
      <c r="V96" s="7" t="inlineStr"/>
      <c r="W96" s="7" t="inlineStr"/>
    </row>
    <row r="97">
      <c r="A97" s="7" t="n">
        <v>22</v>
      </c>
      <c r="B97" s="7" t="inlineStr">
        <is>
          <t>eIDAS Regulation</t>
        </is>
      </c>
      <c r="C97" s="7" t="inlineStr">
        <is>
          <t>evidence</t>
        </is>
      </c>
      <c r="D97" s="7" t="inlineStr">
        <is>
          <t>academic</t>
        </is>
      </c>
      <c r="E97" s="7" t="inlineStr">
        <is>
          <t>initial review</t>
        </is>
      </c>
      <c r="F97" s="7" t="inlineStr">
        <is>
          <t>lips-bharosa-draheim-2020</t>
        </is>
      </c>
      <c r="G97" s="7" t="inlineStr">
        <is>
          <t>Lips, Bharosa &amp; Draheim (2020), eIDAS Implementation Challenges: The Case of Estonia and the Netherlands, Communications in Computer and Information Science vol. 1349 (EGOSE 2020), Springer</t>
        </is>
      </c>
      <c r="H97" s="7" t="n">
        <v>2020</v>
      </c>
      <c r="I97" s="7" t="inlineStr">
        <is>
          <t>peer-reviewed (conference)</t>
        </is>
      </c>
      <c r="J97" s="7" t="inlineStr">
        <is>
          <t>comparative case study (qualitative)</t>
        </is>
      </c>
      <c r="K97" s="7" t="inlineStr">
        <is>
          <t>implementation</t>
        </is>
      </c>
      <c r="L97" s="7" t="inlineStr">
        <is>
          <t>mixed</t>
        </is>
      </c>
      <c r="M97" s="7" t="inlineStr">
        <is>
          <t>Compares eIDAS implementation in two digitally advanced countries; finds the regulation raised many practical questions and identifies research gaps</t>
        </is>
      </c>
      <c r="N97" s="7" t="inlineStr">
        <is>
          <t>A comparison of Estonia and the Netherlands shows that even digital front-runners struggled with practical questions in applying eIDAS.</t>
        </is>
      </c>
      <c r="O97" s="7" t="inlineStr">
        <is>
          <t>EE, NL</t>
        </is>
      </c>
      <c r="P97" s="7" t="inlineStr">
        <is>
          <t>qualitative; two countries</t>
        </is>
      </c>
      <c r="Q97" s="7" t="inlineStr"/>
      <c r="R97" s="7" t="inlineStr">
        <is>
          <t>paywalled</t>
        </is>
      </c>
      <c r="S97" s="7" t="inlineStr">
        <is>
          <t>page summary via search</t>
        </is>
      </c>
      <c r="T97" s="7" t="inlineStr">
        <is>
          <t>2026-10-10</t>
        </is>
      </c>
      <c r="U97" s="7" t="inlineStr">
        <is>
          <t>https://doi.org/10.1007/978-3-030-67238-6_6</t>
        </is>
      </c>
      <c r="V97" s="7" t="inlineStr"/>
      <c r="W97" s="7" t="inlineStr"/>
    </row>
    <row r="98">
      <c r="A98" s="7" t="n">
        <v>23</v>
      </c>
      <c r="B98" s="7" t="inlineStr">
        <is>
          <t>Payment Services Directive 2 (PSD2)</t>
        </is>
      </c>
      <c r="C98" s="7" t="inlineStr">
        <is>
          <t>ex-ante assessment</t>
        </is>
      </c>
      <c r="D98" s="7" t="inlineStr">
        <is>
          <t>official</t>
        </is>
      </c>
      <c r="E98" s="7" t="inlineStr">
        <is>
          <t>initial review</t>
        </is>
      </c>
      <c r="F98" s="7" t="inlineStr">
        <is>
          <t>ec-2013-psd2-ia</t>
        </is>
      </c>
      <c r="G98" s="7" t="inlineStr">
        <is>
          <t>European Commission (2013), Impact Assessment accompanying the proposals for PSD2 and the Interchange Fee Regulation (summary SWD(2013) 289), SWD(2013) 288</t>
        </is>
      </c>
      <c r="H98" s="7" t="n">
        <v>2013</v>
      </c>
      <c r="I98" s="7" t="inlineStr">
        <is>
          <t>Commission impact assessment</t>
        </is>
      </c>
      <c r="J98" s="7" t="inlineStr">
        <is>
          <t>ex-ante</t>
        </is>
      </c>
      <c r="K98" s="7" t="inlineStr">
        <is>
          <t>costs and prices; standardisation</t>
        </is>
      </c>
      <c r="L98" s="7" t="inlineStr">
        <is>
          <t>positive (forecast)</t>
        </is>
      </c>
      <c r="M98" s="7" t="inlineStr">
        <is>
          <t>Package-level estimates: card standardisation benefits ~EUR 4bn/yr; interchange-fee caps EUR 3-6bn/yr operational savings for merchants (these relate mainly to the Interchange Fee Regulation, not PSD2)</t>
        </is>
      </c>
      <c r="N98" s="7" t="inlineStr">
        <is>
          <t>The Commission expected the payments package to save merchants and consumers billions a year, mostly through caps on card fees set in a separate regulation.</t>
        </is>
      </c>
      <c r="O98" s="7" t="inlineStr">
        <is>
          <t>EU, forecast</t>
        </is>
      </c>
      <c r="P98" s="7" t="inlineStr">
        <is>
          <t>forecast; most quantified benefits belong to the companion Interchange Fee Regulation</t>
        </is>
      </c>
      <c r="Q98" s="7" t="inlineStr"/>
      <c r="R98" s="7" t="inlineStr">
        <is>
          <t>open</t>
        </is>
      </c>
      <c r="S98" s="7" t="inlineStr">
        <is>
          <t>full text partly read</t>
        </is>
      </c>
      <c r="T98" s="7" t="inlineStr">
        <is>
          <t>2026-10-10</t>
        </is>
      </c>
      <c r="U98" s="7" t="inlineStr">
        <is>
          <t>https://eur-lex.europa.eu/legal-content/EN/TXT/?uri=CELEX:52013SC0289</t>
        </is>
      </c>
      <c r="V98" s="7" t="inlineStr"/>
      <c r="W98" s="7" t="inlineStr"/>
    </row>
    <row r="99">
      <c r="A99" s="7" t="n">
        <v>23</v>
      </c>
      <c r="B99" s="7" t="inlineStr">
        <is>
          <t>Payment Services Directive 2 (PSD2)</t>
        </is>
      </c>
      <c r="C99" s="7" t="inlineStr">
        <is>
          <t>evidence</t>
        </is>
      </c>
      <c r="D99" s="7" t="inlineStr">
        <is>
          <t>official</t>
        </is>
      </c>
      <c r="E99" s="7" t="inlineStr">
        <is>
          <t>initial review</t>
        </is>
      </c>
      <c r="F99" s="7" t="inlineStr">
        <is>
          <t>ec-2023-psd2-review</t>
        </is>
      </c>
      <c r="G99" s="7" t="inlineStr">
        <is>
          <t>European Commission (2023), Report on the review of Directive (EU) 2015/2366 (PSD2), COM(2023) 365, with evaluation in SWD(2023) 231</t>
        </is>
      </c>
      <c r="H99" s="7" t="n">
        <v>2023</v>
      </c>
      <c r="I99" s="7" t="inlineStr">
        <is>
          <t>Commission evaluation</t>
        </is>
      </c>
      <c r="J99" s="7" t="inlineStr">
        <is>
          <t>evaluation (market data, consultation)</t>
        </is>
      </c>
      <c r="K99" s="7" t="inlineStr">
        <is>
          <t>fraud; competition; open banking; prices</t>
        </is>
      </c>
      <c r="L99" s="7" t="inlineStr">
        <is>
          <t>mixed</t>
        </is>
      </c>
      <c r="M99" s="7" t="inlineStr">
        <is>
          <t>SCA highly successful against fraud (70-80% lower fraud on SCA remote card payments); new non-bank entrants and open-banking growth but uneven uptake and poor API performance; merchant cost reductions not yet materialised; card systems still national</t>
        </is>
      </c>
      <c r="N99" s="7" t="inlineStr">
        <is>
          <t>PSD2 sharply reduced card fraud and let many new payment firms enter, but open banking has taken off unevenly and promised savings for merchants have not yet appeared.</t>
        </is>
      </c>
      <c r="O99" s="7" t="inlineStr">
        <is>
          <t>EU, 2018-2022</t>
        </is>
      </c>
      <c r="P99" s="7" t="inlineStr">
        <is>
          <t>self-evaluation</t>
        </is>
      </c>
      <c r="Q99" s="7" t="inlineStr"/>
      <c r="R99" s="7" t="inlineStr">
        <is>
          <t>open</t>
        </is>
      </c>
      <c r="S99" s="7" t="inlineStr">
        <is>
          <t>full text partly read</t>
        </is>
      </c>
      <c r="T99" s="7" t="inlineStr">
        <is>
          <t>2026-10-10</t>
        </is>
      </c>
      <c r="U99" s="7" t="inlineStr">
        <is>
          <t>https://eur-lex.europa.eu/legal-content/EN/TXT/?uri=CELEX:52023DC0365</t>
        </is>
      </c>
      <c r="V99" s="7" t="inlineStr"/>
      <c r="W99" s="7" t="inlineStr">
        <is>
          <t>http://web.archive.org/web/20241219081330/https://eur-lex.europa.eu/legal-content/EN/TXT/?uri=CELEX:52023DC0365</t>
        </is>
      </c>
    </row>
    <row r="100">
      <c r="A100" s="7" t="n">
        <v>23</v>
      </c>
      <c r="B100" s="7" t="inlineStr">
        <is>
          <t>Payment Services Directive 2 (PSD2)</t>
        </is>
      </c>
      <c r="C100" s="7" t="inlineStr">
        <is>
          <t>evidence</t>
        </is>
      </c>
      <c r="D100" s="7" t="inlineStr">
        <is>
          <t>academic</t>
        </is>
      </c>
      <c r="E100" s="7" t="inlineStr">
        <is>
          <t>initial review</t>
        </is>
      </c>
      <c r="F100" s="7" t="inlineStr">
        <is>
          <t>babina-et-al-2024</t>
        </is>
      </c>
      <c r="G100" s="7" t="inlineStr">
        <is>
          <t>Babina, Bahaj, Buchak, De Marco, Foulis, Gornall, Mazzola &amp; Yu (2024), Customer Data Access and Fintech Entry: Early Evidence from Open Banking, NBER Working Paper 32089 (also Bank of England staff working paper)</t>
        </is>
      </c>
      <c r="H100" s="7" t="n">
        <v>2024</v>
      </c>
      <c r="I100" s="7" t="inlineStr">
        <is>
          <t>working paper</t>
        </is>
      </c>
      <c r="J100" s="7" t="inlineStr">
        <is>
          <t>causal: cross-country staggered adoption (49 countries) + UK microdata + calibrated model</t>
        </is>
      </c>
      <c r="K100" s="7" t="inlineStr">
        <is>
          <t>innovation (fintech investment); credit access; welfare</t>
        </is>
      </c>
      <c r="L100" s="7" t="inlineStr">
        <is>
          <t>positive (with distributional costs)</t>
        </is>
      </c>
      <c r="M100" s="7" t="inlineStr">
        <is>
          <t>Open-banking adoption spurs investment in fintechs; in the UK it gives consumers access to advice and credit and SMEs new fintech lending relationships; welfare gains from advice, mixed for credit (higher prices for costlier or privacy-conscious consumers)</t>
        </is>
      </c>
      <c r="N100" s="7" t="inlineStr">
        <is>
          <t>Across 49 countries, open-banking rules like those in PSD2 attracted more investment into fintech start-ups and widened access to credit, though some consumers end up paying more.</t>
        </is>
      </c>
      <c r="O100" s="7" t="inlineStr">
        <is>
          <t>49 countries; UK microdata</t>
        </is>
      </c>
      <c r="P100" s="7" t="inlineStr">
        <is>
          <t>not EU-specific; PSD2 is one of the policies studied</t>
        </is>
      </c>
      <c r="Q100" s="7" t="inlineStr"/>
      <c r="R100" s="7" t="inlineStr">
        <is>
          <t>open</t>
        </is>
      </c>
      <c r="S100" s="7" t="inlineStr">
        <is>
          <t>abstract read</t>
        </is>
      </c>
      <c r="T100" s="7" t="inlineStr">
        <is>
          <t>2026-10-10</t>
        </is>
      </c>
      <c r="U100" s="7" t="inlineStr">
        <is>
          <t>https://www.nber.org/papers/w32089</t>
        </is>
      </c>
      <c r="V100" s="7" t="inlineStr">
        <is>
          <t>https://www.nber.org/system/files/working_papers/w32089/w32089.pdf</t>
        </is>
      </c>
      <c r="W100" s="7" t="inlineStr"/>
    </row>
    <row r="101">
      <c r="A101" s="7" t="n">
        <v>23</v>
      </c>
      <c r="B101" s="7" t="inlineStr">
        <is>
          <t>Payment Services Directive 2 (PSD2)</t>
        </is>
      </c>
      <c r="C101" s="7" t="inlineStr">
        <is>
          <t>evidence</t>
        </is>
      </c>
      <c r="D101" s="7" t="inlineStr">
        <is>
          <t>consultancy or industry</t>
        </is>
      </c>
      <c r="E101" s="7" t="inlineStr">
        <is>
          <t>initial review</t>
        </is>
      </c>
      <c r="F101" s="7" t="inlineStr">
        <is>
          <t>multisafepay-sca-conversion</t>
        </is>
      </c>
      <c r="G101" s="7" t="inlineStr">
        <is>
          <t>MultiSafepay (2021), How PSD2 &amp; Strong Customer Authentication affect your payment success rates, Industry blog (payment service provider)</t>
        </is>
      </c>
      <c r="H101" s="7" t="n">
        <v>2021</v>
      </c>
      <c r="I101" s="7" t="inlineStr">
        <is>
          <t>industry</t>
        </is>
      </c>
      <c r="J101" s="7" t="inlineStr">
        <is>
          <t>descriptive (own transaction data)</t>
        </is>
      </c>
      <c r="K101" s="7" t="inlineStr">
        <is>
          <t>firm performance (online conversion)</t>
        </is>
      </c>
      <c r="L101" s="7" t="inlineStr">
        <is>
          <t>negative (friction)</t>
        </is>
      </c>
      <c r="M101" s="7" t="inlineStr">
        <is>
          <t>Average conversion for 3DS-authenticated card payments about 82%; gap vs non-authenticated flows about 7% in NL and about 13% in IT and ES</t>
        </is>
      </c>
      <c r="N101" s="7" t="inlineStr">
        <is>
          <t>Payment-industry data suggest the extra authentication step costs online shops some sales, with bigger losses in southern Europe.</t>
        </is>
      </c>
      <c r="O101" s="7" t="inlineStr">
        <is>
          <t>European markets</t>
        </is>
      </c>
      <c r="P101" s="7" t="inlineStr">
        <is>
          <t>vendor data; not independent; no counterfactual</t>
        </is>
      </c>
      <c r="Q101" s="7" t="inlineStr">
        <is>
          <t>Payment service provider</t>
        </is>
      </c>
      <c r="R101" s="7" t="inlineStr">
        <is>
          <t>open</t>
        </is>
      </c>
      <c r="S101" s="7" t="inlineStr">
        <is>
          <t>page summary via search</t>
        </is>
      </c>
      <c r="T101" s="7" t="inlineStr">
        <is>
          <t>2026-10-10</t>
        </is>
      </c>
      <c r="U101" s="7" t="inlineStr">
        <is>
          <t>https://www.multisafepay.com/blog/how-psd2-strong-customer-authentication-affect-your-payment-success-rates</t>
        </is>
      </c>
      <c r="V101" s="7" t="inlineStr"/>
      <c r="W101" s="7" t="inlineStr"/>
    </row>
    <row r="102">
      <c r="A102" s="7" t="n">
        <v>24</v>
      </c>
      <c r="B102" s="7" t="inlineStr">
        <is>
          <t>Open Internet Access Regulation</t>
        </is>
      </c>
      <c r="C102" s="7" t="inlineStr">
        <is>
          <t>ex-ante assessment</t>
        </is>
      </c>
      <c r="D102" s="7" t="inlineStr">
        <is>
          <t>official</t>
        </is>
      </c>
      <c r="E102" s="7" t="inlineStr">
        <is>
          <t>initial review</t>
        </is>
      </c>
      <c r="F102" s="7" t="inlineStr">
        <is>
          <t>ec-2013-connected-continent-ia</t>
        </is>
      </c>
      <c r="G102" s="7" t="inlineStr">
        <is>
          <t>European Commission (2013), Impact Assessment on the European Single Market for electronic communications / Connected Continent (executive summary SWD(2013) 332), SWD(2013) 331</t>
        </is>
      </c>
      <c r="H102" s="7" t="n">
        <v>2013</v>
      </c>
      <c r="I102" s="7" t="inlineStr">
        <is>
          <t>Commission impact assessment</t>
        </is>
      </c>
      <c r="J102" s="7" t="inlineStr">
        <is>
          <t>ex-ante</t>
        </is>
      </c>
      <c r="K102" s="7" t="inlineStr">
        <is>
          <t>single market benefits; operator revenues</t>
        </is>
      </c>
      <c r="L102" s="7" t="inlineStr">
        <is>
          <t>positive (forecast)</t>
        </is>
      </c>
      <c r="M102" s="7" t="inlineStr">
        <is>
          <t>Direct benefit of a single market for electronic communications about EUR 110bn a year plus spill-overs; net neutrality part of a wider package (most of which was dropped)</t>
        </is>
      </c>
      <c r="N102" s="7" t="inlineStr">
        <is>
          <t>The Commission put the benefit of its wider telecoms package, including open internet rules, at about EUR 110 billion a year, but did not estimate the net neutrality part separately.</t>
        </is>
      </c>
      <c r="O102" s="7" t="inlineStr">
        <is>
          <t>EU, forecast</t>
        </is>
      </c>
      <c r="P102" s="7" t="inlineStr">
        <is>
          <t>forecast; package-wide</t>
        </is>
      </c>
      <c r="Q102" s="7" t="inlineStr"/>
      <c r="R102" s="7" t="inlineStr">
        <is>
          <t>open</t>
        </is>
      </c>
      <c r="S102" s="7" t="inlineStr">
        <is>
          <t>full text read</t>
        </is>
      </c>
      <c r="T102" s="7" t="inlineStr">
        <is>
          <t>2026-10-10</t>
        </is>
      </c>
      <c r="U102" s="7" t="inlineStr">
        <is>
          <t>https://eur-lex.europa.eu/legal-content/EN/TXT/?uri=CELEX:52013SC0332</t>
        </is>
      </c>
      <c r="V102" s="7" t="inlineStr"/>
      <c r="W102" s="7" t="inlineStr"/>
    </row>
    <row r="103">
      <c r="A103" s="7" t="n">
        <v>24</v>
      </c>
      <c r="B103" s="7" t="inlineStr">
        <is>
          <t>Open Internet Access Regulation</t>
        </is>
      </c>
      <c r="C103" s="7" t="inlineStr">
        <is>
          <t>evidence</t>
        </is>
      </c>
      <c r="D103" s="7" t="inlineStr">
        <is>
          <t>official</t>
        </is>
      </c>
      <c r="E103" s="7" t="inlineStr">
        <is>
          <t>initial review</t>
        </is>
      </c>
      <c r="F103" s="7" t="inlineStr">
        <is>
          <t>ec-2019-open-internet-report</t>
        </is>
      </c>
      <c r="G103" s="7" t="inlineStr">
        <is>
          <t>European Commission (2019), Report on the implementation of the open internet access provisions of Regulation (EU) 2015/2120, COM(2019) 203</t>
        </is>
      </c>
      <c r="H103" s="7" t="n">
        <v>2019</v>
      </c>
      <c r="I103" s="7" t="inlineStr">
        <is>
          <t>Commission review</t>
        </is>
      </c>
      <c r="J103" s="7" t="inlineStr">
        <is>
          <t>implementation review (NRA and BEREC reports, stakeholder input)</t>
        </is>
      </c>
      <c r="K103" s="7" t="inlineStr">
        <is>
          <t>end-user rights; investment; innovation</t>
        </is>
      </c>
      <c r="L103" s="7" t="inlineStr">
        <is>
          <t>positive</t>
        </is>
      </c>
      <c r="M103" s="7" t="inlineStr">
        <is>
          <t>Principles appropriate and effective; implementation consistent; main issues transparency, zero-rating and traffic management; regulation 'does not seem to affect' ISP investment</t>
        </is>
      </c>
      <c r="N103" s="7" t="inlineStr">
        <is>
          <t>The Commission's first review found the rules applied consistently and judged that they had not harmed network investment, though without hard data.</t>
        </is>
      </c>
      <c r="O103" s="7" t="inlineStr">
        <is>
          <t>EU, 2016-18</t>
        </is>
      </c>
      <c r="P103" s="7" t="inlineStr">
        <is>
          <t>qualitative review</t>
        </is>
      </c>
      <c r="Q103" s="7" t="inlineStr"/>
      <c r="R103" s="7" t="inlineStr">
        <is>
          <t>open</t>
        </is>
      </c>
      <c r="S103" s="7" t="inlineStr">
        <is>
          <t>full text read</t>
        </is>
      </c>
      <c r="T103" s="7" t="inlineStr">
        <is>
          <t>2026-10-10</t>
        </is>
      </c>
      <c r="U103" s="7" t="inlineStr">
        <is>
          <t>https://eur-lex.europa.eu/legal-content/EN/TXT/?uri=CELEX:52019DC0203</t>
        </is>
      </c>
      <c r="V103" s="7" t="inlineStr"/>
      <c r="W103" s="7" t="inlineStr"/>
    </row>
    <row r="104">
      <c r="A104" s="7" t="n">
        <v>24</v>
      </c>
      <c r="B104" s="7" t="inlineStr">
        <is>
          <t>Open Internet Access Regulation</t>
        </is>
      </c>
      <c r="C104" s="7" t="inlineStr">
        <is>
          <t>evidence</t>
        </is>
      </c>
      <c r="D104" s="7" t="inlineStr">
        <is>
          <t>official</t>
        </is>
      </c>
      <c r="E104" s="7" t="inlineStr">
        <is>
          <t>initial review</t>
        </is>
      </c>
      <c r="F104" s="7" t="inlineStr">
        <is>
          <t>ec-2023-open-internet-report</t>
        </is>
      </c>
      <c r="G104" s="7" t="inlineStr">
        <is>
          <t>European Commission (2023), Second report on the implementation of the open internet access provisions of Regulation (EU) 2015/2120, COM(2023) 233</t>
        </is>
      </c>
      <c r="H104" s="7" t="n">
        <v>2023</v>
      </c>
      <c r="I104" s="7" t="inlineStr">
        <is>
          <t>Commission review</t>
        </is>
      </c>
      <c r="J104" s="7" t="inlineStr">
        <is>
          <t>implementation review (BEREC Opinion BoR(22)163, ICF/WIK study, CJEU case law)</t>
        </is>
      </c>
      <c r="K104" s="7" t="inlineStr">
        <is>
          <t>end-user rights; zero-rating; specialised services</t>
        </is>
      </c>
      <c r="L104" s="7" t="inlineStr">
        <is>
          <t>positive</t>
        </is>
      </c>
      <c r="M104" s="7" t="inlineStr">
        <is>
          <t>Principles remain relevant; CJEU judgments (2020-21) ruled application-specific zero-tariff options incompatible; legal uncertainty on specialised services/5G slicing may chill investment; few and low penalties</t>
        </is>
      </c>
      <c r="N104" s="7" t="inlineStr">
        <is>
          <t>The second review found the rules still fit for purpose, after EU court rulings ended most zero-rating offers, but noted uncertainty about new 5G services.</t>
        </is>
      </c>
      <c r="O104" s="7" t="inlineStr">
        <is>
          <t>EU, 2019-23</t>
        </is>
      </c>
      <c r="P104" s="7" t="inlineStr">
        <is>
          <t>qualitative review</t>
        </is>
      </c>
      <c r="Q104" s="7" t="inlineStr"/>
      <c r="R104" s="7" t="inlineStr">
        <is>
          <t>open</t>
        </is>
      </c>
      <c r="S104" s="7" t="inlineStr">
        <is>
          <t>full text read</t>
        </is>
      </c>
      <c r="T104" s="7" t="inlineStr">
        <is>
          <t>2026-10-10</t>
        </is>
      </c>
      <c r="U104" s="7" t="inlineStr">
        <is>
          <t>https://eur-lex.europa.eu/legal-content/EN/TXT/?uri=CELEX:52023DC0233</t>
        </is>
      </c>
      <c r="V104" s="7" t="inlineStr"/>
      <c r="W104" s="7" t="inlineStr"/>
    </row>
    <row r="105">
      <c r="A105" s="7" t="n">
        <v>24</v>
      </c>
      <c r="B105" s="7" t="inlineStr">
        <is>
          <t>Open Internet Access Regulation</t>
        </is>
      </c>
      <c r="C105" s="7" t="inlineStr">
        <is>
          <t>evidence</t>
        </is>
      </c>
      <c r="D105" s="7" t="inlineStr">
        <is>
          <t>academic</t>
        </is>
      </c>
      <c r="E105" s="7" t="inlineStr">
        <is>
          <t>initial review</t>
        </is>
      </c>
      <c r="F105" s="7" t="inlineStr">
        <is>
          <t>briglauer-et-al-2022-net-neutrality</t>
        </is>
      </c>
      <c r="G105" s="7" t="inlineStr">
        <is>
          <t>Briglauer, Cambini, Gugler &amp; Stocker (2022), Net neutrality and high-speed broadband networks: evidence from OECD countries, European Journal of Law and Economics</t>
        </is>
      </c>
      <c r="H105" s="7" t="n">
        <v>2022</v>
      </c>
      <c r="I105" s="7" t="inlineStr">
        <is>
          <t>peer-reviewed</t>
        </is>
      </c>
      <c r="J105" s="7" t="inlineStr">
        <is>
          <t>panel econometrics with instrumental variables (32 OECD countries, 2003-2019)</t>
        </is>
      </c>
      <c r="K105" s="7" t="inlineStr">
        <is>
          <t>fibre investment; fibre subscriptions</t>
        </is>
      </c>
      <c r="L105" s="7" t="inlineStr">
        <is>
          <t>negative</t>
        </is>
      </c>
      <c r="M105" s="7" t="inlineStr">
        <is>
          <t>Net neutrality regulations have a significant and strong negative impact on fibre investment; strict rules slow fibre deployment; no overall welfare assessment</t>
        </is>
      </c>
      <c r="N105" s="7" t="inlineStr">
        <is>
          <t>A study of 32 OECD countries finds strict net neutrality rules slowed investment in fibre broadband, though it does not weigh benefits for content providers or consumers.</t>
        </is>
      </c>
      <c r="O105" s="7" t="inlineStr">
        <is>
          <t>OECD, 2003-19</t>
        </is>
      </c>
      <c r="P105" s="7" t="inlineStr">
        <is>
          <t>causal (IV panel); cross-country, not EU-regulation-specific</t>
        </is>
      </c>
      <c r="Q105" s="7" t="inlineStr"/>
      <c r="R105" s="7" t="inlineStr">
        <is>
          <t>open</t>
        </is>
      </c>
      <c r="S105" s="7" t="inlineStr">
        <is>
          <t>page summary via search</t>
        </is>
      </c>
      <c r="T105" s="7" t="inlineStr">
        <is>
          <t>2026-10-10</t>
        </is>
      </c>
      <c r="U105" s="7" t="inlineStr">
        <is>
          <t>https://doi.org/10.1007/s10657-022-09754-5</t>
        </is>
      </c>
      <c r="V105" s="7" t="inlineStr"/>
      <c r="W105" s="7" t="inlineStr"/>
    </row>
    <row r="106">
      <c r="A106" s="7" t="n">
        <v>24</v>
      </c>
      <c r="B106" s="7" t="inlineStr">
        <is>
          <t>Open Internet Access Regulation</t>
        </is>
      </c>
      <c r="C106" s="7" t="inlineStr">
        <is>
          <t>evidence</t>
        </is>
      </c>
      <c r="D106" s="7" t="inlineStr">
        <is>
          <t>think tank</t>
        </is>
      </c>
      <c r="E106" s="7" t="inlineStr">
        <is>
          <t>initial review</t>
        </is>
      </c>
      <c r="F106" s="7" t="inlineStr">
        <is>
          <t>epicenter-2019-net-neutrality</t>
        </is>
      </c>
      <c r="G106" s="7" t="inlineStr">
        <is>
          <t>epicenter.works (2019), The Net Neutrality Situation in the EU: Evaluation of the First Two Years of Enforcement, NGO report</t>
        </is>
      </c>
      <c r="H106" s="7" t="n">
        <v>2019</v>
      </c>
      <c r="I106" s="7" t="inlineStr">
        <is>
          <t>NGO report</t>
        </is>
      </c>
      <c r="J106" s="7" t="inlineStr">
        <is>
          <t>survey of 186 differential-pricing offers; OLS regression on Commission mobile price data</t>
        </is>
      </c>
      <c r="K106" s="7" t="inlineStr">
        <is>
          <t>zero-rating; mobile data prices</t>
        </is>
      </c>
      <c r="L106" s="7" t="inlineStr">
        <is>
          <t>negative (zero-rating)</t>
        </is>
      </c>
      <c r="M106" s="7" t="inlineStr">
        <is>
          <t>Zero-rating in all but two EU countries; in markets with zero-rating in both years mobile data prices rose 2% (2015-16) vs fell 8% where none existed; later analysis (excl. Finland) +1% vs -10%</t>
        </is>
      </c>
      <c r="N106" s="7" t="inlineStr">
        <is>
          <t>A digital-rights NGO found zero-rating offers spread widely and that mobile data got cheaper more slowly where they existed.</t>
        </is>
      </c>
      <c r="O106" s="7" t="inlineStr">
        <is>
          <t>EU/EEA, 2015-18</t>
        </is>
      </c>
      <c r="P106" s="7" t="inlineStr">
        <is>
          <t>correlational</t>
        </is>
      </c>
      <c r="Q106" s="7" t="inlineStr">
        <is>
          <t>Advocacy NGO campaigning for strict net neutrality</t>
        </is>
      </c>
      <c r="R106" s="7" t="inlineStr">
        <is>
          <t>open</t>
        </is>
      </c>
      <c r="S106" s="7" t="inlineStr">
        <is>
          <t>full text read</t>
        </is>
      </c>
      <c r="T106" s="7" t="inlineStr">
        <is>
          <t>2026-10-10</t>
        </is>
      </c>
      <c r="U106" s="7" t="inlineStr">
        <is>
          <t>https://epicenter.works/fileadmin/import/2019_netneutrality_in_eu-epicenter.works-r1.pdf</t>
        </is>
      </c>
      <c r="V106" s="7" t="inlineStr"/>
      <c r="W106" s="7" t="inlineStr"/>
    </row>
    <row r="107">
      <c r="A107" s="7" t="n">
        <v>24</v>
      </c>
      <c r="B107" s="7" t="inlineStr">
        <is>
          <t>Open Internet Access Regulation</t>
        </is>
      </c>
      <c r="C107" s="7" t="inlineStr">
        <is>
          <t>evidence</t>
        </is>
      </c>
      <c r="D107" s="7" t="inlineStr">
        <is>
          <t>official</t>
        </is>
      </c>
      <c r="E107" s="7" t="inlineStr">
        <is>
          <t>initial review</t>
        </is>
      </c>
      <c r="F107" s="7" t="inlineStr">
        <is>
          <t>kiraly-schwarz-2019-zero-rating</t>
        </is>
      </c>
      <c r="G107" s="7" t="inlineStr">
        <is>
          <t>Király &amp; Schwarz (RTR) (2019), Zero-Rating in the EU: An empirical investigation into the effects on data caps and prices in 15 countries, Austrian regulator RTR study (presented at Cullen International seminar, 4 Sept 2019)</t>
        </is>
      </c>
      <c r="H107" s="7" t="n">
        <v>2019</v>
      </c>
      <c r="I107" s="7" t="inlineStr">
        <is>
          <t>national regulator study</t>
        </is>
      </c>
      <c r="J107" s="7" t="inlineStr">
        <is>
          <t>panel and quantile regressions with operator fixed effects (11,000+ tariffs, 53 operators, 15 countries, 2015-18)</t>
        </is>
      </c>
      <c r="K107" s="7" t="inlineStr">
        <is>
          <t>data caps; price per GB; monthly fee</t>
        </is>
      </c>
      <c r="L107" s="7" t="inlineStr">
        <is>
          <t>mixed</t>
        </is>
      </c>
      <c r="M107" s="7" t="inlineStr">
        <is>
          <t>Share of tariffs with zero-rating rose fivefold; effect on included data, price per GB and monthly fee varies strongly across countries, time and app categories, with no identifiable pattern; supports case-by-case assessment</t>
        </is>
      </c>
      <c r="N107" s="7" t="inlineStr">
        <is>
          <t>Austria's telecoms regulator found no consistent effect of zero-rating on data allowances or prices across 15 EU countries.</t>
        </is>
      </c>
      <c r="O107" s="7" t="inlineStr">
        <is>
          <t>15 EU countries, 2015-18</t>
        </is>
      </c>
      <c r="P107" s="7" t="inlineStr">
        <is>
          <t>econometric (fixed effects); correlational</t>
        </is>
      </c>
      <c r="Q107" s="7" t="inlineStr"/>
      <c r="R107" s="7" t="inlineStr">
        <is>
          <t>open</t>
        </is>
      </c>
      <c r="S107" s="7" t="inlineStr">
        <is>
          <t>full text read</t>
        </is>
      </c>
      <c r="T107" s="7" t="inlineStr">
        <is>
          <t>2026-10-10</t>
        </is>
      </c>
      <c r="U107" s="7" t="inlineStr">
        <is>
          <t>https://www.rtr.at/TKP/aktuelles/publikationen/publikationen/ZeroRatingEU2019.en.html</t>
        </is>
      </c>
      <c r="V107" s="7" t="inlineStr">
        <is>
          <t>https://www.cullen-international.com/dam/jcr:f52e951f-2395-46ea-8a52-3266bace848a/Zero-Rating-in-the-EU-Andras-Robert-Kirali-Anton-Schwarz-RTR.pdf</t>
        </is>
      </c>
      <c r="W107" s="7" t="inlineStr"/>
    </row>
    <row r="108">
      <c r="A108" s="7" t="n">
        <v>21</v>
      </c>
      <c r="B108" s="7" t="inlineStr">
        <is>
          <t>Law Enforcement Directive</t>
        </is>
      </c>
      <c r="C108" s="7" t="inlineStr">
        <is>
          <t>ex-ante assessment</t>
        </is>
      </c>
      <c r="D108" s="7" t="inlineStr">
        <is>
          <t>official</t>
        </is>
      </c>
      <c r="E108" s="7" t="inlineStr">
        <is>
          <t>initial review</t>
        </is>
      </c>
      <c r="F108" s="7" t="inlineStr">
        <is>
          <t>ec-2012-dp-reform-ia</t>
        </is>
      </c>
      <c r="G108" s="7" t="inlineStr">
        <is>
          <t>European Commission (2012), Impact Assessment for the data protection reform package (GDPR and Law Enforcement Directive), executive summary, SEC(2012) 73 (full IA SEC(2012) 72)</t>
        </is>
      </c>
      <c r="H108" s="7" t="n">
        <v>2012</v>
      </c>
      <c r="I108" s="7" t="inlineStr">
        <is>
          <t>Commission impact assessment</t>
        </is>
      </c>
      <c r="J108" s="7" t="inlineStr">
        <is>
          <t>ex-ante</t>
        </is>
      </c>
      <c r="K108" s="7" t="inlineStr">
        <is>
          <t>legal certainty; protection of individuals; police cooperation</t>
        </is>
      </c>
      <c r="L108" s="7" t="inlineStr">
        <is>
          <t>positive (forecast)</t>
        </is>
      </c>
      <c r="M108" s="7" t="inlineStr">
        <is>
          <t>Shared IA with the GDPR; for policing it identified fragmented rules under the 2008 Framework Decision and legal uncertainty for individuals and authorities; no quantified forecast for the LED</t>
        </is>
      </c>
      <c r="N108" s="7" t="inlineStr">
        <is>
          <t>The Commission's joint impact assessment argued that a single directive would end patchy data protection rules for police and courts, but gave no figures for this part.</t>
        </is>
      </c>
      <c r="O108" s="7" t="inlineStr">
        <is>
          <t>EU, forecast</t>
        </is>
      </c>
      <c r="P108" s="7" t="inlineStr">
        <is>
          <t>forecast; qualitative for LED</t>
        </is>
      </c>
      <c r="Q108" s="7" t="inlineStr"/>
      <c r="R108" s="7" t="inlineStr">
        <is>
          <t>open</t>
        </is>
      </c>
      <c r="S108" s="7" t="inlineStr">
        <is>
          <t>full text read (executive summary)</t>
        </is>
      </c>
      <c r="T108" s="7" t="inlineStr">
        <is>
          <t>2026-10-10</t>
        </is>
      </c>
      <c r="U108" s="7" t="inlineStr">
        <is>
          <t>https://eur-lex.europa.eu/legal-content/EN/TXT/?uri=CELEX:52012SC0073</t>
        </is>
      </c>
      <c r="V108" s="7" t="inlineStr"/>
      <c r="W108" s="7" t="inlineStr">
        <is>
          <t>http://web.archive.org/web/20260619083541/https://eur-lex.europa.eu/legal-content/EN/TXT/?uri=CELEX%3A52012SC0073</t>
        </is>
      </c>
    </row>
    <row r="109">
      <c r="A109" s="7" t="n">
        <v>21</v>
      </c>
      <c r="B109" s="7" t="inlineStr">
        <is>
          <t>Law Enforcement Directive</t>
        </is>
      </c>
      <c r="C109" s="7" t="inlineStr">
        <is>
          <t>evidence</t>
        </is>
      </c>
      <c r="D109" s="7" t="inlineStr">
        <is>
          <t>official</t>
        </is>
      </c>
      <c r="E109" s="7" t="inlineStr">
        <is>
          <t>initial review</t>
        </is>
      </c>
      <c r="F109" s="7" t="inlineStr">
        <is>
          <t>ec-2022-led-report</t>
        </is>
      </c>
      <c r="G109" s="7" t="inlineStr">
        <is>
          <t>European Commission (2022), First report on application and functioning of the Data Protection Law Enforcement Directive (EU) 2016/680, COM(2022) 364</t>
        </is>
      </c>
      <c r="H109" s="7" t="n">
        <v>2022</v>
      </c>
      <c r="I109" s="7" t="inlineStr">
        <is>
          <t>Commission review report</t>
        </is>
      </c>
      <c r="J109" s="7" t="inlineStr">
        <is>
          <t>transposition analysis, Member State and supervisory authority input, external study</t>
        </is>
      </c>
      <c r="K109" s="7" t="inlineStr">
        <is>
          <t>transposition; complaints; supervisory resources</t>
        </is>
      </c>
      <c r="L109" s="7" t="inlineStr">
        <is>
          <t>mixed</t>
        </is>
      </c>
      <c r="M109" s="7" t="inlineStr">
        <is>
          <t>Two-thirds of Member States late; 19 infringement procedures; transposition satisfactory overall with gaps; complaints rising; limited experience to judge effects</t>
        </is>
      </c>
      <c r="N109" s="7" t="inlineStr">
        <is>
          <t>The first review found most countries implemented the rules late and with gaps, and it was too early to judge their real effect.</t>
        </is>
      </c>
      <c r="O109" s="7" t="inlineStr">
        <is>
          <t>EU, 2018-2022</t>
        </is>
      </c>
      <c r="P109" s="7" t="inlineStr">
        <is>
          <t>descriptive; early</t>
        </is>
      </c>
      <c r="Q109" s="7" t="inlineStr"/>
      <c r="R109" s="7" t="inlineStr">
        <is>
          <t>open</t>
        </is>
      </c>
      <c r="S109" s="7" t="inlineStr">
        <is>
          <t>full text read (relevant sections)</t>
        </is>
      </c>
      <c r="T109" s="7" t="inlineStr">
        <is>
          <t>2026-10-10</t>
        </is>
      </c>
      <c r="U109" s="7" t="inlineStr">
        <is>
          <t>https://eur-lex.europa.eu/legal-content/EN/TXT/?uri=CELEX:52022DC0364</t>
        </is>
      </c>
      <c r="V109" s="7" t="inlineStr"/>
      <c r="W109" s="7" t="inlineStr">
        <is>
          <t>http://web.archive.org/web/20260415024244/https://eur-lex.europa.eu/legal-content/EN/TXT/?uri=CELEX:52022DC0364</t>
        </is>
      </c>
    </row>
    <row r="110">
      <c r="A110" s="7" t="n">
        <v>21</v>
      </c>
      <c r="B110" s="7" t="inlineStr">
        <is>
          <t>Law Enforcement Directive</t>
        </is>
      </c>
      <c r="C110" s="7" t="inlineStr">
        <is>
          <t>evidence</t>
        </is>
      </c>
      <c r="D110" s="7" t="inlineStr">
        <is>
          <t>official</t>
        </is>
      </c>
      <c r="E110" s="7" t="inlineStr">
        <is>
          <t>initial review</t>
        </is>
      </c>
      <c r="F110" s="7" t="inlineStr">
        <is>
          <t>council-2025-led-findings</t>
        </is>
      </c>
      <c r="G110" s="7" t="inlineStr">
        <is>
          <t>Council of the European Union (2025), Council position and findings on the evaluation and review of the Law Enforcement Directive (LED), Council document ST 15616/25</t>
        </is>
      </c>
      <c r="H110" s="7" t="n">
        <v>2025</v>
      </c>
      <c r="I110" s="7" t="inlineStr">
        <is>
          <t>Member State position paper</t>
        </is>
      </c>
      <c r="J110" s="7" t="inlineStr">
        <is>
          <t>Member State observations (input to 2026 Commission review)</t>
        </is>
      </c>
      <c r="K110" s="7" t="inlineStr">
        <is>
          <t>administrative burden; international transfers; DPOs</t>
        </is>
      </c>
      <c r="L110" s="7" t="inlineStr">
        <is>
          <t>mixed</t>
        </is>
      </c>
      <c r="M110" s="7" t="inlineStr">
        <is>
          <t>Harmonised framework welcomed; DPOs improved awareness and compliance; DPIAs, broad access requests and international-transfer rules perceived as burdensome</t>
        </is>
      </c>
      <c r="N110" s="7" t="inlineStr">
        <is>
          <t>Member States say the directive brought consistent rules and better data-protection awareness in police forces, but some obligations are burdensome in practice.</t>
        </is>
      </c>
      <c r="O110" s="7" t="inlineStr">
        <is>
          <t>EU, 2022-2025</t>
        </is>
      </c>
      <c r="P110" s="7" t="inlineStr">
        <is>
          <t>views of the regulated authorities</t>
        </is>
      </c>
      <c r="Q110" s="7" t="inlineStr">
        <is>
          <t>Member State governments (whose police and justice authorities are the regulated parties)</t>
        </is>
      </c>
      <c r="R110" s="7" t="inlineStr">
        <is>
          <t>open</t>
        </is>
      </c>
      <c r="S110" s="7" t="inlineStr">
        <is>
          <t>full text read (parts)</t>
        </is>
      </c>
      <c r="T110" s="7" t="inlineStr">
        <is>
          <t>2026-10-10</t>
        </is>
      </c>
      <c r="U110" s="7" t="inlineStr">
        <is>
          <t>https://data.consilium.europa.eu/doc/document/ST-15616-2025-INIT/en/pdf</t>
        </is>
      </c>
      <c r="V110" s="7" t="inlineStr"/>
      <c r="W110" s="7" t="inlineStr"/>
    </row>
    <row r="111">
      <c r="A111" s="7" t="n">
        <v>21</v>
      </c>
      <c r="B111" s="7" t="inlineStr">
        <is>
          <t>Law Enforcement Directive</t>
        </is>
      </c>
      <c r="C111" s="7" t="inlineStr">
        <is>
          <t>evidence</t>
        </is>
      </c>
      <c r="D111" s="7" t="inlineStr">
        <is>
          <t>official</t>
        </is>
      </c>
      <c r="E111" s="7" t="inlineStr">
        <is>
          <t>2026-10 broadened search</t>
        </is>
      </c>
      <c r="F111" s="7" t="inlineStr">
        <is>
          <t>edpb-2026-ledevaluation</t>
        </is>
      </c>
      <c r="G111" s="7" t="inlineStr">
        <is>
          <t>European Data Protection Board (2026), Contribution of the EDPB to the European Commission's evaluation of the Data Protection Law Enforcement Directive (LED) under Article 62 LED, EDPB report adopted 15 January 2026</t>
        </is>
      </c>
      <c r="H111" s="7" t="n">
        <v>2026</v>
      </c>
      <c r="I111" s="7" t="inlineStr">
        <is>
          <t>agency report</t>
        </is>
      </c>
      <c r="J111" s="7" t="inlineStr">
        <is>
          <t>synthesis of national data protection authorities' questionnaire replies on LED application (Jan 2022-Aug 2025)</t>
        </is>
      </c>
      <c r="K111" s="7" t="inlineStr">
        <is>
          <t>DPA supervision and advice under the LED, resources, scope issues</t>
        </is>
      </c>
      <c r="L111" s="7" t="inlineStr">
        <is>
          <t>mixed</t>
        </is>
      </c>
      <c r="M111" s="7" t="inlineStr">
        <is>
          <t>DPAs have increasingly advised police and other competent authorities on data breaches and issued guidance, but national implementation needs strengthening, the role of DPOs should be reinforced, and DPAs and the EDPB lack financial and human resources.</t>
        </is>
      </c>
      <c r="N111" s="7" t="inlineStr">
        <is>
          <t>Europe's data protection regulators report on how the police data protection law worked in 2022-2025. They have been more active, but say national laws still fall short and they lack the staff and money to supervise properly.</t>
        </is>
      </c>
      <c r="O111" s="7" t="inlineStr">
        <is>
          <t>Jan 2022-Aug 2025; EU/EEA</t>
        </is>
      </c>
      <c r="P111" s="7" t="inlineStr">
        <is>
          <t>Regulator self-reporting synthesised qualitatively; full PDF blocked (403), only press release read</t>
        </is>
      </c>
      <c r="Q111" s="7" t="inlineStr">
        <is>
          <t>DPAs are the supervisory authorities under the LED and seek more resources</t>
        </is>
      </c>
      <c r="R111" s="7" t="inlineStr">
        <is>
          <t>open</t>
        </is>
      </c>
      <c r="S111" s="7" t="inlineStr">
        <is>
          <t>abstract read</t>
        </is>
      </c>
      <c r="T111" s="7" t="inlineStr">
        <is>
          <t>2026-10-10</t>
        </is>
      </c>
      <c r="U111" s="7" t="inlineStr">
        <is>
          <t>https://www.edpb.europa.eu/news/edpb-contributes-to-the-led-evaluation-and-adopts-recommendations-on-the-application-for_en</t>
        </is>
      </c>
      <c r="V111" s="7" t="inlineStr">
        <is>
          <t>https://www.edpb.europa.eu/system/files/2026-01/edpb_report_20260115_contributiontotheledevaluation_en.pdf</t>
        </is>
      </c>
      <c r="W111" s="7" t="inlineStr"/>
    </row>
    <row r="112">
      <c r="A112" s="7" t="n">
        <v>21</v>
      </c>
      <c r="B112" s="7" t="inlineStr">
        <is>
          <t>Law Enforcement Directive</t>
        </is>
      </c>
      <c r="C112" s="7" t="inlineStr">
        <is>
          <t>evidence</t>
        </is>
      </c>
      <c r="D112" s="7" t="inlineStr">
        <is>
          <t>think tank</t>
        </is>
      </c>
      <c r="E112" s="7" t="inlineStr">
        <is>
          <t>2026-10 broadened search</t>
        </is>
      </c>
      <c r="F112" s="7" t="inlineStr">
        <is>
          <t>edri-2026-ledshadow</t>
        </is>
      </c>
      <c r="G112" s="7" t="inlineStr">
        <is>
          <t>EDRi (authors: Fitzjean Ó Cobhthaigh, A., Le Querrec, B., Korenke, C., Chelioudakis, E., Nikiforov, L., Križnar, P., Golla, S.) (2026), Shadow evaluation report of the Law Enforcement Directive (2016/680) implementation, European Digital Rights (EDRi), May 2026</t>
        </is>
      </c>
      <c r="H112" s="7" t="n">
        <v>2026</v>
      </c>
      <c r="I112" s="7" t="inlineStr">
        <is>
          <t>think tank report</t>
        </is>
      </c>
      <c r="J112" s="7" t="inlineStr">
        <is>
          <t>structured comparative country studies (Bulgaria, France, Germany, Greece, Slovenia) of transposition and practice on four themes, based on legal texts, DPA reports and case documentation</t>
        </is>
      </c>
      <c r="K112" s="7" t="inlineStr">
        <is>
          <t>data subject rights restrictions; sensitive-data safeguards; legal bases; use of new technologies</t>
        </is>
      </c>
      <c r="L112" s="7" t="inlineStr">
        <is>
          <t>negative</t>
        </is>
      </c>
      <c r="M112" s="7" t="inlineStr">
        <is>
          <t>Eight years after entry into application, implementation is highly fragmented and largely insufficient: all five Member States studied impose overly broad restrictions on data subject rights and none has a sufficiently detailed legal basis for big-data processing.</t>
        </is>
      </c>
      <c r="N112" s="7" t="inlineStr">
        <is>
          <t>A digital-rights NGO checked how five countries apply the EU police data protection law and found gaps everywhere, especially in people's ability to see their data and in rules for big-data policing.</t>
        </is>
      </c>
      <c r="O112" s="7" t="inlineStr">
        <is>
          <t>2018-2025; BG, FR, DE, EL, SI</t>
        </is>
      </c>
      <c r="P112" s="7" t="inlineStr">
        <is>
          <t>Structured qualitative assessment, five countries, largely legal; no quantitative outcome data</t>
        </is>
      </c>
      <c r="Q112" s="7" t="inlineStr">
        <is>
          <t>Campaigning digital-rights NGO</t>
        </is>
      </c>
      <c r="R112" s="7" t="inlineStr">
        <is>
          <t>open</t>
        </is>
      </c>
      <c r="S112" s="7" t="inlineStr">
        <is>
          <t>full text read</t>
        </is>
      </c>
      <c r="T112" s="7" t="inlineStr">
        <is>
          <t>2026-10-10</t>
        </is>
      </c>
      <c r="U112" s="7" t="inlineStr">
        <is>
          <t>https://edri.org/wp-content/uploads/2026/05/Shadow_Evaluation_Report.pdf</t>
        </is>
      </c>
      <c r="V112" s="7" t="inlineStr">
        <is>
          <t>https://edri.org/wp-content/uploads/2026/05/Shadow_Evaluation_Report.pdf</t>
        </is>
      </c>
      <c r="W112" s="7" t="inlineStr"/>
    </row>
    <row r="113">
      <c r="A113" s="7" t="n">
        <v>26</v>
      </c>
      <c r="B113" s="7" t="inlineStr">
        <is>
          <t>Trade Secrets Directive</t>
        </is>
      </c>
      <c r="C113" s="7" t="inlineStr">
        <is>
          <t>ex-ante assessment</t>
        </is>
      </c>
      <c r="D113" s="7" t="inlineStr">
        <is>
          <t>official</t>
        </is>
      </c>
      <c r="E113" s="7" t="inlineStr">
        <is>
          <t>initial review</t>
        </is>
      </c>
      <c r="F113" s="7" t="inlineStr">
        <is>
          <t>ec-2013-tradesecrets-ia</t>
        </is>
      </c>
      <c r="G113" s="7" t="inlineStr">
        <is>
          <t>European Commission (2013), Impact Assessment accompanying the proposal for a Directive on the protection of undisclosed know-how and business information (trade secrets), SWD(2013) 471 (executive summary SWD(2013) 472)</t>
        </is>
      </c>
      <c r="H113" s="7" t="n">
        <v>2013</v>
      </c>
      <c r="I113" s="7" t="inlineStr">
        <is>
          <t>Commission impact assessment</t>
        </is>
      </c>
      <c r="J113" s="7" t="inlineStr">
        <is>
          <t>ex-ante (2012 business survey, studies)</t>
        </is>
      </c>
      <c r="K113" s="7" t="inlineStr">
        <is>
          <t>innovation; knowledge sharing; legal certainty</t>
        </is>
      </c>
      <c r="L113" s="7" t="inlineStr">
        <is>
          <t>positive (forecast)</t>
        </is>
      </c>
      <c r="M113" s="7" t="inlineStr">
        <is>
          <t>Fragmented national protection weakens incentives for cross-border innovation; 40% of firms would refrain from sharing trade secrets; misappropriation can cut turnover by up to 30%; harmonised redress expected to boost cross-border R&amp;D cooperation</t>
        </is>
      </c>
      <c r="N113" s="7" t="inlineStr">
        <is>
          <t>The Commission argued that patchy national protection made firms afraid to share know-how, with 40% saying they held back, and that common rules would encourage innovation.</t>
        </is>
      </c>
      <c r="O113" s="7" t="inlineStr">
        <is>
          <t>EU, forecast</t>
        </is>
      </c>
      <c r="P113" s="7" t="inlineStr">
        <is>
          <t>forecast; survey-based problem definition</t>
        </is>
      </c>
      <c r="Q113" s="7" t="inlineStr"/>
      <c r="R113" s="7" t="inlineStr">
        <is>
          <t>open</t>
        </is>
      </c>
      <c r="S113" s="7" t="inlineStr">
        <is>
          <t>full text read (executive summary)</t>
        </is>
      </c>
      <c r="T113" s="7" t="inlineStr">
        <is>
          <t>2026-10-10</t>
        </is>
      </c>
      <c r="U113" s="7" t="inlineStr">
        <is>
          <t>https://eur-lex.europa.eu/legal-content/EN/TXT/?uri=CELEX:52013SC0472</t>
        </is>
      </c>
      <c r="V113" s="7" t="inlineStr"/>
      <c r="W113" s="7" t="inlineStr">
        <is>
          <t>http://web.archive.org/web/20251006224201/https://eur-lex.europa.eu/legal-content/EN/TXT/?uri=celex%3A52013SC0472</t>
        </is>
      </c>
    </row>
    <row r="114">
      <c r="A114" s="7" t="n">
        <v>26</v>
      </c>
      <c r="B114" s="7" t="inlineStr">
        <is>
          <t>Trade Secrets Directive</t>
        </is>
      </c>
      <c r="C114" s="7" t="inlineStr">
        <is>
          <t>evidence</t>
        </is>
      </c>
      <c r="D114" s="7" t="inlineStr">
        <is>
          <t>official</t>
        </is>
      </c>
      <c r="E114" s="7" t="inlineStr">
        <is>
          <t>initial review</t>
        </is>
      </c>
      <c r="F114" s="7" t="inlineStr">
        <is>
          <t>borghi-cogo-khan-2023-euipo</t>
        </is>
      </c>
      <c r="G114" s="7" t="inlineStr">
        <is>
          <t>Borghi, Cogo &amp; Khan (for EUIPO Observatory) (2023), Trade Secrets Litigation Trends in the EU, EUIPO / European Observatory on Infringements of IP Rights</t>
        </is>
      </c>
      <c r="H114" s="7" t="n">
        <v>2023</v>
      </c>
      <c r="I114" s="7" t="inlineStr">
        <is>
          <t>agency-commissioned study</t>
        </is>
      </c>
      <c r="J114" s="7" t="inlineStr">
        <is>
          <t>descriptive (quantitative and qualitative analysis of ~700 national judgments, 2017-2022)</t>
        </is>
      </c>
      <c r="K114" s="7" t="inlineStr">
        <is>
          <t>litigation; enforcement</t>
        </is>
      </c>
      <c r="L114" s="7" t="inlineStr">
        <is>
          <t>n/a</t>
        </is>
      </c>
      <c r="M114" s="7" t="inlineStr">
        <is>
          <t>Litigation highly uneven across Member States; cross-border cases uncommon; disputes mostly over commercial information (62%) such as customer lists; data gaps (party identity unknown in 45% of cases)</t>
        </is>
      </c>
      <c r="N114" s="7" t="inlineStr">
        <is>
          <t>A study of about 700 court cases found trade-secret litigation still differs a lot between EU countries and mostly concerns commercial data such as customer lists.</t>
        </is>
      </c>
      <c r="O114" s="7" t="inlineStr">
        <is>
          <t>EU, 2017-2022</t>
        </is>
      </c>
      <c r="P114" s="7" t="inlineStr">
        <is>
          <t>descriptive; required by Art. 18</t>
        </is>
      </c>
      <c r="Q114" s="7" t="inlineStr"/>
      <c r="R114" s="7" t="inlineStr">
        <is>
          <t>open</t>
        </is>
      </c>
      <c r="S114" s="7" t="inlineStr">
        <is>
          <t>page summary via search; repository metadata checked</t>
        </is>
      </c>
      <c r="T114" s="7" t="inlineStr">
        <is>
          <t>2026-10-10</t>
        </is>
      </c>
      <c r="U114" s="7" t="inlineStr">
        <is>
          <t>https://iris.unito.it/handle/2318/1928879</t>
        </is>
      </c>
      <c r="V114" s="7" t="inlineStr">
        <is>
          <t>https://iris.unito.it/bitstream/2318/1928879/1/2023_Trade_Secrets_Litigation_Trends_Study_FullR_en.pdf</t>
        </is>
      </c>
      <c r="W114" s="7" t="inlineStr"/>
    </row>
    <row r="115">
      <c r="A115" s="7" t="n">
        <v>26</v>
      </c>
      <c r="B115" s="7" t="inlineStr">
        <is>
          <t>Trade Secrets Directive</t>
        </is>
      </c>
      <c r="C115" s="7" t="inlineStr">
        <is>
          <t>evidence</t>
        </is>
      </c>
      <c r="D115" s="7" t="inlineStr">
        <is>
          <t>academic</t>
        </is>
      </c>
      <c r="E115" s="7" t="inlineStr">
        <is>
          <t>2026-10 broadened search</t>
        </is>
      </c>
      <c r="F115" s="7" t="inlineStr">
        <is>
          <t>aplin-2023-tradesecretsdata</t>
        </is>
      </c>
      <c r="G115" s="7" t="inlineStr">
        <is>
          <t>Aplin, T., Radauer, A., Bader, M.A., Searle, N. (2023), The Role of EU Trade Secrets Law in the Data Economy: An Empirical Analysis, IIC - International Review of Intellectual Property and Competition Law</t>
        </is>
      </c>
      <c r="H115" s="7" t="n">
        <v>2023</v>
      </c>
      <c r="I115" s="7" t="inlineStr">
        <is>
          <t>peer-reviewed article</t>
        </is>
      </c>
      <c r="J115" s="7" t="inlineStr">
        <is>
          <t>online survey of 84 organisations (Sept 2021-Mar 2022), 51 expert interviews, 13 case studies, from a study for the European Commission</t>
        </is>
      </c>
      <c r="K115" s="7" t="inlineStr">
        <is>
          <t>use of the Trade Secrets Directive to protect shared data; perceived gaps</t>
        </is>
      </c>
      <c r="L115" s="7" t="inlineStr">
        <is>
          <t>mixed</t>
        </is>
      </c>
      <c r="M115" s="7" t="inlineStr">
        <is>
          <t>Drawing on a survey of 84 organisations, 51 interviews and 13 case studies, the authors conclude that only very modest reform of the Trade Secrets Directive is warranted to support data sharing, favouring soft law and practical steps.</t>
        </is>
      </c>
      <c r="N115" s="7" t="inlineStr">
        <is>
          <t>Researchers asked companies and experts how the EU trade secrets law works when businesses share data. They found it broadly fit for purpose and recommend guidance rather than big legal changes.</t>
        </is>
      </c>
      <c r="O115" s="7" t="inlineStr">
        <is>
          <t>2021-2022; EU (49% German-speaking respondents)</t>
        </is>
      </c>
      <c r="P115" s="7" t="inlineStr">
        <is>
          <t>Small convenience sample, qualitative-heavy; no outcome measurement or counterfactual</t>
        </is>
      </c>
      <c r="Q115" s="7" t="inlineStr"/>
      <c r="R115" s="7" t="inlineStr">
        <is>
          <t>open</t>
        </is>
      </c>
      <c r="S115" s="7" t="inlineStr">
        <is>
          <t>full text read</t>
        </is>
      </c>
      <c r="T115" s="7" t="inlineStr">
        <is>
          <t>2026-10-10</t>
        </is>
      </c>
      <c r="U115" s="7" t="inlineStr">
        <is>
          <t>https://doi.org/10.1007/s40319-023-01325-8</t>
        </is>
      </c>
      <c r="V115" s="7" t="inlineStr"/>
      <c r="W115" s="7" t="inlineStr"/>
    </row>
    <row r="116">
      <c r="A116" s="7" t="n">
        <v>26</v>
      </c>
      <c r="B116" s="7" t="inlineStr">
        <is>
          <t>Trade Secrets Directive</t>
        </is>
      </c>
      <c r="C116" s="7" t="inlineStr">
        <is>
          <t>evidence</t>
        </is>
      </c>
      <c r="D116" s="7" t="inlineStr">
        <is>
          <t>academic</t>
        </is>
      </c>
      <c r="E116" s="7" t="inlineStr">
        <is>
          <t>2026-10 broadened search</t>
        </is>
      </c>
      <c r="F116" s="7" t="inlineStr">
        <is>
          <t>halden-2021-tradesecretsvalue</t>
        </is>
      </c>
      <c r="G116" s="7" t="inlineStr">
        <is>
          <t>Cecilia Haldén, Andrea Eriksson (2021), Trade Secrets as a Resource for Value Creation. A study investigating the impact of the EU directive (2016/943) on companies' value creation, Master's thesis, Chalmers University of Technology (Department of Technology Management and Economics)</t>
        </is>
      </c>
      <c r="H116" s="7" t="n">
        <v>2021</v>
      </c>
      <c r="I116" s="7" t="inlineStr">
        <is>
          <t>academic thesis (master's)</t>
        </is>
      </c>
      <c r="J116" s="7" t="inlineStr">
        <is>
          <t>qualitative study: semi-structured interviews with companies, lawyers and professors plus before/after comparison of trade-secret court cases in Denmark, Sweden, Ireland and the UK</t>
        </is>
      </c>
      <c r="K116" s="7" t="inlineStr">
        <is>
          <t>firms' trade secret management; court case characteristics before and after transposition</t>
        </is>
      </c>
      <c r="L116" s="7" t="inlineStr">
        <is>
          <t>positive</t>
        </is>
      </c>
      <c r="M116" s="7" t="inlineStr">
        <is>
          <t>Interviewees and the case comparison suggest the Directive improved companies' trade-secret management and their ability to create value from trade secrets, though whether it increased use of trade secrets is unclear (no quantified effect).</t>
        </is>
      </c>
      <c r="N116" s="7" t="inlineStr">
        <is>
          <t>A Swedish master's thesis interviewed companies and lawyers and compared court cases before and after the EU trade secrets law. It concludes that companies now manage their confidential know-how better, but the evidence is limited.</t>
        </is>
      </c>
      <c r="O116" s="7" t="inlineStr">
        <is>
          <t>c.2014-2020; DK, SE, IE, UK (interviews EU-wide)</t>
        </is>
      </c>
      <c r="P116" s="7" t="inlineStr">
        <is>
          <t>Student thesis; small qualitative sample, few quantitative elements; weak evidence; included only because no other new study was found.</t>
        </is>
      </c>
      <c r="Q116" s="7" t="inlineStr"/>
      <c r="R116" s="7" t="inlineStr">
        <is>
          <t>open</t>
        </is>
      </c>
      <c r="S116" s="7" t="inlineStr">
        <is>
          <t>abstract read</t>
        </is>
      </c>
      <c r="T116" s="7" t="inlineStr">
        <is>
          <t>2026-10-10</t>
        </is>
      </c>
      <c r="U116" s="7" t="inlineStr">
        <is>
          <t>https://odr.chalmers.se/items/65737d5f-f22f-4e30-b701-315bc5bce98c</t>
        </is>
      </c>
      <c r="V116" s="7" t="inlineStr"/>
      <c r="W116" s="7" t="inlineStr"/>
    </row>
    <row r="117">
      <c r="A117" s="7" t="n">
        <v>20</v>
      </c>
      <c r="B117" s="7" t="inlineStr">
        <is>
          <t>General Data Protection Regulation</t>
        </is>
      </c>
      <c r="C117" s="7" t="inlineStr">
        <is>
          <t>ex-ante assessment</t>
        </is>
      </c>
      <c r="D117" s="7" t="inlineStr">
        <is>
          <t>official</t>
        </is>
      </c>
      <c r="E117" s="7" t="inlineStr">
        <is>
          <t>initial review</t>
        </is>
      </c>
      <c r="F117" s="7" t="inlineStr">
        <is>
          <t>ec-2012-gdpr-ia</t>
        </is>
      </c>
      <c r="G117" s="7" t="inlineStr">
        <is>
          <t>European Commission (2012), Impact Assessment accompanying the data protection reform (executive summary SEC(2012) 73), SEC(2012) 72</t>
        </is>
      </c>
      <c r="H117" s="7" t="n">
        <v>2012</v>
      </c>
      <c r="I117" s="7" t="inlineStr">
        <is>
          <t>Commission impact assessment</t>
        </is>
      </c>
      <c r="J117" s="7" t="inlineStr">
        <is>
          <t>ex-ante (Standard Cost Model)</t>
        </is>
      </c>
      <c r="K117" s="7" t="inlineStr">
        <is>
          <t>administrative burden; internal market</t>
        </is>
      </c>
      <c r="L117" s="7" t="inlineStr">
        <is>
          <t>positive (forecast)</t>
        </is>
      </c>
      <c r="M117" s="7" t="inlineStr">
        <is>
          <t>Fragmentation costs firms about EUR 2.9bn/yr in administrative burden; the reform would save about EUR 2.3bn/yr</t>
        </is>
      </c>
      <c r="N117" s="7" t="inlineStr">
        <is>
          <t>The Commission expected the GDPR to cut red tape for businesses by about EUR 2.3 billion a year by replacing 28 national regimes with one.</t>
        </is>
      </c>
      <c r="O117" s="7" t="inlineStr">
        <is>
          <t>EU, forecast</t>
        </is>
      </c>
      <c r="P117" s="7" t="inlineStr">
        <is>
          <t>forecast; covers administrative burden only, not compliance costs</t>
        </is>
      </c>
      <c r="Q117" s="7" t="inlineStr"/>
      <c r="R117" s="7" t="inlineStr">
        <is>
          <t>open</t>
        </is>
      </c>
      <c r="S117" s="7" t="inlineStr">
        <is>
          <t>full text read</t>
        </is>
      </c>
      <c r="T117" s="7" t="inlineStr">
        <is>
          <t>2026-10-10</t>
        </is>
      </c>
      <c r="U117" s="7" t="inlineStr">
        <is>
          <t>https://eur-lex.europa.eu/legal-content/EN/TXT/?uri=CELEX:52012SC0073</t>
        </is>
      </c>
      <c r="V117" s="7" t="inlineStr"/>
      <c r="W117" s="7" t="inlineStr"/>
    </row>
    <row r="118">
      <c r="A118" s="7" t="n">
        <v>20</v>
      </c>
      <c r="B118" s="7" t="inlineStr">
        <is>
          <t>General Data Protection Regulation</t>
        </is>
      </c>
      <c r="C118" s="7" t="inlineStr">
        <is>
          <t>evidence</t>
        </is>
      </c>
      <c r="D118" s="7" t="inlineStr">
        <is>
          <t>official</t>
        </is>
      </c>
      <c r="E118" s="7" t="inlineStr">
        <is>
          <t>initial review</t>
        </is>
      </c>
      <c r="F118" s="7" t="inlineStr">
        <is>
          <t>ec-2024-gdpr-report</t>
        </is>
      </c>
      <c r="G118" s="7" t="inlineStr">
        <is>
          <t>European Commission (2024), Second report on the application of the General Data Protection Regulation, COM(2024) 357</t>
        </is>
      </c>
      <c r="H118" s="7" t="n">
        <v>2024</v>
      </c>
      <c r="I118" s="7" t="inlineStr">
        <is>
          <t>Commission evaluation</t>
        </is>
      </c>
      <c r="J118" s="7" t="inlineStr">
        <is>
          <t>review (enforcement statistics, stakeholder input)</t>
        </is>
      </c>
      <c r="K118" s="7" t="inlineStr">
        <is>
          <t>enforcement; resources; SMEs</t>
        </is>
      </c>
      <c r="L118" s="7" t="inlineStr">
        <is>
          <t>positive overall, with gaps</t>
        </is>
      </c>
      <c r="M118" s="7" t="inlineStr">
        <is>
          <t>Over 6,680 fines (~EUR 4.2bn); DPA staff up &gt;25% in 14 Member States; calls for more support for SMEs and more consistent interpretation; no estimate of costs or benefits</t>
        </is>
      </c>
      <c r="N118" s="7" t="inlineStr">
        <is>
          <t>The Commission judges the GDPR to be working but says enforcement is uneven between countries and SMEs need more practical help.</t>
        </is>
      </c>
      <c r="O118" s="7" t="inlineStr">
        <is>
          <t>EU, 2018-2024</t>
        </is>
      </c>
      <c r="P118" s="7" t="inlineStr">
        <is>
          <t>self-evaluation; no economic impact estimates</t>
        </is>
      </c>
      <c r="Q118" s="7" t="inlineStr"/>
      <c r="R118" s="7" t="inlineStr">
        <is>
          <t>open</t>
        </is>
      </c>
      <c r="S118" s="7" t="inlineStr">
        <is>
          <t>full text partly read</t>
        </is>
      </c>
      <c r="T118" s="7" t="inlineStr">
        <is>
          <t>2026-10-10</t>
        </is>
      </c>
      <c r="U118" s="7" t="inlineStr">
        <is>
          <t>https://eur-lex.europa.eu/legal-content/EN/TXT/?uri=CELEX:52024DC0357</t>
        </is>
      </c>
      <c r="V118" s="7" t="inlineStr"/>
      <c r="W118" s="7" t="inlineStr"/>
    </row>
    <row r="119">
      <c r="A119" s="7" t="n">
        <v>20</v>
      </c>
      <c r="B119" s="7" t="inlineStr">
        <is>
          <t>General Data Protection Regulation</t>
        </is>
      </c>
      <c r="C119" s="7" t="inlineStr">
        <is>
          <t>evidence</t>
        </is>
      </c>
      <c r="D119" s="7" t="inlineStr">
        <is>
          <t>academic</t>
        </is>
      </c>
      <c r="E119" s="7" t="inlineStr">
        <is>
          <t>initial review</t>
        </is>
      </c>
      <c r="F119" s="7" t="inlineStr">
        <is>
          <t>jia-jin-wagman-2021</t>
        </is>
      </c>
      <c r="G119" s="7" t="inlineStr">
        <is>
          <t>Jia, Jin &amp; Wagman (2021), The Short-Run Effects of the General Data Protection Regulation on Technology Venture Investment, Marketing Science (NBER w25248)</t>
        </is>
      </c>
      <c r="H119" s="7" t="n">
        <v>2021</v>
      </c>
      <c r="I119" s="7" t="inlineStr">
        <is>
          <t>peer-reviewed</t>
        </is>
      </c>
      <c r="J119" s="7" t="inlineStr">
        <is>
          <t>causal: difference-in-differences (EU vs US ventures)</t>
        </is>
      </c>
      <c r="K119" s="7" t="inlineStr">
        <is>
          <t>venture investment</t>
        </is>
      </c>
      <c r="L119" s="7" t="inlineStr">
        <is>
          <t>negative</t>
        </is>
      </c>
      <c r="M119" s="7" t="inlineStr">
        <is>
          <t>Negative post-GDPR effects on EU tech ventures relative to US ones in the number of deals, total amounts raised and amount per deal</t>
        </is>
      </c>
      <c r="N119" s="7" t="inlineStr">
        <is>
          <t>After the GDPR, EU technology start-ups raised less venture funding, in fewer deals, than comparable US start-ups.</t>
        </is>
      </c>
      <c r="O119" s="7" t="inlineStr">
        <is>
          <t>EU vs US, 2018</t>
        </is>
      </c>
      <c r="P119" s="7" t="inlineStr">
        <is>
          <t>short-run only</t>
        </is>
      </c>
      <c r="Q119" s="7" t="inlineStr"/>
      <c r="R119" s="7" t="inlineStr">
        <is>
          <t>paywalled (NBER version open)</t>
        </is>
      </c>
      <c r="S119" s="7" t="inlineStr">
        <is>
          <t>abstract read</t>
        </is>
      </c>
      <c r="T119" s="7" t="inlineStr">
        <is>
          <t>2026-10-10</t>
        </is>
      </c>
      <c r="U119" s="7" t="inlineStr">
        <is>
          <t>https://www.nber.org/papers/w25248</t>
        </is>
      </c>
      <c r="V119" s="7" t="inlineStr"/>
      <c r="W119" s="7" t="inlineStr">
        <is>
          <t>http://web.archive.org/web/20260510200923/https://www.nber.org/papers/w25248</t>
        </is>
      </c>
    </row>
    <row r="120">
      <c r="A120" s="7" t="n">
        <v>20</v>
      </c>
      <c r="B120" s="7" t="inlineStr">
        <is>
          <t>General Data Protection Regulation</t>
        </is>
      </c>
      <c r="C120" s="7" t="inlineStr">
        <is>
          <t>evidence</t>
        </is>
      </c>
      <c r="D120" s="7" t="inlineStr">
        <is>
          <t>academic</t>
        </is>
      </c>
      <c r="E120" s="7" t="inlineStr">
        <is>
          <t>initial review</t>
        </is>
      </c>
      <c r="F120" s="7" t="inlineStr">
        <is>
          <t>johnson-shriver-goldberg-2023</t>
        </is>
      </c>
      <c r="G120" s="7" t="inlineStr">
        <is>
          <t>Johnson, Shriver &amp; Goldberg (2023), Privacy and Market Concentration: Intended and Unintended Consequences of the GDPR, Management Science 69(10)</t>
        </is>
      </c>
      <c r="H120" s="7" t="n">
        <v>2023</v>
      </c>
      <c r="I120" s="7" t="inlineStr">
        <is>
          <t>peer-reviewed</t>
        </is>
      </c>
      <c r="J120" s="7" t="inlineStr">
        <is>
          <t>causal: event study (27,000+ websites)</t>
        </is>
      </c>
      <c r="K120" s="7" t="inlineStr">
        <is>
          <t>competition (web technology vendors)</t>
        </is>
      </c>
      <c r="L120" s="7" t="inlineStr">
        <is>
          <t>negative (higher concentration)</t>
        </is>
      </c>
      <c r="M120" s="7" t="inlineStr">
        <is>
          <t>Website use of web-technology vendors fell 15% for EU users in the week after enforcement; vendor-market concentration rose 17%, mainly benefiting Google and Facebook; aggregate effects faded by end-2018 but persisted for advertising vendors</t>
        </is>
      </c>
      <c r="N120" s="7" t="inlineStr">
        <is>
          <t>The GDPR led websites to drop smaller data vendors, increasing the market share of Google and Facebook.</t>
        </is>
      </c>
      <c r="O120" s="7" t="inlineStr">
        <is>
          <t>global websites, 2018</t>
        </is>
      </c>
      <c r="P120" s="7" t="inlineStr">
        <is>
          <t>short-run; persistence only for ad vendors</t>
        </is>
      </c>
      <c r="Q120" s="7" t="inlineStr"/>
      <c r="R120" s="7" t="inlineStr">
        <is>
          <t>paywalled</t>
        </is>
      </c>
      <c r="S120" s="7" t="inlineStr">
        <is>
          <t>abstract read (via search)</t>
        </is>
      </c>
      <c r="T120" s="7" t="inlineStr">
        <is>
          <t>2026-10-10</t>
        </is>
      </c>
      <c r="U120" s="7" t="inlineStr">
        <is>
          <t>https://doi.org/10.1287/mnsc.2023.4709</t>
        </is>
      </c>
      <c r="V120" s="7" t="inlineStr"/>
      <c r="W120" s="7" t="inlineStr"/>
    </row>
    <row r="121">
      <c r="A121" s="7" t="n">
        <v>20</v>
      </c>
      <c r="B121" s="7" t="inlineStr">
        <is>
          <t>General Data Protection Regulation</t>
        </is>
      </c>
      <c r="C121" s="7" t="inlineStr">
        <is>
          <t>evidence</t>
        </is>
      </c>
      <c r="D121" s="7" t="inlineStr">
        <is>
          <t>academic</t>
        </is>
      </c>
      <c r="E121" s="7" t="inlineStr">
        <is>
          <t>initial review</t>
        </is>
      </c>
      <c r="F121" s="7" t="inlineStr">
        <is>
          <t>goldberg-johnson-shriver-2024</t>
        </is>
      </c>
      <c r="G121" s="7" t="inlineStr">
        <is>
          <t>Goldberg, Johnson &amp; Shriver (2024), Regulating Privacy Online: An Economic Evaluation of the GDPR, American Economic Journal: Economic Policy 16(1)</t>
        </is>
      </c>
      <c r="H121" s="7" t="n">
        <v>2024</v>
      </c>
      <c r="I121" s="7" t="inlineStr">
        <is>
          <t>peer-reviewed</t>
        </is>
      </c>
      <c r="J121" s="7" t="inlineStr">
        <is>
          <t>causal: difference-in-differences (1,084 online firms, Adobe Analytics)</t>
        </is>
      </c>
      <c r="K121" s="7" t="inlineStr">
        <is>
          <t>firm performance (web traffic, revenue)</t>
        </is>
      </c>
      <c r="L121" s="7" t="inlineStr">
        <is>
          <t>negative</t>
        </is>
      </c>
      <c r="M121" s="7" t="inlineStr">
        <is>
          <t>About 12% fewer recorded EU page views and 12% less recorded website revenue after enforcement, decomposed into real effects and reduced data recording</t>
        </is>
      </c>
      <c r="N121" s="7" t="inlineStr">
        <is>
          <t>Websites recorded about 12% fewer visits and revenue from EU users after the GDPR, partly because less data was collected.</t>
        </is>
      </c>
      <c r="O121" s="7" t="inlineStr">
        <is>
          <t>1,084 firms, 2018</t>
        </is>
      </c>
      <c r="P121" s="7" t="inlineStr">
        <is>
          <t>measured effect mixes real and recording effects</t>
        </is>
      </c>
      <c r="Q121" s="7" t="inlineStr"/>
      <c r="R121" s="7" t="inlineStr">
        <is>
          <t>paywalled</t>
        </is>
      </c>
      <c r="S121" s="7" t="inlineStr">
        <is>
          <t>abstract read (via search)</t>
        </is>
      </c>
      <c r="T121" s="7" t="inlineStr">
        <is>
          <t>2026-10-10</t>
        </is>
      </c>
      <c r="U121" s="7" t="inlineStr">
        <is>
          <t>https://doi.org/10.1257/pol.20210309</t>
        </is>
      </c>
      <c r="V121" s="7" t="inlineStr"/>
      <c r="W121" s="7" t="inlineStr"/>
    </row>
    <row r="122">
      <c r="A122" s="7" t="n">
        <v>20</v>
      </c>
      <c r="B122" s="7" t="inlineStr">
        <is>
          <t>General Data Protection Regulation</t>
        </is>
      </c>
      <c r="C122" s="7" t="inlineStr">
        <is>
          <t>evidence</t>
        </is>
      </c>
      <c r="D122" s="7" t="inlineStr">
        <is>
          <t>academic</t>
        </is>
      </c>
      <c r="E122" s="7" t="inlineStr">
        <is>
          <t>initial review</t>
        </is>
      </c>
      <c r="F122" s="7" t="inlineStr">
        <is>
          <t>peukert-et-al-2022</t>
        </is>
      </c>
      <c r="G122" s="7" t="inlineStr">
        <is>
          <t>Peukert, Bechtold, Batikas &amp; Kretschmer (2022), Regulatory Spillovers and Data Governance: Evidence from the GDPR, Marketing Science</t>
        </is>
      </c>
      <c r="H122" s="7" t="n">
        <v>2022</v>
      </c>
      <c r="I122" s="7" t="inlineStr">
        <is>
          <t>peer-reviewed</t>
        </is>
      </c>
      <c r="J122" s="7" t="inlineStr">
        <is>
          <t>causal: difference-in-differences (websites)</t>
        </is>
      </c>
      <c r="K122" s="7" t="inlineStr">
        <is>
          <t>competition (web technology vendors)</t>
        </is>
      </c>
      <c r="L122" s="7" t="inlineStr">
        <is>
          <t>negative (higher concentration; spillovers)</t>
        </is>
      </c>
      <c r="M122" s="7" t="inlineStr">
        <is>
          <t>The GDPR affected websites beyond the EU and increased market concentration among web technology vendors</t>
        </is>
      </c>
      <c r="N122" s="7" t="inlineStr">
        <is>
          <t>The GDPR's effects spread beyond the EU and strengthened the position of the largest web-technology providers.</t>
        </is>
      </c>
      <c r="O122" s="7" t="inlineStr">
        <is>
          <t>global, 2018</t>
        </is>
      </c>
      <c r="P122" s="7" t="inlineStr"/>
      <c r="Q122" s="7" t="inlineStr"/>
      <c r="R122" s="7" t="inlineStr">
        <is>
          <t>paywalled</t>
        </is>
      </c>
      <c r="S122" s="7" t="inlineStr">
        <is>
          <t>abstract read (Crossref)</t>
        </is>
      </c>
      <c r="T122" s="7" t="inlineStr">
        <is>
          <t>2026-10-10</t>
        </is>
      </c>
      <c r="U122" s="7" t="inlineStr">
        <is>
          <t>https://doi.org/10.1287/mksc.2021.1339</t>
        </is>
      </c>
      <c r="V122" s="7" t="inlineStr"/>
      <c r="W122" s="7" t="inlineStr"/>
    </row>
    <row r="123">
      <c r="A123" s="7" t="n">
        <v>20</v>
      </c>
      <c r="B123" s="7" t="inlineStr">
        <is>
          <t>General Data Protection Regulation</t>
        </is>
      </c>
      <c r="C123" s="7" t="inlineStr">
        <is>
          <t>evidence</t>
        </is>
      </c>
      <c r="D123" s="7" t="inlineStr">
        <is>
          <t>academic</t>
        </is>
      </c>
      <c r="E123" s="7" t="inlineStr">
        <is>
          <t>initial review</t>
        </is>
      </c>
      <c r="F123" s="7" t="inlineStr">
        <is>
          <t>janssen-et-al-2022</t>
        </is>
      </c>
      <c r="G123" s="7" t="inlineStr">
        <is>
          <t>Janssen, Kesler, Kummer &amp; Waldfogel (2022), GDPR and the Lost Generation of Innovative Apps, NBER Working Paper 30028</t>
        </is>
      </c>
      <c r="H123" s="7" t="n">
        <v>2022</v>
      </c>
      <c r="I123" s="7" t="inlineStr">
        <is>
          <t>working paper</t>
        </is>
      </c>
      <c r="J123" s="7" t="inlineStr">
        <is>
          <t>causal + structural model (4.1m Google Play apps, 2016-2019)</t>
        </is>
      </c>
      <c r="K123" s="7" t="inlineStr">
        <is>
          <t>innovation (app entry/exit); consumer welfare</t>
        </is>
      </c>
      <c r="L123" s="7" t="inlineStr">
        <is>
          <t>negative</t>
        </is>
      </c>
      <c r="M123" s="7" t="inlineStr">
        <is>
          <t>GDPR induced the exit of about a third of available apps; new app entry fell by half; long-run consumer surplus and app usage about a third lower</t>
        </is>
      </c>
      <c r="N123" s="7" t="inlineStr">
        <is>
          <t>The GDPR pushed about a third of apps off Google Play and halved the launch of new apps, reducing consumer welfare by an estimated third.</t>
        </is>
      </c>
      <c r="O123" s="7" t="inlineStr">
        <is>
          <t>Google Play, 2016-2019</t>
        </is>
      </c>
      <c r="P123" s="7" t="inlineStr">
        <is>
          <t>structural model drives the welfare estimate</t>
        </is>
      </c>
      <c r="Q123" s="7" t="inlineStr"/>
      <c r="R123" s="7" t="inlineStr">
        <is>
          <t>open</t>
        </is>
      </c>
      <c r="S123" s="7" t="inlineStr">
        <is>
          <t>abstract read</t>
        </is>
      </c>
      <c r="T123" s="7" t="inlineStr">
        <is>
          <t>2026-10-10</t>
        </is>
      </c>
      <c r="U123" s="7" t="inlineStr">
        <is>
          <t>https://www.nber.org/papers/w30028</t>
        </is>
      </c>
      <c r="V123" s="7" t="inlineStr"/>
      <c r="W123" s="7" t="inlineStr"/>
    </row>
    <row r="124">
      <c r="A124" s="7" t="n">
        <v>20</v>
      </c>
      <c r="B124" s="7" t="inlineStr">
        <is>
          <t>General Data Protection Regulation</t>
        </is>
      </c>
      <c r="C124" s="7" t="inlineStr">
        <is>
          <t>evidence</t>
        </is>
      </c>
      <c r="D124" s="7" t="inlineStr">
        <is>
          <t>academic</t>
        </is>
      </c>
      <c r="E124" s="7" t="inlineStr">
        <is>
          <t>initial review</t>
        </is>
      </c>
      <c r="F124" s="7" t="inlineStr">
        <is>
          <t>frey-presidente-2024</t>
        </is>
      </c>
      <c r="G124" s="7" t="inlineStr">
        <is>
          <t>Frey &amp; Presidente (2024), Privacy regulation and firm performance: Estimating the GDPR effect globally, Economic Inquiry</t>
        </is>
      </c>
      <c r="H124" s="7" t="n">
        <v>2024</v>
      </c>
      <c r="I124" s="7" t="inlineStr">
        <is>
          <t>peer-reviewed</t>
        </is>
      </c>
      <c r="J124" s="7" t="inlineStr">
        <is>
          <t>causal: difference-in-differences by exposure to EU markets</t>
        </is>
      </c>
      <c r="K124" s="7" t="inlineStr">
        <is>
          <t>firm performance (profits, costs); innovation (patenting)</t>
        </is>
      </c>
      <c r="L124" s="7" t="inlineStr">
        <is>
          <t>negative (costs); positive (privacy-tech patenting)</t>
        </is>
      </c>
      <c r="M124" s="7" t="inlineStr">
        <is>
          <t>Technology firms targeting EU consumers saw profits fall 2.1% (no effect on sales); higher extra expenses and wage bills; faster patenting in GDPR-related technologies</t>
        </is>
      </c>
      <c r="N124" s="7" t="inlineStr">
        <is>
          <t>Firms exposed to the EU market earned slightly lower profits after the GDPR because of higher compliance costs, though they also patented more in privacy technology.</t>
        </is>
      </c>
      <c r="O124" s="7" t="inlineStr">
        <is>
          <t>global firms</t>
        </is>
      </c>
      <c r="P124" s="7" t="inlineStr"/>
      <c r="Q124" s="7" t="inlineStr"/>
      <c r="R124" s="7" t="inlineStr">
        <is>
          <t>paywalled</t>
        </is>
      </c>
      <c r="S124" s="7" t="inlineStr">
        <is>
          <t>abstract read (Crossref)</t>
        </is>
      </c>
      <c r="T124" s="7" t="inlineStr">
        <is>
          <t>2026-10-10</t>
        </is>
      </c>
      <c r="U124" s="7" t="inlineStr">
        <is>
          <t>https://doi.org/10.1111/ecin.13213</t>
        </is>
      </c>
      <c r="V124" s="7" t="inlineStr"/>
      <c r="W124" s="7" t="inlineStr"/>
    </row>
    <row r="125">
      <c r="A125" s="7" t="n">
        <v>20</v>
      </c>
      <c r="B125" s="7" t="inlineStr">
        <is>
          <t>General Data Protection Regulation</t>
        </is>
      </c>
      <c r="C125" s="7" t="inlineStr">
        <is>
          <t>evidence</t>
        </is>
      </c>
      <c r="D125" s="7" t="inlineStr">
        <is>
          <t>academic</t>
        </is>
      </c>
      <c r="E125" s="7" t="inlineStr">
        <is>
          <t>initial review</t>
        </is>
      </c>
      <c r="F125" s="7" t="inlineStr">
        <is>
          <t>demirer-et-al-2024</t>
        </is>
      </c>
      <c r="G125" s="7" t="inlineStr">
        <is>
          <t>Demirer, Jimenez-Hernandez, Li &amp; Peng (2024), Data, Privacy Laws and Firm Production: Evidence from the GDPR, NBER Working Paper 32146 (rev. Feb 2026)</t>
        </is>
      </c>
      <c r="H125" s="7" t="n">
        <v>2024</v>
      </c>
      <c r="I125" s="7" t="inlineStr">
        <is>
          <t>working paper</t>
        </is>
      </c>
      <c r="J125" s="7" t="inlineStr">
        <is>
          <t>causal: difference-in-differences (cloud-computing provider data) + production function</t>
        </is>
      </c>
      <c r="K125" s="7" t="inlineStr">
        <is>
          <t>compliance costs; data use</t>
        </is>
      </c>
      <c r="L125" s="7" t="inlineStr">
        <is>
          <t>negative (higher data costs; small overall)</t>
        </is>
      </c>
      <c r="M125" s="7" t="inlineStr">
        <is>
          <t>EU firms cut data storage 26% and data processing 15% vs US firms; equivalent to a 22% rise in the cost of data, but only 0.1-0.6% higher overall production costs</t>
        </is>
      </c>
      <c r="N125" s="7" t="inlineStr">
        <is>
          <t>The GDPR made data about 22% more expensive for EU firms, so they stored and processed less, though the effect on total costs was small.</t>
        </is>
      </c>
      <c r="O125" s="7" t="inlineStr">
        <is>
          <t>EU vs US firms, 7 years</t>
        </is>
      </c>
      <c r="P125" s="7" t="inlineStr"/>
      <c r="Q125" s="7" t="inlineStr"/>
      <c r="R125" s="7" t="inlineStr">
        <is>
          <t>open</t>
        </is>
      </c>
      <c r="S125" s="7" t="inlineStr">
        <is>
          <t>abstract read</t>
        </is>
      </c>
      <c r="T125" s="7" t="inlineStr">
        <is>
          <t>2026-10-10</t>
        </is>
      </c>
      <c r="U125" s="7" t="inlineStr">
        <is>
          <t>https://www.nber.org/papers/w32146</t>
        </is>
      </c>
      <c r="V125" s="7" t="inlineStr"/>
      <c r="W125" s="7" t="inlineStr"/>
    </row>
    <row r="126">
      <c r="A126" s="7" t="n">
        <v>20</v>
      </c>
      <c r="B126" s="7" t="inlineStr">
        <is>
          <t>General Data Protection Regulation</t>
        </is>
      </c>
      <c r="C126" s="7" t="inlineStr">
        <is>
          <t>evidence</t>
        </is>
      </c>
      <c r="D126" s="7" t="inlineStr">
        <is>
          <t>academic</t>
        </is>
      </c>
      <c r="E126" s="7" t="inlineStr">
        <is>
          <t>initial review</t>
        </is>
      </c>
      <c r="F126" s="7" t="inlineStr">
        <is>
          <t>aridor-che-salz-2023</t>
        </is>
      </c>
      <c r="G126" s="7" t="inlineStr">
        <is>
          <t>Aridor, Che &amp; Salz (2023), The Effect of Privacy Regulation on the Data Industry: Empirical Evidence from GDPR, RAND Journal of Economics (NBER w26900)</t>
        </is>
      </c>
      <c r="H126" s="7" t="n">
        <v>2023</v>
      </c>
      <c r="I126" s="7" t="inlineStr">
        <is>
          <t>peer-reviewed</t>
        </is>
      </c>
      <c r="J126" s="7" t="inlineStr">
        <is>
          <t>causal: difference-in-differences (online travel intermediary)</t>
        </is>
      </c>
      <c r="K126" s="7" t="inlineStr">
        <is>
          <t>data use; advertising value</t>
        </is>
      </c>
      <c r="L126" s="7" t="inlineStr">
        <is>
          <t>mixed</t>
        </is>
      </c>
      <c r="M126" s="7" t="inlineStr">
        <is>
          <t>Opt-in requirement cut observed consumers by 12.5%, but remaining consumers were tracked longer and became more valuable to advertisers, offsetting part of the loss</t>
        </is>
      </c>
      <c r="N126" s="7" t="inlineStr">
        <is>
          <t>About 1 in 8 users opted out of tracking under the GDPR; those who stayed became easier to track and more valuable to advertisers.</t>
        </is>
      </c>
      <c r="O126" s="7" t="inlineStr">
        <is>
          <t>travel intermediary, 2018</t>
        </is>
      </c>
      <c r="P126" s="7" t="inlineStr">
        <is>
          <t>single firm</t>
        </is>
      </c>
      <c r="Q126" s="7" t="inlineStr"/>
      <c r="R126" s="7" t="inlineStr">
        <is>
          <t>paywalled (NBER version open)</t>
        </is>
      </c>
      <c r="S126" s="7" t="inlineStr">
        <is>
          <t>abstract read</t>
        </is>
      </c>
      <c r="T126" s="7" t="inlineStr">
        <is>
          <t>2026-10-10</t>
        </is>
      </c>
      <c r="U126" s="7" t="inlineStr">
        <is>
          <t>https://www.nber.org/papers/w26900</t>
        </is>
      </c>
      <c r="V126" s="7" t="inlineStr"/>
      <c r="W126" s="7" t="inlineStr"/>
    </row>
    <row r="127">
      <c r="A127" s="7" t="n">
        <v>20</v>
      </c>
      <c r="B127" s="7" t="inlineStr">
        <is>
          <t>General Data Protection Regulation</t>
        </is>
      </c>
      <c r="C127" s="7" t="inlineStr">
        <is>
          <t>evidence</t>
        </is>
      </c>
      <c r="D127" s="7" t="inlineStr">
        <is>
          <t>other</t>
        </is>
      </c>
      <c r="E127" s="7" t="inlineStr">
        <is>
          <t>initial review</t>
        </is>
      </c>
      <c r="F127" s="7" t="inlineStr">
        <is>
          <t>iab-2025-bureaucracy</t>
        </is>
      </c>
      <c r="G127" s="7" t="inlineStr">
        <is>
          <t>Diegmann &amp; Kubis (2025), Die Betriebe mussten in den letzten drei Jahren 325.000 Arbeitskräfte zusätzlich einstellen, um die gewachsene Bürokratie zu bewältigen, IAB-Forum (Institute for Employment Research, Germany), 20 October 2025</t>
        </is>
      </c>
      <c r="H127" s="7" t="n">
        <v>2025</v>
      </c>
      <c r="I127" s="7" t="inlineStr">
        <is>
          <t>survey (national research institute)</t>
        </is>
      </c>
      <c r="J127" s="7" t="inlineStr">
        <is>
          <t>firm survey: IAB Job Vacancy Survey Q1 2025, 9,209 establishments; self-reported, retrospective over three years</t>
        </is>
      </c>
      <c r="K127" s="7" t="inlineStr">
        <is>
          <t>compliance costs; employment; productivity; investment; innovation</t>
        </is>
      </c>
      <c r="L127" s="7" t="inlineStr">
        <is>
          <t>negative (self-reported)</t>
        </is>
      </c>
      <c r="M127" s="7" t="inlineStr">
        <is>
          <t>68% of German establishments name the GDPR as the regulation that burdens them most (next: EU IT-security rules 32%, supply-chain due diligence act 14%). Across all bureaucracy, 11% of establishments hired extra staff to cope, about 325,000 workers in three years; 80% report higher costs, 55% productivity losses, 19% investment and 16% innovation obstacles.</t>
        </is>
      </c>
      <c r="N127" s="7" t="inlineStr">
        <is>
          <t>A large survey of German firms finds the GDPR is the rule they find most burdensome; rising red tape overall led them to hire about 325,000 extra staff in three years and, by their own account, cost productivity.</t>
        </is>
      </c>
      <c r="O127" s="7" t="inlineStr">
        <is>
          <t>Germany, 2022-2025</t>
        </is>
      </c>
      <c r="P127" s="7" t="inlineStr">
        <is>
          <t>self-reported survey; covers all bureaucracy, not the GDPR alone; no counterfactual</t>
        </is>
      </c>
      <c r="Q127" s="7" t="inlineStr"/>
      <c r="R127" s="7" t="inlineStr">
        <is>
          <t>open</t>
        </is>
      </c>
      <c r="S127" s="7" t="inlineStr">
        <is>
          <t>full text read</t>
        </is>
      </c>
      <c r="T127" s="7" t="inlineStr">
        <is>
          <t>2026-10-10</t>
        </is>
      </c>
      <c r="U127" s="7" t="inlineStr">
        <is>
          <t>https://iab-forum.de/die-betriebe-mussten-in-den-letzten-drei-jahren-325-000-arbeitskraefte-zusaetzlich-einstellen-um-die-gewachsene-buerokratie-zu-bewaeltigen/</t>
        </is>
      </c>
      <c r="V127" s="7" t="inlineStr"/>
      <c r="W127" s="7" t="inlineStr">
        <is>
          <t>http://web.archive.org/web/20260215012430/https://iab-forum.de/die-betriebe-mussten-in-den-letzten-drei-jahren-325-000-arbeitskraefte-zusaetzlich-einstellen-um-die-gewachsene-buerokratie-zu-bewaeltigen/</t>
        </is>
      </c>
    </row>
    <row r="128">
      <c r="A128" s="7" t="n">
        <v>20</v>
      </c>
      <c r="B128" s="7" t="inlineStr">
        <is>
          <t>General Data Protection Regulation</t>
        </is>
      </c>
      <c r="C128" s="7" t="inlineStr">
        <is>
          <t>evidence</t>
        </is>
      </c>
      <c r="D128" s="7" t="inlineStr">
        <is>
          <t>academic</t>
        </is>
      </c>
      <c r="E128" s="7" t="inlineStr">
        <is>
          <t>2026-10 broadened search</t>
        </is>
      </c>
      <c r="F128" s="7" t="inlineStr">
        <is>
          <t>miller-2024-gdpr-tracking</t>
        </is>
      </c>
      <c r="G128" s="7" t="inlineStr">
        <is>
          <t>Klaus M. Miller, Karlo Lukic, Bernd Skiera (2024), The Impact of the General Data Protection Regulation (GDPR) on Online Tracking, arXiv:2411.06862 (econ.GN); earlier NBER conference/working paper versions</t>
        </is>
      </c>
      <c r="H128" s="7" t="n">
        <v>2024</v>
      </c>
      <c r="I128" s="7" t="inlineStr">
        <is>
          <t>academic working paper</t>
        </is>
      </c>
      <c r="J128" s="7" t="inlineStr">
        <is>
          <t>difference-in-differences on balanced panel of 294 publishers (WhoTracks.me data, May 2017-Dec 2019), EU publishers vs unaffected control</t>
        </is>
      </c>
      <c r="K128" s="7" t="inlineStr">
        <is>
          <t>number and type of third-party trackers per website</t>
        </is>
      </c>
      <c r="L128" s="7" t="inlineStr">
        <is>
          <t>positive</t>
        </is>
      </c>
      <c r="M128" s="7" t="inlineStr">
        <is>
          <t>GDPR reduced about four trackers per publisher, a 14.79% decrease relative to the control group, mainly privacy-invasive trackers; little effect on advertising trackers.</t>
        </is>
      </c>
      <c r="N128" s="7" t="inlineStr">
        <is>
          <t>Websites covered by the GDPR added fewer tracking tools than comparable websites outside its reach, especially the trackers that collect and share personal data.</t>
        </is>
      </c>
      <c r="O128" s="7" t="inlineStr">
        <is>
          <t>2017-2019; EU vs non-EU websites</t>
        </is>
      </c>
      <c r="P128" s="7" t="inlineStr">
        <is>
          <t>Credible DiD with control group; modest sample of 294 publishers; tracker counts from one data provider</t>
        </is>
      </c>
      <c r="Q128" s="7" t="inlineStr"/>
      <c r="R128" s="7" t="inlineStr">
        <is>
          <t>open</t>
        </is>
      </c>
      <c r="S128" s="7" t="inlineStr">
        <is>
          <t>abstract read</t>
        </is>
      </c>
      <c r="T128" s="7" t="inlineStr">
        <is>
          <t>2026-10-10</t>
        </is>
      </c>
      <c r="U128" s="7" t="inlineStr">
        <is>
          <t>https://arxiv.org/abs/2411.06862</t>
        </is>
      </c>
      <c r="V128" s="7" t="inlineStr">
        <is>
          <t>https://arxiv.org/pdf/2411.06862</t>
        </is>
      </c>
      <c r="W128" s="7" t="inlineStr"/>
    </row>
    <row r="129">
      <c r="A129" s="7" t="n">
        <v>20</v>
      </c>
      <c r="B129" s="7" t="inlineStr">
        <is>
          <t>General Data Protection Regulation</t>
        </is>
      </c>
      <c r="C129" s="7" t="inlineStr">
        <is>
          <t>evidence</t>
        </is>
      </c>
      <c r="D129" s="7" t="inlineStr">
        <is>
          <t>academic</t>
        </is>
      </c>
      <c r="E129" s="7" t="inlineStr">
        <is>
          <t>2026-10 broadened search</t>
        </is>
      </c>
      <c r="F129" s="7" t="inlineStr">
        <is>
          <t>miller-2024-gdpr-usage</t>
        </is>
      </c>
      <c r="G129" s="7" t="inlineStr">
        <is>
          <t>Klaus M. Miller, Bernd Skiera, Julia Schmitt (2024), The Impact of the General Data Protection Regulation (GDPR) on Online Usage Behavior, arXiv:2411.11589 (v2 2026)</t>
        </is>
      </c>
      <c r="H129" s="7" t="n">
        <v>2024</v>
      </c>
      <c r="I129" s="7" t="inlineStr">
        <is>
          <t>academic working paper</t>
        </is>
      </c>
      <c r="J129" s="7" t="inlineStr">
        <is>
          <t>generalized synthetic control on visits to 6,387 websites in 24 industries and 13 countries, 11 months before and 19 months after enforcement</t>
        </is>
      </c>
      <c r="K129" s="7" t="inlineStr">
        <is>
          <t>website visits, unique visitors, visits per visitor</t>
        </is>
      </c>
      <c r="L129" s="7" t="inlineStr">
        <is>
          <t>negative</t>
        </is>
      </c>
      <c r="M129" s="7" t="inlineStr">
        <is>
          <t>Weekly visits fell by 4.88% within 3 months and 10.02% after 18 months, driven by fewer unique visitors (-6.61%); about a quarter of websites gained.</t>
        </is>
      </c>
      <c r="N129" s="7" t="inlineStr">
        <is>
          <t>After the GDPR, websites affected by it got about 10% fewer visits after a year and a half, mostly because fewer people visited, although some sites gained users at others' expense.</t>
        </is>
      </c>
      <c r="O129" s="7" t="inlineStr">
        <is>
          <t>2017-2019; 13 countries, EU users/EU websites vs others</t>
        </is>
      </c>
      <c r="P129" s="7" t="inlineStr">
        <is>
          <t>Strong causal design on very large data; traffic data from a single analytics provider</t>
        </is>
      </c>
      <c r="Q129" s="7" t="inlineStr"/>
      <c r="R129" s="7" t="inlineStr">
        <is>
          <t>open</t>
        </is>
      </c>
      <c r="S129" s="7" t="inlineStr">
        <is>
          <t>abstract read</t>
        </is>
      </c>
      <c r="T129" s="7" t="inlineStr">
        <is>
          <t>2026-10-10</t>
        </is>
      </c>
      <c r="U129" s="7" t="inlineStr">
        <is>
          <t>https://arxiv.org/abs/2411.11589</t>
        </is>
      </c>
      <c r="V129" s="7" t="inlineStr">
        <is>
          <t>https://arxiv.org/pdf/2411.11589</t>
        </is>
      </c>
      <c r="W129" s="7" t="inlineStr"/>
    </row>
    <row r="130">
      <c r="A130" s="7" t="n">
        <v>20</v>
      </c>
      <c r="B130" s="7" t="inlineStr">
        <is>
          <t>General Data Protection Regulation</t>
        </is>
      </c>
      <c r="C130" s="7" t="inlineStr">
        <is>
          <t>evidence</t>
        </is>
      </c>
      <c r="D130" s="7" t="inlineStr">
        <is>
          <t>academic</t>
        </is>
      </c>
      <c r="E130" s="7" t="inlineStr">
        <is>
          <t>2026-10 broadened search</t>
        </is>
      </c>
      <c r="F130" s="7" t="inlineStr">
        <is>
          <t>congiu-2022-gdpr-webtraffic</t>
        </is>
      </c>
      <c r="G130" s="7" t="inlineStr">
        <is>
          <t>Raffaele Congiu, Lorien Sabatino, Geza Sapi (2022), The Impact of Privacy Regulation on Web Traffic: Evidence From the GDPR, Information Economics and Policy 61, 101003</t>
        </is>
      </c>
      <c r="H130" s="7" t="n">
        <v>2022</v>
      </c>
      <c r="I130" s="7" t="inlineStr">
        <is>
          <t>peer-reviewed article</t>
        </is>
      </c>
      <c r="J130" s="7" t="inlineStr">
        <is>
          <t>difference-in-differences on traffic data for ~5,000 web domains in Europe and the US</t>
        </is>
      </c>
      <c r="K130" s="7" t="inlineStr">
        <is>
          <t>website visits, engagement, traffic channels</t>
        </is>
      </c>
      <c r="L130" s="7" t="inlineStr">
        <is>
          <t>negative</t>
        </is>
      </c>
      <c r="M130" s="7" t="inlineStr">
        <is>
          <t>GDPR reduced website traffic by about 15% in the long run, with smallest and largest sites losing most and effects amplified after the first major fine.</t>
        </is>
      </c>
      <c r="N130" s="7" t="inlineStr">
        <is>
          <t>European websites lost roughly 15% of their visitors after the GDPR compared with US sites, and the drop grew after regulators began fining firms.</t>
        </is>
      </c>
      <c r="O130" s="7" t="inlineStr">
        <is>
          <t>2017-2019; EU and US websites</t>
        </is>
      </c>
      <c r="P130" s="7" t="inlineStr">
        <is>
          <t>DiD with US control; traffic estimates from third-party panel (SimilarWeb-type) data</t>
        </is>
      </c>
      <c r="Q130" s="7" t="inlineStr"/>
      <c r="R130" s="7" t="inlineStr">
        <is>
          <t>paywalled</t>
        </is>
      </c>
      <c r="S130" s="7" t="inlineStr">
        <is>
          <t>abstract read</t>
        </is>
      </c>
      <c r="T130" s="7" t="inlineStr">
        <is>
          <t>2026-10-10</t>
        </is>
      </c>
      <c r="U130" s="7" t="inlineStr">
        <is>
          <t>https://ideas.repec.org/a/eee/iepoli/v61y2022ics0167624522000427.html</t>
        </is>
      </c>
      <c r="V130" s="7" t="inlineStr"/>
      <c r="W130" s="7" t="inlineStr"/>
    </row>
    <row r="131">
      <c r="A131" s="7" t="n">
        <v>20</v>
      </c>
      <c r="B131" s="7" t="inlineStr">
        <is>
          <t>General Data Protection Regulation</t>
        </is>
      </c>
      <c r="C131" s="7" t="inlineStr">
        <is>
          <t>evidence</t>
        </is>
      </c>
      <c r="D131" s="7" t="inlineStr">
        <is>
          <t>academic</t>
        </is>
      </c>
      <c r="E131" s="7" t="inlineStr">
        <is>
          <t>2026-10 broadened search</t>
        </is>
      </c>
      <c r="F131" s="7" t="inlineStr">
        <is>
          <t>godinhodematos-2022-consent-telecom</t>
        </is>
      </c>
      <c r="G131" s="7" t="inlineStr">
        <is>
          <t>Miguel Godinho de Matos, Idris Adjerid (2022), Consumer Consent and Firm Targeting After GDPR: The Case of a Large Telecom Provider, Management Science 68(5): 3330-3378</t>
        </is>
      </c>
      <c r="H131" s="7" t="n">
        <v>2022</v>
      </c>
      <c r="I131" s="7" t="inlineStr">
        <is>
          <t>peer-reviewed article</t>
        </is>
      </c>
      <c r="J131" s="7" t="inlineStr">
        <is>
          <t>field experiment around GDPR-compliant consent elicitation at a large European telecom provider</t>
        </is>
      </c>
      <c r="K131" s="7" t="inlineStr">
        <is>
          <t>consumer opt-in rates, sales, marketing efficacy, contractual lock-in</t>
        </is>
      </c>
      <c r="L131" s="7" t="inlineStr">
        <is>
          <t>mixed</t>
        </is>
      </c>
      <c r="M131" s="7" t="inlineStr">
        <is>
          <t>Opt-in for data uses rose once GDPR-compliant consent was elicited, and sales, marketing efficacy and contractual lock-in increased, while consumers kept restricting sensitive uses.</t>
        </is>
      </c>
      <c r="N131" s="7" t="inlineStr">
        <is>
          <t>When a telecom firm asked customers for consent the GDPR way, more customers agreed to share data, and the firm then sold more through better-targeted marketing.</t>
        </is>
      </c>
      <c r="O131" s="7" t="inlineStr">
        <is>
          <t>2018; one European telecom operator</t>
        </is>
      </c>
      <c r="P131" s="7" t="inlineStr">
        <is>
          <t>Experimental variation within a single firm; external validity limited</t>
        </is>
      </c>
      <c r="Q131" s="7" t="inlineStr"/>
      <c r="R131" s="7" t="inlineStr">
        <is>
          <t>paywalled</t>
        </is>
      </c>
      <c r="S131" s="7" t="inlineStr">
        <is>
          <t>abstract read</t>
        </is>
      </c>
      <c r="T131" s="7" t="inlineStr">
        <is>
          <t>2026-10-10</t>
        </is>
      </c>
      <c r="U131" s="7" t="inlineStr">
        <is>
          <t>https://ideas.repec.org/a/inm/ormnsc/v68y2022i5p3330-3378.html</t>
        </is>
      </c>
      <c r="V131" s="7" t="inlineStr"/>
      <c r="W131" s="7" t="inlineStr"/>
    </row>
    <row r="132">
      <c r="A132" s="7" t="n">
        <v>20</v>
      </c>
      <c r="B132" s="7" t="inlineStr">
        <is>
          <t>General Data Protection Regulation</t>
        </is>
      </c>
      <c r="C132" s="7" t="inlineStr">
        <is>
          <t>evidence</t>
        </is>
      </c>
      <c r="D132" s="7" t="inlineStr">
        <is>
          <t>academic</t>
        </is>
      </c>
      <c r="E132" s="7" t="inlineStr">
        <is>
          <t>2026-10 broadened search</t>
        </is>
      </c>
      <c r="F132" s="7" t="inlineStr">
        <is>
          <t>blind-2024-gdpr-innovation</t>
        </is>
      </c>
      <c r="G132" s="7" t="inlineStr">
        <is>
          <t>Knut Blind, Crispin Niebel, Christian Rammer (2024), The impact of the EU General data protection regulation on product innovation, Industry and Innovation 31(3): 311-351 (earlier ZEW DP 22-047)</t>
        </is>
      </c>
      <c r="H132" s="7" t="n">
        <v>2024</v>
      </c>
      <c r="I132" s="7" t="inlineStr">
        <is>
          <t>peer-reviewed article</t>
        </is>
      </c>
      <c r="J132" s="7" t="inlineStr">
        <is>
          <t>conditional difference-in-differences with firm fixed effects on German innovation survey (Mannheim Innovation Panel)</t>
        </is>
      </c>
      <c r="K132" s="7" t="inlineStr">
        <is>
          <t>radical vs incremental product innovation</t>
        </is>
      </c>
      <c r="L132" s="7" t="inlineStr">
        <is>
          <t>mixed</t>
        </is>
      </c>
      <c r="M132" s="7" t="inlineStr">
        <is>
          <t>GDPR led to a substantial shift from radical to incremental product innovation in German firms.</t>
        </is>
      </c>
      <c r="N132" s="7" t="inlineStr">
        <is>
          <t>German firms affected by the GDPR did more improving of existing products and less developing of entirely new ones, as compliance absorbed resources.</t>
        </is>
      </c>
      <c r="O132" s="7" t="inlineStr">
        <is>
          <t>Germany, around 2018</t>
        </is>
      </c>
      <c r="P132" s="7" t="inlineStr">
        <is>
          <t>DiD on representative firm survey panel; treatment intensity self-reported</t>
        </is>
      </c>
      <c r="Q132" s="7" t="inlineStr"/>
      <c r="R132" s="7" t="inlineStr">
        <is>
          <t>paywalled</t>
        </is>
      </c>
      <c r="S132" s="7" t="inlineStr">
        <is>
          <t>abstract read</t>
        </is>
      </c>
      <c r="T132" s="7" t="inlineStr">
        <is>
          <t>2026-10-10</t>
        </is>
      </c>
      <c r="U132" s="7" t="inlineStr">
        <is>
          <t>https://ideas.repec.org/a/taf/indinn/v31y2024i3p311-351.html</t>
        </is>
      </c>
      <c r="V132" s="7" t="inlineStr"/>
      <c r="W132" s="7" t="inlineStr"/>
    </row>
    <row r="133">
      <c r="A133" s="7" t="n">
        <v>20</v>
      </c>
      <c r="B133" s="7" t="inlineStr">
        <is>
          <t>General Data Protection Regulation</t>
        </is>
      </c>
      <c r="C133" s="7" t="inlineStr">
        <is>
          <t>evidence</t>
        </is>
      </c>
      <c r="D133" s="7" t="inlineStr">
        <is>
          <t>academic</t>
        </is>
      </c>
      <c r="E133" s="7" t="inlineStr">
        <is>
          <t>2026-10 broadened search</t>
        </is>
      </c>
      <c r="F133" s="7" t="inlineStr">
        <is>
          <t>lefrere-2024-gdpr-content</t>
        </is>
      </c>
      <c r="G133" s="7" t="inlineStr">
        <is>
          <t>Vincent Lefrere, Logan Warberg, Cristobal Cheyre, Veronica Marotta, Alessandro Acquisti (2024), Does Privacy Regulation Harm Content Providers? A Longitudinal Analysis of the Impact of the GDPR, Management Science (forthcoming/published; HAL hal-05222559)</t>
        </is>
      </c>
      <c r="H133" s="7" t="n">
        <v>2024</v>
      </c>
      <c r="I133" s="7" t="inlineStr">
        <is>
          <t>peer-reviewed article</t>
        </is>
      </c>
      <c r="J133" s="7" t="inlineStr">
        <is>
          <t>difference-in-differences on longitudinal panel of EU and US news and media websites</t>
        </is>
      </c>
      <c r="K133" s="7" t="inlineStr">
        <is>
          <t>tracking, consent mechanisms, content production, quality proxies, traffic, survival, monetization</t>
        </is>
      </c>
      <c r="L133" s="7" t="inlineStr">
        <is>
          <t>mixed</t>
        </is>
      </c>
      <c r="M133" s="7" t="inlineStr">
        <is>
          <t>EU news sites cut tracking more than US sites and saw fewer page views per user, but no negative effect on new content provision, content quality, survival or monetization.</t>
        </is>
      </c>
      <c r="N133" s="7" t="inlineStr">
        <is>
          <t>European news websites collected less data after the GDPR but kept producing as much content of similar quality as US sites, and did not close more often.</t>
        </is>
      </c>
      <c r="O133" s="7" t="inlineStr">
        <is>
          <t>2017-2020s; EU vs US news websites</t>
        </is>
      </c>
      <c r="P133" s="7" t="inlineStr">
        <is>
          <t>DiD with US control and many outcomes; sample limited to news/media sites</t>
        </is>
      </c>
      <c r="Q133" s="7" t="inlineStr"/>
      <c r="R133" s="7" t="inlineStr">
        <is>
          <t>paywalled</t>
        </is>
      </c>
      <c r="S133" s="7" t="inlineStr">
        <is>
          <t>abstract read</t>
        </is>
      </c>
      <c r="T133" s="7" t="inlineStr">
        <is>
          <t>2026-10-10</t>
        </is>
      </c>
      <c r="U133" s="7" t="inlineStr">
        <is>
          <t>https://ideas.repec.org/p/hal/journl/hal-05222559.html</t>
        </is>
      </c>
      <c r="V133" s="7" t="inlineStr">
        <is>
          <t>https://www.heinz.cmu.edu/~acquisti/papers/Acquisti_Privacy_Regulation_Harm_Content_Providers.pdf</t>
        </is>
      </c>
      <c r="W133" s="7" t="inlineStr"/>
    </row>
    <row r="134">
      <c r="A134" s="7" t="n">
        <v>20</v>
      </c>
      <c r="B134" s="7" t="inlineStr">
        <is>
          <t>General Data Protection Regulation</t>
        </is>
      </c>
      <c r="C134" s="7" t="inlineStr">
        <is>
          <t>evidence</t>
        </is>
      </c>
      <c r="D134" s="7" t="inlineStr">
        <is>
          <t>academic</t>
        </is>
      </c>
      <c r="E134" s="7" t="inlineStr">
        <is>
          <t>2026-10 broadened search</t>
        </is>
      </c>
      <c r="F134" s="7" t="inlineStr">
        <is>
          <t>koski-2020-gdpr-profits</t>
        </is>
      </c>
      <c r="G134" s="7" t="inlineStr">
        <is>
          <t>Heli Koski, Nelli Valmari (2020), Short-term Impacts of the GDPR on Firm Performance, ETLA Working Papers No. 77</t>
        </is>
      </c>
      <c r="H134" s="7" t="n">
        <v>2020</v>
      </c>
      <c r="I134" s="7" t="inlineStr">
        <is>
          <t>academic working paper</t>
        </is>
      </c>
      <c r="J134" s="7" t="inlineStr">
        <is>
          <t>difference-in-differences on firm-level financial panel of European and US companies 2014-2018</t>
        </is>
      </c>
      <c r="K134" s="7" t="inlineStr">
        <is>
          <t>profit margins</t>
        </is>
      </c>
      <c r="L134" s="7" t="inlineStr">
        <is>
          <t>negative</t>
        </is>
      </c>
      <c r="M134" s="7" t="inlineStr">
        <is>
          <t>Profit margins of EU data-intensive firms rose about 1.7-3.4 percentage points less than US counterparts in the first GDPR year; SMEs hit hardest, no difference for very large firms.</t>
        </is>
      </c>
      <c r="N134" s="7" t="inlineStr">
        <is>
          <t>In the GDPR's first year, European companies that rely heavily on data saw their profit margins grow less than similar US companies, with smaller firms affected most.</t>
        </is>
      </c>
      <c r="O134" s="7" t="inlineStr">
        <is>
          <t>2014-2018; EU vs US firms</t>
        </is>
      </c>
      <c r="P134" s="7" t="inlineStr">
        <is>
          <t>DiD with US control; only one post-period year; data-intensity classification by industry</t>
        </is>
      </c>
      <c r="Q134" s="7" t="inlineStr"/>
      <c r="R134" s="7" t="inlineStr">
        <is>
          <t>open</t>
        </is>
      </c>
      <c r="S134" s="7" t="inlineStr">
        <is>
          <t>abstract read</t>
        </is>
      </c>
      <c r="T134" s="7" t="inlineStr">
        <is>
          <t>2026-10-10</t>
        </is>
      </c>
      <c r="U134" s="7" t="inlineStr">
        <is>
          <t>https://www.etla.fi/en/publications/short-term-impacts-of-the-gdpr-on-firm-performance/</t>
        </is>
      </c>
      <c r="V134" s="7" t="inlineStr"/>
      <c r="W134" s="7" t="inlineStr"/>
    </row>
    <row r="135">
      <c r="A135" s="7" t="n">
        <v>20</v>
      </c>
      <c r="B135" s="7" t="inlineStr">
        <is>
          <t>General Data Protection Regulation</t>
        </is>
      </c>
      <c r="C135" s="7" t="inlineStr">
        <is>
          <t>evidence</t>
        </is>
      </c>
      <c r="D135" s="7" t="inlineStr">
        <is>
          <t>academic</t>
        </is>
      </c>
      <c r="E135" s="7" t="inlineStr">
        <is>
          <t>2026-10 broadened search</t>
        </is>
      </c>
      <c r="F135" s="7" t="inlineStr">
        <is>
          <t>bessen-2020-gdpr-ai-startups</t>
        </is>
      </c>
      <c r="G135" s="7" t="inlineStr">
        <is>
          <t>James Bessen, Stephen Michael Impink, Lydia Reichensperger, Robert Seamans (2020), GDPR and the Importance of Data to AI Startups, SSRN working paper / BU Technology &amp; Policy Research Initiative</t>
        </is>
      </c>
      <c r="H135" s="7" t="n">
        <v>2020</v>
      </c>
      <c r="I135" s="7" t="inlineStr">
        <is>
          <t>survey report</t>
        </is>
      </c>
      <c r="J135" s="7" t="inlineStr">
        <is>
          <t>survey of AI startups in more than 25 countries with regression analysis</t>
        </is>
      </c>
      <c r="K135" s="7" t="inlineStr">
        <is>
          <t>data deletion, resource reallocation, new GDPR positions</t>
        </is>
      </c>
      <c r="L135" s="7" t="inlineStr">
        <is>
          <t>negative</t>
        </is>
      </c>
      <c r="M135" s="7" t="inlineStr">
        <is>
          <t>Nearly three quarters of surveyed AI startups reported deleting some data because of GDPR; firms with European customers were more likely to create GDPR positions or reallocate resources.</t>
        </is>
      </c>
      <c r="N135" s="7" t="inlineStr">
        <is>
          <t>Most AI start-ups surveyed said they had deleted data to comply with the GDPR, and those selling in Europe more often had to shift staff and money to compliance.</t>
        </is>
      </c>
      <c r="O135" s="7" t="inlineStr">
        <is>
          <t>2019 survey; startups in 25+ countries</t>
        </is>
      </c>
      <c r="P135" s="7" t="inlineStr">
        <is>
          <t>Self-reported survey, no counterfactual; moderate sample</t>
        </is>
      </c>
      <c r="Q135" s="7" t="inlineStr"/>
      <c r="R135" s="7" t="inlineStr">
        <is>
          <t>open</t>
        </is>
      </c>
      <c r="S135" s="7" t="inlineStr">
        <is>
          <t>abstract read</t>
        </is>
      </c>
      <c r="T135" s="7" t="inlineStr">
        <is>
          <t>2026-10-10</t>
        </is>
      </c>
      <c r="U135" s="7" t="inlineStr">
        <is>
          <t>https://sites.bu.edu/tpri/2020/04/22/gdpr-and-the-importance-of-data-to-ai-startups/</t>
        </is>
      </c>
      <c r="V135" s="7" t="inlineStr"/>
      <c r="W135" s="7" t="inlineStr"/>
    </row>
    <row r="136">
      <c r="A136" s="7" t="n">
        <v>20</v>
      </c>
      <c r="B136" s="7" t="inlineStr">
        <is>
          <t>General Data Protection Regulation</t>
        </is>
      </c>
      <c r="C136" s="7" t="inlineStr">
        <is>
          <t>evidence</t>
        </is>
      </c>
      <c r="D136" s="7" t="inlineStr">
        <is>
          <t>academic</t>
        </is>
      </c>
      <c r="E136" s="7" t="inlineStr">
        <is>
          <t>2026-10 broadened search</t>
        </is>
      </c>
      <c r="F136" s="7" t="inlineStr">
        <is>
          <t>degeling-2019-gdpr-cookies</t>
        </is>
      </c>
      <c r="G136" s="7" t="inlineStr">
        <is>
          <t>Martin Degeling, Christine Utz, Christopher Lentzsch, Henry Hosseini, Florian Schaub, Thorsten Holz (2019), We Value Your Privacy ... Now Take Some Cookies: Measuring the GDPR's Impact on Web Privacy, NDSS Symposium 2019</t>
        </is>
      </c>
      <c r="H136" s="7" t="n">
        <v>2019</v>
      </c>
      <c r="I136" s="7" t="inlineStr">
        <is>
          <t>conference paper</t>
        </is>
      </c>
      <c r="J136" s="7" t="inlineStr">
        <is>
          <t>longitudinal web measurement of the 500 most popular websites in each of 28 EU states (6,579 sites)</t>
        </is>
      </c>
      <c r="K136" s="7" t="inlineStr">
        <is>
          <t>privacy policies, cookie consent notices</t>
        </is>
      </c>
      <c r="L136" s="7" t="inlineStr">
        <is>
          <t>descriptive</t>
        </is>
      </c>
      <c r="M136" s="7" t="inlineStr">
        <is>
          <t>By May 2018, 84.5% of websites had privacy policies (72.6% of existing ones updated) and 62.1% displayed cookie consent notices, 16% more than in January 2018.</t>
        </is>
      </c>
      <c r="N136" s="7" t="inlineStr">
        <is>
          <t>Around the GDPR start date, most popular European websites updated their privacy policies and many more began showing cookie banners.</t>
        </is>
      </c>
      <c r="O136" s="7" t="inlineStr">
        <is>
          <t>Jan-Oct 2018; EU-28</t>
        </is>
      </c>
      <c r="P136" s="7" t="inlineStr">
        <is>
          <t>Large before/after crawl; no control group; measures form rather than substance of compliance</t>
        </is>
      </c>
      <c r="Q136" s="7" t="inlineStr"/>
      <c r="R136" s="7" t="inlineStr">
        <is>
          <t>open</t>
        </is>
      </c>
      <c r="S136" s="7" t="inlineStr">
        <is>
          <t>abstract read</t>
        </is>
      </c>
      <c r="T136" s="7" t="inlineStr">
        <is>
          <t>2026-10-10</t>
        </is>
      </c>
      <c r="U136" s="7" t="inlineStr">
        <is>
          <t>https://arxiv.org/abs/1808.05096</t>
        </is>
      </c>
      <c r="V136" s="7" t="inlineStr">
        <is>
          <t>https://arxiv.org/pdf/1808.05096v2.pdf</t>
        </is>
      </c>
      <c r="W136" s="7" t="inlineStr"/>
    </row>
    <row r="137">
      <c r="A137" s="7" t="n">
        <v>20</v>
      </c>
      <c r="B137" s="7" t="inlineStr">
        <is>
          <t>General Data Protection Regulation</t>
        </is>
      </c>
      <c r="C137" s="7" t="inlineStr">
        <is>
          <t>evidence</t>
        </is>
      </c>
      <c r="D137" s="7" t="inlineStr">
        <is>
          <t>academic</t>
        </is>
      </c>
      <c r="E137" s="7" t="inlineStr">
        <is>
          <t>2026-10 broadened search</t>
        </is>
      </c>
      <c r="F137" s="7" t="inlineStr">
        <is>
          <t>nouwens-2020-dark-patterns</t>
        </is>
      </c>
      <c r="G137" s="7" t="inlineStr">
        <is>
          <t>Midas Nouwens, Ilaria Liccardi, Michael Veale, David Karger, Lalana Kagal (2020), Dark Patterns after the GDPR: Scraping Consent Pop-ups and Demonstrating their Influence, CHI 2020 (ACM)</t>
        </is>
      </c>
      <c r="H137" s="7" t="n">
        <v>2020</v>
      </c>
      <c r="I137" s="7" t="inlineStr">
        <is>
          <t>conference paper</t>
        </is>
      </c>
      <c r="J137" s="7" t="inlineStr">
        <is>
          <t>web scrape of consent pop-ups of five main CMPs on UK top-10,000 sites (n=680) plus field experiment with 40 participants</t>
        </is>
      </c>
      <c r="K137" s="7" t="inlineStr">
        <is>
          <t>compliance of consent designs, consent rates</t>
        </is>
      </c>
      <c r="L137" s="7" t="inlineStr">
        <is>
          <t>negative</t>
        </is>
      </c>
      <c r="M137" s="7" t="inlineStr">
        <is>
          <t>Only 11.8% of consent pop-ups met minimal requirements based on EU law; removing the first-page opt-out raised consent by 22-23 percentage points.</t>
        </is>
      </c>
      <c r="N137" s="7" t="inlineStr">
        <is>
          <t>Almost nine in ten cookie consent pop-ups on major UK websites did not meet basic legal requirements, and design tricks clearly pushed people into agreeing.</t>
        </is>
      </c>
      <c r="O137" s="7" t="inlineStr">
        <is>
          <t>2019; UK</t>
        </is>
      </c>
      <c r="P137" s="7" t="inlineStr">
        <is>
          <t>Compliance measurement with clear criteria; small experiment; UK only</t>
        </is>
      </c>
      <c r="Q137" s="7" t="inlineStr"/>
      <c r="R137" s="7" t="inlineStr">
        <is>
          <t>open</t>
        </is>
      </c>
      <c r="S137" s="7" t="inlineStr">
        <is>
          <t>abstract read</t>
        </is>
      </c>
      <c r="T137" s="7" t="inlineStr">
        <is>
          <t>2026-10-10</t>
        </is>
      </c>
      <c r="U137" s="7" t="inlineStr">
        <is>
          <t>https://arxiv.org/abs/2001.02479</t>
        </is>
      </c>
      <c r="V137" s="7" t="inlineStr">
        <is>
          <t>https://arxiv.org/pdf/2001.02479</t>
        </is>
      </c>
      <c r="W137" s="7" t="inlineStr"/>
    </row>
    <row r="138">
      <c r="A138" s="7" t="n">
        <v>20</v>
      </c>
      <c r="B138" s="7" t="inlineStr">
        <is>
          <t>General Data Protection Regulation</t>
        </is>
      </c>
      <c r="C138" s="7" t="inlineStr">
        <is>
          <t>evidence</t>
        </is>
      </c>
      <c r="D138" s="7" t="inlineStr">
        <is>
          <t>academic</t>
        </is>
      </c>
      <c r="E138" s="7" t="inlineStr">
        <is>
          <t>2026-10 broadened search</t>
        </is>
      </c>
      <c r="F138" s="7" t="inlineStr">
        <is>
          <t>ganglmair-2024-privacy-policies</t>
        </is>
      </c>
      <c r="G138" s="7" t="inlineStr">
        <is>
          <t>Bernhard Ganglmair, Julia Krämer, Jacopo Gambato (2024), Regulatory Compliance With Limited Enforceability: Evidence From Privacy Policies, ZEW Discussion Paper No. 24-012 / CRC TR 224 DP 547</t>
        </is>
      </c>
      <c r="H138" s="7" t="n">
        <v>2024</v>
      </c>
      <c r="I138" s="7" t="inlineStr">
        <is>
          <t>academic working paper</t>
        </is>
      </c>
      <c r="J138" s="7" t="inlineStr">
        <is>
          <t>text-as-data analysis of a large panel of German firms' privacy policies before and after GDPR, with inspection model</t>
        </is>
      </c>
      <c r="K138" s="7" t="inlineStr">
        <is>
          <t>disclosure volume and readability of privacy policies</t>
        </is>
      </c>
      <c r="L138" s="7" t="inlineStr">
        <is>
          <t>mixed</t>
        </is>
      </c>
      <c r="M138" s="7" t="inlineStr">
        <is>
          <t>Firms increased disclosure volume in privacy policies after GDPR but readability did not improve; better-funded data protection authorities induced better readability.</t>
        </is>
      </c>
      <c r="N138" s="7" t="inlineStr">
        <is>
          <t>German companies wrote longer privacy policies after the GDPR, but they did not get any easier to read, except where regulators had more money to enforce.</t>
        </is>
      </c>
      <c r="O138" s="7" t="inlineStr">
        <is>
          <t>Germany, around 2018</t>
        </is>
      </c>
      <c r="P138" s="7" t="inlineStr">
        <is>
          <t>Large text panel; before/after with heterogeneity, no clean control group</t>
        </is>
      </c>
      <c r="Q138" s="7" t="inlineStr"/>
      <c r="R138" s="7" t="inlineStr">
        <is>
          <t>open</t>
        </is>
      </c>
      <c r="S138" s="7" t="inlineStr">
        <is>
          <t>abstract read</t>
        </is>
      </c>
      <c r="T138" s="7" t="inlineStr">
        <is>
          <t>2026-10-10</t>
        </is>
      </c>
      <c r="U138" s="7" t="inlineStr">
        <is>
          <t>https://ftp.zew.de/pub/zew-docs/dp/dp24012.pdf</t>
        </is>
      </c>
      <c r="V138" s="7" t="inlineStr">
        <is>
          <t>https://ftp.zew.de/pub/zew-docs/dp/dp24012.pdf</t>
        </is>
      </c>
      <c r="W138" s="7" t="inlineStr"/>
    </row>
    <row r="139">
      <c r="A139" s="7" t="n">
        <v>20</v>
      </c>
      <c r="B139" s="7" t="inlineStr">
        <is>
          <t>General Data Protection Regulation</t>
        </is>
      </c>
      <c r="C139" s="7" t="inlineStr">
        <is>
          <t>evidence</t>
        </is>
      </c>
      <c r="D139" s="7" t="inlineStr">
        <is>
          <t>official</t>
        </is>
      </c>
      <c r="E139" s="7" t="inlineStr">
        <is>
          <t>2026-10 broadened search</t>
        </is>
      </c>
      <c r="F139" s="7" t="inlineStr">
        <is>
          <t>ec-2019-eurobarometer-487a</t>
        </is>
      </c>
      <c r="G139" s="7" t="inlineStr">
        <is>
          <t>European Commission (Kantar) (2019), Special Eurobarometer 487a: The General Data Protection Regulation, European Commission, June 2019</t>
        </is>
      </c>
      <c r="H139" s="7" t="n">
        <v>2019</v>
      </c>
      <c r="I139" s="7" t="inlineStr">
        <is>
          <t>survey report</t>
        </is>
      </c>
      <c r="J139" s="7" t="inlineStr">
        <is>
          <t>representative survey of about 27,000 Europeans (March 2019)</t>
        </is>
      </c>
      <c r="K139" s="7" t="inlineStr">
        <is>
          <t>awareness of GDPR, data rights and data protection authorities</t>
        </is>
      </c>
      <c r="L139" s="7" t="inlineStr">
        <is>
          <t>descriptive</t>
        </is>
      </c>
      <c r="M139" s="7" t="inlineStr">
        <is>
          <t>73% had heard of at least one of six GDPR rights, 67% knew about the GDPR and 57% about their national data protection authority; 62% worried about lacking control of data online.</t>
        </is>
      </c>
      <c r="N139" s="7" t="inlineStr">
        <is>
          <t>A year after the GDPR, two-thirds of Europeans had heard of it and most knew at least one of their new rights, but many still felt they lacked control over their data.</t>
        </is>
      </c>
      <c r="O139" s="7" t="inlineStr">
        <is>
          <t>March 2019; EU-28</t>
        </is>
      </c>
      <c r="P139" s="7" t="inlineStr">
        <is>
          <t>Large representative survey; awareness only, no pre-GDPR baseline in same form</t>
        </is>
      </c>
      <c r="Q139" s="7" t="inlineStr">
        <is>
          <t>European Commission (commissioned by the act's author)</t>
        </is>
      </c>
      <c r="R139" s="7" t="inlineStr">
        <is>
          <t>open</t>
        </is>
      </c>
      <c r="S139" s="7" t="inlineStr">
        <is>
          <t>abstract read</t>
        </is>
      </c>
      <c r="T139" s="7" t="inlineStr">
        <is>
          <t>2026-10-10</t>
        </is>
      </c>
      <c r="U139" s="7" t="inlineStr">
        <is>
          <t>https://cnpd.public.lu/en/actualites/international/2019/06/eurobarometer-2019.html</t>
        </is>
      </c>
      <c r="V139" s="7" t="inlineStr">
        <is>
          <t>https://cnpd.public.lu/dam-assets/fr/actualites/international/2019/ebs487a-GDPR-sum-en.pdf</t>
        </is>
      </c>
      <c r="W139" s="7" t="inlineStr"/>
    </row>
    <row r="140">
      <c r="A140" s="7" t="n">
        <v>20</v>
      </c>
      <c r="B140" s="7" t="inlineStr">
        <is>
          <t>General Data Protection Regulation</t>
        </is>
      </c>
      <c r="C140" s="7" t="inlineStr">
        <is>
          <t>evidence</t>
        </is>
      </c>
      <c r="D140" s="7" t="inlineStr">
        <is>
          <t>think tank</t>
        </is>
      </c>
      <c r="E140" s="7" t="inlineStr">
        <is>
          <t>2026-10 broadened search</t>
        </is>
      </c>
      <c r="F140" s="7" t="inlineStr">
        <is>
          <t>iccl-2023-gdprcrisis</t>
        </is>
      </c>
      <c r="G140" s="7" t="inlineStr">
        <is>
          <t>Ryan, J. et al. (Irish Council for Civil Liberties, Enforce unit) (2023), 5 years: GDPR's crisis point - ICCL's 2023 report on EEA data protection authorities, Irish Council for Civil Liberties (ICCL)</t>
        </is>
      </c>
      <c r="H140" s="7" t="n">
        <v>2023</v>
      </c>
      <c r="I140" s="7" t="inlineStr">
        <is>
          <t>think tank report</t>
        </is>
      </c>
      <c r="J140" s="7" t="inlineStr">
        <is>
          <t>descriptive analysis of the EDPB register of Article 60 one-stop-shop final decisions and DPA budget data</t>
        </is>
      </c>
      <c r="K140" s="7" t="inlineStr">
        <is>
          <t>cross-border enforcement measures; share of Irish DPC decisions overruled; DPA budgets</t>
        </is>
      </c>
      <c r="L140" s="7" t="inlineStr">
        <is>
          <t>negative</t>
        </is>
      </c>
      <c r="M140" s="7" t="inlineStr">
        <is>
          <t>By late 2022, 63% of the 160 EU-level enforcement measures in the EDPB register were mere reprimands, and 67% of the Irish DPC's investigation decisions in EU cases were overruled by majority vote of other DPAs (figures as revised 31 May 2023).</t>
        </is>
      </c>
      <c r="N140" s="7" t="inlineStr">
        <is>
          <t>A civil liberties group counted the decisions taken in Europe-wide privacy cases in the first five years of the GDPR. It found that most ended in a reprimand rather than a fine, and that Ireland's regulator, which oversees most big tech firms, was often overruled by its EU peers who wanted tougher action.</t>
        </is>
      </c>
      <c r="O140" s="7" t="inlineStr">
        <is>
          <t>May 2018-late 2022; EEA (focus on Ireland)</t>
        </is>
      </c>
      <c r="P140" s="7" t="inlineStr">
        <is>
          <t>Descriptive counts from official register; no counterfactual; author is a campaigning NGO; figures revised after publication</t>
        </is>
      </c>
      <c r="Q140" s="7" t="inlineStr">
        <is>
          <t>Campaigning NGO (ICCL Enforce) litigating against the Irish DPC and big tech</t>
        </is>
      </c>
      <c r="R140" s="7" t="inlineStr">
        <is>
          <t>open</t>
        </is>
      </c>
      <c r="S140" s="7" t="inlineStr">
        <is>
          <t>abstract read</t>
        </is>
      </c>
      <c r="T140" s="7" t="inlineStr">
        <is>
          <t>2026-10-10</t>
        </is>
      </c>
      <c r="U140" s="7" t="inlineStr">
        <is>
          <t>https://www.iccl.ie/digital-data/iccl-2023-gdpr-report/</t>
        </is>
      </c>
      <c r="V140" s="7" t="inlineStr">
        <is>
          <t>https://www.iccl.ie/wp-content/uploads/2023/05/5-years-GDPR-crisis.pdf</t>
        </is>
      </c>
      <c r="W140" s="7" t="inlineStr"/>
    </row>
    <row r="141">
      <c r="A141" s="7" t="n">
        <v>20</v>
      </c>
      <c r="B141" s="7" t="inlineStr">
        <is>
          <t>General Data Protection Regulation</t>
        </is>
      </c>
      <c r="C141" s="7" t="inlineStr">
        <is>
          <t>evidence</t>
        </is>
      </c>
      <c r="D141" s="7" t="inlineStr">
        <is>
          <t>think tank</t>
        </is>
      </c>
      <c r="E141" s="7" t="inlineStr">
        <is>
          <t>2026-10 broadened search</t>
        </is>
      </c>
      <c r="F141" s="7" t="inlineStr">
        <is>
          <t>chivot-2019-gdproneyear</t>
        </is>
      </c>
      <c r="G141" s="7" t="inlineStr">
        <is>
          <t>Chivot, E. &amp; Castro, D. (Center for Data Innovation / ITIF) (2019), What the Evidence Shows About the Impact of the GDPR After One Year, Center for Data Innovation, Information Technology and Innovation Foundation (ITIF)</t>
        </is>
      </c>
      <c r="H141" s="7" t="n">
        <v>2019</v>
      </c>
      <c r="I141" s="7" t="inlineStr">
        <is>
          <t>think tank report</t>
        </is>
      </c>
      <c r="J141" s="7" t="inlineStr">
        <is>
          <t>compilation of early post-GDPR evidence (surveys, web measurements, market data, press reports)</t>
        </is>
      </c>
      <c r="K141" s="7" t="inlineStr">
        <is>
          <t>business costs, startups, ad-tech competition, user trust, online access, regulator resources</t>
        </is>
      </c>
      <c r="L141" s="7" t="inlineStr">
        <is>
          <t>negative</t>
        </is>
      </c>
      <c r="M141" s="7" t="inlineStr">
        <is>
          <t>Reviewing the first year of evidence, the authors conclude the GDPR drains company resources, hurts EU tech startups, reduces competition in digital advertising, fails to raise user trust and strains regulators.</t>
        </is>
      </c>
      <c r="N141" s="7" t="inlineStr">
        <is>
          <t>A US tech-policy think tank gathered the early data and reports on what happened in the GDPR's first year. It argues the law imposed large costs, helped big ad firms against smaller ones and did not make people trust the internet more.</t>
        </is>
      </c>
      <c r="O141" s="7" t="inlineStr">
        <is>
          <t>May 2018-mid 2019; EU</t>
        </is>
      </c>
      <c r="P141" s="7" t="inlineStr">
        <is>
          <t>Selective secondary compilation of early, mostly descriptive evidence; advocacy framing; no own causal analysis</t>
        </is>
      </c>
      <c r="Q141" s="7" t="inlineStr">
        <is>
          <t>ITIF is funded partly by large tech firms and has opposed the GDPR model</t>
        </is>
      </c>
      <c r="R141" s="7" t="inlineStr">
        <is>
          <t>open</t>
        </is>
      </c>
      <c r="S141" s="7" t="inlineStr">
        <is>
          <t>abstract read</t>
        </is>
      </c>
      <c r="T141" s="7" t="inlineStr">
        <is>
          <t>2026-10-10</t>
        </is>
      </c>
      <c r="U141" s="7" t="inlineStr">
        <is>
          <t>https://itif.org/publications/2019/06/17/what-evidence-shows-about-impact-gdpr-after-one-year/</t>
        </is>
      </c>
      <c r="V141" s="7" t="inlineStr">
        <is>
          <t>http://www2.datainnovation.org/2019-gdpr-one-year.pdf</t>
        </is>
      </c>
      <c r="W141" s="7" t="inlineStr"/>
    </row>
    <row r="142">
      <c r="A142" s="7" t="n">
        <v>20</v>
      </c>
      <c r="B142" s="7" t="inlineStr">
        <is>
          <t>General Data Protection Regulation</t>
        </is>
      </c>
      <c r="C142" s="7" t="inlineStr">
        <is>
          <t>evidence</t>
        </is>
      </c>
      <c r="D142" s="7" t="inlineStr">
        <is>
          <t>think tank</t>
        </is>
      </c>
      <c r="E142" s="7" t="inlineStr">
        <is>
          <t>2026-10 broadened search</t>
        </is>
      </c>
      <c r="F142" s="7" t="inlineStr">
        <is>
          <t>martens-2026-consentfiction</t>
        </is>
      </c>
      <c r="G142" s="7" t="inlineStr">
        <is>
          <t>Martens, B. (2026), Why the EU right to consent to personal data processing doesn't work, Bruegel Working Paper 23/2026</t>
        </is>
      </c>
      <c r="H142" s="7" t="n">
        <v>2026</v>
      </c>
      <c r="I142" s="7" t="inlineStr">
        <is>
          <t>think tank report</t>
        </is>
      </c>
      <c r="J142" s="7" t="inlineStr">
        <is>
          <t>structured review of empirical evidence on GDPR consent tools and their private and social welfare effects</t>
        </is>
      </c>
      <c r="K142" s="7" t="inlineStr">
        <is>
          <t>consent rates, dark patterns, data-broker concentration, app exits, prices</t>
        </is>
      </c>
      <c r="L142" s="7" t="inlineStr">
        <is>
          <t>negative</t>
        </is>
      </c>
      <c r="M142" s="7" t="inlineStr">
        <is>
          <t>Drawing on post-2018 studies (e.g. a 15% fall in third-party data brokers used by websites and a 17% rise in concentration among those retained after GDPR), the paper concludes GDPR consent banners are 'a legal and technical fiction': few consent tools are fully compliant and reduced data sharing carries social costs.</t>
        </is>
      </c>
      <c r="N142" s="7" t="inlineStr">
        <is>
          <t>A Bruegel economist reviews what has happened with cookie-consent pop-ups since the GDPR. He finds that people click through them to save time, many banners are designed to push acceptance, and the rules have also cost the economy through fewer data firms and app exits.</t>
        </is>
      </c>
      <c r="O142" s="7" t="inlineStr">
        <is>
          <t>2018-2026; EU</t>
        </is>
      </c>
      <c r="P142" s="7" t="inlineStr">
        <is>
          <t>Evidence synthesis of existing studies, no new data; written for a debate panel; extracts a forthcoming Bruegel paper (Mariniello et al. 2026)</t>
        </is>
      </c>
      <c r="Q142" s="7" t="inlineStr"/>
      <c r="R142" s="7" t="inlineStr">
        <is>
          <t>open</t>
        </is>
      </c>
      <c r="S142" s="7" t="inlineStr">
        <is>
          <t>full text read</t>
        </is>
      </c>
      <c r="T142" s="7" t="inlineStr">
        <is>
          <t>2026-10-10</t>
        </is>
      </c>
      <c r="U142" s="7" t="inlineStr">
        <is>
          <t>https://doi.org/10.64153/BACQ2407</t>
        </is>
      </c>
      <c r="V142" s="7" t="inlineStr">
        <is>
          <t>https://www.bruegel.org/sites/default/files/2026-08/WP%2023%202026.pdf</t>
        </is>
      </c>
      <c r="W142" s="7" t="inlineStr"/>
    </row>
    <row r="143">
      <c r="A143" s="7" t="n">
        <v>20</v>
      </c>
      <c r="B143" s="7" t="inlineStr">
        <is>
          <t>General Data Protection Regulation</t>
        </is>
      </c>
      <c r="C143" s="7" t="inlineStr">
        <is>
          <t>evidence</t>
        </is>
      </c>
      <c r="D143" s="7" t="inlineStr">
        <is>
          <t>consultancy or industry</t>
        </is>
      </c>
      <c r="E143" s="7" t="inlineStr">
        <is>
          <t>2026-10 broadened search</t>
        </is>
      </c>
      <c r="F143" s="7" t="inlineStr">
        <is>
          <t>decarolis-2025-unlockinggrowth</t>
        </is>
      </c>
      <c r="G143" s="7" t="inlineStr">
        <is>
          <t>Decarolis, F. &amp; Firullo, C. (published with Clifford Chance LLP) (2025), Unlocking growth: exploring the economic impact of GDPR for tomorrow's Europe, Clifford Chance thought leadership (funded by Amazon)</t>
        </is>
      </c>
      <c r="H143" s="7" t="n">
        <v>2025</v>
      </c>
      <c r="I143" s="7" t="inlineStr">
        <is>
          <t>consultancy report</t>
        </is>
      </c>
      <c r="J143" s="7" t="inlineStr">
        <is>
          <t>systematic synthesis of empirical literature plus structured interviews and closed questionnaires with industry experts (multinationals, ad-tech, startups)</t>
        </is>
      </c>
      <c r="K143" s="7" t="inlineStr">
        <is>
          <t>compliance costs, data costs, cross-border data flows, VC investment, innovation, user welfare, DPA fragmentation</t>
        </is>
      </c>
      <c r="L143" s="7" t="inlineStr">
        <is>
          <t>negative</t>
        </is>
      </c>
      <c r="M143" s="7" t="inlineStr">
        <is>
          <t>The review concludes the GDPR raised formal privacy standards 'at a significant and uneven economic cost': substantial recurrent compliance costs, higher data acquisition costs, reduced cross-border data flows and a measurable slowdown in VC investment and innovation in data-driven industries.</t>
        </is>
      </c>
      <c r="N143" s="7" t="inlineStr">
        <is>
          <t>Two academics, paid for by Amazon and published by a law firm, pulled together the research on the GDPR's economic effects and interviewed company experts. They conclude the law improved privacy rules on paper but cost firms a lot and slowed investment and innovation.</t>
        </is>
      </c>
      <c r="O143" s="7" t="inlineStr">
        <is>
          <t>2018-2025; EU</t>
        </is>
      </c>
      <c r="P143" s="7" t="inlineStr">
        <is>
          <t>Literature synthesis plus small, non-random expert interviews; industry-funded; no new causal estimates</t>
        </is>
      </c>
      <c r="Q143" s="7" t="inlineStr">
        <is>
          <t>Funded by Amazon (subject to GDPR); published with Clifford Chance</t>
        </is>
      </c>
      <c r="R143" s="7" t="inlineStr">
        <is>
          <t>open</t>
        </is>
      </c>
      <c r="S143" s="7" t="inlineStr">
        <is>
          <t>full text read</t>
        </is>
      </c>
      <c r="T143" s="7" t="inlineStr">
        <is>
          <t>2026-10-10</t>
        </is>
      </c>
      <c r="U143" s="7" t="inlineStr">
        <is>
          <t>https://www.cliffordchance.com/content/dam/cliffordchance/Thought_Leadership/unlocking-growth-economic-impact-of-gdpr-decarolis-firullo.pdf</t>
        </is>
      </c>
      <c r="V143" s="7" t="inlineStr">
        <is>
          <t>https://www.cliffordchance.com/content/dam/cliffordchance/Thought_Leadership/unlocking-growth-economic-impact-of-gdpr-decarolis-firullo.pdf</t>
        </is>
      </c>
      <c r="W143" s="7" t="inlineStr"/>
    </row>
    <row r="144">
      <c r="A144" s="7" t="n">
        <v>20</v>
      </c>
      <c r="B144" s="7" t="inlineStr">
        <is>
          <t>General Data Protection Regulation</t>
        </is>
      </c>
      <c r="C144" s="7" t="inlineStr">
        <is>
          <t>evidence</t>
        </is>
      </c>
      <c r="D144" s="7" t="inlineStr">
        <is>
          <t>consultancy or industry</t>
        </is>
      </c>
      <c r="E144" s="7" t="inlineStr">
        <is>
          <t>2026-10 broadened search</t>
        </is>
      </c>
      <c r="F144" s="7" t="inlineStr">
        <is>
          <t>bitkom-2023-fuenfjahredsgvo</t>
        </is>
      </c>
      <c r="G144" s="7" t="inlineStr">
        <is>
          <t>Bitkom e.V. (2023), Fünf Jahre DS-GVO: Unternehmen sind weiterhin verunsichert (survey of 602 companies), Bitkom press release / survey</t>
        </is>
      </c>
      <c r="H144" s="7" t="n">
        <v>2023</v>
      </c>
      <c r="I144" s="7" t="inlineStr">
        <is>
          <t>survey report</t>
        </is>
      </c>
      <c r="J144" s="7" t="inlineStr">
        <is>
          <t>representative survey of 602 German companies with 20+ employees</t>
        </is>
      </c>
      <c r="K144" s="7" t="inlineStr">
        <is>
          <t>innovation projects stopped, hesitation to use data</t>
        </is>
      </c>
      <c r="L144" s="7" t="inlineStr">
        <is>
          <t>negative</t>
        </is>
      </c>
      <c r="M144" s="7" t="inlineStr">
        <is>
          <t>60% of German firms said they had stopped innovation plans at least once because of data-protection rules or uncertainty, and 62% hesitate to use data for fear of breaching data protection; a 2025 wave of 605 firms reported 70% (61% in 2024).</t>
        </is>
      </c>
      <c r="N144" s="7" t="inlineStr">
        <is>
          <t>Germany's digital industry association asks firms every year how the GDPR affects them. A growing majority say they have dropped new projects because of privacy rules or unclear interpretations.</t>
        </is>
      </c>
      <c r="O144" s="7" t="inlineStr">
        <is>
          <t>2023 (follow-up waves 2024-2025); Germany</t>
        </is>
      </c>
      <c r="P144" s="7" t="inlineStr">
        <is>
          <t>Self-reported perceptions from an industry-association survey; no counterfactual; 2025 figure taken from zm-online report of the Bitkom release</t>
        </is>
      </c>
      <c r="Q144" s="7" t="inlineStr">
        <is>
          <t>Industry association lobbying for GDPR simplification</t>
        </is>
      </c>
      <c r="R144" s="7" t="inlineStr">
        <is>
          <t>open</t>
        </is>
      </c>
      <c r="S144" s="7" t="inlineStr">
        <is>
          <t>abstract read</t>
        </is>
      </c>
      <c r="T144" s="7" t="inlineStr">
        <is>
          <t>2026-10-10</t>
        </is>
      </c>
      <c r="U144" s="7" t="inlineStr">
        <is>
          <t>https://www.bitkom.org/Presse/Presseinformation/Fuenf-Jahre-DS-GVO</t>
        </is>
      </c>
      <c r="V144" s="7" t="inlineStr"/>
      <c r="W144" s="7" t="inlineStr"/>
    </row>
    <row r="145">
      <c r="A145" s="7" t="n">
        <v>20</v>
      </c>
      <c r="B145" s="7" t="inlineStr">
        <is>
          <t>General Data Protection Regulation</t>
        </is>
      </c>
      <c r="C145" s="7" t="inlineStr">
        <is>
          <t>evidence</t>
        </is>
      </c>
      <c r="D145" s="7" t="inlineStr">
        <is>
          <t>official</t>
        </is>
      </c>
      <c r="E145" s="7" t="inlineStr">
        <is>
          <t>2026-10 broadened search</t>
        </is>
      </c>
      <c r="F145" s="7" t="inlineStr">
        <is>
          <t>berggren-2025-gdprtrade</t>
        </is>
      </c>
      <c r="G145" s="7" t="inlineStr">
        <is>
          <t>Berggren, H. (National Board of Trade Sweden / Kommerskollegium) (2025), The GDPR and international trade - evidence and implications for EU policy, Kommerskollegium (Swedish National Board of Trade) analysis</t>
        </is>
      </c>
      <c r="H145" s="7" t="n">
        <v>2025</v>
      </c>
      <c r="I145" s="7" t="inlineStr">
        <is>
          <t>agency report</t>
        </is>
      </c>
      <c r="J145" s="7" t="inlineStr">
        <is>
          <t>review of empirical studies and industry reports on GDPR, trade and productivity</t>
        </is>
      </c>
      <c r="K145" s="7" t="inlineStr">
        <is>
          <t>cross-border data flows, compliance costs, productivity, trade competitiveness</t>
        </is>
      </c>
      <c r="L145" s="7" t="inlineStr">
        <is>
          <t>negative</t>
        </is>
      </c>
      <c r="M145" s="7" t="inlineStr">
        <is>
          <t>Based on empirical studies and industry reports, the agency concludes the GDPR has hindered EU companies' productivity and international competitiveness by creating regulatory uncertainty, raising compliance costs and reducing data storage and processing.</t>
        </is>
      </c>
      <c r="N145" s="7" t="inlineStr">
        <is>
          <t>Sweden's trade agency reviewed the research on the GDPR and trade. It finds the law spread EU privacy standards worldwide but made data flows harder and costlier, hurting EU firms' productivity and trade.</t>
        </is>
      </c>
      <c r="O145" s="7" t="inlineStr">
        <is>
          <t>2018-2025; EU</t>
        </is>
      </c>
      <c r="P145" s="7" t="inlineStr">
        <is>
          <t>Evidence review by a national authority, no new estimates; policy-oriented (recommends revision)</t>
        </is>
      </c>
      <c r="Q145" s="7" t="inlineStr"/>
      <c r="R145" s="7" t="inlineStr">
        <is>
          <t>open</t>
        </is>
      </c>
      <c r="S145" s="7" t="inlineStr">
        <is>
          <t>abstract read</t>
        </is>
      </c>
      <c r="T145" s="7" t="inlineStr">
        <is>
          <t>2026-10-10</t>
        </is>
      </c>
      <c r="U145" s="7" t="inlineStr">
        <is>
          <t>https://www.kommerskollegium.se/en/analyses-and-seminars/published/analysis/2025/analysis-the-gdpr-and-international-trade/</t>
        </is>
      </c>
      <c r="V145" s="7" t="inlineStr"/>
      <c r="W145" s="7" t="inlineStr"/>
    </row>
    <row r="146">
      <c r="A146" s="7" t="n">
        <v>20</v>
      </c>
      <c r="B146" s="7" t="inlineStr">
        <is>
          <t>General Data Protection Regulation</t>
        </is>
      </c>
      <c r="C146" s="7" t="inlineStr">
        <is>
          <t>evidence</t>
        </is>
      </c>
      <c r="D146" s="7" t="inlineStr">
        <is>
          <t>official</t>
        </is>
      </c>
      <c r="E146" s="7" t="inlineStr">
        <is>
          <t>2026-10 broadened search</t>
        </is>
      </c>
      <c r="F146" s="7" t="inlineStr">
        <is>
          <t>edpb-2025-cefrightofaccess</t>
        </is>
      </c>
      <c r="G146" s="7" t="inlineStr">
        <is>
          <t>European Data Protection Board (2025), Coordinated Enforcement Action: Implementation of the right of access by controllers (CEF 2024 report), EDPB</t>
        </is>
      </c>
      <c r="H146" s="7" t="n">
        <v>2025</v>
      </c>
      <c r="I146" s="7" t="inlineStr">
        <is>
          <t>agency report</t>
        </is>
      </c>
      <c r="J146" s="7" t="inlineStr">
        <is>
          <t>coordinated investigations and questionnaires by 30 DPAs; 1,185 responding controllers</t>
        </is>
      </c>
      <c r="K146" s="7" t="inlineStr">
        <is>
          <t>compliance with the right of access</t>
        </is>
      </c>
      <c r="L146" s="7" t="inlineStr">
        <is>
          <t>mixed</t>
        </is>
      </c>
      <c r="M146" s="7" t="inlineStr">
        <is>
          <t>Of 1,185 controllers examined by 30 DPAs in 2024, two thirds of DPAs rated compliance with the right of access 'average' to 'high', but seven recurring problems were found (e.g. no documented procedures, excessive ID demands, over-broad refusals), with larger controllers more compliant than small ones.</t>
        </is>
      </c>
      <c r="N146" s="7" t="inlineStr">
        <is>
          <t>Europe's privacy regulators jointly checked how well organisations answer people's requests to see their personal data. Most do reasonably well, especially big ones, but many lack proper procedures or put obstacles in people's way.</t>
        </is>
      </c>
      <c r="O146" s="7" t="inlineStr">
        <is>
          <t>2024; EEA</t>
        </is>
      </c>
      <c r="P146" s="7" t="inlineStr">
        <is>
          <t>Large official compliance exercise; mixed methods across DPAs, non-random samples, self-reported answers</t>
        </is>
      </c>
      <c r="Q146" s="7" t="inlineStr">
        <is>
          <t>Regulators assessing compliance with the law they enforce</t>
        </is>
      </c>
      <c r="R146" s="7" t="inlineStr">
        <is>
          <t>open</t>
        </is>
      </c>
      <c r="S146" s="7" t="inlineStr">
        <is>
          <t>abstract read</t>
        </is>
      </c>
      <c r="T146" s="7" t="inlineStr">
        <is>
          <t>2026-10-10</t>
        </is>
      </c>
      <c r="U146" s="7" t="inlineStr">
        <is>
          <t>https://www.edpb.europa.eu/our-work-tools/our-documents/other/coordinated-enforcement-action-implementation-right-access_en</t>
        </is>
      </c>
      <c r="V146" s="7" t="inlineStr">
        <is>
          <t>https://www.edpb.europa.eu/system/files/documents/2025-01/edpb_cef-report-2024_20250116_rightofaccess_en.pdf</t>
        </is>
      </c>
      <c r="W146" s="7" t="inlineStr"/>
    </row>
    <row r="147">
      <c r="A147" s="7" t="n">
        <v>20</v>
      </c>
      <c r="B147" s="7" t="inlineStr">
        <is>
          <t>General Data Protection Regulation</t>
        </is>
      </c>
      <c r="C147" s="7" t="inlineStr">
        <is>
          <t>evidence</t>
        </is>
      </c>
      <c r="D147" s="7" t="inlineStr">
        <is>
          <t>official</t>
        </is>
      </c>
      <c r="E147" s="7" t="inlineStr">
        <is>
          <t>2026-10 broadened search</t>
        </is>
      </c>
      <c r="F147" s="7" t="inlineStr">
        <is>
          <t>edpb-2024-cefdpo</t>
        </is>
      </c>
      <c r="G147" s="7" t="inlineStr">
        <is>
          <t>European Data Protection Board (2024), Coordinated Enforcement Action: Designation and Position of Data Protection Officers (CEF 2023 report), EDPB</t>
        </is>
      </c>
      <c r="H147" s="7" t="n">
        <v>2024</v>
      </c>
      <c r="I147" s="7" t="inlineStr">
        <is>
          <t>agency report</t>
        </is>
      </c>
      <c r="J147" s="7" t="inlineStr">
        <is>
          <t>coordinated investigations by 25 DPAs with more than 17,000 questionnaire replies from organisations and DPOs</t>
        </is>
      </c>
      <c r="K147" s="7" t="inlineStr">
        <is>
          <t>DPO designation, resources, independence, tasks</t>
        </is>
      </c>
      <c r="L147" s="7" t="inlineStr">
        <is>
          <t>mixed</t>
        </is>
      </c>
      <c r="M147" s="7" t="inlineStr">
        <is>
          <t>Based on more than 17,000 replies across the EEA five years after GDPR, most DPOs report adequate skills, defined tasks and being consulted, but 'too many' lack designation where mandatory, resources, independence or reporting lines to top management.</t>
        </is>
      </c>
      <c r="N147" s="7" t="inlineStr">
        <is>
          <t>Regulators surveyed over 17,000 organisations and their data protection officers. Most officers say they can do their job, but a sizeable group are missing, under-resourced or not independent.</t>
        </is>
      </c>
      <c r="O147" s="7" t="inlineStr">
        <is>
          <t>2023; EEA</t>
        </is>
      </c>
      <c r="P147" s="7" t="inlineStr">
        <is>
          <t>Very large official survey; self-reported, samples chosen by each DPA</t>
        </is>
      </c>
      <c r="Q147" s="7" t="inlineStr">
        <is>
          <t>Regulators assessing compliance with the law they enforce</t>
        </is>
      </c>
      <c r="R147" s="7" t="inlineStr">
        <is>
          <t>open</t>
        </is>
      </c>
      <c r="S147" s="7" t="inlineStr">
        <is>
          <t>abstract read</t>
        </is>
      </c>
      <c r="T147" s="7" t="inlineStr">
        <is>
          <t>2026-10-10</t>
        </is>
      </c>
      <c r="U147" s="7" t="inlineStr">
        <is>
          <t>https://www.edpb.europa.eu/our-work-tools/our-documents/other/coordinated-enforcement-action-designation-and-position-data_en</t>
        </is>
      </c>
      <c r="V147" s="7" t="inlineStr">
        <is>
          <t>https://www.edpb.europa.eu/system/files/documents/2024-01/edpb_report_20240116_cef_dpo_en.pdf</t>
        </is>
      </c>
      <c r="W147" s="7" t="inlineStr"/>
    </row>
    <row r="148">
      <c r="A148" s="7" t="n">
        <v>29</v>
      </c>
      <c r="B148" s="7" t="inlineStr">
        <is>
          <t>Company Law Directive</t>
        </is>
      </c>
      <c r="C148" s="7" t="inlineStr">
        <is>
          <t>ex-ante assessment</t>
        </is>
      </c>
      <c r="D148" s="7" t="inlineStr">
        <is>
          <t>official</t>
        </is>
      </c>
      <c r="E148" s="7" t="inlineStr">
        <is>
          <t>initial review</t>
        </is>
      </c>
      <c r="F148" s="7" t="inlineStr">
        <is>
          <t>ec-2018-companylaw-package-ia</t>
        </is>
      </c>
      <c r="G148" s="7" t="inlineStr">
        <is>
          <t>European Commission (2018), Impact Assessment on the EU Company Law package (digital tools; cross-border conversions, mergers and divisions), executive summary, SWD(2018) 142 (full IA SWD(2018) 141)</t>
        </is>
      </c>
      <c r="H148" s="7" t="n">
        <v>2018</v>
      </c>
      <c r="I148" s="7" t="inlineStr">
        <is>
          <t>Commission impact assessment</t>
        </is>
      </c>
      <c r="J148" s="7" t="inlineStr">
        <is>
          <t>ex-ante</t>
        </is>
      </c>
      <c r="K148" s="7" t="inlineStr">
        <is>
          <t>registration costs; cross-border operations; SMEs</t>
        </is>
      </c>
      <c r="L148" s="7" t="inlineStr">
        <is>
          <t>positive (forecast)</t>
        </is>
      </c>
      <c r="M148" s="7" t="inlineStr">
        <is>
          <t>Online registration expected to save new companies EUR 42-84m; harmonised cross-border conversion and division rules expected to benefit especially SMEs</t>
        </is>
      </c>
      <c r="N148" s="7" t="inlineStr">
        <is>
          <t>For the 2019 amendments the Commission forecast EUR 42-84 million in savings from registering companies online and easier cross-border moves for small firms.</t>
        </is>
      </c>
      <c r="O148" s="7" t="inlineStr">
        <is>
          <t>EU, forecast</t>
        </is>
      </c>
      <c r="P148" s="7" t="inlineStr">
        <is>
          <t>forecast</t>
        </is>
      </c>
      <c r="Q148" s="7" t="inlineStr"/>
      <c r="R148" s="7" t="inlineStr">
        <is>
          <t>open</t>
        </is>
      </c>
      <c r="S148" s="7" t="inlineStr">
        <is>
          <t>full text read (executive summary)</t>
        </is>
      </c>
      <c r="T148" s="7" t="inlineStr">
        <is>
          <t>2026-10-10</t>
        </is>
      </c>
      <c r="U148" s="7" t="inlineStr">
        <is>
          <t>https://eur-lex.europa.eu/legal-content/EN/TXT/?uri=CELEX:52018SC0142</t>
        </is>
      </c>
      <c r="V148" s="7" t="inlineStr"/>
      <c r="W148" s="7" t="inlineStr">
        <is>
          <t>http://web.archive.org/web/20251126004631/https://eur-lex.europa.eu/legal-content/EN/TXT/?uri=celex%3A52018SC0142</t>
        </is>
      </c>
    </row>
    <row r="149">
      <c r="A149" s="7" t="n">
        <v>29</v>
      </c>
      <c r="B149" s="7" t="inlineStr">
        <is>
          <t>Company Law Directive</t>
        </is>
      </c>
      <c r="C149" s="7" t="inlineStr">
        <is>
          <t>ex-ante assessment</t>
        </is>
      </c>
      <c r="D149" s="7" t="inlineStr">
        <is>
          <t>official</t>
        </is>
      </c>
      <c r="E149" s="7" t="inlineStr">
        <is>
          <t>initial review</t>
        </is>
      </c>
      <c r="F149" s="7" t="inlineStr">
        <is>
          <t>ec-2023-companylaw-digital-ia</t>
        </is>
      </c>
      <c r="G149" s="7" t="inlineStr">
        <is>
          <t>European Commission (2023), Impact Assessment on further expanding and upgrading digital tools in company law, executive summary, SWD(2023) 179 (full IA SWD(2023) 178)</t>
        </is>
      </c>
      <c r="H149" s="7" t="n">
        <v>2023</v>
      </c>
      <c r="I149" s="7" t="inlineStr">
        <is>
          <t>Commission impact assessment</t>
        </is>
      </c>
      <c r="J149" s="7" t="inlineStr">
        <is>
          <t>ex-ante</t>
        </is>
      </c>
      <c r="K149" s="7" t="inlineStr">
        <is>
          <t>administrative burden; company data transparency</t>
        </is>
      </c>
      <c r="L149" s="7" t="inlineStr">
        <is>
          <t>positive (forecast)</t>
        </is>
      </c>
      <c r="M149" s="7" t="inlineStr">
        <is>
          <t>Recurrent savings of about EUR 437m a year for companies operating cross-border; one-off costs of about EUR 311m for companies newly filing data; EUR 5.4m one-off for registers</t>
        </is>
      </c>
      <c r="N149" s="7" t="inlineStr">
        <is>
          <t>For the 2025 amendment the Commission forecast about EUR 437 million a year in savings for firms doing business across borders.</t>
        </is>
      </c>
      <c r="O149" s="7" t="inlineStr">
        <is>
          <t>EU, forecast</t>
        </is>
      </c>
      <c r="P149" s="7" t="inlineStr">
        <is>
          <t>forecast</t>
        </is>
      </c>
      <c r="Q149" s="7" t="inlineStr"/>
      <c r="R149" s="7" t="inlineStr">
        <is>
          <t>open</t>
        </is>
      </c>
      <c r="S149" s="7" t="inlineStr">
        <is>
          <t>full text read (executive summary)</t>
        </is>
      </c>
      <c r="T149" s="7" t="inlineStr">
        <is>
          <t>2026-10-10</t>
        </is>
      </c>
      <c r="U149" s="7" t="inlineStr">
        <is>
          <t>https://eur-lex.europa.eu/legal-content/EN/TXT/?uri=CELEX:52023SC0179</t>
        </is>
      </c>
      <c r="V149" s="7" t="inlineStr"/>
      <c r="W149" s="7" t="inlineStr">
        <is>
          <t>http://web.archive.org/web/20240626211949/https://eur-lex.europa.eu/legal-content/EN/TXT/?uri=celex%3A52023SC0179</t>
        </is>
      </c>
    </row>
    <row r="150">
      <c r="A150" s="7" t="n">
        <v>29</v>
      </c>
      <c r="B150" s="7" t="inlineStr">
        <is>
          <t>Company Law Directive</t>
        </is>
      </c>
      <c r="C150" s="7" t="inlineStr">
        <is>
          <t>evidence</t>
        </is>
      </c>
      <c r="D150" s="7" t="inlineStr">
        <is>
          <t>academic</t>
        </is>
      </c>
      <c r="E150" s="7" t="inlineStr">
        <is>
          <t>initial review</t>
        </is>
      </c>
      <c r="F150" s="7" t="inlineStr">
        <is>
          <t>biermeyer-meyer-2019-mobility</t>
        </is>
      </c>
      <c r="G150" s="7" t="inlineStr">
        <is>
          <t>Biermeyer &amp; Meyer (2019), Cross-border Corporate Mobility in the EU: Empirical Findings 2019 (Vol. 1), Maastricht University / SSRN 3403791</t>
        </is>
      </c>
      <c r="H150" s="7" t="n">
        <v>2019</v>
      </c>
      <c r="I150" s="7" t="inlineStr">
        <is>
          <t>working paper / data report</t>
        </is>
      </c>
      <c r="J150" s="7" t="inlineStr">
        <is>
          <t>descriptive (case counts from registers and official journals)</t>
        </is>
      </c>
      <c r="K150" s="7" t="inlineStr">
        <is>
          <t>cross-border mergers; conversions; seat transfers</t>
        </is>
      </c>
      <c r="L150" s="7" t="inlineStr">
        <is>
          <t>n/a</t>
        </is>
      </c>
      <c r="M150" s="7" t="inlineStr">
        <is>
          <t>2000-2019: 4,305 cross-border mergers, 553 conversions, 158 SE seat transfers, 19 divisions; heavily concentrated in Germany, the Netherlands and Luxembourg, suggesting incomplete integration</t>
        </is>
      </c>
      <c r="N150" s="7" t="inlineStr">
        <is>
          <t>Researchers counted about 8,400 cross-border company moves between 2000 and 2019, concentrated in a few countries, a baseline for judging the 2019 mobility rules.</t>
        </is>
      </c>
      <c r="O150" s="7" t="inlineStr">
        <is>
          <t>EU/EEA, 2000-2019</t>
        </is>
      </c>
      <c r="P150" s="7" t="inlineStr">
        <is>
          <t>descriptive baseline; pre-dates 2019 amendments</t>
        </is>
      </c>
      <c r="Q150" s="7" t="inlineStr"/>
      <c r="R150" s="7" t="inlineStr">
        <is>
          <t>open</t>
        </is>
      </c>
      <c r="S150" s="7" t="inlineStr">
        <is>
          <t>page summary via search</t>
        </is>
      </c>
      <c r="T150" s="7" t="inlineStr">
        <is>
          <t>2026-10-10</t>
        </is>
      </c>
      <c r="U150" s="7" t="inlineStr">
        <is>
          <t>https://papers.ssrn.com/abstract=3403791</t>
        </is>
      </c>
      <c r="V150" s="7" t="inlineStr"/>
      <c r="W150" s="7" t="inlineStr"/>
    </row>
    <row r="151">
      <c r="A151" s="7" t="n">
        <v>29</v>
      </c>
      <c r="B151" s="7" t="inlineStr">
        <is>
          <t>Company Law Directive</t>
        </is>
      </c>
      <c r="C151" s="7" t="inlineStr">
        <is>
          <t>evidence</t>
        </is>
      </c>
      <c r="D151" s="7" t="inlineStr">
        <is>
          <t>academic</t>
        </is>
      </c>
      <c r="E151" s="7" t="inlineStr">
        <is>
          <t>2026-10 broadened search</t>
        </is>
      </c>
      <c r="F151" s="7" t="inlineStr">
        <is>
          <t>biermeyer-2020-brexit-mobility</t>
        </is>
      </c>
      <c r="G151" s="7" t="inlineStr">
        <is>
          <t>Thomas Biermeyer; Marcus Meyer (2020), The use of corporate mobility instruments and Brexit: An empirical analysis, European Company Law 17(1): 15-20</t>
        </is>
      </c>
      <c r="H151" s="7" t="n">
        <v>2020</v>
      </c>
      <c r="I151" s="7" t="inlineStr">
        <is>
          <t>peer-reviewed article</t>
        </is>
      </c>
      <c r="J151" s="7" t="inlineStr">
        <is>
          <t>descriptive analysis of a hand-collected dataset of cross-border mergers and SE seat transfers out of the UK, 1 January 2017 to 30 November 2019</t>
        </is>
      </c>
      <c r="K151" s="7" t="inlineStr">
        <is>
          <t>use of cross-border merger (Directive 2017/1132 Title II Ch. II) and SE seat-transfer instruments to relocate from the UK</t>
        </is>
      </c>
      <c r="L151" s="7" t="inlineStr">
        <is>
          <t>descriptive</t>
        </is>
      </c>
      <c r="M151" s="7" t="inlineStr">
        <is>
          <t>Between January 2017 and November 2019, UK companies used cross-border mergers and SE seat transfers to move to other EU Member States, mainly in the financial sector but also in other sectors.</t>
        </is>
      </c>
      <c r="N151" s="7" t="inlineStr">
        <is>
          <t>Before Brexit, some UK companies used the EU's company-law tools for cross-border mergers to move into the EU. Most were financial firms, showing these legal routes were actually used when firms needed them.</t>
        </is>
      </c>
      <c r="O151" s="7" t="inlineStr">
        <is>
          <t>UK to EU/EEA, 2017 to November 2019</t>
        </is>
      </c>
      <c r="P151" s="7" t="inlineStr">
        <is>
          <t>Descriptive counts of instrument use, no counterfactual; concerns the cross-border merger rules codified in Directive 2017/1132. Abstract gives no counts. Same authors as the listed 2019 report but a separate article.</t>
        </is>
      </c>
      <c r="Q151" s="7" t="inlineStr"/>
      <c r="R151" s="7" t="inlineStr">
        <is>
          <t>paywalled</t>
        </is>
      </c>
      <c r="S151" s="7" t="inlineStr">
        <is>
          <t>abstract read</t>
        </is>
      </c>
      <c r="T151" s="7" t="inlineStr">
        <is>
          <t>2026-10-10</t>
        </is>
      </c>
      <c r="U151" s="7" t="inlineStr">
        <is>
          <t>https://doi.org/10.54648/EUCL2020003</t>
        </is>
      </c>
      <c r="V151" s="7" t="inlineStr"/>
      <c r="W151" s="7" t="inlineStr"/>
    </row>
    <row r="152">
      <c r="A152" s="7" t="n">
        <v>112</v>
      </c>
      <c r="B152" s="7" t="inlineStr">
        <is>
          <t>Portability Regulation</t>
        </is>
      </c>
      <c r="C152" s="7" t="inlineStr">
        <is>
          <t>ex-ante assessment</t>
        </is>
      </c>
      <c r="D152" s="7" t="inlineStr">
        <is>
          <t>official</t>
        </is>
      </c>
      <c r="E152" s="7" t="inlineStr">
        <is>
          <t>initial review</t>
        </is>
      </c>
      <c r="F152" s="7" t="inlineStr">
        <is>
          <t>ec-2015-portability-ia</t>
        </is>
      </c>
      <c r="G152" s="7" t="inlineStr">
        <is>
          <t>European Commission (2015), Impact Assessment accompanying the proposal for a Regulation to ensure the cross-border portability of online content services in the internal market, SWD(2015) 270</t>
        </is>
      </c>
      <c r="H152" s="7" t="n">
        <v>2015</v>
      </c>
      <c r="I152" s="7" t="inlineStr">
        <is>
          <t>Commission impact assessment</t>
        </is>
      </c>
      <c r="J152" s="7" t="inlineStr">
        <is>
          <t>ex-ante (survey-based demand estimate)</t>
        </is>
      </c>
      <c r="K152" s="7" t="inlineStr">
        <is>
          <t>consumer access; demand for portability</t>
        </is>
      </c>
      <c r="L152" s="7" t="inlineStr">
        <is>
          <t>positive (forecast)</t>
        </is>
      </c>
      <c r="M152" s="7" t="inlineStr">
        <is>
          <t>Estimated 29 million potential users of portability of paid subscriptions (5.7% of EU consumers), forecast to reach about 72 million (14%) by 2020; costs for providers expected to be limited</t>
        </is>
      </c>
      <c r="N152" s="7" t="inlineStr">
        <is>
          <t>The Commission estimated that around 29 million Europeans could benefit from taking their paid streaming subscriptions abroad, rising to about 72 million by 2020.</t>
        </is>
      </c>
      <c r="O152" s="7" t="inlineStr">
        <is>
          <t>EU28, forecast</t>
        </is>
      </c>
      <c r="P152" s="7" t="inlineStr">
        <is>
          <t>forecast</t>
        </is>
      </c>
      <c r="Q152" s="7" t="inlineStr"/>
      <c r="R152" s="7" t="inlineStr">
        <is>
          <t>open</t>
        </is>
      </c>
      <c r="S152" s="7" t="inlineStr">
        <is>
          <t>full text read</t>
        </is>
      </c>
      <c r="T152" s="7" t="inlineStr">
        <is>
          <t>2026-10-10</t>
        </is>
      </c>
      <c r="U152" s="7" t="inlineStr">
        <is>
          <t>https://eur-lex.europa.eu/legal-content/EN/TXT/?uri=CELEX:52015SC0270</t>
        </is>
      </c>
      <c r="V152" s="7" t="inlineStr">
        <is>
          <t>https://ec.europa.eu/newsroom/dae/redirection/document/87793</t>
        </is>
      </c>
      <c r="W152" s="7" t="inlineStr"/>
    </row>
    <row r="153">
      <c r="A153" s="7" t="n">
        <v>112</v>
      </c>
      <c r="B153" s="7" t="inlineStr">
        <is>
          <t>Portability Regulation</t>
        </is>
      </c>
      <c r="C153" s="7" t="inlineStr">
        <is>
          <t>evidence</t>
        </is>
      </c>
      <c r="D153" s="7" t="inlineStr">
        <is>
          <t>official</t>
        </is>
      </c>
      <c r="E153" s="7" t="inlineStr">
        <is>
          <t>initial review</t>
        </is>
      </c>
      <c r="F153" s="7" t="inlineStr">
        <is>
          <t>ec-2022-portability-report</t>
        </is>
      </c>
      <c r="G153" s="7" t="inlineStr">
        <is>
          <t>European Commission (2022), Report on the application of Regulation (EU) 2017/1128 on cross-border portability of online content services in the internal market, SWD(2022) 173</t>
        </is>
      </c>
      <c r="H153" s="7" t="n">
        <v>2022</v>
      </c>
      <c r="I153" s="7" t="inlineStr">
        <is>
          <t>Commission review report</t>
        </is>
      </c>
      <c r="J153" s="7" t="inlineStr">
        <is>
          <t>review (synthesis of survey, Eurobarometer and stakeholder evidence)</t>
        </is>
      </c>
      <c r="K153" s="7" t="inlineStr">
        <is>
          <t>consumer use and satisfaction; provider compliance; rightholder revenues</t>
        </is>
      </c>
      <c r="L153" s="7" t="inlineStr">
        <is>
          <t>positive</t>
        </is>
      </c>
      <c r="M153" s="7" t="inlineStr">
        <is>
          <t>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is>
      </c>
      <c r="N153" s="7" t="inlineStr">
        <is>
          <t>The Commission's 2022 review concluded the rules work well: about a third of subscribers had used their services abroad, few complained, and rightholders reported no significant revenue loss, though some providers still restrict portability.</t>
        </is>
      </c>
      <c r="O153" s="7" t="inlineStr">
        <is>
          <t>EU, 2018-2021</t>
        </is>
      </c>
      <c r="P153" s="7" t="inlineStr">
        <is>
          <t>descriptive; no counterfactual</t>
        </is>
      </c>
      <c r="Q153" s="7" t="inlineStr"/>
      <c r="R153" s="7" t="inlineStr">
        <is>
          <t>open</t>
        </is>
      </c>
      <c r="S153" s="7" t="inlineStr">
        <is>
          <t>full text read</t>
        </is>
      </c>
      <c r="T153" s="7" t="inlineStr">
        <is>
          <t>2026-10-10</t>
        </is>
      </c>
      <c r="U153" s="7" t="inlineStr">
        <is>
          <t>https://eur-lex.europa.eu/legal-content/EN/TXT/?uri=CELEX:52022SC0173</t>
        </is>
      </c>
      <c r="V153" s="7" t="inlineStr">
        <is>
          <t>https://ec.europa.eu/newsroom/dae/redirection/document/87791</t>
        </is>
      </c>
      <c r="W153" s="7" t="inlineStr"/>
    </row>
    <row r="154">
      <c r="A154" s="7" t="n">
        <v>112</v>
      </c>
      <c r="B154" s="7" t="inlineStr">
        <is>
          <t>Portability Regulation</t>
        </is>
      </c>
      <c r="C154" s="7" t="inlineStr">
        <is>
          <t>evidence</t>
        </is>
      </c>
      <c r="D154" s="7" t="inlineStr">
        <is>
          <t>official</t>
        </is>
      </c>
      <c r="E154" s="7" t="inlineStr">
        <is>
          <t>initial review</t>
        </is>
      </c>
      <c r="F154" s="7" t="inlineStr">
        <is>
          <t>visionary-analytics-2022-portability</t>
        </is>
      </c>
      <c r="G154" s="7" t="inlineStr">
        <is>
          <t>Visionary Analytics with Kantar Public (for DG CNECT) (2022), Study on the Portability Regulation - Final report (SMART 2019/0024), European Commission, DG CNECT</t>
        </is>
      </c>
      <c r="H154" s="7" t="n">
        <v>2022</v>
      </c>
      <c r="I154" s="7" t="inlineStr">
        <is>
          <t>Commission-commissioned study</t>
        </is>
      </c>
      <c r="J154" s="7" t="inlineStr">
        <is>
          <t>surveys (62 providers, 40 consumer bodies), mystery shopping of 39 services, 63 interviews, case studies</t>
        </is>
      </c>
      <c r="K154" s="7" t="inlineStr">
        <is>
          <t>compliance; provider costs; rightholder impacts</t>
        </is>
      </c>
      <c r="L154" s="7" t="inlineStr">
        <is>
          <t>positive</t>
        </is>
      </c>
      <c r="M154" s="7" t="inlineStr">
        <is>
          <t>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is>
      </c>
      <c r="N154" s="7" t="inlineStr">
        <is>
          <t>An evaluation study for the Commission found most services comply at small cost, but ten limit how long subscribers can use them abroad and some small providers ignore the rules.</t>
        </is>
      </c>
      <c r="O154" s="7" t="inlineStr">
        <is>
          <t>EU/EEA, 2020-2021</t>
        </is>
      </c>
      <c r="P154" s="7" t="inlineStr">
        <is>
          <t>descriptive survey; self-reported costs</t>
        </is>
      </c>
      <c r="Q154" s="7" t="inlineStr"/>
      <c r="R154" s="7" t="inlineStr">
        <is>
          <t>open</t>
        </is>
      </c>
      <c r="S154" s="7" t="inlineStr">
        <is>
          <t>full text read (abstract and summary sections)</t>
        </is>
      </c>
      <c r="T154" s="7" t="inlineStr">
        <is>
          <t>2026-10-10</t>
        </is>
      </c>
      <c r="U154" s="7" t="inlineStr">
        <is>
          <t>https://ec.europa.eu/newsroom/dae/redirection/document/87794</t>
        </is>
      </c>
      <c r="V154" s="7" t="inlineStr"/>
      <c r="W154" s="7" t="inlineStr"/>
    </row>
    <row r="155">
      <c r="A155" s="7" t="n">
        <v>112</v>
      </c>
      <c r="B155" s="7" t="inlineStr">
        <is>
          <t>Portability Regulation</t>
        </is>
      </c>
      <c r="C155" s="7" t="inlineStr">
        <is>
          <t>evidence</t>
        </is>
      </c>
      <c r="D155" s="7" t="inlineStr">
        <is>
          <t>other</t>
        </is>
      </c>
      <c r="E155" s="7" t="inlineStr">
        <is>
          <t>initial review</t>
        </is>
      </c>
      <c r="F155" s="7" t="inlineStr">
        <is>
          <t>eurobarometer-477a-2019</t>
        </is>
      </c>
      <c r="G155" s="7" t="inlineStr">
        <is>
          <t>European Commission (Kantar) (2019), Flash Eurobarometer 477a: Accessing content online and cross-border portability of online content services, Flash Eurobarometer 477a</t>
        </is>
      </c>
      <c r="H155" s="7" t="n">
        <v>2019</v>
      </c>
      <c r="I155" s="7" t="inlineStr">
        <is>
          <t>survey</t>
        </is>
      </c>
      <c r="J155" s="7" t="inlineStr">
        <is>
          <t>representative survey (fieldwork Feb 2019)</t>
        </is>
      </c>
      <c r="K155" s="7" t="inlineStr">
        <is>
          <t>awareness; use; satisfaction</t>
        </is>
      </c>
      <c r="L155" s="7" t="inlineStr">
        <is>
          <t>positive</t>
        </is>
      </c>
      <c r="M155" s="7" t="inlineStr">
        <is>
          <t>52% aware of portability; 32% of subscribers had tried to access services while in another Member State; 58% of users satisfied</t>
        </is>
      </c>
      <c r="N155" s="7" t="inlineStr">
        <is>
          <t>A 2019 EU-wide survey found half of Europeans knew about the portability right and most of those who used it were satisfied.</t>
        </is>
      </c>
      <c r="O155" s="7" t="inlineStr">
        <is>
          <t>EU28, Feb 2019</t>
        </is>
      </c>
      <c r="P155" s="7" t="inlineStr">
        <is>
          <t>representative survey; one wave only</t>
        </is>
      </c>
      <c r="Q155" s="7" t="inlineStr"/>
      <c r="R155" s="7" t="inlineStr">
        <is>
          <t>open</t>
        </is>
      </c>
      <c r="S155" s="7" t="inlineStr">
        <is>
          <t>page summary via Commission report (figures as cited in SWD(2022) 173)</t>
        </is>
      </c>
      <c r="T155" s="7" t="inlineStr">
        <is>
          <t>2026-10-10</t>
        </is>
      </c>
      <c r="U155" s="7" t="inlineStr">
        <is>
          <t>https://ec.europa.eu/newsroom/dae/redirection/document/87795</t>
        </is>
      </c>
      <c r="V155" s="7" t="inlineStr"/>
      <c r="W155" s="7" t="inlineStr"/>
    </row>
    <row r="156">
      <c r="A156" s="7" t="n">
        <v>112</v>
      </c>
      <c r="B156" s="7" t="inlineStr">
        <is>
          <t>Portability Regulation</t>
        </is>
      </c>
      <c r="C156" s="7" t="inlineStr">
        <is>
          <t>evidence</t>
        </is>
      </c>
      <c r="D156" s="7" t="inlineStr">
        <is>
          <t>official</t>
        </is>
      </c>
      <c r="E156" s="7" t="inlineStr">
        <is>
          <t>initial review</t>
        </is>
      </c>
      <c r="F156" s="7" t="inlineStr">
        <is>
          <t>eao-2019-portability-free</t>
        </is>
      </c>
      <c r="G156" s="7" t="inlineStr">
        <is>
          <t>European Audiovisual Observatory (2019), First feedback from the implementation of the Portability Regulation by free online video services, European Audiovisual Observatory (Council of Europe)</t>
        </is>
      </c>
      <c r="H156" s="7" t="n">
        <v>2019</v>
      </c>
      <c r="I156" s="7" t="inlineStr">
        <is>
          <t>report (intergovernmental body)</t>
        </is>
      </c>
      <c r="J156" s="7" t="inlineStr">
        <is>
          <t>descriptive survey of free online video services</t>
        </is>
      </c>
      <c r="K156" s="7" t="inlineStr">
        <is>
          <t>voluntary uptake of portability by free services</t>
        </is>
      </c>
      <c r="L156" s="7" t="inlineStr">
        <is>
          <t>mixed</t>
        </is>
      </c>
      <c r="M156" s="7" t="inlineStr">
        <is>
          <t>Of 13 free online video services in the sample, 4 had implemented portability, 2 were implementing and 7 considering; uptake led by public broadcasters; mandatory login and verification costs deter others</t>
        </is>
      </c>
      <c r="N156" s="7" t="inlineStr">
        <is>
          <t>Few free streaming services (mostly public broadcasters) had chosen to offer portability by 2019, citing login and verification costs.</t>
        </is>
      </c>
      <c r="O156" s="7" t="inlineStr">
        <is>
          <t>Europe, 2019</t>
        </is>
      </c>
      <c r="P156" s="7" t="inlineStr">
        <is>
          <t>small sample; descriptive</t>
        </is>
      </c>
      <c r="Q156" s="7" t="inlineStr"/>
      <c r="R156" s="7" t="inlineStr">
        <is>
          <t>open</t>
        </is>
      </c>
      <c r="S156" s="7" t="inlineStr">
        <is>
          <t>full text read (conclusions)</t>
        </is>
      </c>
      <c r="T156" s="7" t="inlineStr">
        <is>
          <t>2026-10-10</t>
        </is>
      </c>
      <c r="U156" s="7" t="inlineStr">
        <is>
          <t>https://ec.europa.eu/newsroom/dae/redirection/document/87790</t>
        </is>
      </c>
      <c r="V156" s="7" t="inlineStr"/>
      <c r="W156" s="7" t="inlineStr"/>
    </row>
    <row r="157">
      <c r="A157" s="7" t="n">
        <v>31</v>
      </c>
      <c r="B157" s="7" t="inlineStr">
        <is>
          <t>Consumer Protection Cooperation Regulation</t>
        </is>
      </c>
      <c r="C157" s="7" t="inlineStr">
        <is>
          <t>ex-ante assessment</t>
        </is>
      </c>
      <c r="D157" s="7" t="inlineStr">
        <is>
          <t>official</t>
        </is>
      </c>
      <c r="E157" s="7" t="inlineStr">
        <is>
          <t>initial review</t>
        </is>
      </c>
      <c r="F157" s="7" t="inlineStr">
        <is>
          <t>ec-2016-cpc-ia</t>
        </is>
      </c>
      <c r="G157" s="7" t="inlineStr">
        <is>
          <t>European Commission (2016), Impact Assessment accompanying the proposal for a Regulation on cooperation between national authorities responsible for the enforcement of consumer protection laws, SWD(2016) 164</t>
        </is>
      </c>
      <c r="H157" s="7" t="n">
        <v>2016</v>
      </c>
      <c r="I157" s="7" t="inlineStr">
        <is>
          <t>Commission impact assessment</t>
        </is>
      </c>
      <c r="J157" s="7" t="inlineStr">
        <is>
          <t>ex-ante</t>
        </is>
      </c>
      <c r="K157" s="7" t="inlineStr">
        <is>
          <t>consumer detriment; non-compliance; enforcement efficiency</t>
        </is>
      </c>
      <c r="L157" s="7" t="inlineStr">
        <is>
          <t>positive (forecast)</t>
        </is>
      </c>
      <c r="M157" s="7" t="inlineStr">
        <is>
          <t>Average non-compliance of 37% in website screenings; consumer detriment of about EUR 770m in five cross-border online sectors; reform expected to reduce non-compliance and detriment</t>
        </is>
      </c>
      <c r="N157" s="7" t="inlineStr">
        <is>
          <t>The Commission found more than a third of websites checked broke consumer law, costing consumers about EUR 770 million in five online markets, and expected stronger joint enforcement to cut this.</t>
        </is>
      </c>
      <c r="O157" s="7" t="inlineStr">
        <is>
          <t>EU, forecast</t>
        </is>
      </c>
      <c r="P157" s="7" t="inlineStr">
        <is>
          <t>forecast</t>
        </is>
      </c>
      <c r="Q157" s="7" t="inlineStr"/>
      <c r="R157" s="7" t="inlineStr">
        <is>
          <t>open</t>
        </is>
      </c>
      <c r="S157" s="7" t="inlineStr">
        <is>
          <t>full text read (relevant sections)</t>
        </is>
      </c>
      <c r="T157" s="7" t="inlineStr">
        <is>
          <t>2026-10-10</t>
        </is>
      </c>
      <c r="U157" s="7" t="inlineStr">
        <is>
          <t>https://eur-lex.europa.eu/legal-content/EN/TXT/?uri=CELEX:52016SC0164</t>
        </is>
      </c>
      <c r="V157" s="7" t="inlineStr"/>
      <c r="W157" s="7" t="inlineStr">
        <is>
          <t>http://web.archive.org/web/20251122032342/https://eur-lex.europa.eu/legal-content/EN/TXT/?uri=celex%3A52016SC0164</t>
        </is>
      </c>
    </row>
    <row r="158">
      <c r="A158" s="7" t="n">
        <v>31</v>
      </c>
      <c r="B158" s="7" t="inlineStr">
        <is>
          <t>Consumer Protection Cooperation Regulation</t>
        </is>
      </c>
      <c r="C158" s="7" t="inlineStr">
        <is>
          <t>evidence</t>
        </is>
      </c>
      <c r="D158" s="7" t="inlineStr">
        <is>
          <t>official</t>
        </is>
      </c>
      <c r="E158" s="7" t="inlineStr">
        <is>
          <t>initial review</t>
        </is>
      </c>
      <c r="F158" s="7" t="inlineStr">
        <is>
          <t>ec-2024-cpc-report</t>
        </is>
      </c>
      <c r="G158" s="7" t="inlineStr">
        <is>
          <t>European Commission (2024), Report on the application of Regulation (EU) 2017/2394 on consumer protection cooperation, COM(2024) 311</t>
        </is>
      </c>
      <c r="H158" s="7" t="n">
        <v>2024</v>
      </c>
      <c r="I158" s="7" t="inlineStr">
        <is>
          <t>Commission evaluation</t>
        </is>
      </c>
      <c r="J158" s="7" t="inlineStr">
        <is>
          <t>application report (supporting study: surveys of authorities, alert entities and targeted traders)</t>
        </is>
      </c>
      <c r="K158" s="7" t="inlineStr">
        <is>
          <t>enforcement; coordinated actions; sweeps</t>
        </is>
      </c>
      <c r="L158" s="7" t="inlineStr">
        <is>
          <t>mixed</t>
        </is>
      </c>
      <c r="M158" s="7" t="inlineStr">
        <is>
          <t>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is>
      </c>
      <c r="N158" s="7" t="inlineStr">
        <is>
          <t>The Commission's review says joint enforcement against big traders works better than 27 separate actions, but procedures are slow, national resources uneven, and rule-breaking online remains widespread.</t>
        </is>
      </c>
      <c r="O158" s="7" t="inlineStr">
        <is>
          <t>EU, 2020-2023</t>
        </is>
      </c>
      <c r="P158" s="7" t="inlineStr">
        <is>
          <t>Commission self-assessment; stakeholder-based</t>
        </is>
      </c>
      <c r="Q158" s="7" t="inlineStr"/>
      <c r="R158" s="7" t="inlineStr">
        <is>
          <t>open</t>
        </is>
      </c>
      <c r="S158" s="7" t="inlineStr">
        <is>
          <t>full text read (relevant sections)</t>
        </is>
      </c>
      <c r="T158" s="7" t="inlineStr">
        <is>
          <t>2026-10-10</t>
        </is>
      </c>
      <c r="U158" s="7" t="inlineStr">
        <is>
          <t>https://eur-lex.europa.eu/legal-content/EN/TXT/?uri=CELEX:52024DC0311</t>
        </is>
      </c>
      <c r="V158" s="7" t="inlineStr"/>
      <c r="W158" s="7" t="inlineStr">
        <is>
          <t>http://web.archive.org/web/20260307124236/https://eur-lex.europa.eu/legal-content/en/TXT/?uri=CELEX:52024DC0311</t>
        </is>
      </c>
    </row>
    <row r="159">
      <c r="A159" s="7" t="n">
        <v>31</v>
      </c>
      <c r="B159" s="7" t="inlineStr">
        <is>
          <t>Consumer Protection Cooperation Regulation</t>
        </is>
      </c>
      <c r="C159" s="7" t="inlineStr">
        <is>
          <t>evidence</t>
        </is>
      </c>
      <c r="D159" s="7" t="inlineStr">
        <is>
          <t>official</t>
        </is>
      </c>
      <c r="E159" s="7" t="inlineStr">
        <is>
          <t>2026-10 broadened search</t>
        </is>
      </c>
      <c r="F159" s="7" t="inlineStr">
        <is>
          <t>ec-2025-cpcsweeps</t>
        </is>
      </c>
      <c r="G159" s="7" t="inlineStr">
        <is>
          <t>European Commission and national CPC authorities (2025), Sweeps (coordinated screening actions under the CPC Regulation), 2020-2025 results, European Commission, consumer protection enforcement web page</t>
        </is>
      </c>
      <c r="H159" s="7" t="n">
        <v>2025</v>
      </c>
      <c r="I159" s="7" t="inlineStr">
        <is>
          <t>agency report</t>
        </is>
      </c>
      <c r="J159" s="7" t="inlineStr">
        <is>
          <t>coordinated compliance audits ('sweeps') of websites by CPC authorities: e.g. 223 review sites (2021), 399 web shops for dark patterns (2022), 16,000 products/176 sites on Black Friday (2022), 576 influencers (2023), 356 second-hand traders (2024), 314 traders on price practices (2025)</t>
        </is>
      </c>
      <c r="K159" s="7" t="inlineStr">
        <is>
          <t>share of traders flagged as non-compliant with EU consumer law; cases earmarked for follow-up</t>
        </is>
      </c>
      <c r="L159" s="7" t="inlineStr">
        <is>
          <t>descriptive</t>
        </is>
      </c>
      <c r="M159" s="7" t="inlineStr">
        <is>
          <t>Sweeps repeatedly find high non-compliance: 55% of review websites (2021), 37% of web shops using dark patterns (2022), 97% of influencers posting commercial content but only 20% disclosing it (2023), and only 40% of traders fully complying with price-reduction rules on Black Friday 2025.</t>
        </is>
      </c>
      <c r="N159" s="7" t="inlineStr">
        <is>
          <t>Under the cooperation regulation, consumer authorities across Europe check hundreds of websites at once for breaches. The checks keep finding that a large share of online traders break the rules, and flag them for follow-up.</t>
        </is>
      </c>
      <c r="O159" s="7" t="inlineStr">
        <is>
          <t>2020-2025; EU/EEA</t>
        </is>
      </c>
      <c r="P159" s="7" t="inlineStr">
        <is>
          <t>Output and compliance monitoring of the CPC network, not an impact estimate; screening results before enforcement; Commission reporting on its own network</t>
        </is>
      </c>
      <c r="Q159" s="7" t="inlineStr">
        <is>
          <t>Commission coordinates the sweeps (reporting on its own network)</t>
        </is>
      </c>
      <c r="R159" s="7" t="inlineStr">
        <is>
          <t>open</t>
        </is>
      </c>
      <c r="S159" s="7" t="inlineStr">
        <is>
          <t>full text read</t>
        </is>
      </c>
      <c r="T159" s="7" t="inlineStr">
        <is>
          <t>2026-10-10</t>
        </is>
      </c>
      <c r="U159" s="7" t="inlineStr">
        <is>
          <t>https://commission.europa.eu/live-work-travel-eu/consumer-rights-and-complaints/enforcement-consumer-protection/sweeps_en</t>
        </is>
      </c>
      <c r="V159" s="7" t="inlineStr"/>
      <c r="W159" s="7" t="inlineStr"/>
    </row>
    <row r="160">
      <c r="A160" s="7" t="n">
        <v>31</v>
      </c>
      <c r="B160" s="7" t="inlineStr">
        <is>
          <t>Consumer Protection Cooperation Regulation</t>
        </is>
      </c>
      <c r="C160" s="7" t="inlineStr">
        <is>
          <t>evidence</t>
        </is>
      </c>
      <c r="D160" s="7" t="inlineStr">
        <is>
          <t>official</t>
        </is>
      </c>
      <c r="E160" s="7" t="inlineStr">
        <is>
          <t>2026-10 broadened search</t>
        </is>
      </c>
      <c r="F160" s="7" t="inlineStr">
        <is>
          <t>bundesregierung-2025-euvschdg-evaluation</t>
        </is>
      </c>
      <c r="G160" s="7" t="inlineStr">
        <is>
          <t>Bundesregierung (BMUV); external evaluation by AFC Public Services GmbH (O. Strecker, W. Voit) (2025), Bericht über die Anwendung des EU-Verbraucherschutzdurchführungsgesetzes durch Bundesbehörden (with AFC final evaluation report), Deutscher Bundestag Drucksache 20/14530, 8 January 2025</t>
        </is>
      </c>
      <c r="H160" s="7" t="n">
        <v>2025</v>
      </c>
      <c r="I160" s="7" t="inlineStr">
        <is>
          <t>official evaluation (national)</t>
        </is>
      </c>
      <c r="J160" s="7" t="inlineStr">
        <is>
          <t>external evaluation: case-statistics analysis of CPC requests 2007-2021, 31 stakeholder interviews, online survey and workshop</t>
        </is>
      </c>
      <c r="K160" s="7" t="inlineStr">
        <is>
          <t>CPC information and enforcement requests, alerts, procedures and outcomes in Germany</t>
        </is>
      </c>
      <c r="L160" s="7" t="inlineStr">
        <is>
          <t>positive</t>
        </is>
      </c>
      <c r="M160" s="7" t="inlineStr">
        <is>
          <t>Germany handled 382 CPC enforcement requests in 2007-2021 (about 25 a year); the evaluation finds the national CPC implementation effective, with early hearings by the Federal Environment Agency often ending infringements quickly.</t>
        </is>
      </c>
      <c r="N160" s="7" t="inlineStr">
        <is>
          <t>Germany's government had its handling of EU cross-border consumer enforcement evaluated and found the system works, with many cases settled quickly once companies are contacted.</t>
        </is>
      </c>
      <c r="O160" s="7" t="inlineStr">
        <is>
          <t>Germany, 2007-2021 (statistics) and 2020-2024 (qualitative)</t>
        </is>
      </c>
      <c r="P160" s="7" t="inlineStr">
        <is>
          <t>Descriptive national evaluation spanning both the 2006 and 2017 CPC Regulations; ministry assessing its own law.</t>
        </is>
      </c>
      <c r="Q160" s="7" t="inlineStr">
        <is>
          <t>Ministry evaluating its own implementation (contracted external evaluator)</t>
        </is>
      </c>
      <c r="R160" s="7" t="inlineStr">
        <is>
          <t>open</t>
        </is>
      </c>
      <c r="S160" s="7" t="inlineStr">
        <is>
          <t>full text read</t>
        </is>
      </c>
      <c r="T160" s="7" t="inlineStr">
        <is>
          <t>2026-10-10</t>
        </is>
      </c>
      <c r="U160" s="7" t="inlineStr">
        <is>
          <t>https://dserver.bundestag.de/btd/20/145/2014530.pdf</t>
        </is>
      </c>
      <c r="V160" s="7" t="inlineStr">
        <is>
          <t>https://dserver.bundestag.de/btd/20/145/2014530.pdf</t>
        </is>
      </c>
      <c r="W160" s="7" t="inlineStr"/>
    </row>
    <row r="161">
      <c r="A161" s="7" t="n">
        <v>31</v>
      </c>
      <c r="B161" s="7" t="inlineStr">
        <is>
          <t>Consumer Protection Cooperation Regulation</t>
        </is>
      </c>
      <c r="C161" s="7" t="inlineStr">
        <is>
          <t>evidence</t>
        </is>
      </c>
      <c r="D161" s="7" t="inlineStr">
        <is>
          <t>think tank</t>
        </is>
      </c>
      <c r="E161" s="7" t="inlineStr">
        <is>
          <t>2026-10 broadened search</t>
        </is>
      </c>
      <c r="F161" s="7" t="inlineStr">
        <is>
          <t>beuc-2022-cpc-external-alerts</t>
        </is>
      </c>
      <c r="G161" s="7" t="inlineStr">
        <is>
          <t>BEUC (The European Consumer Organisation) (2022), An unfinished journey: Consumer groups' experience of CPC external alerts two years on, BEUC report BEUC-X-2022-022</t>
        </is>
      </c>
      <c r="H161" s="7" t="n">
        <v>2022</v>
      </c>
      <c r="I161" s="7" t="inlineStr">
        <is>
          <t>think tank report</t>
        </is>
      </c>
      <c r="J161" s="7" t="inlineStr">
        <is>
          <t>case-based assessment of BEUC's four CPC external alerts filed since 2020</t>
        </is>
      </c>
      <c r="K161" s="7" t="inlineStr">
        <is>
          <t>outcomes and procedure of external alerts under the CPC Regulation</t>
        </is>
      </c>
      <c r="L161" s="7" t="inlineStr">
        <is>
          <t>mixed</t>
        </is>
      </c>
      <c r="M161" s="7" t="inlineStr">
        <is>
          <t>BEUC used the new external-alert tool four times in two years; its airline alert led to commitments from 16 airlines, but transparency and speed of follow-up remain weak.</t>
        </is>
      </c>
      <c r="N161" s="7" t="inlineStr">
        <is>
          <t>The EU consumer federation reviews how the new right to alert enforcement authorities worked in practice: it brought results such as airline refund commitments, but slowly and opaquely.</t>
        </is>
      </c>
      <c r="O161" s="7" t="inlineStr">
        <is>
          <t>EU, 2020-2022</t>
        </is>
      </c>
      <c r="P161" s="7" t="inlineStr">
        <is>
          <t>Case evidence from the organisation's own alerts; self-interested assessment.</t>
        </is>
      </c>
      <c r="Q161" s="7" t="inlineStr">
        <is>
          <t>Campaigning consumer organisation; user of the mechanism it evaluates; EU co-funded</t>
        </is>
      </c>
      <c r="R161" s="7" t="inlineStr">
        <is>
          <t>open</t>
        </is>
      </c>
      <c r="S161" s="7" t="inlineStr">
        <is>
          <t>full text read</t>
        </is>
      </c>
      <c r="T161" s="7" t="inlineStr">
        <is>
          <t>2026-10-10</t>
        </is>
      </c>
      <c r="U161" s="7" t="inlineStr">
        <is>
          <t>https://www.beuc.eu/sites/default/files/publications/beuc-x-2022-022_cpc_alert_report_an_unfinished_journey.pdf</t>
        </is>
      </c>
      <c r="V161" s="7" t="inlineStr">
        <is>
          <t>https://www.beuc.eu/sites/default/files/publications/beuc-x-2022-022_cpc_alert_report_an_unfinished_journey.pdf</t>
        </is>
      </c>
      <c r="W161" s="7" t="inlineStr"/>
    </row>
    <row r="162">
      <c r="A162" s="7" t="n">
        <v>32</v>
      </c>
      <c r="B162" s="7" t="inlineStr">
        <is>
          <t>European Electronic Communications Code</t>
        </is>
      </c>
      <c r="C162" s="7" t="inlineStr">
        <is>
          <t>ex-ante assessment</t>
        </is>
      </c>
      <c r="D162" s="7" t="inlineStr">
        <is>
          <t>official</t>
        </is>
      </c>
      <c r="E162" s="7" t="inlineStr">
        <is>
          <t>initial review</t>
        </is>
      </c>
      <c r="F162" s="7" t="inlineStr">
        <is>
          <t>ec-2016-eecc-ia</t>
        </is>
      </c>
      <c r="G162" s="7" t="inlineStr">
        <is>
          <t>European Commission (2016), Impact Assessment accompanying the proposals for a Directive establishing the European Electronic Communications Code and a BEREC Regulation (executive summary SWD(2016) 304), SWD(2016) 303</t>
        </is>
      </c>
      <c r="H162" s="7" t="n">
        <v>2016</v>
      </c>
      <c r="I162" s="7" t="inlineStr">
        <is>
          <t>Commission impact assessment</t>
        </is>
      </c>
      <c r="J162" s="7" t="inlineStr">
        <is>
          <t>ex-ante (macroeconomic model)</t>
        </is>
      </c>
      <c r="K162" s="7" t="inlineStr">
        <is>
          <t>GDP; employment; productivity; 5G benefits</t>
        </is>
      </c>
      <c r="L162" s="7" t="inlineStr">
        <is>
          <t>positive (forecast)</t>
        </is>
      </c>
      <c r="M162" s="7" t="inlineStr">
        <is>
          <t>If all preferred options implemented by 2020: cumulative +1.45% GDP and +0.18% employment by 2025, labour productivity +0.8% 2020-25; consistent spectrum assignment yields 5G benefits of EUR 146.5bn a year; institutional cost about EUR 208.5m</t>
        </is>
      </c>
      <c r="N162" s="7" t="inlineStr">
        <is>
          <t>The Commission forecast that the new telecoms code would lift EU GDP by 1.45% and jobs by 0.18% by 2025 by boosting investment in fast networks and 5G.</t>
        </is>
      </c>
      <c r="O162" s="7" t="inlineStr">
        <is>
          <t>EU, forecast to 2025</t>
        </is>
      </c>
      <c r="P162" s="7" t="inlineStr">
        <is>
          <t>model-based forecast 'with qualifications'</t>
        </is>
      </c>
      <c r="Q162" s="7" t="inlineStr"/>
      <c r="R162" s="7" t="inlineStr">
        <is>
          <t>open</t>
        </is>
      </c>
      <c r="S162" s="7" t="inlineStr">
        <is>
          <t>full text read</t>
        </is>
      </c>
      <c r="T162" s="7" t="inlineStr">
        <is>
          <t>2026-10-10</t>
        </is>
      </c>
      <c r="U162" s="7" t="inlineStr">
        <is>
          <t>https://eur-lex.europa.eu/legal-content/EN/TXT/?uri=CELEX:52016SC0304</t>
        </is>
      </c>
      <c r="V162" s="7" t="inlineStr"/>
      <c r="W162" s="7" t="inlineStr">
        <is>
          <t>http://web.archive.org/web/20240709232400/https://eur-lex.europa.eu/legal-content/EN/TXT/?uri=celex%3A52016SC0304</t>
        </is>
      </c>
    </row>
    <row r="163">
      <c r="A163" s="7" t="n">
        <v>32</v>
      </c>
      <c r="B163" s="7" t="inlineStr">
        <is>
          <t>European Electronic Communications Code</t>
        </is>
      </c>
      <c r="C163" s="7" t="inlineStr">
        <is>
          <t>evidence</t>
        </is>
      </c>
      <c r="D163" s="7" t="inlineStr">
        <is>
          <t>official</t>
        </is>
      </c>
      <c r="E163" s="7" t="inlineStr">
        <is>
          <t>initial review</t>
        </is>
      </c>
      <c r="F163" s="7" t="inlineStr">
        <is>
          <t>ec-2026-eecc-review</t>
        </is>
      </c>
      <c r="G163" s="7" t="inlineStr">
        <is>
          <t>European Commission (2026), Report on the functioning of the European Electronic Communications Code, Directive (EU) 2018/1972, COM(2026) 35 (Council doc. 5633/26)</t>
        </is>
      </c>
      <c r="H163" s="7" t="n">
        <v>2026</v>
      </c>
      <c r="I163" s="7" t="inlineStr">
        <is>
          <t>Commission evaluation</t>
        </is>
      </c>
      <c r="J163" s="7" t="inlineStr">
        <is>
          <t>ex-post review (Arts. 122-123)</t>
        </is>
      </c>
      <c r="K163" s="7" t="inlineStr">
        <is>
          <t>access regulation; co-investment; single market</t>
        </is>
      </c>
      <c r="L163" s="7" t="inlineStr">
        <is>
          <t>mixed</t>
        </is>
      </c>
      <c r="M163" s="7" t="inlineStr">
        <is>
          <t>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is>
      </c>
      <c r="N163" s="7" t="inlineStr">
        <is>
          <t>The Commission's own review found the code kept markets competitive but did little to create a single telecoms market, and its flagship tool to encourage joint fibre investment was never used.</t>
        </is>
      </c>
      <c r="O163" s="7" t="inlineStr">
        <is>
          <t>EU, Dec 2020-2025</t>
        </is>
      </c>
      <c r="P163" s="7" t="inlineStr">
        <is>
          <t>qualitative review</t>
        </is>
      </c>
      <c r="Q163" s="7" t="inlineStr"/>
      <c r="R163" s="7" t="inlineStr">
        <is>
          <t>open</t>
        </is>
      </c>
      <c r="S163" s="7" t="inlineStr">
        <is>
          <t>full text read</t>
        </is>
      </c>
      <c r="T163" s="7" t="inlineStr">
        <is>
          <t>2026-10-10</t>
        </is>
      </c>
      <c r="U163" s="7" t="inlineStr">
        <is>
          <t>https://data.consilium.europa.eu/doc/document/ST-5633-2026-INIT/en/pdf</t>
        </is>
      </c>
      <c r="V163" s="7" t="inlineStr"/>
      <c r="W163" s="7" t="inlineStr"/>
    </row>
    <row r="164">
      <c r="A164" s="7" t="n">
        <v>32</v>
      </c>
      <c r="B164" s="7" t="inlineStr">
        <is>
          <t>European Electronic Communications Code</t>
        </is>
      </c>
      <c r="C164" s="7" t="inlineStr">
        <is>
          <t>evidence</t>
        </is>
      </c>
      <c r="D164" s="7" t="inlineStr">
        <is>
          <t>official</t>
        </is>
      </c>
      <c r="E164" s="7" t="inlineStr">
        <is>
          <t>initial review</t>
        </is>
      </c>
      <c r="F164" s="7" t="inlineStr">
        <is>
          <t>ec-2026-dna-ia-evaluation</t>
        </is>
      </c>
      <c r="G164" s="7" t="inlineStr">
        <is>
          <t>European Commission (2026), Impact Assessment accompanying the Digital Networks Act proposal, Annex 11: Evaluation of the EECC, BEREC Regulation, Open Internet Regulation and certain aspects of the ePrivacy Directive, SWD(2026) 13, Part 3/3</t>
        </is>
      </c>
      <c r="H164" s="7" t="n">
        <v>2026</v>
      </c>
      <c r="I164" s="7" t="inlineStr">
        <is>
          <t>Commission evaluation</t>
        </is>
      </c>
      <c r="J164" s="7" t="inlineStr">
        <is>
          <t>ex-post evaluation (DESI data, studies, consultation)</t>
        </is>
      </c>
      <c r="K164" s="7" t="inlineStr">
        <is>
          <t>coverage; investment; prices</t>
        </is>
      </c>
      <c r="L164" s="7" t="inlineStr">
        <is>
          <t>mixed</t>
        </is>
      </c>
      <c r="M164" s="7" t="inlineStr">
        <is>
          <t>Fixed VHCN coverage 82.5% of households in 2024, fibre 69.2% (rural 58.8%); 5G 94.3% (rural 79.6%); some governments and most industry stakeholders argued the EECC missed its connectivity and investment objectives; consumers saw wider availability and competitive prices</t>
        </is>
      </c>
      <c r="N164" s="7" t="inlineStr">
        <is>
          <t>The Commission's evaluation shows fast networks now reach most homes (fibre 69%), but views split on whether the code helped, and rural areas and advanced 5G still lag.</t>
        </is>
      </c>
      <c r="O164" s="7" t="inlineStr">
        <is>
          <t>EU-27, 2020-2024</t>
        </is>
      </c>
      <c r="P164" s="7" t="inlineStr">
        <is>
          <t>descriptive; no causal attribution</t>
        </is>
      </c>
      <c r="Q164" s="7" t="inlineStr"/>
      <c r="R164" s="7" t="inlineStr">
        <is>
          <t>open</t>
        </is>
      </c>
      <c r="S164" s="7" t="inlineStr">
        <is>
          <t>full text read</t>
        </is>
      </c>
      <c r="T164" s="7" t="inlineStr">
        <is>
          <t>2026-10-10</t>
        </is>
      </c>
      <c r="U164" s="7" t="inlineStr">
        <is>
          <t>https://ec.europa.eu/transparency/documents-register/api/files/SWD(2026)13_2/090166e52c637a2e</t>
        </is>
      </c>
      <c r="V164" s="7" t="inlineStr"/>
      <c r="W164" s="7" t="inlineStr"/>
    </row>
    <row r="165">
      <c r="A165" s="7" t="n">
        <v>32</v>
      </c>
      <c r="B165" s="7" t="inlineStr">
        <is>
          <t>European Electronic Communications Code</t>
        </is>
      </c>
      <c r="C165" s="7" t="inlineStr">
        <is>
          <t>enforcement or case law</t>
        </is>
      </c>
      <c r="D165" s="7" t="inlineStr">
        <is>
          <t>official</t>
        </is>
      </c>
      <c r="E165" s="7" t="inlineStr">
        <is>
          <t>initial review</t>
        </is>
      </c>
      <c r="F165" s="7" t="inlineStr">
        <is>
          <t>ec-2022-eecc-referral</t>
        </is>
      </c>
      <c r="G165" s="7" t="inlineStr">
        <is>
          <t>European Commission (2022), EU Electronic Communications Code: Commission refers 10 Member States to the Court of Justice of the EU, Press release IP/22/1975, 6 April 2022</t>
        </is>
      </c>
      <c r="H165" s="7" t="n">
        <v>2022</v>
      </c>
      <c r="I165" s="7" t="inlineStr">
        <is>
          <t>Commission enforcement record</t>
        </is>
      </c>
      <c r="J165" s="7" t="inlineStr">
        <is>
          <t>enforcement record</t>
        </is>
      </c>
      <c r="K165" s="7" t="inlineStr">
        <is>
          <t>transposition</t>
        </is>
      </c>
      <c r="L165" s="7" t="inlineStr">
        <is>
          <t>n/a</t>
        </is>
      </c>
      <c r="M165" s="7" t="inlineStr">
        <is>
          <t>24 infringement procedures opened Feb 2021 after the 21 Dec 2020 deadline; reasoned opinions to 18 Member States; ES, HR, LV, LT, IE, PL, PT, RO, SI, SE referred to the Court</t>
        </is>
      </c>
      <c r="N165" s="7" t="inlineStr">
        <is>
          <t>More than a year after the deadline, ten countries still had not transposed the code and were taken to court.</t>
        </is>
      </c>
      <c r="O165" s="7" t="inlineStr">
        <is>
          <t>EU</t>
        </is>
      </c>
      <c r="P165" s="7" t="inlineStr">
        <is>
          <t>official record</t>
        </is>
      </c>
      <c r="Q165" s="7" t="inlineStr"/>
      <c r="R165" s="7" t="inlineStr">
        <is>
          <t>open</t>
        </is>
      </c>
      <c r="S165" s="7" t="inlineStr">
        <is>
          <t>full text read</t>
        </is>
      </c>
      <c r="T165" s="7" t="inlineStr">
        <is>
          <t>2026-10-10</t>
        </is>
      </c>
      <c r="U165" s="7" t="inlineStr">
        <is>
          <t>https://ec.europa.eu/commission/presscorner/detail/en/ip_22_1975</t>
        </is>
      </c>
      <c r="V165" s="7" t="inlineStr"/>
      <c r="W165" s="7" t="inlineStr">
        <is>
          <t>http://web.archive.org/web/20250610033948/https://ec.europa.eu/commission/presscorner/detail/en/ip_22_1975</t>
        </is>
      </c>
    </row>
    <row r="166">
      <c r="A166" s="7" t="n">
        <v>32</v>
      </c>
      <c r="B166" s="7" t="inlineStr">
        <is>
          <t>European Electronic Communications Code</t>
        </is>
      </c>
      <c r="C166" s="7" t="inlineStr">
        <is>
          <t>evidence</t>
        </is>
      </c>
      <c r="D166" s="7" t="inlineStr">
        <is>
          <t>academic</t>
        </is>
      </c>
      <c r="E166" s="7" t="inlineStr">
        <is>
          <t>initial review</t>
        </is>
      </c>
      <c r="F166" s="7" t="inlineStr">
        <is>
          <t>briglauer-cambini-fetzer-huschelrath-2017</t>
        </is>
      </c>
      <c r="G166" s="7" t="inlineStr">
        <is>
          <t>Briglauer, Cambini, Fetzer &amp; Hüschelrath (2017), The European Electronic Communications Code: A critical appraisal with a focus on incentivizing investment in next generation broadband networks, Telecommunications Policy 41(10): 948-961</t>
        </is>
      </c>
      <c r="H166" s="7" t="n">
        <v>2017</v>
      </c>
      <c r="I166" s="7" t="inlineStr">
        <is>
          <t>peer-reviewed</t>
        </is>
      </c>
      <c r="J166" s="7" t="inlineStr">
        <is>
          <t>literature review / ex-ante appraisal</t>
        </is>
      </c>
      <c r="K166" s="7" t="inlineStr">
        <is>
          <t>investment incentives; co-investment; access regulation</t>
        </is>
      </c>
      <c r="L166" s="7" t="inlineStr">
        <is>
          <t>mixed (forecast)</t>
        </is>
      </c>
      <c r="M166" s="7" t="inlineStr">
        <is>
          <t>EECC generally a step in the right direction, but expected effects on investment incentives, implementation challenges and high complexity of the measures leave substantial room for improvement</t>
        </is>
      </c>
      <c r="N166" s="7" t="inlineStr">
        <is>
          <t>Economists reviewing the proposal judged it a step forward but warned its investment tools were too complex - a warning borne out by the non-use of co-investment rules.</t>
        </is>
      </c>
      <c r="O166" s="7" t="inlineStr">
        <is>
          <t>EU, ex-ante</t>
        </is>
      </c>
      <c r="P166" s="7" t="inlineStr">
        <is>
          <t>review of theory and evidence</t>
        </is>
      </c>
      <c r="Q166" s="7" t="inlineStr"/>
      <c r="R166" s="7" t="inlineStr">
        <is>
          <t>paywalled</t>
        </is>
      </c>
      <c r="S166" s="7" t="inlineStr">
        <is>
          <t>abstract read</t>
        </is>
      </c>
      <c r="T166" s="7" t="inlineStr">
        <is>
          <t>2026-10-10</t>
        </is>
      </c>
      <c r="U166" s="7" t="inlineStr">
        <is>
          <t>https://doi.org/10.1016/j.telpol.2017.07.011</t>
        </is>
      </c>
      <c r="V166" s="7" t="inlineStr"/>
      <c r="W166" s="7" t="inlineStr"/>
    </row>
    <row r="167">
      <c r="A167" s="7" t="n">
        <v>32</v>
      </c>
      <c r="B167" s="7" t="inlineStr">
        <is>
          <t>European Electronic Communications Code</t>
        </is>
      </c>
      <c r="C167" s="7" t="inlineStr">
        <is>
          <t>evidence</t>
        </is>
      </c>
      <c r="D167" s="7" t="inlineStr">
        <is>
          <t>academic</t>
        </is>
      </c>
      <c r="E167" s="7" t="inlineStr">
        <is>
          <t>initial review</t>
        </is>
      </c>
      <c r="F167" s="7" t="inlineStr">
        <is>
          <t>briglauer-cambini-grajek-2018</t>
        </is>
      </c>
      <c r="G167" s="7" t="inlineStr">
        <is>
          <t>Briglauer, Cambini &amp; Grajek (2018), Speeding up the internet: Regulation and investment in the European fiber optic infrastructure, International Journal of Industrial Organization 61: 613-652</t>
        </is>
      </c>
      <c r="H167" s="7" t="n">
        <v>2018</v>
      </c>
      <c r="I167" s="7" t="inlineStr">
        <is>
          <t>peer-reviewed</t>
        </is>
      </c>
      <c r="J167" s="7" t="inlineStr">
        <is>
          <t>panel econometrics, EU-27 over a decade (pre-EECC framework)</t>
        </is>
      </c>
      <c r="K167" s="7" t="inlineStr">
        <is>
          <t>fibre investment</t>
        </is>
      </c>
      <c r="L167" s="7" t="inlineStr">
        <is>
          <t>negative (access regulation)</t>
        </is>
      </c>
      <c r="M167" s="7" t="inlineStr">
        <is>
          <t>More stringent access regulation of both legacy copper and fibre networks harms fibre investment by incumbent telecom operators, but does not affect cable TV operators</t>
        </is>
      </c>
      <c r="N167" s="7" t="inlineStr">
        <is>
          <t>Under the previous rules, tougher access regulation reduced incumbents' fibre investment - the trade-off the EECC tried to address.</t>
        </is>
      </c>
      <c r="O167" s="7" t="inlineStr">
        <is>
          <t>EU-27, about ten years to mid-2010s</t>
        </is>
      </c>
      <c r="P167" s="7" t="inlineStr">
        <is>
          <t>observational panel; addresses predecessor framework</t>
        </is>
      </c>
      <c r="Q167" s="7" t="inlineStr"/>
      <c r="R167" s="7" t="inlineStr">
        <is>
          <t>open</t>
        </is>
      </c>
      <c r="S167" s="7" t="inlineStr">
        <is>
          <t>abstract read</t>
        </is>
      </c>
      <c r="T167" s="7" t="inlineStr">
        <is>
          <t>2026-10-10</t>
        </is>
      </c>
      <c r="U167" s="7" t="inlineStr">
        <is>
          <t>https://doi.org/10.1016/j.ijindorg.2018.01.006</t>
        </is>
      </c>
      <c r="V167" s="7" t="inlineStr">
        <is>
          <t>http://static.esmt.org/publications/workingpapers/ESMT-17-02.pdf</t>
        </is>
      </c>
      <c r="W167" s="7" t="inlineStr"/>
    </row>
    <row r="168">
      <c r="A168" s="7" t="n">
        <v>32</v>
      </c>
      <c r="B168" s="7" t="inlineStr">
        <is>
          <t>European Electronic Communications Code</t>
        </is>
      </c>
      <c r="C168" s="7" t="inlineStr">
        <is>
          <t>evidence</t>
        </is>
      </c>
      <c r="D168" s="7" t="inlineStr">
        <is>
          <t>academic</t>
        </is>
      </c>
      <c r="E168" s="7" t="inlineStr">
        <is>
          <t>initial review</t>
        </is>
      </c>
      <c r="F168" s="7" t="inlineStr">
        <is>
          <t>grajek-roller-2012</t>
        </is>
      </c>
      <c r="G168" s="7" t="inlineStr">
        <is>
          <t>Grajek &amp; Röller (2012), Regulation and Investment in Network Industries: Evidence from European Telecoms, Journal of Law and Economics 55(1): 189-216</t>
        </is>
      </c>
      <c r="H168" s="7" t="n">
        <v>2012</v>
      </c>
      <c r="I168" s="7" t="inlineStr">
        <is>
          <t>peer-reviewed</t>
        </is>
      </c>
      <c r="J168" s="7" t="inlineStr">
        <is>
          <t>panel econometrics with endogenous regulation (70 fixed-line operators, 20 countries, 10 years)</t>
        </is>
      </c>
      <c r="K168" s="7" t="inlineStr">
        <is>
          <t>telecom investment</t>
        </is>
      </c>
      <c r="L168" s="7" t="inlineStr">
        <is>
          <t>negative (access regulation)</t>
        </is>
      </c>
      <c r="M168" s="7" t="inlineStr">
        <is>
          <t>Access regulation negatively affects both total industry and individual carrier investment; evidence of a regulatory commitment problem</t>
        </is>
      </c>
      <c r="N168" s="7" t="inlineStr">
        <is>
          <t>A classic study found that forcing incumbents to open their networks to rivals lowered overall telecom investment in Europe.</t>
        </is>
      </c>
      <c r="O168" s="7" t="inlineStr">
        <is>
          <t>20 European countries, 10 years (to mid-2000s)</t>
        </is>
      </c>
      <c r="P168" s="7" t="inlineStr">
        <is>
          <t>observational panel; predecessor framework</t>
        </is>
      </c>
      <c r="Q168" s="7" t="inlineStr"/>
      <c r="R168" s="7" t="inlineStr">
        <is>
          <t>paywalled</t>
        </is>
      </c>
      <c r="S168" s="7" t="inlineStr">
        <is>
          <t>abstract read</t>
        </is>
      </c>
      <c r="T168" s="7" t="inlineStr">
        <is>
          <t>2026-10-10</t>
        </is>
      </c>
      <c r="U168" s="7" t="inlineStr">
        <is>
          <t>https://doi.org/10.1086/661196</t>
        </is>
      </c>
      <c r="V168" s="7" t="inlineStr"/>
      <c r="W168" s="7" t="inlineStr"/>
    </row>
    <row r="169">
      <c r="A169" s="7" t="n">
        <v>32</v>
      </c>
      <c r="B169" s="7" t="inlineStr">
        <is>
          <t>European Electronic Communications Code</t>
        </is>
      </c>
      <c r="C169" s="7" t="inlineStr">
        <is>
          <t>evidence</t>
        </is>
      </c>
      <c r="D169" s="7" t="inlineStr">
        <is>
          <t>official</t>
        </is>
      </c>
      <c r="E169" s="7" t="inlineStr">
        <is>
          <t>2026-10 broadened search</t>
        </is>
      </c>
      <c r="F169" s="7" t="inlineStr">
        <is>
          <t>ec-2024-112-report</t>
        </is>
      </c>
      <c r="G169" s="7" t="inlineStr">
        <is>
          <t>European Commission (2024), Report on the effectiveness of the implementation of the single European emergency number '112' (COM(2024) 575), European Commission, report under Article 109(4) EECC</t>
        </is>
      </c>
      <c r="H169" s="7" t="n">
        <v>2024</v>
      </c>
      <c r="I169" s="7" t="inlineStr">
        <is>
          <t>agency report</t>
        </is>
      </c>
      <c r="J169" s="7" t="inlineStr">
        <is>
          <t>statistical monitoring: Member State questionnaire (COCOM) data for 2023</t>
        </is>
      </c>
      <c r="K169" s="7" t="inlineStr">
        <is>
          <t>use of 112, handset-based caller location (AML), access for persons with disabilities</t>
        </is>
      </c>
      <c r="L169" s="7" t="inlineStr">
        <is>
          <t>descriptive</t>
        </is>
      </c>
      <c r="M169" s="7" t="inlineStr">
        <is>
          <t>112 accounted for 62% of all emergency calls in 2023; 25 Member States had AML-enabled PSAPs by Sept 2024 but only 8 provide handset location for roaming users.</t>
        </is>
      </c>
      <c r="N169" s="7" t="inlineStr">
        <is>
          <t>Use of the EU-wide 112 emergency number has grown and most countries can now locate mobile callers automatically, but not when people are roaming, and disabled users still lack equal access.</t>
        </is>
      </c>
      <c r="O169" s="7" t="inlineStr">
        <is>
          <t>EU-27 plus IS, NO; 2023 data</t>
        </is>
      </c>
      <c r="P169" s="7" t="inlineStr">
        <is>
          <t>Official monitoring data on an EECC obligation (Art. 109); descriptive, self-reported by Member States; Commission reporting on its own framework.</t>
        </is>
      </c>
      <c r="Q169" s="7" t="inlineStr">
        <is>
          <t>European Commission reporting on implementation of its own legislation</t>
        </is>
      </c>
      <c r="R169" s="7" t="inlineStr">
        <is>
          <t>open</t>
        </is>
      </c>
      <c r="S169" s="7" t="inlineStr">
        <is>
          <t>abstract read</t>
        </is>
      </c>
      <c r="T169" s="7" t="inlineStr">
        <is>
          <t>2026-10-10</t>
        </is>
      </c>
      <c r="U169" s="7" t="inlineStr">
        <is>
          <t>https://digital-strategy.ec.europa.eu/en/library/2024-report-implementation-eu-emergency-number-112</t>
        </is>
      </c>
      <c r="V169" s="7" t="inlineStr"/>
      <c r="W169" s="7" t="inlineStr"/>
    </row>
    <row r="170">
      <c r="A170" s="7" t="n">
        <v>32</v>
      </c>
      <c r="B170" s="7" t="inlineStr">
        <is>
          <t>European Electronic Communications Code</t>
        </is>
      </c>
      <c r="C170" s="7" t="inlineStr">
        <is>
          <t>evidence</t>
        </is>
      </c>
      <c r="D170" s="7" t="inlineStr">
        <is>
          <t>official</t>
        </is>
      </c>
      <c r="E170" s="7" t="inlineStr">
        <is>
          <t>2026-10 broadened search</t>
        </is>
      </c>
      <c r="F170" s="7" t="inlineStr">
        <is>
          <t>arcep-2026-ftthframework</t>
        </is>
      </c>
      <c r="G170" s="7" t="inlineStr">
        <is>
          <t>Arcep (Autorité de régulation des communications électroniques, des postes et de la distribution de la presse) (2026), Bilan du cadre de régulation symétrique des réseaux en fibre optique (FttH) - évaluation notifiée à la Commission européenne en application de l'article 61(5) du CECE, Arcep evaluation (notified 10 February 2026; final version April 2026), with European Commission opinion</t>
        </is>
      </c>
      <c r="H170" s="7" t="n">
        <v>2026</v>
      </c>
      <c r="I170" s="7" t="inlineStr">
        <is>
          <t>agency report</t>
        </is>
      </c>
      <c r="J170" s="7" t="inlineStr">
        <is>
          <t>national regulator's ex-post evaluation required by EECC Art. 61(5) of symmetric access obligations: descriptive statistics on FttH coverage, take-up and investment, plus public consultation of stakeholders</t>
        </is>
      </c>
      <c r="K170" s="7" t="inlineStr">
        <is>
          <t>FttH coverage, share of fixed accesses on fibre, investment, competition</t>
        </is>
      </c>
      <c r="L170" s="7" t="inlineStr">
        <is>
          <t>positive</t>
        </is>
      </c>
      <c r="M170" s="7" t="inlineStr">
        <is>
          <t>At 30 June 2025, 41.6 million of 44.9 million premises (93%) were connectable to fibre, up from 15% in 2015; fibre rose from 5% to 75% of fixed accesses 2015-2025 and cumulative public and private investment is estimated at close to EUR 50 billion; the Commission raised no objections.</t>
        </is>
      </c>
      <c r="N170" s="7" t="inlineStr">
        <is>
          <t>France's telecoms regulator reviewed the rules that oblige fibre network builders to share their networks with rivals, a review the EU Code requires. It found that these rules, together with public subsidies, helped bring fibre to 93% of homes and businesses, and stakeholders largely agreed they should be kept.</t>
        </is>
      </c>
      <c r="O170" s="7" t="inlineStr">
        <is>
          <t>2009-2025; France</t>
        </is>
      </c>
      <c r="P170" s="7" t="inlineStr">
        <is>
          <t>Self-evaluation by the regulator of its own framework (predates the EECC, in place since 2009; review mandated by EECC Art. 61(5)); descriptive, no counterfactual; the Commission and stakeholders endorsed it.</t>
        </is>
      </c>
      <c r="Q170" s="7" t="inlineStr">
        <is>
          <t>Regulator evaluating its own framework</t>
        </is>
      </c>
      <c r="R170" s="7" t="inlineStr">
        <is>
          <t>open</t>
        </is>
      </c>
      <c r="S170" s="7" t="inlineStr">
        <is>
          <t>full text read</t>
        </is>
      </c>
      <c r="T170" s="7" t="inlineStr">
        <is>
          <t>2026-10-10</t>
        </is>
      </c>
      <c r="U170" s="7" t="inlineStr">
        <is>
          <t>https://en.arcep.fr/news/press-releases/view/n/optical-fibre-020426.html</t>
        </is>
      </c>
      <c r="V170" s="7" t="inlineStr">
        <is>
          <t>https://www.arcep.fr/uploads/tx_gspublication/bilan-cadre-regulation-symetrique-reseaux-fibre-optique_avril2026.pdf</t>
        </is>
      </c>
      <c r="W170" s="7" t="inlineStr"/>
    </row>
    <row r="171">
      <c r="A171" s="7" t="n">
        <v>32</v>
      </c>
      <c r="B171" s="7" t="inlineStr">
        <is>
          <t>European Electronic Communications Code</t>
        </is>
      </c>
      <c r="C171" s="7" t="inlineStr">
        <is>
          <t>evidence</t>
        </is>
      </c>
      <c r="D171" s="7" t="inlineStr">
        <is>
          <t>official</t>
        </is>
      </c>
      <c r="E171" s="7" t="inlineStr">
        <is>
          <t>2026-10 broadened search</t>
        </is>
      </c>
      <c r="F171" s="7" t="inlineStr">
        <is>
          <t>berec-2026-switching</t>
        </is>
      </c>
      <c r="G171" s="7" t="inlineStr">
        <is>
          <t>BEREC (Body of European Regulators for Electronic Communications) (2026), BEREC Report on Switching and Termination of contracts (BoR (26) 76), BEREC report (June 2026)</t>
        </is>
      </c>
      <c r="H171" s="7" t="n">
        <v>2026</v>
      </c>
      <c r="I171" s="7" t="inlineStr">
        <is>
          <t>agency report</t>
        </is>
      </c>
      <c r="J171" s="7" t="inlineStr">
        <is>
          <t>questionnaire of 30 national regulators on national implementation of EECC Art. 105-107 (switching, number porting, contract termination), descriptive cross-country comparison</t>
        </is>
      </c>
      <c r="K171" s="7" t="inlineStr">
        <is>
          <t>switching and porting procedures, commitment periods, automatic contract renewal, device locking, complaints</t>
        </is>
      </c>
      <c r="L171" s="7" t="inlineStr">
        <is>
          <t>mixed</t>
        </is>
      </c>
      <c r="M171" s="7" t="inlineStr">
        <is>
          <t>BEREC finds the EECC switching framework implemented efficiently but with remaining disincentives: 24 NRAs report automatic prolongation of fixed-term contracts, 10 report that locked handsets are still sold, and 18 member states port mobile numbers within one working day.</t>
        </is>
      </c>
      <c r="N171" s="7" t="inlineStr">
        <is>
          <t>European telecoms regulators surveyed how the EU Code's rules on changing provider and ending contracts work in each country. The rules are largely in place, but problems remain, such as contracts that renew automatically, locked phones and providers trying to keep customers during the switch.</t>
        </is>
      </c>
      <c r="O171" s="7" t="inlineStr">
        <is>
          <t>c.2024-2025; 30 European countries (EU/EEA and others)</t>
        </is>
      </c>
      <c r="P171" s="7" t="inlineStr">
        <is>
          <t>Descriptive regulator survey; no outcome measurement of switching rates and no counterfactual; BEREC explicitly does not give an opinion on the results.</t>
        </is>
      </c>
      <c r="Q171" s="7" t="inlineStr"/>
      <c r="R171" s="7" t="inlineStr">
        <is>
          <t>open</t>
        </is>
      </c>
      <c r="S171" s="7" t="inlineStr">
        <is>
          <t>full text read</t>
        </is>
      </c>
      <c r="T171" s="7" t="inlineStr">
        <is>
          <t>2026-10-10</t>
        </is>
      </c>
      <c r="U171" s="7" t="inlineStr">
        <is>
          <t>https://www.berec.europa.eu/all-documents/berec/reports/berec-report-on-switching-and-termination-of-contracts</t>
        </is>
      </c>
      <c r="V171" s="7" t="inlineStr">
        <is>
          <t>https://www.berec.europa.eu/system/files/2026-06/BoR%20%2826%29%2076_BEREC%20Report%20on%20Switching%20%26%20Termination%20of%20Contracts.pdf</t>
        </is>
      </c>
      <c r="W171" s="7" t="inlineStr"/>
    </row>
    <row r="172">
      <c r="A172" s="7" t="n">
        <v>30</v>
      </c>
      <c r="B172" s="7" t="inlineStr">
        <is>
          <t>Geo-blocking Regulation</t>
        </is>
      </c>
      <c r="C172" s="7" t="inlineStr">
        <is>
          <t>ex-ante assessment</t>
        </is>
      </c>
      <c r="D172" s="7" t="inlineStr">
        <is>
          <t>official</t>
        </is>
      </c>
      <c r="E172" s="7" t="inlineStr">
        <is>
          <t>initial review</t>
        </is>
      </c>
      <c r="F172" s="7" t="inlineStr">
        <is>
          <t>ec-2016-geoblocking-ia</t>
        </is>
      </c>
      <c r="G172" s="7" t="inlineStr">
        <is>
          <t>European Commission (2016), Impact Assessment accompanying the Geo-blocking Regulation proposal (executive summary SWD(2016) 174), SWD(2016) 173</t>
        </is>
      </c>
      <c r="H172" s="7" t="n">
        <v>2016</v>
      </c>
      <c r="I172" s="7" t="inlineStr">
        <is>
          <t>Commission impact assessment</t>
        </is>
      </c>
      <c r="J172" s="7" t="inlineStr">
        <is>
          <t>ex-ante (simulation based on consumer electronics)</t>
        </is>
      </c>
      <c r="K172" s="7" t="inlineStr">
        <is>
          <t>cross-border trade; prices; consumer surplus</t>
        </is>
      </c>
      <c r="L172" s="7" t="inlineStr">
        <is>
          <t>positive (forecast)</t>
        </is>
      </c>
      <c r="M172" s="7" t="inlineStr">
        <is>
          <t>Lifting geo-blocking: market size +1.1%, net trade expansion +0.4%, prices -0.5% offline and -0.6% online, consumer surplus +0.8%; baseline 37% success of cross-border purchase attempts (2015)</t>
        </is>
      </c>
      <c r="N172" s="7" t="inlineStr">
        <is>
          <t>The Commission expected small price falls (about 0.5%) and a 0.8% gain for consumers, starting from a baseline where only 37% of cross-border online purchase attempts succeeded.</t>
        </is>
      </c>
      <c r="O172" s="7" t="inlineStr">
        <is>
          <t>EU28, forecast</t>
        </is>
      </c>
      <c r="P172" s="7" t="inlineStr">
        <is>
          <t>forecast</t>
        </is>
      </c>
      <c r="Q172" s="7" t="inlineStr"/>
      <c r="R172" s="7" t="inlineStr">
        <is>
          <t>open</t>
        </is>
      </c>
      <c r="S172" s="7" t="inlineStr">
        <is>
          <t>full text read</t>
        </is>
      </c>
      <c r="T172" s="7" t="inlineStr">
        <is>
          <t>2026-10-10</t>
        </is>
      </c>
      <c r="U172" s="7" t="inlineStr">
        <is>
          <t>https://eur-lex.europa.eu/legal-content/EN/TXT/?uri=CELEX:52016SC0174</t>
        </is>
      </c>
      <c r="V172" s="7" t="inlineStr"/>
      <c r="W172" s="7" t="inlineStr"/>
    </row>
    <row r="173">
      <c r="A173" s="7" t="n">
        <v>30</v>
      </c>
      <c r="B173" s="7" t="inlineStr">
        <is>
          <t>Geo-blocking Regulation</t>
        </is>
      </c>
      <c r="C173" s="7" t="inlineStr">
        <is>
          <t>evidence</t>
        </is>
      </c>
      <c r="D173" s="7" t="inlineStr">
        <is>
          <t>official</t>
        </is>
      </c>
      <c r="E173" s="7" t="inlineStr">
        <is>
          <t>initial review</t>
        </is>
      </c>
      <c r="F173" s="7" t="inlineStr">
        <is>
          <t>ec-2020-geoblocking-review</t>
        </is>
      </c>
      <c r="G173" s="7" t="inlineStr">
        <is>
          <t>European Commission (2020), First short-term review of the Geo-blocking Regulation, COM(2020) 766</t>
        </is>
      </c>
      <c r="H173" s="7" t="n">
        <v>2020</v>
      </c>
      <c r="I173" s="7" t="inlineStr">
        <is>
          <t>Commission review</t>
        </is>
      </c>
      <c r="J173" s="7" t="inlineStr">
        <is>
          <t>mystery shopping (about 9,000 websites, 2019) and stakeholder input</t>
        </is>
      </c>
      <c r="K173" s="7" t="inlineStr">
        <is>
          <t>website access; registration; purchase success</t>
        </is>
      </c>
      <c r="L173" s="7" t="inlineStr">
        <is>
          <t>positive (modest)</t>
        </is>
      </c>
      <c r="M173" s="7" t="inlineStr">
        <is>
          <t>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is>
      </c>
      <c r="N173" s="7" t="inlineStr">
        <is>
          <t>The first review found less outright blocking of foreign shoppers, but most cross-border purchases still failed because traders refuse to deliver abroad, which the Regulation allows.</t>
        </is>
      </c>
      <c r="O173" s="7" t="inlineStr">
        <is>
          <t>EU, 2015 vs 2019</t>
        </is>
      </c>
      <c r="P173" s="7" t="inlineStr">
        <is>
          <t>descriptive before/after</t>
        </is>
      </c>
      <c r="Q173" s="7" t="inlineStr"/>
      <c r="R173" s="7" t="inlineStr">
        <is>
          <t>open</t>
        </is>
      </c>
      <c r="S173" s="7" t="inlineStr">
        <is>
          <t>full text read</t>
        </is>
      </c>
      <c r="T173" s="7" t="inlineStr">
        <is>
          <t>2026-10-10</t>
        </is>
      </c>
      <c r="U173" s="7" t="inlineStr">
        <is>
          <t>https://eur-lex.europa.eu/legal-content/EN/TXT/?uri=CELEX:52020DC0766</t>
        </is>
      </c>
      <c r="V173" s="7" t="inlineStr"/>
      <c r="W173" s="7" t="inlineStr"/>
    </row>
    <row r="174">
      <c r="A174" s="7" t="n">
        <v>30</v>
      </c>
      <c r="B174" s="7" t="inlineStr">
        <is>
          <t>Geo-blocking Regulation</t>
        </is>
      </c>
      <c r="C174" s="7" t="inlineStr">
        <is>
          <t>evidence</t>
        </is>
      </c>
      <c r="D174" s="7" t="inlineStr">
        <is>
          <t>official</t>
        </is>
      </c>
      <c r="E174" s="7" t="inlineStr">
        <is>
          <t>initial review</t>
        </is>
      </c>
      <c r="F174" s="7" t="inlineStr">
        <is>
          <t>alaveras-duchbrown-martens-2020-gbr</t>
        </is>
      </c>
      <c r="G174" s="7" t="inlineStr">
        <is>
          <t>Alaveras, Duch-Brown &amp; Martens (2020), Geo-blocking regulation: an assessment of its impact on the EU Digital Single Market, JRC Digital Economy Working Paper 2020-02 (JRC121480)</t>
        </is>
      </c>
      <c r="H174" s="7" t="n">
        <v>2020</v>
      </c>
      <c r="I174" s="7" t="inlineStr">
        <is>
          <t>Commission research (JRC working paper)</t>
        </is>
      </c>
      <c r="J174" s="7" t="inlineStr">
        <is>
          <t>before/after panel regression on page-view data for about 10,000 e-commerce websites (Feb 2018-Oct 2019)</t>
        </is>
      </c>
      <c r="K174" s="7" t="inlineStr">
        <is>
          <t>cross-border e-commerce traffic</t>
        </is>
      </c>
      <c r="L174" s="7" t="inlineStr">
        <is>
          <t>positive</t>
        </is>
      </c>
      <c r="M174" s="7" t="inlineStr">
        <is>
          <t>Regulation increased real cross-border e-commerce activity inside the EU by 9.2-13% depending on specification, and EU consumers' cross-border trade with sites anywhere by 11.2-11.9%</t>
        </is>
      </c>
      <c r="N174" s="7" t="inlineStr">
        <is>
          <t>Commission researchers found cross-border visits to online shops in the EU rose by roughly 9-13% after the ban took effect.</t>
        </is>
      </c>
      <c r="O174" s="7" t="inlineStr">
        <is>
          <t>EU, 2018-19</t>
        </is>
      </c>
      <c r="P174" s="7" t="inlineStr">
        <is>
          <t>quasi-experimental (before/after with country-pair controls); traffic as proxy for sales</t>
        </is>
      </c>
      <c r="Q174" s="7" t="inlineStr"/>
      <c r="R174" s="7" t="inlineStr">
        <is>
          <t>open</t>
        </is>
      </c>
      <c r="S174" s="7" t="inlineStr">
        <is>
          <t>abstract read</t>
        </is>
      </c>
      <c r="T174" s="7" t="inlineStr">
        <is>
          <t>2026-10-10</t>
        </is>
      </c>
      <c r="U174" s="7" t="inlineStr">
        <is>
          <t>https://publications.jrc.ec.europa.eu/repository/handle/JRC121480</t>
        </is>
      </c>
      <c r="V174" s="7" t="inlineStr"/>
      <c r="W174" s="7" t="inlineStr"/>
    </row>
    <row r="175">
      <c r="A175" s="7" t="n">
        <v>30</v>
      </c>
      <c r="B175" s="7" t="inlineStr">
        <is>
          <t>Geo-blocking Regulation</t>
        </is>
      </c>
      <c r="C175" s="7" t="inlineStr">
        <is>
          <t>evidence</t>
        </is>
      </c>
      <c r="D175" s="7" t="inlineStr">
        <is>
          <t>official</t>
        </is>
      </c>
      <c r="E175" s="7" t="inlineStr">
        <is>
          <t>initial review</t>
        </is>
      </c>
      <c r="F175" s="7" t="inlineStr">
        <is>
          <t>duchbrown-martens-2016-geoblocking</t>
        </is>
      </c>
      <c r="G175" s="7" t="inlineStr">
        <is>
          <t>Duch-Brown &amp; Martens (2016), The Economic Impact of Removing Geo-blocking Restrictions in the EU Digital Single Market, JRC Digital Economy Working Paper 2016/02</t>
        </is>
      </c>
      <c r="H175" s="7" t="n">
        <v>2016</v>
      </c>
      <c r="I175" s="7" t="inlineStr">
        <is>
          <t>Commission research (JRC working paper)</t>
        </is>
      </c>
      <c r="J175" s="7" t="inlineStr">
        <is>
          <t>structural simulation (consumer electronics, 10 countries, 2012-15)</t>
        </is>
      </c>
      <c r="K175" s="7" t="inlineStr">
        <is>
          <t>consumer and producer surplus</t>
        </is>
      </c>
      <c r="L175" s="7" t="inlineStr">
        <is>
          <t>positive (forecast)</t>
        </is>
      </c>
      <c r="M175" s="7" t="inlineStr">
        <is>
          <t>Both consumers and producers would gain from removing geo-blocking; smaller countries gain comparatively more</t>
        </is>
      </c>
      <c r="N175" s="7" t="inlineStr">
        <is>
          <t>A simulation behind the impact assessment found both shoppers and sellers would gain from ending geo-blocking, especially in small countries.</t>
        </is>
      </c>
      <c r="O175" s="7" t="inlineStr">
        <is>
          <t>EU, 2012-15</t>
        </is>
      </c>
      <c r="P175" s="7" t="inlineStr">
        <is>
          <t>ex-ante simulation</t>
        </is>
      </c>
      <c r="Q175" s="7" t="inlineStr"/>
      <c r="R175" s="7" t="inlineStr">
        <is>
          <t>open</t>
        </is>
      </c>
      <c r="S175" s="7" t="inlineStr">
        <is>
          <t>abstract read</t>
        </is>
      </c>
      <c r="T175" s="7" t="inlineStr">
        <is>
          <t>2026-10-10</t>
        </is>
      </c>
      <c r="U175" s="7" t="inlineStr">
        <is>
          <t>https://publications.jrc.ec.europa.eu/repository/handle/JRC101100</t>
        </is>
      </c>
      <c r="V175" s="7" t="inlineStr">
        <is>
          <t>https://ec.europa.eu/jrc/sites/jrcsh/files/JRC101100.pdf</t>
        </is>
      </c>
      <c r="W175" s="7" t="inlineStr">
        <is>
          <t>http://web.archive.org/web/20260615014441/https://publications.jrc.ec.europa.eu/repository/handle/JRC101100</t>
        </is>
      </c>
    </row>
    <row r="176">
      <c r="A176" s="7" t="n">
        <v>30</v>
      </c>
      <c r="B176" s="7" t="inlineStr">
        <is>
          <t>Geo-blocking Regulation</t>
        </is>
      </c>
      <c r="C176" s="7" t="inlineStr">
        <is>
          <t>evidence</t>
        </is>
      </c>
      <c r="D176" s="7" t="inlineStr">
        <is>
          <t>academic</t>
        </is>
      </c>
      <c r="E176" s="7" t="inlineStr">
        <is>
          <t>initial review</t>
        </is>
      </c>
      <c r="F176" s="7" t="inlineStr">
        <is>
          <t>bourreau-manenti-2023-geoblocking</t>
        </is>
      </c>
      <c r="G176" s="7" t="inlineStr">
        <is>
          <t>Bourreau &amp; Manenti (2023), Selling cross-border in online markets: The impact of the ban on geoblocking strategies, International Journal of Industrial Organization 86</t>
        </is>
      </c>
      <c r="H176" s="7" t="n">
        <v>2023</v>
      </c>
      <c r="I176" s="7" t="inlineStr">
        <is>
          <t>peer-reviewed</t>
        </is>
      </c>
      <c r="J176" s="7" t="inlineStr">
        <is>
          <t>theoretical model</t>
        </is>
      </c>
      <c r="K176" s="7" t="inlineStr">
        <is>
          <t>prices; investment; welfare</t>
        </is>
      </c>
      <c r="L176" s="7" t="inlineStr">
        <is>
          <t>mixed</t>
        </is>
      </c>
      <c r="M176" s="7" t="inlineStr">
        <is>
          <t>Geoblocking softens competition; a ban lowers online and offline prices, but when firms can invest in online demand the ban may reduce investment and welfare</t>
        </is>
      </c>
      <c r="N176" s="7" t="inlineStr">
        <is>
          <t>A theory paper finds a geo-blocking ban cuts prices in the short run but could reduce firms' investment in online sales in the long run.</t>
        </is>
      </c>
      <c r="O176" s="7" t="inlineStr">
        <is>
          <t>theory</t>
        </is>
      </c>
      <c r="P176" s="7" t="inlineStr">
        <is>
          <t>theoretical</t>
        </is>
      </c>
      <c r="Q176" s="7" t="inlineStr"/>
      <c r="R176" s="7" t="inlineStr">
        <is>
          <t>paywalled</t>
        </is>
      </c>
      <c r="S176" s="7" t="inlineStr">
        <is>
          <t>page summary via search</t>
        </is>
      </c>
      <c r="T176" s="7" t="inlineStr">
        <is>
          <t>2026-10-10</t>
        </is>
      </c>
      <c r="U176" s="7" t="inlineStr">
        <is>
          <t>https://doi.org/10.1016/j.ijindorg.2022.102892</t>
        </is>
      </c>
      <c r="V176" s="7" t="inlineStr"/>
      <c r="W176" s="7" t="inlineStr"/>
    </row>
    <row r="177">
      <c r="A177" s="7" t="n">
        <v>30</v>
      </c>
      <c r="B177" s="7" t="inlineStr">
        <is>
          <t>Geo-blocking Regulation</t>
        </is>
      </c>
      <c r="C177" s="7" t="inlineStr">
        <is>
          <t>evidence</t>
        </is>
      </c>
      <c r="D177" s="7" t="inlineStr">
        <is>
          <t>official</t>
        </is>
      </c>
      <c r="E177" s="7" t="inlineStr">
        <is>
          <t>initial review</t>
        </is>
      </c>
      <c r="F177" s="7" t="inlineStr">
        <is>
          <t>eca-2025-geoblocking</t>
        </is>
      </c>
      <c r="G177" s="7" t="inlineStr">
        <is>
          <t>European Court of Auditors (2025), Special report 03/2025: Geo-blocking, ECA special report 03/2025</t>
        </is>
      </c>
      <c r="H177" s="7" t="n">
        <v>2025</v>
      </c>
      <c r="I177" s="7" t="inlineStr">
        <is>
          <t>EU audit</t>
        </is>
      </c>
      <c r="J177" s="7" t="inlineStr">
        <is>
          <t>audit (documents, interviews, enforcement data)</t>
        </is>
      </c>
      <c r="K177" s="7" t="inlineStr">
        <is>
          <t>enforcement; consumer awareness</t>
        </is>
      </c>
      <c r="L177" s="7" t="inlineStr">
        <is>
          <t>mixed</t>
        </is>
      </c>
      <c r="M177" s="7" t="inlineStr">
        <is>
          <t>Progress made, but unjustified geo-blocking persists; weak and uneven enforcement (penalties from EUR 26 to EUR 5m); low awareness of support; recommends examining extension to audiovisual services</t>
        </is>
      </c>
      <c r="N177" s="7" t="inlineStr">
        <is>
          <t>The EU's auditors found the Regulation helped but unjustified geo-blocking persists and enforcement differs sharply between countries.</t>
        </is>
      </c>
      <c r="O177" s="7" t="inlineStr">
        <is>
          <t>EU, 2018-24</t>
        </is>
      </c>
      <c r="P177" s="7" t="inlineStr">
        <is>
          <t>audit</t>
        </is>
      </c>
      <c r="Q177" s="7" t="inlineStr"/>
      <c r="R177" s="7" t="inlineStr">
        <is>
          <t>open</t>
        </is>
      </c>
      <c r="S177" s="7" t="inlineStr">
        <is>
          <t>page summary via search</t>
        </is>
      </c>
      <c r="T177" s="7" t="inlineStr">
        <is>
          <t>2026-10-10</t>
        </is>
      </c>
      <c r="U177" s="7" t="inlineStr">
        <is>
          <t>https://www.eca.europa.eu/ECAHTMLNews/NEWS-SR-2025-03/en/body.html</t>
        </is>
      </c>
      <c r="V177" s="7" t="inlineStr"/>
      <c r="W177" s="7" t="inlineStr"/>
    </row>
    <row r="178">
      <c r="A178" s="7" t="n">
        <v>30</v>
      </c>
      <c r="B178" s="7" t="inlineStr">
        <is>
          <t>Geo-blocking Regulation</t>
        </is>
      </c>
      <c r="C178" s="7" t="inlineStr">
        <is>
          <t>evidence</t>
        </is>
      </c>
      <c r="D178" s="7" t="inlineStr">
        <is>
          <t>official</t>
        </is>
      </c>
      <c r="E178" s="7" t="inlineStr">
        <is>
          <t>2026-10 broadened search</t>
        </is>
      </c>
      <c r="F178" s="7" t="inlineStr">
        <is>
          <t>ec-2020-mystery-shopping-geoblocking</t>
        </is>
      </c>
      <c r="G178" s="7" t="inlineStr">
        <is>
          <t>European Commission, DG GROW (contracted study) (2020), Mystery Shopping Survey on territorial restrictions and geo-blocking in the European Digital Single Market (MSS 2019) - Executive summary, Publications Office of the EU, doi:10.2873/148672</t>
        </is>
      </c>
      <c r="H178" s="7" t="n">
        <v>2020</v>
      </c>
      <c r="I178" s="7" t="inlineStr">
        <is>
          <t>Commission evaluation</t>
        </is>
      </c>
      <c r="J178" s="7" t="inlineStr">
        <is>
          <t>mystery shopping measurement study: 8,976 paired domestic/cross-border website evaluations across EU28 (Oct-Dec 2019), compared with identical 2015 survey</t>
        </is>
      </c>
      <c r="K178" s="7" t="inlineStr">
        <is>
          <t>website access, product availability, registration, delivery, price differentiation, payment restrictions for cross-border shoppers</t>
        </is>
      </c>
      <c r="L178" s="7" t="inlineStr">
        <is>
          <t>mixed</t>
        </is>
      </c>
      <c r="M178" s="7" t="inlineStr">
        <is>
          <t>Cross-border registration failure fell from 26.9% (2015) to 14.0% (2019) and price differentiation fell 2.3 points to 27.2%, but only 35.6% of websites let cross-border shoppers buy like locals (+0.5 points) and 53.1% did not deliver to the shopper's country.</t>
        </is>
      </c>
      <c r="N178" s="7" t="inlineStr">
        <is>
          <t>A year after the ban, online shops blocked foreign shoppers less often at registration and charged them different prices a bit less often, but most shops still would not deliver abroad, so overall the chance of buying from another country barely changed.</t>
        </is>
      </c>
      <c r="O178" s="7" t="inlineStr">
        <is>
          <t>EU28, 2015 vs Oct-Dec 2019</t>
        </is>
      </c>
      <c r="P178" s="7" t="inlineStr">
        <is>
          <t>Large before/after measurement with identical method, no control group; delivery is outside the Regulation's scope; executive summary read</t>
        </is>
      </c>
      <c r="Q178" s="7" t="inlineStr">
        <is>
          <t>Commission-commissioned monitoring study</t>
        </is>
      </c>
      <c r="R178" s="7" t="inlineStr">
        <is>
          <t>open</t>
        </is>
      </c>
      <c r="S178" s="7" t="inlineStr">
        <is>
          <t>full text read</t>
        </is>
      </c>
      <c r="T178" s="7" t="inlineStr">
        <is>
          <t>2026-10-10</t>
        </is>
      </c>
      <c r="U178" s="7" t="inlineStr">
        <is>
          <t>https://op.europa.eu/en/publication-detail/-/publication/2d0b0f1a-2305-11eb-b57e-01aa75ed71a1/language-en</t>
        </is>
      </c>
      <c r="V178" s="7" t="inlineStr"/>
      <c r="W178" s="7" t="inlineStr"/>
    </row>
    <row r="179">
      <c r="A179" s="7" t="n">
        <v>30</v>
      </c>
      <c r="B179" s="7" t="inlineStr">
        <is>
          <t>Geo-blocking Regulation</t>
        </is>
      </c>
      <c r="C179" s="7" t="inlineStr">
        <is>
          <t>evidence</t>
        </is>
      </c>
      <c r="D179" s="7" t="inlineStr">
        <is>
          <t>consultancy or industry</t>
        </is>
      </c>
      <c r="E179" s="7" t="inlineStr">
        <is>
          <t>2026-10 broadened search</t>
        </is>
      </c>
      <c r="F179" s="7" t="inlineStr">
        <is>
          <t>basalisco-2024-geoblocking-further-evaluation</t>
        </is>
      </c>
      <c r="G179" s="7" t="inlineStr">
        <is>
          <t>Basalisco, B.; Salmaso, E.; Marquardt, G.; Ballebye Okholm, H.; Kotiranta, J.; Abecasis, P.; Kleberg, S. W.; Graef, I.; Monti, G. (Copenhagen Economics) (2024), Study for further evaluation of the geo-blocking regulation, Study for the European Commission, DG CNECT; Publications Office, doi:10.2759/89415</t>
        </is>
      </c>
      <c r="H179" s="7" t="n">
        <v>2024</v>
      </c>
      <c r="I179" s="7" t="inlineStr">
        <is>
          <t>Commission evaluation</t>
        </is>
      </c>
      <c r="J179" s="7" t="inlineStr">
        <is>
          <t>survey of 2,800+ e-commerce firms in ten EU countries, descriptive analysis of Euromonitor/Eurostat cross-border e-commerce data 2016-2022, stakeholder interviews</t>
        </is>
      </c>
      <c r="K179" s="7" t="inlineStr">
        <is>
          <t>cross-border e-commerce volumes and shares, barriers reported by traders, compliance</t>
        </is>
      </c>
      <c r="L179" s="7" t="inlineStr">
        <is>
          <t>no effect</t>
        </is>
      </c>
      <c r="M179" s="7" t="inlineStr">
        <is>
          <t>Stakeholders report high compliance with the geo-blocking ban, but cross-border origin e-commerce rose only from 20% (2016) to 22% (2021) of EU e-commerce and traders and consumers say the ban had no significant effect on cross-border trade volumes.</t>
        </is>
      </c>
      <c r="N179" s="7" t="inlineStr">
        <is>
          <t>Shops mostly stopped blocking foreign customers, but people did not buy much more from other EU countries; delivery costs, VAT rules and differing national rules still hold cross-border online shopping back.</t>
        </is>
      </c>
      <c r="O179" s="7" t="inlineStr">
        <is>
          <t>EU27 (survey in 10 Member States), 2016-2022</t>
        </is>
      </c>
      <c r="P179" s="7" t="inlineStr">
        <is>
          <t>Descriptive trends plus large firm survey; COVID-19 shock confounds trends; no counterfactual</t>
        </is>
      </c>
      <c r="Q179" s="7" t="inlineStr">
        <is>
          <t>Commissioned by the European Commission (DG CNECT)</t>
        </is>
      </c>
      <c r="R179" s="7" t="inlineStr">
        <is>
          <t>open</t>
        </is>
      </c>
      <c r="S179" s="7" t="inlineStr">
        <is>
          <t>full text read</t>
        </is>
      </c>
      <c r="T179" s="7" t="inlineStr">
        <is>
          <t>2026-10-10</t>
        </is>
      </c>
      <c r="U179" s="7" t="inlineStr">
        <is>
          <t>https://op.europa.eu/en/publication-detail/-/publication/268a3e1f-47ed-11ef-aea6-01aa75ed71a1/language-en</t>
        </is>
      </c>
      <c r="V179" s="7" t="inlineStr">
        <is>
          <t>https://op.europa.eu/o/opportal-service/download-handler?identifier=268a3e1f-47ed-11ef-aea6-01aa75ed71a1&amp;format=pdf&amp;language=en&amp;productionSystem=cellar&amp;part=</t>
        </is>
      </c>
      <c r="W179" s="7" t="inlineStr"/>
    </row>
    <row r="180">
      <c r="A180" s="7" t="n">
        <v>36</v>
      </c>
      <c r="B180" s="7" t="inlineStr">
        <is>
          <t>Single Digital Gateway Regulation</t>
        </is>
      </c>
      <c r="C180" s="7" t="inlineStr">
        <is>
          <t>ex-ante assessment</t>
        </is>
      </c>
      <c r="D180" s="7" t="inlineStr">
        <is>
          <t>official</t>
        </is>
      </c>
      <c r="E180" s="7" t="inlineStr">
        <is>
          <t>initial review</t>
        </is>
      </c>
      <c r="F180" s="7" t="inlineStr">
        <is>
          <t>ec-2017-sdg-ia</t>
        </is>
      </c>
      <c r="G180" s="7" t="inlineStr">
        <is>
          <t>European Commission (2017), Impact Assessment accompanying the proposal for a Regulation on establishing a single digital gateway (executive summary), SWD(2017) 214 (full IA SWD(2017) 213)</t>
        </is>
      </c>
      <c r="H180" s="7" t="n">
        <v>2017</v>
      </c>
      <c r="I180" s="7" t="inlineStr">
        <is>
          <t>Commission impact assessment</t>
        </is>
      </c>
      <c r="J180" s="7" t="inlineStr">
        <is>
          <t>ex-ante</t>
        </is>
      </c>
      <c r="K180" s="7" t="inlineStr">
        <is>
          <t>administrative burden; cross-border trade; public costs</t>
        </is>
      </c>
      <c r="L180" s="7" t="inlineStr">
        <is>
          <t>positive (forecast)</t>
        </is>
      </c>
      <c r="M180" s="7" t="inlineStr">
        <is>
          <t>Could reduce business costs by EUR 11-55bn a year (based on 9 procedures and 9 information topics); set-up cost about EUR 5.8m per Member State, EUR 4.3-4.8m for the Commission</t>
        </is>
      </c>
      <c r="N180" s="7" t="inlineStr">
        <is>
          <t>The Commission estimated that a single EU portal for information and online procedures could save businesses EUR 11-55 billion a year.</t>
        </is>
      </c>
      <c r="O180" s="7" t="inlineStr">
        <is>
          <t>EU, forecast</t>
        </is>
      </c>
      <c r="P180" s="7" t="inlineStr">
        <is>
          <t>forecast; wide range</t>
        </is>
      </c>
      <c r="Q180" s="7" t="inlineStr"/>
      <c r="R180" s="7" t="inlineStr">
        <is>
          <t>open</t>
        </is>
      </c>
      <c r="S180" s="7" t="inlineStr">
        <is>
          <t>full text read (executive summary)</t>
        </is>
      </c>
      <c r="T180" s="7" t="inlineStr">
        <is>
          <t>2026-10-10</t>
        </is>
      </c>
      <c r="U180" s="7" t="inlineStr">
        <is>
          <t>https://eur-lex.europa.eu/legal-content/EN/TXT/?uri=CELEX:52017SC0214</t>
        </is>
      </c>
      <c r="V180" s="7" t="inlineStr"/>
      <c r="W180" s="7" t="inlineStr"/>
    </row>
    <row r="181">
      <c r="A181" s="7" t="n">
        <v>36</v>
      </c>
      <c r="B181" s="7" t="inlineStr">
        <is>
          <t>Single Digital Gateway Regulation</t>
        </is>
      </c>
      <c r="C181" s="7" t="inlineStr">
        <is>
          <t>evidence</t>
        </is>
      </c>
      <c r="D181" s="7" t="inlineStr">
        <is>
          <t>official</t>
        </is>
      </c>
      <c r="E181" s="7" t="inlineStr">
        <is>
          <t>initial review</t>
        </is>
      </c>
      <c r="F181" s="7" t="inlineStr">
        <is>
          <t>ec-2023-sdg-report</t>
        </is>
      </c>
      <c r="G181" s="7" t="inlineStr">
        <is>
          <t>European Commission (2023), First Implementation Report on the Single Digital Gateway, COM(2023) 534</t>
        </is>
      </c>
      <c r="H181" s="7" t="n">
        <v>2023</v>
      </c>
      <c r="I181" s="7" t="inlineStr">
        <is>
          <t>Commission implementation report</t>
        </is>
      </c>
      <c r="J181" s="7" t="inlineStr">
        <is>
          <t>monitoring report (usage statistics, user surveys, eGovernment Benchmark)</t>
        </is>
      </c>
      <c r="K181" s="7" t="inlineStr">
        <is>
          <t>usage; satisfaction; online procedures; obstacles</t>
        </is>
      </c>
      <c r="L181" s="7" t="inlineStr">
        <is>
          <t>positive (partial)</t>
        </is>
      </c>
      <c r="M181" s="7" t="inlineStr">
        <is>
          <t>43m Your Europe visits in 2022; 90%+ satisfaction; 76-77% found information; 6.5m assistance cases 2021-22; SDG procedures 84% online for nationals vs 47% for cross-border users; ~EUR 2.5m/yr saved in legal advice</t>
        </is>
      </c>
      <c r="N181" s="7" t="inlineStr">
        <is>
          <t>The first implementation report shows heavy use and high satisfaction with the Your Europe portal, but fewer than half of key procedures could yet be completed online by people from other EU countries.</t>
        </is>
      </c>
      <c r="O181" s="7" t="inlineStr">
        <is>
          <t>EU, 2020-2023</t>
        </is>
      </c>
      <c r="P181" s="7" t="inlineStr">
        <is>
          <t>Commission self-assessment; usage data robust, savings minimal</t>
        </is>
      </c>
      <c r="Q181" s="7" t="inlineStr"/>
      <c r="R181" s="7" t="inlineStr">
        <is>
          <t>open</t>
        </is>
      </c>
      <c r="S181" s="7" t="inlineStr">
        <is>
          <t>full text read (relevant sections)</t>
        </is>
      </c>
      <c r="T181" s="7" t="inlineStr">
        <is>
          <t>2026-10-10</t>
        </is>
      </c>
      <c r="U181" s="7" t="inlineStr">
        <is>
          <t>https://eur-lex.europa.eu/legal-content/EN/TXT/?uri=CELEX:52023DC0534</t>
        </is>
      </c>
      <c r="V181" s="7" t="inlineStr"/>
      <c r="W181" s="7" t="inlineStr"/>
    </row>
    <row r="182">
      <c r="A182" s="7" t="n">
        <v>36</v>
      </c>
      <c r="B182" s="7" t="inlineStr">
        <is>
          <t>Single Digital Gateway Regulation</t>
        </is>
      </c>
      <c r="C182" s="7" t="inlineStr">
        <is>
          <t>evidence</t>
        </is>
      </c>
      <c r="D182" s="7" t="inlineStr">
        <is>
          <t>academic</t>
        </is>
      </c>
      <c r="E182" s="7" t="inlineStr">
        <is>
          <t>initial review</t>
        </is>
      </c>
      <c r="F182" s="7" t="inlineStr">
        <is>
          <t>graux-2021-sdg-once-only</t>
        </is>
      </c>
      <c r="G182" s="7" t="inlineStr">
        <is>
          <t>Graux (2021), The Single Digital Gateway Regulation as an Enabler and Constraint of Once-Only in Europe, in The Once-Only Principle, Lecture Notes in Computer Science 12621, Springer</t>
        </is>
      </c>
      <c r="H182" s="7" t="n">
        <v>2021</v>
      </c>
      <c r="I182" s="7" t="inlineStr">
        <is>
          <t>peer-reviewed (book chapter)</t>
        </is>
      </c>
      <c r="J182" s="7" t="inlineStr">
        <is>
          <t>legal analysis</t>
        </is>
      </c>
      <c r="K182" s="7" t="inlineStr">
        <is>
          <t>once-only principle; cross-border evidence exchange</t>
        </is>
      </c>
      <c r="L182" s="7" t="inlineStr">
        <is>
          <t>mixed</t>
        </is>
      </c>
      <c r="M182" s="7" t="inlineStr">
        <is>
          <t>Analyses how the Regulation enables the once-only principle for cross-border procedures while its design constrains its scope</t>
        </is>
      </c>
      <c r="N182" s="7" t="inlineStr">
        <is>
          <t>A legal analysis argues the Regulation both pushes forward and limits the 'tell us once' idea for cross-border paperwork.</t>
        </is>
      </c>
      <c r="O182" s="7" t="inlineStr">
        <is>
          <t>EU</t>
        </is>
      </c>
      <c r="P182" s="7" t="inlineStr">
        <is>
          <t>qualitative; no impact data</t>
        </is>
      </c>
      <c r="Q182" s="7" t="inlineStr"/>
      <c r="R182" s="7" t="inlineStr">
        <is>
          <t>open</t>
        </is>
      </c>
      <c r="S182" s="7" t="inlineStr">
        <is>
          <t>metadata only (Crossref); content not read</t>
        </is>
      </c>
      <c r="T182" s="7" t="inlineStr">
        <is>
          <t>2026-10-10</t>
        </is>
      </c>
      <c r="U182" s="7" t="inlineStr">
        <is>
          <t>https://doi.org/10.1007/978-3-030-79851-2_5</t>
        </is>
      </c>
      <c r="V182" s="7" t="inlineStr"/>
      <c r="W182" s="7" t="inlineStr"/>
    </row>
    <row r="183">
      <c r="A183" s="7" t="n">
        <v>36</v>
      </c>
      <c r="B183" s="7" t="inlineStr">
        <is>
          <t>Single Digital Gateway Regulation</t>
        </is>
      </c>
      <c r="C183" s="7" t="inlineStr">
        <is>
          <t>evidence</t>
        </is>
      </c>
      <c r="D183" s="7" t="inlineStr">
        <is>
          <t>think tank</t>
        </is>
      </c>
      <c r="E183" s="7" t="inlineStr">
        <is>
          <t>2026-10 broadened search</t>
        </is>
      </c>
      <c r="F183" s="7" t="inlineStr">
        <is>
          <t>voigt-2024-sdgr-fivecountries</t>
        </is>
      </c>
      <c r="G183" s="7" t="inlineStr">
        <is>
          <t>Sofie Voigt, Alinka Rother, Liadán Sage (ÖFIT, Fraunhofer FOKUS) (2024), The Single Digital Gateway Regulation - Lessons from Implementation in Five EU Countries, Kompetenzzentrum Öffentliche IT (ÖFIT) white paper</t>
        </is>
      </c>
      <c r="H183" s="7" t="n">
        <v>2024</v>
      </c>
      <c r="I183" s="7" t="inlineStr">
        <is>
          <t>think tank report</t>
        </is>
      </c>
      <c r="J183" s="7" t="inlineStr">
        <is>
          <t>structured qualitative assessment: interviews with twelve experts from Germany, Austria, Ireland, Spain and Sweden</t>
        </is>
      </c>
      <c r="K183" s="7" t="inlineStr">
        <is>
          <t>implementation status, organisational challenges in national SDGR rollout</t>
        </is>
      </c>
      <c r="L183" s="7" t="inlineStr">
        <is>
          <t>negative</t>
        </is>
      </c>
      <c r="M183" s="7" t="inlineStr">
        <is>
          <t>No EU Member State fully implemented the Single Digital Gateway Regulation by the end-2023 deadline; interviewees cite unclear interpretation, weak coordination and limited resources.</t>
        </is>
      </c>
      <c r="N183" s="7" t="inlineStr">
        <is>
          <t>Researchers interviewed officials in five countries and found that none had fully delivered the EU's one-stop online portal rules on time, mainly because of coordination and resource problems.</t>
        </is>
      </c>
      <c r="O183" s="7" t="inlineStr">
        <is>
          <t>Germany, Austria, Ireland, Spain, Sweden; 2023-2024</t>
        </is>
      </c>
      <c r="P183" s="7" t="inlineStr">
        <is>
          <t>Qualitative, 12 interviews, no quantitative outcome measure; publicly funded German research centre.</t>
        </is>
      </c>
      <c r="Q183" s="7" t="inlineStr">
        <is>
          <t>publicly funded (German federal ministry-backed Fraunhofer centre)</t>
        </is>
      </c>
      <c r="R183" s="7" t="inlineStr">
        <is>
          <t>open</t>
        </is>
      </c>
      <c r="S183" s="7" t="inlineStr">
        <is>
          <t>abstract read</t>
        </is>
      </c>
      <c r="T183" s="7" t="inlineStr">
        <is>
          <t>2026-10-10</t>
        </is>
      </c>
      <c r="U183" s="7" t="inlineStr">
        <is>
          <t>https://www.oeffentliche-it.de/publikationen/the-single-digital-gateway-regulation-lessons-from-implementation-in-five-eu-countries/</t>
        </is>
      </c>
      <c r="V183" s="7" t="inlineStr">
        <is>
          <t>https://www.oeffentliche-it.de/publikationen/the-single-digital-gateway-regulation-lessons-from-implementation-in-five-eu-countries/The%20Single%20Digital%20Gateway%20Regulation%20-%20Lessons%20from%20Implementation%20in%20Five%20EU%20Countries.pdf</t>
        </is>
      </c>
      <c r="W183" s="7" t="inlineStr"/>
    </row>
    <row r="184">
      <c r="A184" s="7" t="n">
        <v>36</v>
      </c>
      <c r="B184" s="7" t="inlineStr">
        <is>
          <t>Single Digital Gateway Regulation</t>
        </is>
      </c>
      <c r="C184" s="7" t="inlineStr">
        <is>
          <t>evidence</t>
        </is>
      </c>
      <c r="D184" s="7" t="inlineStr">
        <is>
          <t>consultancy or industry</t>
        </is>
      </c>
      <c r="E184" s="7" t="inlineStr">
        <is>
          <t>2026-10 broadened search</t>
        </is>
      </c>
      <c r="F184" s="7" t="inlineStr">
        <is>
          <t>capgemini-2025-egovbenchmark</t>
        </is>
      </c>
      <c r="G184" s="7" t="inlineStr">
        <is>
          <t>Capgemini et al. (2025), eGovernment Benchmark 2025, eGovernment Benchmark (annual European Commission study)</t>
        </is>
      </c>
      <c r="H184" s="7" t="n">
        <v>2025</v>
      </c>
      <c r="I184" s="7" t="inlineStr">
        <is>
          <t>survey report</t>
        </is>
      </c>
      <c r="J184" s="7" t="inlineStr">
        <is>
          <t>mystery-shopper measurement of 14,104 government websites across EU27, nine life events, 20 indicators (Nov 2024), with new SDGR compliance indicators</t>
        </is>
      </c>
      <c r="K184" s="7" t="inlineStr">
        <is>
          <t>online availability of SDGR procedures, cross-border vs national service quality, OOTS availability</t>
        </is>
      </c>
      <c r="L184" s="7" t="inlineStr">
        <is>
          <t>mixed</t>
        </is>
      </c>
      <c r="M184" s="7" t="inlineStr">
        <is>
          <t>93% of Single Digital Gateway procedures are available online, but cross-border users benefit less than national users and the Once-Only Technical System was not yet available.</t>
        </is>
      </c>
      <c r="N184" s="7" t="inlineStr">
        <is>
          <t>A large check of EU government websites found almost all the procedures the gateway rules require are now online, but people from other EU countries still get a worse service and automatic document sharing between countries is not working yet.</t>
        </is>
      </c>
      <c r="O184" s="7" t="inlineStr">
        <is>
          <t>EU27, fieldwork November 2024</t>
        </is>
      </c>
      <c r="P184" s="7" t="inlineStr">
        <is>
          <t>Large systematic measurement, descriptive; only the publisher's press release read, not the full report.</t>
        </is>
      </c>
      <c r="Q184" s="7" t="inlineStr">
        <is>
          <t>consultancy contractor for the European Commission</t>
        </is>
      </c>
      <c r="R184" s="7" t="inlineStr">
        <is>
          <t>open</t>
        </is>
      </c>
      <c r="S184" s="7" t="inlineStr">
        <is>
          <t>abstract read</t>
        </is>
      </c>
      <c r="T184" s="7" t="inlineStr">
        <is>
          <t>2026-10-10</t>
        </is>
      </c>
      <c r="U184" s="7" t="inlineStr">
        <is>
          <t>https://www.capgemini.com/news/press-releases/egovernment-benchmark-2025-digitalization-of-public-services-in-the-eu-accelerates-but-cybersecurity-and-cross-border-challenges-remain/</t>
        </is>
      </c>
      <c r="V184" s="7" t="inlineStr"/>
      <c r="W184" s="7" t="inlineStr"/>
    </row>
    <row r="185">
      <c r="A185" s="7" t="n">
        <v>36</v>
      </c>
      <c r="B185" s="7" t="inlineStr">
        <is>
          <t>Single Digital Gateway Regulation</t>
        </is>
      </c>
      <c r="C185" s="7" t="inlineStr">
        <is>
          <t>evidence</t>
        </is>
      </c>
      <c r="D185" s="7" t="inlineStr">
        <is>
          <t>official</t>
        </is>
      </c>
      <c r="E185" s="7" t="inlineStr">
        <is>
          <t>2026-10 broadened search</t>
        </is>
      </c>
      <c r="F185" s="7" t="inlineStr">
        <is>
          <t>itplr-2025-sdg-umsetzungsstand</t>
        </is>
      </c>
      <c r="G185" s="7" t="inlineStr">
        <is>
          <t>IT-Planungsrat (Germany) (2025), Umsetzungsstand EU-Verordnung zum Single Digital Gateway zum 31.12.2024 in Deutschland (Beschluss 2025/21), IT-Planungsrat</t>
        </is>
      </c>
      <c r="H185" s="7" t="n">
        <v>2025</v>
      </c>
      <c r="I185" s="7" t="inlineStr">
        <is>
          <t>agency report</t>
        </is>
      </c>
      <c r="J185" s="7" t="inlineStr">
        <is>
          <t>descriptive monitoring statistics: compliance dashboard of 16,677 service descriptions, user feedback (36,021 ratings), online availability of Annex II procedures</t>
        </is>
      </c>
      <c r="K185" s="7" t="inlineStr">
        <is>
          <t>information quality, user satisfaction, online availability of SDG procedures, Your Europe usage</t>
        </is>
      </c>
      <c r="L185" s="7" t="inlineStr">
        <is>
          <t>mixed</t>
        </is>
      </c>
      <c r="M185" s="7" t="inlineStr">
        <is>
          <t>At end-2024, only 22% of Germany's 16,677 SDG-relevant service descriptions fully met requirements (29% not at all), users rated SDG services 2.95 of 5 stars on average, and 18 of 19 required procedures were online but only one federal-state service was available nationwide.</t>
        </is>
      </c>
      <c r="N185" s="7" t="inlineStr">
        <is>
          <t>Germany's federal-state IT council reports that a year after the EU deadline, most required online government procedures exist, but information is often incomplete, users are lukewarm and availability across regions is patchy.</t>
        </is>
      </c>
      <c r="O185" s="7" t="inlineStr">
        <is>
          <t>Germany, to 31 December 2024</t>
        </is>
      </c>
      <c r="P185" s="7" t="inlineStr">
        <is>
          <t>Official administrative monitoring; descriptive; one Member State.</t>
        </is>
      </c>
      <c r="Q185" s="7" t="inlineStr"/>
      <c r="R185" s="7" t="inlineStr">
        <is>
          <t>open</t>
        </is>
      </c>
      <c r="S185" s="7" t="inlineStr">
        <is>
          <t>full text read</t>
        </is>
      </c>
      <c r="T185" s="7" t="inlineStr">
        <is>
          <t>2026-10-10</t>
        </is>
      </c>
      <c r="U185" s="7" t="inlineStr">
        <is>
          <t>https://it-planungsrat.de/fileadmin/beschluesse/2025/Beschluss_2025_21_Umsetzungsstand_SDG.pdf</t>
        </is>
      </c>
      <c r="V185" s="7" t="inlineStr">
        <is>
          <t>https://it-planungsrat.de/fileadmin/beschluesse/2025/Beschluss_2025_21_Umsetzungsstand_SDG.pdf</t>
        </is>
      </c>
      <c r="W185" s="7" t="inlineStr"/>
    </row>
    <row r="186">
      <c r="A186" s="7" t="n">
        <v>35</v>
      </c>
      <c r="B186" s="7" t="inlineStr">
        <is>
          <t>Data protection by EU institutions Regulation</t>
        </is>
      </c>
      <c r="C186" s="7" t="inlineStr">
        <is>
          <t>evidence</t>
        </is>
      </c>
      <c r="D186" s="7" t="inlineStr">
        <is>
          <t>official</t>
        </is>
      </c>
      <c r="E186" s="7" t="inlineStr">
        <is>
          <t>initial review</t>
        </is>
      </c>
      <c r="F186" s="7" t="inlineStr">
        <is>
          <t>ec-2022-eudpr-report</t>
        </is>
      </c>
      <c r="G186" s="7" t="inlineStr">
        <is>
          <t>European Commission (2022), First report on the application of the Data Protection Regulation for EU institutions, bodies, offices and agencies (Regulation 2018/1725), COM(2022) 530</t>
        </is>
      </c>
      <c r="H186" s="7" t="n">
        <v>2022</v>
      </c>
      <c r="I186" s="7" t="inlineStr">
        <is>
          <t>Commission evaluation</t>
        </is>
      </c>
      <c r="J186" s="7" t="inlineStr">
        <is>
          <t>review (survey of 56 EU bodies, EDPS contribution)</t>
        </is>
      </c>
      <c r="K186" s="7" t="inlineStr">
        <is>
          <t>compliance; enforcement; resources</t>
        </is>
      </c>
      <c r="L186" s="7" t="inlineStr">
        <is>
          <t>positive (self-assessment)</t>
        </is>
      </c>
      <c r="M186" s="7" t="inlineStr">
        <is>
          <t>Regulation 'working well and fit for purpose'; 54% of bodies gave more resources to DPOs; DPIAs replaced prior checking and cut routine consultations of the EDPS; EDPS had not used its power to fine; proposes aligning rules for Europol/Eurojust/EPPO</t>
        </is>
      </c>
      <c r="N186" s="7" t="inlineStr">
        <is>
          <t>The Commission found the rules for EU institutions work well: bodies invested more in data protection officers and risk assessments, and the supervisor used bans but never fines.</t>
        </is>
      </c>
      <c r="O186" s="7" t="inlineStr">
        <is>
          <t>EU institutions, 2018-2021</t>
        </is>
      </c>
      <c r="P186" s="7" t="inlineStr">
        <is>
          <t>self-evaluation based on self-reported survey; no outcome measures</t>
        </is>
      </c>
      <c r="Q186" s="7" t="inlineStr"/>
      <c r="R186" s="7" t="inlineStr">
        <is>
          <t>open</t>
        </is>
      </c>
      <c r="S186" s="7" t="inlineStr">
        <is>
          <t>full text partly read</t>
        </is>
      </c>
      <c r="T186" s="7" t="inlineStr">
        <is>
          <t>2026-10-10</t>
        </is>
      </c>
      <c r="U186" s="7" t="inlineStr">
        <is>
          <t>https://eur-lex.europa.eu/legal-content/EN/TXT/?uri=CELEX:52022DC0530</t>
        </is>
      </c>
      <c r="V186" s="7" t="inlineStr"/>
      <c r="W186" s="7" t="inlineStr">
        <is>
          <t>http://web.archive.org/web/20251208125840/https://eur-lex.europa.eu/legal-content/EN/TXT/?uri=CELEX%3A52022DC0530</t>
        </is>
      </c>
    </row>
    <row r="187">
      <c r="A187" s="7" t="n">
        <v>35</v>
      </c>
      <c r="B187" s="7" t="inlineStr">
        <is>
          <t>Data protection by EU institutions Regulation</t>
        </is>
      </c>
      <c r="C187" s="7" t="inlineStr">
        <is>
          <t>evidence</t>
        </is>
      </c>
      <c r="D187" s="7" t="inlineStr">
        <is>
          <t>official</t>
        </is>
      </c>
      <c r="E187" s="7" t="inlineStr">
        <is>
          <t>initial review</t>
        </is>
      </c>
      <c r="F187" s="7" t="inlineStr">
        <is>
          <t>ec-2025-digital-omnibus-swd</t>
        </is>
      </c>
      <c r="G187" s="7" t="inlineStr">
        <is>
          <t>European Commission (2025), Staff working document accompanying the Digital Omnibus proposals, SWD(2025) 836</t>
        </is>
      </c>
      <c r="H187" s="7" t="n">
        <v>2025</v>
      </c>
      <c r="I187" s="7" t="inlineStr">
        <is>
          <t>Commission staff working document</t>
        </is>
      </c>
      <c r="J187" s="7" t="inlineStr">
        <is>
          <t>review (simplification analysis)</t>
        </is>
      </c>
      <c r="K187" s="7" t="inlineStr">
        <is>
          <t>compliance burden</t>
        </is>
      </c>
      <c r="L187" s="7" t="inlineStr">
        <is>
          <t>n/a</t>
        </is>
      </c>
      <c r="M187" s="7" t="inlineStr">
        <is>
          <t>Proposes mirroring the Omnibus GDPR amendments in Regulation 2018/1725 to keep EU-institution rules aligned with the GDPR; no new evidence on the Regulation's effects</t>
        </is>
      </c>
      <c r="N187" s="7" t="inlineStr">
        <is>
          <t>The Commission's 2025 simplification package would change these rules in step with planned GDPR changes, but presents no new evidence on how they have worked.</t>
        </is>
      </c>
      <c r="O187" s="7" t="inlineStr">
        <is>
          <t>EU</t>
        </is>
      </c>
      <c r="P187" s="7" t="inlineStr">
        <is>
          <t>policy document; no ex-post data on EUDPR</t>
        </is>
      </c>
      <c r="Q187" s="7" t="inlineStr"/>
      <c r="R187" s="7" t="inlineStr">
        <is>
          <t>open</t>
        </is>
      </c>
      <c r="S187" s="7" t="inlineStr">
        <is>
          <t>full text partly read</t>
        </is>
      </c>
      <c r="T187" s="7" t="inlineStr">
        <is>
          <t>2026-10-10</t>
        </is>
      </c>
      <c r="U187" s="7" t="inlineStr">
        <is>
          <t>https://eur-lex.europa.eu/legal-content/EN/TXT/?uri=CELEX:52025SC0836</t>
        </is>
      </c>
      <c r="V187" s="7" t="inlineStr"/>
      <c r="W187" s="7" t="inlineStr"/>
    </row>
    <row r="188">
      <c r="A188" s="7" t="n">
        <v>35</v>
      </c>
      <c r="B188" s="7" t="inlineStr">
        <is>
          <t>Data protection by EU institutions Regulation</t>
        </is>
      </c>
      <c r="C188" s="7" t="inlineStr">
        <is>
          <t>evidence</t>
        </is>
      </c>
      <c r="D188" s="7" t="inlineStr">
        <is>
          <t>official</t>
        </is>
      </c>
      <c r="E188" s="7" t="inlineStr">
        <is>
          <t>2026-10 broadened search</t>
        </is>
      </c>
      <c r="F188" s="7" t="inlineStr">
        <is>
          <t>edps-2024-dpo-survey</t>
        </is>
      </c>
      <c r="G188" s="7" t="inlineStr">
        <is>
          <t>European Data Protection Supervisor (EDPS) (2024), Results of the Survey on the designation and position of the data protection officer in the EU institutions, bodies, offices and agencies, EDPS report (Coordinated Enforcement Action 2023)</t>
        </is>
      </c>
      <c r="H188" s="7" t="n">
        <v>2024</v>
      </c>
      <c r="I188" s="7" t="inlineStr">
        <is>
          <t>agency report</t>
        </is>
      </c>
      <c r="J188" s="7" t="inlineStr">
        <is>
          <t>supervisory questionnaire survey, 69 responses covering 71 EU institutions, bodies and agencies (March 2023)</t>
        </is>
      </c>
      <c r="K188" s="7" t="inlineStr">
        <is>
          <t>DPO resources, independence, involvement, compliance with Regulation 2018/1725</t>
        </is>
      </c>
      <c r="L188" s="7" t="inlineStr">
        <is>
          <t>mixed</t>
        </is>
      </c>
      <c r="M188" s="7" t="inlineStr">
        <is>
          <t>Almost half of the 69 DPOs say their resources are insufficient, 30% have no full-time-equivalent support and under 30% have their own budget, while most are consulted on 75-100% of data protection issues; 3 of 69 (4%) report being penalised for their work.</t>
        </is>
      </c>
      <c r="N188" s="7" t="inlineStr">
        <is>
          <t>The EU's own data protection watchdog surveyed privacy officers in EU bodies: they are generally consulted and listened to, but many lack staff and time, which risks weakening data protection inside EU institutions.</t>
        </is>
      </c>
      <c r="O188" s="7" t="inlineStr">
        <is>
          <t>EU institutions, bodies, offices and agencies, 2023</t>
        </is>
      </c>
      <c r="P188" s="7" t="inlineStr">
        <is>
          <t>Self-reported supervisory survey with near-full coverage; descriptive, no before/after comparison.</t>
        </is>
      </c>
      <c r="Q188" s="7" t="inlineStr">
        <is>
          <t>EDPS is the supervisor under the Regulation</t>
        </is>
      </c>
      <c r="R188" s="7" t="inlineStr">
        <is>
          <t>open</t>
        </is>
      </c>
      <c r="S188" s="7" t="inlineStr">
        <is>
          <t>full text read</t>
        </is>
      </c>
      <c r="T188" s="7" t="inlineStr">
        <is>
          <t>2026-10-10</t>
        </is>
      </c>
      <c r="U188" s="7" t="inlineStr">
        <is>
          <t>https://edps.europa.eu/system/files/2024-01/edps-report-on-dpo-survey-coordinated-enforcement-action_en.pdf</t>
        </is>
      </c>
      <c r="V188" s="7" t="inlineStr">
        <is>
          <t>https://edps.europa.eu/system/files/2024-01/edps-report-on-dpo-survey-coordinated-enforcement-action_en.pdf</t>
        </is>
      </c>
      <c r="W188" s="7" t="inlineStr"/>
    </row>
    <row r="189">
      <c r="A189" s="7" t="n">
        <v>35</v>
      </c>
      <c r="B189" s="7" t="inlineStr">
        <is>
          <t>Data protection by EU institutions Regulation</t>
        </is>
      </c>
      <c r="C189" s="7" t="inlineStr">
        <is>
          <t>evidence</t>
        </is>
      </c>
      <c r="D189" s="7" t="inlineStr">
        <is>
          <t>official</t>
        </is>
      </c>
      <c r="E189" s="7" t="inlineStr">
        <is>
          <t>2026-10 broadened search</t>
        </is>
      </c>
      <c r="F189" s="7" t="inlineStr">
        <is>
          <t>edps-2025-cefaccess-euis</t>
        </is>
      </c>
      <c r="G189" s="7" t="inlineStr">
        <is>
          <t>European Data Protection Supervisor (national report in EDPB CEF 2024 annex) (2025), EDPS report on the right of access in EU institutions, bodies, offices and agencies (Coordinated Enforcement Framework 2024, Appendix: national reports), EDPB CEF 2024 report annex</t>
        </is>
      </c>
      <c r="H189" s="7" t="n">
        <v>2025</v>
      </c>
      <c r="I189" s="7" t="inlineStr">
        <is>
          <t>agency report</t>
        </is>
      </c>
      <c r="J189" s="7" t="inlineStr">
        <is>
          <t>survey of all 75 EUIs (63 responded) plus complaint-handling records 2023-mid 2024, DPO activity reports and a DPO workshop</t>
        </is>
      </c>
      <c r="K189" s="7" t="inlineStr">
        <is>
          <t>volume and handling of data subject access requests under Regulation 2018/1725</t>
        </is>
      </c>
      <c r="L189" s="7" t="inlineStr">
        <is>
          <t>mixed</t>
        </is>
      </c>
      <c r="M189" s="7" t="inlineStr">
        <is>
          <t>58 of 63 responding EU institutions and agencies received only 0-25 access requests in 2023; the EDPS found decentralised handling, difficulty distinguishing access requests from other requests, and excessive identity checks.</t>
        </is>
      </c>
      <c r="N189" s="7" t="inlineStr">
        <is>
          <t>The EU's own privacy watchdog checked how EU bodies deal with people asking for their personal data. Few such requests arrive, but many bodies lack central systems and some ask for too much identification.</t>
        </is>
      </c>
      <c r="O189" s="7" t="inlineStr">
        <is>
          <t>2023-2024; EU institutions</t>
        </is>
      </c>
      <c r="P189" s="7" t="inlineStr">
        <is>
          <t>Official census-type survey with descriptive statistics; qualitative findings from supervisor's own case work</t>
        </is>
      </c>
      <c r="Q189" s="7" t="inlineStr">
        <is>
          <t>Supervisor assessing compliance with the law it enforces</t>
        </is>
      </c>
      <c r="R189" s="7" t="inlineStr">
        <is>
          <t>open</t>
        </is>
      </c>
      <c r="S189" s="7" t="inlineStr">
        <is>
          <t>full text read</t>
        </is>
      </c>
      <c r="T189" s="7" t="inlineStr">
        <is>
          <t>2026-10-10</t>
        </is>
      </c>
      <c r="U189" s="7" t="inlineStr">
        <is>
          <t>https://www.edpb.europa.eu/our-work-tools/our-documents/other/coordinated-enforcement-action-implementation-right-access_en</t>
        </is>
      </c>
      <c r="V189" s="7" t="inlineStr">
        <is>
          <t>https://www.edpb.europa.eu/system/files/documents/2025-01/edpb_cef-report-2024_20250116_annex_en.pdf</t>
        </is>
      </c>
      <c r="W189" s="7" t="inlineStr"/>
    </row>
    <row r="190">
      <c r="A190" s="7" t="n">
        <v>38</v>
      </c>
      <c r="B190" s="7" t="inlineStr">
        <is>
          <t>Free Flow of Non-Personal Data Regulation</t>
        </is>
      </c>
      <c r="C190" s="7" t="inlineStr">
        <is>
          <t>ex-ante assessment</t>
        </is>
      </c>
      <c r="D190" s="7" t="inlineStr">
        <is>
          <t>official</t>
        </is>
      </c>
      <c r="E190" s="7" t="inlineStr">
        <is>
          <t>initial review</t>
        </is>
      </c>
      <c r="F190" s="7" t="inlineStr">
        <is>
          <t>ec-2017-ffd-ia</t>
        </is>
      </c>
      <c r="G190" s="7" t="inlineStr">
        <is>
          <t>European Commission (2017), Impact Assessment accompanying the proposal on a framework for the free flow of non-personal data (executive summary SWD(2017) 305), SWD(2017) 304</t>
        </is>
      </c>
      <c r="H190" s="7" t="n">
        <v>2017</v>
      </c>
      <c r="I190" s="7" t="inlineStr">
        <is>
          <t>Commission impact assessment</t>
        </is>
      </c>
      <c r="J190" s="7" t="inlineStr">
        <is>
          <t>ex-ante (relies on ECIPE and Deloitte modelling)</t>
        </is>
      </c>
      <c r="K190" s="7" t="inlineStr">
        <is>
          <t>GDP; cloud market competition</t>
        </is>
      </c>
      <c r="L190" s="7" t="inlineStr">
        <is>
          <t>positive (forecast)</t>
        </is>
      </c>
      <c r="M190" s="7" t="inlineStr">
        <is>
          <t>Removing localisation restrictions could raise GDP by up to EUR 8bn (0.06%) a year (ECIPE); Deloitte estimate of EUR 11.6bn net present value for cloud users and providers; moderate costs for cloud providers</t>
        </is>
      </c>
      <c r="N190" s="7" t="inlineStr">
        <is>
          <t>The Commission expected that banning unjustified national rules on where data must be stored would add up to EUR 8 billion a year to EU GDP.</t>
        </is>
      </c>
      <c r="O190" s="7" t="inlineStr">
        <is>
          <t>EU, forecast</t>
        </is>
      </c>
      <c r="P190" s="7" t="inlineStr">
        <is>
          <t>forecast</t>
        </is>
      </c>
      <c r="Q190" s="7" t="inlineStr"/>
      <c r="R190" s="7" t="inlineStr">
        <is>
          <t>open</t>
        </is>
      </c>
      <c r="S190" s="7" t="inlineStr">
        <is>
          <t>full text partly read</t>
        </is>
      </c>
      <c r="T190" s="7" t="inlineStr">
        <is>
          <t>2026-10-10</t>
        </is>
      </c>
      <c r="U190" s="7" t="inlineStr">
        <is>
          <t>https://eur-lex.europa.eu/legal-content/EN/TXT/?uri=CELEX:52017SC0304</t>
        </is>
      </c>
      <c r="V190" s="7" t="inlineStr"/>
      <c r="W190" s="7" t="inlineStr">
        <is>
          <t>http://web.archive.org/web/20240606105617/https://eur-lex.europa.eu/legal-content/EN/TXT/?uri=celex%3A52017SC0304</t>
        </is>
      </c>
    </row>
    <row r="191">
      <c r="A191" s="7" t="n">
        <v>38</v>
      </c>
      <c r="B191" s="7" t="inlineStr">
        <is>
          <t>Free Flow of Non-Personal Data Regulation</t>
        </is>
      </c>
      <c r="C191" s="7" t="inlineStr">
        <is>
          <t>evidence</t>
        </is>
      </c>
      <c r="D191" s="7" t="inlineStr">
        <is>
          <t>think tank</t>
        </is>
      </c>
      <c r="E191" s="7" t="inlineStr">
        <is>
          <t>initial review</t>
        </is>
      </c>
      <c r="F191" s="7" t="inlineStr">
        <is>
          <t>bauer-et-al-2016-ecipe</t>
        </is>
      </c>
      <c r="G191" s="7" t="inlineStr">
        <is>
          <t>Bauer, Ferracane, Lee-Makiyama &amp; van der Marel (2016), Unleashing Internal Data Flows in the EU: An Economic Assessment of Data Localisation Measures in the EU Member States, ECIPE Policy Brief 3/2016</t>
        </is>
      </c>
      <c r="H191" s="7" t="n">
        <v>2016</v>
      </c>
      <c r="I191" s="7" t="inlineStr">
        <is>
          <t>think-tank study</t>
        </is>
      </c>
      <c r="J191" s="7" t="inlineStr">
        <is>
          <t>ex-ante (computable general equilibrium modelling)</t>
        </is>
      </c>
      <c r="K191" s="7" t="inlineStr">
        <is>
          <t>GDP</t>
        </is>
      </c>
      <c r="L191" s="7" t="inlineStr">
        <is>
          <t>positive (forecast)</t>
        </is>
      </c>
      <c r="M191" s="7" t="inlineStr">
        <is>
          <t>Identified 22 localisation measures in EU Member States; removing them would raise GDP by up to EUR 8bn a year (0.06%)</t>
        </is>
      </c>
      <c r="N191" s="7" t="inlineStr">
        <is>
          <t>A think-tank model found 22 national data localisation rules in the EU and estimated that scrapping them could add up to EUR 8 billion a year to GDP.</t>
        </is>
      </c>
      <c r="O191" s="7" t="inlineStr">
        <is>
          <t>EU, 2016</t>
        </is>
      </c>
      <c r="P191" s="7" t="inlineStr">
        <is>
          <t>model-based forecast, not an evaluation</t>
        </is>
      </c>
      <c r="Q191" s="7" t="inlineStr"/>
      <c r="R191" s="7" t="inlineStr">
        <is>
          <t>open</t>
        </is>
      </c>
      <c r="S191" s="7" t="inlineStr">
        <is>
          <t>page summary via search</t>
        </is>
      </c>
      <c r="T191" s="7" t="inlineStr">
        <is>
          <t>2026-10-10</t>
        </is>
      </c>
      <c r="U191" s="7" t="inlineStr">
        <is>
          <t>https://ecipe.org/publications/unleashing-internal-data-flows-in-the-eu/</t>
        </is>
      </c>
      <c r="V191" s="7" t="inlineStr"/>
      <c r="W191" s="7" t="inlineStr">
        <is>
          <t>http://web.archive.org/web/20260118033233/https://ecipe.org/publications/unleashing-internal-data-flows-in-the-eu/</t>
        </is>
      </c>
    </row>
    <row r="192">
      <c r="A192" s="7" t="n">
        <v>38</v>
      </c>
      <c r="B192" s="7" t="inlineStr">
        <is>
          <t>Free Flow of Non-Personal Data Regulation</t>
        </is>
      </c>
      <c r="C192" s="7" t="inlineStr">
        <is>
          <t>evidence</t>
        </is>
      </c>
      <c r="D192" s="7" t="inlineStr">
        <is>
          <t>official</t>
        </is>
      </c>
      <c r="E192" s="7" t="inlineStr">
        <is>
          <t>initial review</t>
        </is>
      </c>
      <c r="F192" s="7" t="inlineStr">
        <is>
          <t>open-evidence-2026-ffd-eval-study</t>
        </is>
      </c>
      <c r="G192" s="7" t="inlineStr">
        <is>
          <t>Open Evidence et al. for the European Commission (2026), Study supporting the evaluation of the free flow of non-personal data regulation, open data directive and data governance act, Publications Office of the EU</t>
        </is>
      </c>
      <c r="H192" s="7" t="n">
        <v>2026</v>
      </c>
      <c r="I192" s="7" t="inlineStr">
        <is>
          <t>evaluation support study (contractor for Commission)</t>
        </is>
      </c>
      <c r="J192" s="7" t="inlineStr">
        <is>
          <t>evaluation (consultation, desk research)</t>
        </is>
      </c>
      <c r="K192" s="7" t="inlineStr">
        <is>
          <t>data localisation; legal certainty</t>
        </is>
      </c>
      <c r="L192" s="7" t="inlineStr">
        <is>
          <t>limited effect</t>
        </is>
      </c>
      <c r="M192" s="7" t="inlineStr">
        <is>
          <t>Regulation has shown limited effectiveness in removing data localisation requirements, hampered by the national-security exemption and legal uncertainty about mixed data sets</t>
        </is>
      </c>
      <c r="N192" s="7" t="inlineStr">
        <is>
          <t>An evaluation study for the Commission concluded the Regulation did little to remove national data localisation rules.</t>
        </is>
      </c>
      <c r="O192" s="7" t="inlineStr">
        <is>
          <t>EU, 2019-2025</t>
        </is>
      </c>
      <c r="P192" s="7" t="inlineStr">
        <is>
          <t>qualitative evaluation; no quantified effect</t>
        </is>
      </c>
      <c r="Q192" s="7" t="inlineStr"/>
      <c r="R192" s="7" t="inlineStr">
        <is>
          <t>open</t>
        </is>
      </c>
      <c r="S192" s="7" t="inlineStr">
        <is>
          <t>page summary via search (contractor's announcement)</t>
        </is>
      </c>
      <c r="T192" s="7" t="inlineStr">
        <is>
          <t>2026-10-10</t>
        </is>
      </c>
      <c r="U192" s="7" t="inlineStr">
        <is>
          <t>https://op.europa.eu/en/publication-detail/-/publication/3a2a3e8b-edd1-11f0-8d3c-01aa75ed71a1/language-en</t>
        </is>
      </c>
      <c r="V192" s="7" t="inlineStr"/>
      <c r="W192" s="7" t="inlineStr"/>
    </row>
    <row r="193">
      <c r="A193" s="7" t="n">
        <v>38</v>
      </c>
      <c r="B193" s="7" t="inlineStr">
        <is>
          <t>Free Flow of Non-Personal Data Regulation</t>
        </is>
      </c>
      <c r="C193" s="7" t="inlineStr">
        <is>
          <t>evidence</t>
        </is>
      </c>
      <c r="D193" s="7" t="inlineStr">
        <is>
          <t>official</t>
        </is>
      </c>
      <c r="E193" s="7" t="inlineStr">
        <is>
          <t>initial review</t>
        </is>
      </c>
      <c r="F193" s="7" t="inlineStr">
        <is>
          <t>ec-2025-digital-omnibus-swd</t>
        </is>
      </c>
      <c r="G193" s="7" t="inlineStr">
        <is>
          <t>European Commission (2025), Staff working document accompanying the Digital Omnibus proposals, SWD(2025) 836</t>
        </is>
      </c>
      <c r="H193" s="7" t="n">
        <v>2025</v>
      </c>
      <c r="I193" s="7" t="inlineStr">
        <is>
          <t>Commission staff working document</t>
        </is>
      </c>
      <c r="J193" s="7" t="inlineStr">
        <is>
          <t>review (public consultation, SME panel)</t>
        </is>
      </c>
      <c r="K193" s="7" t="inlineStr">
        <is>
          <t>uptake; enforcement; cloud switching</t>
        </is>
      </c>
      <c r="L193" s="7" t="inlineStr">
        <is>
          <t>limited effect</t>
        </is>
      </c>
      <c r="M193" s="7" t="inlineStr">
        <is>
          <t>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is>
      </c>
      <c r="N193" s="7" t="inlineStr">
        <is>
          <t>The Commission found little use of the Regulation and proposes folding its core principle into the Data Act and repealing it.</t>
        </is>
      </c>
      <c r="O193" s="7" t="inlineStr">
        <is>
          <t>EU, 2019-2025</t>
        </is>
      </c>
      <c r="P193" s="7" t="inlineStr">
        <is>
          <t>consultation-based; no quantitative outcome data</t>
        </is>
      </c>
      <c r="Q193" s="7" t="inlineStr"/>
      <c r="R193" s="7" t="inlineStr">
        <is>
          <t>open</t>
        </is>
      </c>
      <c r="S193" s="7" t="inlineStr">
        <is>
          <t>full text partly read</t>
        </is>
      </c>
      <c r="T193" s="7" t="inlineStr">
        <is>
          <t>2026-10-10</t>
        </is>
      </c>
      <c r="U193" s="7" t="inlineStr">
        <is>
          <t>https://eur-lex.europa.eu/legal-content/EN/TXT/?uri=CELEX:52025SC0836</t>
        </is>
      </c>
      <c r="V193" s="7" t="inlineStr"/>
      <c r="W193" s="7" t="inlineStr"/>
    </row>
    <row r="194">
      <c r="A194" s="7" t="n">
        <v>40</v>
      </c>
      <c r="B194" s="7" t="inlineStr">
        <is>
          <t>Non-cash payment fraud Directive</t>
        </is>
      </c>
      <c r="C194" s="7" t="inlineStr">
        <is>
          <t>ex-ante assessment</t>
        </is>
      </c>
      <c r="D194" s="7" t="inlineStr">
        <is>
          <t>official</t>
        </is>
      </c>
      <c r="E194" s="7" t="inlineStr">
        <is>
          <t>initial review</t>
        </is>
      </c>
      <c r="F194" s="7" t="inlineStr">
        <is>
          <t>ec-2017-ncpfraud-ia</t>
        </is>
      </c>
      <c r="G194" s="7" t="inlineStr">
        <is>
          <t>European Commission (2017), Impact Assessment accompanying the proposal on combating fraud and counterfeiting of non-cash means of payment (executive summary SWD(2017) 299), SWD(2017) 298</t>
        </is>
      </c>
      <c r="H194" s="7" t="n">
        <v>2017</v>
      </c>
      <c r="I194" s="7" t="inlineStr">
        <is>
          <t>Commission impact assessment</t>
        </is>
      </c>
      <c r="J194" s="7" t="inlineStr">
        <is>
          <t>ex-ante</t>
        </is>
      </c>
      <c r="K194" s="7" t="inlineStr">
        <is>
          <t>law enforcement effectiveness; costs to Member States</t>
        </is>
      </c>
      <c r="L194" s="7" t="inlineStr">
        <is>
          <t>positive (forecast, qualitative)</t>
        </is>
      </c>
      <c r="M194" s="7" t="inlineStr">
        <is>
          <t>Expected more effective law enforcement, better cross-border and public-private cooperation and more trust in the digital single market; costs EUR 561,000 one-off and about EUR 2.3m a year for Member States; no impact on SMEs</t>
        </is>
      </c>
      <c r="N194" s="7" t="inlineStr">
        <is>
          <t>The Commission expected the update of criminal law on payment fraud to make police work more effective at a modest cost to national authorities, but gave no forecast of reduced fraud.</t>
        </is>
      </c>
      <c r="O194" s="7" t="inlineStr">
        <is>
          <t>EU, forecast</t>
        </is>
      </c>
      <c r="P194" s="7" t="inlineStr">
        <is>
          <t>forecast; benefits not quantified</t>
        </is>
      </c>
      <c r="Q194" s="7" t="inlineStr"/>
      <c r="R194" s="7" t="inlineStr">
        <is>
          <t>open</t>
        </is>
      </c>
      <c r="S194" s="7" t="inlineStr">
        <is>
          <t>full text read (executive summary)</t>
        </is>
      </c>
      <c r="T194" s="7" t="inlineStr">
        <is>
          <t>2026-10-10</t>
        </is>
      </c>
      <c r="U194" s="7" t="inlineStr">
        <is>
          <t>https://eur-lex.europa.eu/legal-content/EN/TXT/?uri=CELEX:52017SC0299</t>
        </is>
      </c>
      <c r="V194" s="7" t="inlineStr"/>
      <c r="W194" s="7" t="inlineStr">
        <is>
          <t>http://web.archive.org/web/20240706033523/https://eur-lex.europa.eu/legal-content/EN/TXT/?uri=celex%3A52017SC0299</t>
        </is>
      </c>
    </row>
    <row r="195">
      <c r="A195" s="7" t="n">
        <v>40</v>
      </c>
      <c r="B195" s="7" t="inlineStr">
        <is>
          <t>Non-cash payment fraud Directive</t>
        </is>
      </c>
      <c r="C195" s="7" t="inlineStr">
        <is>
          <t>evidence</t>
        </is>
      </c>
      <c r="D195" s="7" t="inlineStr">
        <is>
          <t>official</t>
        </is>
      </c>
      <c r="E195" s="7" t="inlineStr">
        <is>
          <t>initial review</t>
        </is>
      </c>
      <c r="F195" s="7" t="inlineStr">
        <is>
          <t>ec-2023-ncpfraud-transposition</t>
        </is>
      </c>
      <c r="G195" s="7" t="inlineStr">
        <is>
          <t>European Commission (2023), Report assessing the extent to which Member States have taken the necessary measures to comply with Directive (EU) 2019/713, COM(2023) 363</t>
        </is>
      </c>
      <c r="H195" s="7" t="n">
        <v>2023</v>
      </c>
      <c r="I195" s="7" t="inlineStr">
        <is>
          <t>Commission implementation report</t>
        </is>
      </c>
      <c r="J195" s="7" t="inlineStr">
        <is>
          <t>legal transposition review</t>
        </is>
      </c>
      <c r="K195" s="7" t="inlineStr">
        <is>
          <t>transposition</t>
        </is>
      </c>
      <c r="L195" s="7" t="inlineStr">
        <is>
          <t>n/a</t>
        </is>
      </c>
      <c r="M195" s="7" t="inlineStr">
        <is>
          <t>Only 9 Member States transposed on time; infringement procedures against 16 in July 2021; transposition largely complete by 2023 but gaps remain, notably on coverage of virtual currencies</t>
        </is>
      </c>
      <c r="N195" s="7" t="inlineStr">
        <is>
          <t>The Commission's check found most countries transposed the payment-fraud rules late but largely correctly, with gaps on virtual currencies.</t>
        </is>
      </c>
      <c r="O195" s="7" t="inlineStr">
        <is>
          <t>EU, 2021-2023</t>
        </is>
      </c>
      <c r="P195" s="7" t="inlineStr">
        <is>
          <t>legal compliance only; no impact data</t>
        </is>
      </c>
      <c r="Q195" s="7" t="inlineStr"/>
      <c r="R195" s="7" t="inlineStr">
        <is>
          <t>open</t>
        </is>
      </c>
      <c r="S195" s="7" t="inlineStr">
        <is>
          <t>full text partly read</t>
        </is>
      </c>
      <c r="T195" s="7" t="inlineStr">
        <is>
          <t>2026-10-10</t>
        </is>
      </c>
      <c r="U195" s="7" t="inlineStr">
        <is>
          <t>https://eur-lex.europa.eu/legal-content/EN/TXT/?uri=CELEX:52023DC0363</t>
        </is>
      </c>
      <c r="V195" s="7" t="inlineStr"/>
      <c r="W195" s="7" t="inlineStr">
        <is>
          <t>http://web.archive.org/web/20260215091959/https://eur-lex.europa.eu/legal-content/EN/TXT/?uri=CELEX%3A52023DC0363</t>
        </is>
      </c>
    </row>
    <row r="196">
      <c r="A196" s="7" t="n">
        <v>40</v>
      </c>
      <c r="B196" s="7" t="inlineStr">
        <is>
          <t>Non-cash payment fraud Directive</t>
        </is>
      </c>
      <c r="C196" s="7" t="inlineStr">
        <is>
          <t>evidence</t>
        </is>
      </c>
      <c r="D196" s="7" t="inlineStr">
        <is>
          <t>official</t>
        </is>
      </c>
      <c r="E196" s="7" t="inlineStr">
        <is>
          <t>initial review</t>
        </is>
      </c>
      <c r="F196" s="7" t="inlineStr">
        <is>
          <t>eba-ecb-2024-payment-fraud</t>
        </is>
      </c>
      <c r="G196" s="7" t="inlineStr">
        <is>
          <t>European Banking Authority &amp; European Central Bank (2024), 2024 Report on Payment Fraud, EBA/ECB joint report (1 August 2024)</t>
        </is>
      </c>
      <c r="H196" s="7" t="n">
        <v>2024</v>
      </c>
      <c r="I196" s="7" t="inlineStr">
        <is>
          <t>supervisory statistics</t>
        </is>
      </c>
      <c r="J196" s="7" t="inlineStr">
        <is>
          <t>descriptive (PSD2 fraud reporting data)</t>
        </is>
      </c>
      <c r="K196" s="7" t="inlineStr">
        <is>
          <t>fraud losses</t>
        </is>
      </c>
      <c r="L196" s="7" t="inlineStr">
        <is>
          <t>n/a (not attributable)</t>
        </is>
      </c>
      <c r="M196" s="7" t="inlineStr">
        <is>
          <t>Payment fraud in the EEA totalled EUR 4.3bn in 2022 and EUR 2.0bn in H1 2023; card fraud about 0.031% of card payment value, mostly in remote transactions</t>
        </is>
      </c>
      <c r="N196" s="7" t="inlineStr">
        <is>
          <t>European regulators' statistics show payment fraud of about EUR 4 billion a year, mostly online, but they do not show whether this Directive made a difference.</t>
        </is>
      </c>
      <c r="O196" s="7" t="inlineStr">
        <is>
          <t>EEA, 2022-H1 2023</t>
        </is>
      </c>
      <c r="P196" s="7" t="inlineStr">
        <is>
          <t>descriptive; no link to the Directive</t>
        </is>
      </c>
      <c r="Q196" s="7" t="inlineStr"/>
      <c r="R196" s="7" t="inlineStr">
        <is>
          <t>open</t>
        </is>
      </c>
      <c r="S196" s="7" t="inlineStr">
        <is>
          <t>page summary via search</t>
        </is>
      </c>
      <c r="T196" s="7" t="inlineStr">
        <is>
          <t>2026-10-10</t>
        </is>
      </c>
      <c r="U196" s="7" t="inlineStr">
        <is>
          <t>https://www.ecb.europa.eu/press/pr/date/2024/html/ecb.pr240801~f21cc4a009.en.html</t>
        </is>
      </c>
      <c r="V196" s="7" t="inlineStr">
        <is>
          <t>https://eba.europa.eu/sites/default/files/2024-08/465e3044-4773-4e9d-8ca8-b1cd031295fc/EBA_ECB%202024%20Report%20on%20Payment%20Fraud.pdf</t>
        </is>
      </c>
      <c r="W196" s="7" t="inlineStr">
        <is>
          <t>http://web.archive.org/web/20261001003502/https://www.ecb.europa.eu/press/pr/date/2024/html/ecb.pr240801~f21cc4a009.en.html</t>
        </is>
      </c>
    </row>
    <row r="197">
      <c r="A197" s="7" t="n">
        <v>40</v>
      </c>
      <c r="B197" s="7" t="inlineStr">
        <is>
          <t>Non-cash payment fraud Directive</t>
        </is>
      </c>
      <c r="C197" s="7" t="inlineStr">
        <is>
          <t>evidence</t>
        </is>
      </c>
      <c r="D197" s="7" t="inlineStr">
        <is>
          <t>official</t>
        </is>
      </c>
      <c r="E197" s="7" t="inlineStr">
        <is>
          <t>2026-10 broadened search</t>
        </is>
      </c>
      <c r="F197" s="7" t="inlineStr">
        <is>
          <t>eba-ecb-2025-paymentfraud</t>
        </is>
      </c>
      <c r="G197" s="7" t="inlineStr">
        <is>
          <t>European Banking Authority &amp; European Central Bank (2025), 2025 Report on Payment Fraud, EBA-ECB joint report, 15 December 2025</t>
        </is>
      </c>
      <c r="H197" s="7" t="n">
        <v>2025</v>
      </c>
      <c r="I197" s="7" t="inlineStr">
        <is>
          <t>agency report</t>
        </is>
      </c>
      <c r="J197" s="7" t="inlineStr">
        <is>
          <t>descriptive statistics on semi-annual PSP fraud reporting (PSD2 Art. 96(6) and ECB payment statistics), EEA, 2022-2024</t>
        </is>
      </c>
      <c r="K197" s="7" t="inlineStr">
        <is>
          <t>value and rate of payment fraud by instrument; SCA effectiveness</t>
        </is>
      </c>
      <c r="L197" s="7" t="inlineStr">
        <is>
          <t>descriptive</t>
        </is>
      </c>
      <c r="M197" s="7" t="inlineStr">
        <is>
          <t>EEA payment fraud rose from EUR 3.4bn (2022) and EUR 3.5bn (2023) to EUR 4.2bn (2024), stable at about 0.002% of transaction value; credit-transfer losses EUR 2.2bn (+16%) and card losses EUR 1.33bn (+29%).</t>
        </is>
      </c>
      <c r="N197" s="7" t="inlineStr">
        <is>
          <t>Official figures on how much payment fraud happens in Europe. Totals are rising, especially scams where people are tricked into sending money, even though fraud remains a tiny share of all payments.</t>
        </is>
      </c>
      <c r="O197" s="7" t="inlineStr">
        <is>
          <t>2022-2024; EEA</t>
        </is>
      </c>
      <c r="P197" s="7" t="inlineStr">
        <is>
          <t>Authoritative outcome monitoring for the Directive's target, but not attributable to the Directive (effects mainly linked to PSD2 SCA); press release read</t>
        </is>
      </c>
      <c r="Q197" s="7" t="inlineStr"/>
      <c r="R197" s="7" t="inlineStr">
        <is>
          <t>open</t>
        </is>
      </c>
      <c r="S197" s="7" t="inlineStr">
        <is>
          <t>abstract read</t>
        </is>
      </c>
      <c r="T197" s="7" t="inlineStr">
        <is>
          <t>2026-10-10</t>
        </is>
      </c>
      <c r="U197" s="7" t="inlineStr">
        <is>
          <t>https://www.ecb.europa.eu/press/pr/date/2025/html/ecb.pr251215~e133d9d683.en.html</t>
        </is>
      </c>
      <c r="V197" s="7" t="inlineStr"/>
      <c r="W197" s="7" t="inlineStr"/>
    </row>
    <row r="198">
      <c r="A198" s="7" t="n">
        <v>40</v>
      </c>
      <c r="B198" s="7" t="inlineStr">
        <is>
          <t>Non-cash payment fraud Directive</t>
        </is>
      </c>
      <c r="C198" s="7" t="inlineStr">
        <is>
          <t>evidence</t>
        </is>
      </c>
      <c r="D198" s="7" t="inlineStr">
        <is>
          <t>official</t>
        </is>
      </c>
      <c r="E198" s="7" t="inlineStr">
        <is>
          <t>2026-10 broadened search</t>
        </is>
      </c>
      <c r="F198" s="7" t="inlineStr">
        <is>
          <t>ecb-2023-cardfraud</t>
        </is>
      </c>
      <c r="G198" s="7" t="inlineStr">
        <is>
          <t>European Central Bank (2023), Report on card fraud in 2020 and 2021, ECB report, 26 May 2023</t>
        </is>
      </c>
      <c r="H198" s="7" t="n">
        <v>2023</v>
      </c>
      <c r="I198" s="7" t="inlineStr">
        <is>
          <t>agency report</t>
        </is>
      </c>
      <c r="J198" s="7" t="inlineStr">
        <is>
          <t>descriptive statistics from 20 card payment scheme operators, SEPA-issued cards</t>
        </is>
      </c>
      <c r="K198" s="7" t="inlineStr">
        <is>
          <t>card fraud value and rate; card-not-present and cross-border fraud</t>
        </is>
      </c>
      <c r="L198" s="7" t="inlineStr">
        <is>
          <t>descriptive</t>
        </is>
      </c>
      <c r="M198" s="7" t="inlineStr">
        <is>
          <t>Card fraud fell to 0.028% of card payment value in 2021 (EUR 1.53bn of EUR 5.40trn, vs EUR 1.87bn in 2019), with card-not-present fraud down 12% from 2020; cross-border transactions were 11% of value but 63% of fraud.</t>
        </is>
      </c>
      <c r="N198" s="7" t="inlineStr">
        <is>
          <t>Card fraud in Europe hit a record low in 2021, around when the Directive had to be transposed, mostly thanks to stronger online payment checks.</t>
        </is>
      </c>
      <c r="O198" s="7" t="inlineStr">
        <is>
          <t>2020-2021; SEPA</t>
        </is>
      </c>
      <c r="P198" s="7" t="inlineStr">
        <is>
          <t>Outcome trend spanning the May 2021 transposition deadline; decline attributed by ECB to PSD2 SCA, not the Directive; press release read</t>
        </is>
      </c>
      <c r="Q198" s="7" t="inlineStr"/>
      <c r="R198" s="7" t="inlineStr">
        <is>
          <t>open</t>
        </is>
      </c>
      <c r="S198" s="7" t="inlineStr">
        <is>
          <t>abstract read</t>
        </is>
      </c>
      <c r="T198" s="7" t="inlineStr">
        <is>
          <t>2026-10-10</t>
        </is>
      </c>
      <c r="U198" s="7" t="inlineStr">
        <is>
          <t>https://www.ecb.europa.eu/press/pr/date/2023/html/ecb.pr230526~f09bc3c664.en.html</t>
        </is>
      </c>
      <c r="V198" s="7" t="inlineStr"/>
      <c r="W198" s="7" t="inlineStr"/>
    </row>
    <row r="199">
      <c r="A199" s="7" t="n">
        <v>27</v>
      </c>
      <c r="B199" s="7" t="inlineStr">
        <is>
          <t>Digital Content Directive</t>
        </is>
      </c>
      <c r="C199" s="7" t="inlineStr">
        <is>
          <t>ex-ante assessment</t>
        </is>
      </c>
      <c r="D199" s="7" t="inlineStr">
        <is>
          <t>official</t>
        </is>
      </c>
      <c r="E199" s="7" t="inlineStr">
        <is>
          <t>initial review</t>
        </is>
      </c>
      <c r="F199" s="7" t="inlineStr">
        <is>
          <t>ec-2015-dcd-sgd-ia</t>
        </is>
      </c>
      <c r="G199" s="7" t="inlineStr">
        <is>
          <t>European Commission (2015), Impact Assessment accompanying the proposals for Directives on contracts for the supply of digital content and for online and other distance sales of goods (executive summary SWD(2015) 275), SWD(2015) 274</t>
        </is>
      </c>
      <c r="H199" s="7" t="n">
        <v>2015</v>
      </c>
      <c r="I199" s="7" t="inlineStr">
        <is>
          <t>Commission impact assessment</t>
        </is>
      </c>
      <c r="J199" s="7" t="inlineStr">
        <is>
          <t>ex-ante (survey-based estimates and CGE macro model)</t>
        </is>
      </c>
      <c r="K199" s="7" t="inlineStr">
        <is>
          <t>cross-border trade; prices; consumption; GDP</t>
        </is>
      </c>
      <c r="L199" s="7" t="inlineStr">
        <is>
          <t>positive (forecast)</t>
        </is>
      </c>
      <c r="M199" s="7" t="inlineStr">
        <is>
          <t>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is>
      </c>
      <c r="N199" s="7" t="inlineStr">
        <is>
          <t>The Commission expected the digital content and sale of goods rules together to add about EUR 4 billion a year to EU GDP and bring millions more people to shop online across borders.</t>
        </is>
      </c>
      <c r="O199" s="7" t="inlineStr">
        <is>
          <t>EU, forecast</t>
        </is>
      </c>
      <c r="P199" s="7" t="inlineStr">
        <is>
          <t>forecast for the original (fully harmonised, online-only) proposals, later changed in negotiation</t>
        </is>
      </c>
      <c r="Q199" s="7" t="inlineStr"/>
      <c r="R199" s="7" t="inlineStr">
        <is>
          <t>open</t>
        </is>
      </c>
      <c r="S199" s="7" t="inlineStr">
        <is>
          <t>full text read (executive summary)</t>
        </is>
      </c>
      <c r="T199" s="7" t="inlineStr">
        <is>
          <t>2026-10-10</t>
        </is>
      </c>
      <c r="U199" s="7" t="inlineStr">
        <is>
          <t>https://eur-lex.europa.eu/legal-content/EN/TXT/?uri=CELEX:52015SC0275</t>
        </is>
      </c>
      <c r="V199" s="7" t="inlineStr"/>
      <c r="W199" s="7" t="inlineStr">
        <is>
          <t>http://web.archive.org/web/20240513084932/https://eur-lex.europa.eu/legal-content/EN/TXT/?uri=celex%3A52015SC0275</t>
        </is>
      </c>
    </row>
    <row r="200">
      <c r="A200" s="7" t="n">
        <v>27</v>
      </c>
      <c r="B200" s="7" t="inlineStr">
        <is>
          <t>Digital Content Directive</t>
        </is>
      </c>
      <c r="C200" s="7" t="inlineStr">
        <is>
          <t>evidence</t>
        </is>
      </c>
      <c r="D200" s="7" t="inlineStr">
        <is>
          <t>other</t>
        </is>
      </c>
      <c r="E200" s="7" t="inlineStr">
        <is>
          <t>initial review</t>
        </is>
      </c>
      <c r="F200" s="7" t="inlineStr">
        <is>
          <t>eli-2016-dcd-statement</t>
        </is>
      </c>
      <c r="G200" s="7" t="inlineStr">
        <is>
          <t>European Law Institute (2016), Statement of the European Law Institute on the European Commission's Proposed Directive on the Supply of Digital Content to Consumers, ELI statement</t>
        </is>
      </c>
      <c r="H200" s="7" t="n">
        <v>2016</v>
      </c>
      <c r="I200" s="7" t="inlineStr">
        <is>
          <t>expert legal commentary</t>
        </is>
      </c>
      <c r="J200" s="7" t="inlineStr">
        <is>
          <t>legal analysis (ex-ante)</t>
        </is>
      </c>
      <c r="K200" s="7" t="inlineStr">
        <is>
          <t>consumer protection level</t>
        </is>
      </c>
      <c r="L200" s="7" t="inlineStr">
        <is>
          <t>mixed</t>
        </is>
      </c>
      <c r="M200" s="7" t="inlineStr">
        <is>
          <t>Supports EU rules on digital content but argues some provisions give insufficient protection and could lower protection existing under national laws</t>
        </is>
      </c>
      <c r="N200" s="7" t="inlineStr">
        <is>
          <t>Europe's leading law reform body backed the idea of EU rules on digital content but warned some provisions could reduce consumer protection in some countries.</t>
        </is>
      </c>
      <c r="O200" s="7" t="inlineStr">
        <is>
          <t>EU, 2016</t>
        </is>
      </c>
      <c r="P200" s="7" t="inlineStr">
        <is>
          <t>legal opinion on the proposal; not an impact study</t>
        </is>
      </c>
      <c r="Q200" s="7" t="inlineStr"/>
      <c r="R200" s="7" t="inlineStr">
        <is>
          <t>open</t>
        </is>
      </c>
      <c r="S200" s="7" t="inlineStr">
        <is>
          <t>page summary via search</t>
        </is>
      </c>
      <c r="T200" s="7" t="inlineStr">
        <is>
          <t>2026-10-10</t>
        </is>
      </c>
      <c r="U200" s="7" t="inlineStr">
        <is>
          <t>https://www.europeanlawinstitute.eu/fileadmin/user_upload/p_eli/Publications/ELI_Statement_on_DCD.pdf</t>
        </is>
      </c>
      <c r="V200" s="7" t="inlineStr">
        <is>
          <t>https://www.europeanlawinstitute.eu/fileadmin/user_upload/p_eli/Publications/ELI_Statement_on_DCD.pdf</t>
        </is>
      </c>
      <c r="W200" s="7" t="inlineStr">
        <is>
          <t>http://web.archive.org/web/20260617200235/https://europeanlawinstitute.eu/fileadmin/user_upload/p_eli/Publications/ELI_Statement_on_DCD.pdf</t>
        </is>
      </c>
    </row>
    <row r="201">
      <c r="A201" s="7" t="n">
        <v>27</v>
      </c>
      <c r="B201" s="7" t="inlineStr">
        <is>
          <t>Digital Content Directive</t>
        </is>
      </c>
      <c r="C201" s="7" t="inlineStr">
        <is>
          <t>evidence</t>
        </is>
      </c>
      <c r="D201" s="7" t="inlineStr">
        <is>
          <t>academic</t>
        </is>
      </c>
      <c r="E201" s="7" t="inlineStr">
        <is>
          <t>2026-10 broadened search</t>
        </is>
      </c>
      <c r="F201" s="7" t="inlineStr">
        <is>
          <t>wisniewska-2023-dcdtos</t>
        </is>
      </c>
      <c r="G201" s="7" t="inlineStr">
        <is>
          <t>Katarzyna Wiśniewska, Przemysław Pałka (2023), The impact of the Digital Content Directive on online platforms' Terms of Service, Yearbook of European Law (2023), doi:10.1093/yel/yead004</t>
        </is>
      </c>
      <c r="H201" s="7" t="n">
        <v>2023</v>
      </c>
      <c r="I201" s="7" t="inlineStr">
        <is>
          <t>peer-reviewed article</t>
        </is>
      </c>
      <c r="J201" s="7" t="inlineStr">
        <is>
          <t>content analysis (qualitative and quantitative) of 100 online platform Terms of Service after the DCD became applicable</t>
        </is>
      </c>
      <c r="K201" s="7" t="inlineStr">
        <is>
          <t>presence of content descriptions, retrieval rights, unilateral deletion clauses in ToS</t>
        </is>
      </c>
      <c r="L201" s="7" t="inlineStr">
        <is>
          <t>negative</t>
        </is>
      </c>
      <c r="M201" s="7" t="inlineStr">
        <is>
          <t>28% of 100 platform Terms of Service studied contain no description of the digital content offered, and many fail other DCD requirements such as the right to retrieve one's content.</t>
        </is>
      </c>
      <c r="N201" s="7" t="inlineStr">
        <is>
          <t>Looking at 100 online platforms' terms after the Directive took effect, the authors found that over a quarter did not even describe what they supply, which weakens the Directive's core consumer right.</t>
        </is>
      </c>
      <c r="O201" s="7" t="inlineStr">
        <is>
          <t>2022; platforms offering services in the EU</t>
        </is>
      </c>
      <c r="P201" s="7" t="inlineStr">
        <is>
          <t>Systematic document analysis post-application; no pre-period comparison, so cannot attribute changes to the DCD.</t>
        </is>
      </c>
      <c r="Q201" s="7" t="inlineStr"/>
      <c r="R201" s="7" t="inlineStr">
        <is>
          <t>paywalled</t>
        </is>
      </c>
      <c r="S201" s="7" t="inlineStr">
        <is>
          <t>abstract read</t>
        </is>
      </c>
      <c r="T201" s="7" t="inlineStr">
        <is>
          <t>2026-10-10</t>
        </is>
      </c>
      <c r="U201" s="7" t="inlineStr">
        <is>
          <t>https://doi.org/10.1093/yel/yead004</t>
        </is>
      </c>
      <c r="V201" s="7" t="inlineStr"/>
      <c r="W201" s="7" t="inlineStr"/>
    </row>
    <row r="202">
      <c r="A202" s="7" t="n">
        <v>28</v>
      </c>
      <c r="B202" s="7" t="inlineStr">
        <is>
          <t>Sale of Goods Directive</t>
        </is>
      </c>
      <c r="C202" s="7" t="inlineStr">
        <is>
          <t>ex-ante assessment</t>
        </is>
      </c>
      <c r="D202" s="7" t="inlineStr">
        <is>
          <t>official</t>
        </is>
      </c>
      <c r="E202" s="7" t="inlineStr">
        <is>
          <t>initial review</t>
        </is>
      </c>
      <c r="F202" s="7" t="inlineStr">
        <is>
          <t>ec-2015-dcd-sgd-ia</t>
        </is>
      </c>
      <c r="G202" s="7" t="inlineStr">
        <is>
          <t>European Commission (2015), Impact Assessment accompanying the proposals for Directives on contracts for the supply of digital content and for online and other distance sales of goods (executive summary SWD(2015) 275), SWD(2015) 274</t>
        </is>
      </c>
      <c r="H202" s="7" t="n">
        <v>2015</v>
      </c>
      <c r="I202" s="7" t="inlineStr">
        <is>
          <t>Commission impact assessment</t>
        </is>
      </c>
      <c r="J202" s="7" t="inlineStr">
        <is>
          <t>ex-ante (survey-based estimates and CGE macro model)</t>
        </is>
      </c>
      <c r="K202" s="7" t="inlineStr">
        <is>
          <t>cross-border trade; prices; consumption; GDP</t>
        </is>
      </c>
      <c r="L202" s="7" t="inlineStr">
        <is>
          <t>positive (forecast)</t>
        </is>
      </c>
      <c r="M202" s="7" t="inlineStr">
        <is>
          <t>Removing contract-law barriers would raise the share of firms selling cross-border online by more than 5 pp (122,000 firms), cut retail prices 0.25%, add 8-13m cross-border shoppers and raise GDP 0.03% (EUR 4bn a year); one-off cost about EUR 7,000 per firm</t>
        </is>
      </c>
      <c r="N202" s="7" t="inlineStr">
        <is>
          <t>The Commission expected common EU rules on faulty goods to cut prices slightly, bring more shops and shoppers online across borders and add about EUR 4 billion a year to GDP.</t>
        </is>
      </c>
      <c r="O202" s="7" t="inlineStr">
        <is>
          <t>EU, forecast</t>
        </is>
      </c>
      <c r="P202" s="7" t="inlineStr">
        <is>
          <t>forecast for the original online-only proposal; the adopted Directive covers all sales</t>
        </is>
      </c>
      <c r="Q202" s="7" t="inlineStr"/>
      <c r="R202" s="7" t="inlineStr">
        <is>
          <t>open</t>
        </is>
      </c>
      <c r="S202" s="7" t="inlineStr">
        <is>
          <t>full text read (executive summary)</t>
        </is>
      </c>
      <c r="T202" s="7" t="inlineStr">
        <is>
          <t>2026-10-10</t>
        </is>
      </c>
      <c r="U202" s="7" t="inlineStr">
        <is>
          <t>https://eur-lex.europa.eu/legal-content/EN/TXT/?uri=CELEX:52015SC0275</t>
        </is>
      </c>
      <c r="V202" s="7" t="inlineStr"/>
      <c r="W202" s="7" t="inlineStr">
        <is>
          <t>http://web.archive.org/web/20240513084932/https://eur-lex.europa.eu/legal-content/EN/TXT/?uri=celex%3A52015SC0275</t>
        </is>
      </c>
    </row>
    <row r="203">
      <c r="A203" s="7" t="n">
        <v>28</v>
      </c>
      <c r="B203" s="7" t="inlineStr">
        <is>
          <t>Sale of Goods Directive</t>
        </is>
      </c>
      <c r="C203" s="7" t="inlineStr">
        <is>
          <t>ex-ante assessment</t>
        </is>
      </c>
      <c r="D203" s="7" t="inlineStr">
        <is>
          <t>official</t>
        </is>
      </c>
      <c r="E203" s="7" t="inlineStr">
        <is>
          <t>initial review</t>
        </is>
      </c>
      <c r="F203" s="7" t="inlineStr">
        <is>
          <t>ec-2023-repair-ia</t>
        </is>
      </c>
      <c r="G203" s="7" t="inlineStr">
        <is>
          <t>European Commission (2023), Impact Assessment Report accompanying the proposal on common rules promoting the repair of goods, SWD(2023) 59</t>
        </is>
      </c>
      <c r="H203" s="7" t="n">
        <v>2023</v>
      </c>
      <c r="I203" s="7" t="inlineStr">
        <is>
          <t>Commission impact assessment</t>
        </is>
      </c>
      <c r="J203" s="7" t="inlineStr">
        <is>
          <t>ex-ante (with consultation on functioning of Sale of Goods remedies)</t>
        </is>
      </c>
      <c r="K203" s="7" t="inlineStr">
        <is>
          <t>repair; product lifetimes; remedies</t>
        </is>
      </c>
      <c r="L203" s="7" t="inlineStr">
        <is>
          <t>n/a</t>
        </is>
      </c>
      <c r="M203" s="7" t="inlineStr">
        <is>
          <t>Uses the Sale of Goods Directive as the vehicle for repair incentives; notes Member States' concern that it was too early to change rules that had only just applied; no ex-post measurement of the Directive's effect on trade or prices</t>
        </is>
      </c>
      <c r="N203" s="7" t="inlineStr">
        <is>
          <t>When proposing a right to repair, the Commission built on these rules but did not measure how they have affected trade or prices.</t>
        </is>
      </c>
      <c r="O203" s="7" t="inlineStr">
        <is>
          <t>EU, 2022-2023</t>
        </is>
      </c>
      <c r="P203" s="7" t="inlineStr">
        <is>
          <t>not an evaluation</t>
        </is>
      </c>
      <c r="Q203" s="7" t="inlineStr"/>
      <c r="R203" s="7" t="inlineStr">
        <is>
          <t>open</t>
        </is>
      </c>
      <c r="S203" s="7" t="inlineStr">
        <is>
          <t>full text partly read</t>
        </is>
      </c>
      <c r="T203" s="7" t="inlineStr">
        <is>
          <t>2026-10-10</t>
        </is>
      </c>
      <c r="U203" s="7" t="inlineStr">
        <is>
          <t>https://eur-lex.europa.eu/legal-content/EN/TXT/?uri=CELEX:52023SC0059</t>
        </is>
      </c>
      <c r="V203" s="7" t="inlineStr"/>
      <c r="W203" s="7" t="inlineStr">
        <is>
          <t>http://web.archive.org/web/20261002210650/https://eur-lex.europa.eu/legal-content/EN/TXT/?uri=celex:52023SC0059</t>
        </is>
      </c>
    </row>
    <row r="204">
      <c r="A204" s="7" t="n">
        <v>28</v>
      </c>
      <c r="B204" s="7" t="inlineStr">
        <is>
          <t>Sale of Goods Directive</t>
        </is>
      </c>
      <c r="C204" s="7" t="inlineStr">
        <is>
          <t>evidence</t>
        </is>
      </c>
      <c r="D204" s="7" t="inlineStr">
        <is>
          <t>official</t>
        </is>
      </c>
      <c r="E204" s="7" t="inlineStr">
        <is>
          <t>2026-10 broadened search</t>
        </is>
      </c>
      <c r="F204" s="7" t="inlineStr">
        <is>
          <t>ec-2024-sweep-secondhand</t>
        </is>
      </c>
      <c r="G204" s="7" t="inlineStr">
        <is>
          <t>European Commission and national CPC authorities (2024), Sweep on online traders of second-hand goods (2024), European Commission, consumer protection enforcement: sweeps page</t>
        </is>
      </c>
      <c r="H204" s="7" t="n">
        <v>2024</v>
      </c>
      <c r="I204" s="7" t="inlineStr">
        <is>
          <t>agency report</t>
        </is>
      </c>
      <c r="J204" s="7" t="inlineStr">
        <is>
          <t>coordinated compliance screening (sweep) of 356 online second-hand traders by authorities of 25 Member States, Iceland and Norway</t>
        </is>
      </c>
      <c r="K204" s="7" t="inlineStr">
        <is>
          <t>compliance with legal guarantee of conformity, withdrawal information and green claims</t>
        </is>
      </c>
      <c r="L204" s="7" t="inlineStr">
        <is>
          <t>negative</t>
        </is>
      </c>
      <c r="M204" s="7" t="inlineStr">
        <is>
          <t>Of 356 online second-hand traders screened, 57% did not respect the minimum 1-year legal guarantee for second-hand goods and 45% did not correctly inform consumers about the legal guarantee of conformity.</t>
        </is>
      </c>
      <c r="N204" s="7" t="inlineStr">
        <is>
          <t>National consumer authorities checked hundreds of websites selling used goods and found that more than half did not honour the minimum one-year guarantee that EU sales law allows for second-hand items.</t>
        </is>
      </c>
      <c r="O204" s="7" t="inlineStr">
        <is>
          <t>2024; 25 EU Member States, Iceland, Norway</t>
        </is>
      </c>
      <c r="P204" s="7" t="inlineStr">
        <is>
          <t>Compliance snapshot with numbers but non-random targeted sample, no pre/post comparison; covers several directives (SGD, CRD, UCPD); Commission-coordinated.</t>
        </is>
      </c>
      <c r="Q204" s="7" t="inlineStr">
        <is>
          <t>Commission and enforcement authorities reporting on own enforcement</t>
        </is>
      </c>
      <c r="R204" s="7" t="inlineStr">
        <is>
          <t>open</t>
        </is>
      </c>
      <c r="S204" s="7" t="inlineStr">
        <is>
          <t>abstract read</t>
        </is>
      </c>
      <c r="T204" s="7" t="inlineStr">
        <is>
          <t>2026-10-10</t>
        </is>
      </c>
      <c r="U204" s="7" t="inlineStr">
        <is>
          <t>https://commission.europa.eu/topics/consumers/consumer-rights-and-complaints/enforcement-consumer-protection/sweeps_en</t>
        </is>
      </c>
      <c r="V204" s="7" t="inlineStr"/>
      <c r="W204" s="7" t="inlineStr"/>
    </row>
    <row r="205">
      <c r="A205" s="7" t="n">
        <v>34</v>
      </c>
      <c r="B205" s="7" t="inlineStr">
        <is>
          <t>Satellite and Cable II Directive</t>
        </is>
      </c>
      <c r="C205" s="7" t="inlineStr">
        <is>
          <t>ex-ante assessment</t>
        </is>
      </c>
      <c r="D205" s="7" t="inlineStr">
        <is>
          <t>official</t>
        </is>
      </c>
      <c r="E205" s="7" t="inlineStr">
        <is>
          <t>initial review</t>
        </is>
      </c>
      <c r="F205" s="7" t="inlineStr">
        <is>
          <t>ec-2016-copyright-ia</t>
        </is>
      </c>
      <c r="G205" s="7" t="inlineStr">
        <is>
          <t>European Commission (2016), Impact Assessment on the modernisation of EU copyright rules (executive summary SWD(2016) 302), SWD(2016) 301</t>
        </is>
      </c>
      <c r="H205" s="7" t="n">
        <v>2016</v>
      </c>
      <c r="I205" s="7" t="inlineStr">
        <is>
          <t>Commission impact assessment</t>
        </is>
      </c>
      <c r="J205" s="7" t="inlineStr">
        <is>
          <t>ex-ante (qualitative)</t>
        </is>
      </c>
      <c r="K205" s="7" t="inlineStr">
        <is>
          <t>rights-clearance costs; cross-border availability of broadcasts</t>
        </is>
      </c>
      <c r="L205" s="7" t="inlineStr">
        <is>
          <t>positive (forecast, qualitative)</t>
        </is>
      </c>
      <c r="M205" s="7" t="inlineStr">
        <is>
          <t>Country-of-origin principle for broadcasters' ancillary online services and mandatory collective management for retransmission over closed networks would reduce transaction costs and enhance cross-border distribution of and access to TV and radio programmes; benefits not quantified</t>
        </is>
      </c>
      <c r="N205" s="7" t="inlineStr">
        <is>
          <t>The Commission expected simpler copyright clearance to make more TV and radio programmes available online across borders, but did not put a number on the gain.</t>
        </is>
      </c>
      <c r="O205" s="7" t="inlineStr">
        <is>
          <t>EU, forecast</t>
        </is>
      </c>
      <c r="P205" s="7" t="inlineStr">
        <is>
          <t>forecast; qualitative only; the adopted scope was narrowed to news, current affairs and fully financed own productions</t>
        </is>
      </c>
      <c r="Q205" s="7" t="inlineStr"/>
      <c r="R205" s="7" t="inlineStr">
        <is>
          <t>open</t>
        </is>
      </c>
      <c r="S205" s="7" t="inlineStr">
        <is>
          <t>full text read (executive summary)</t>
        </is>
      </c>
      <c r="T205" s="7" t="inlineStr">
        <is>
          <t>2026-10-10</t>
        </is>
      </c>
      <c r="U205" s="7" t="inlineStr">
        <is>
          <t>https://eur-lex.europa.eu/legal-content/EN/TXT/?uri=CELEX:52016SC0302</t>
        </is>
      </c>
      <c r="V205" s="7" t="inlineStr"/>
      <c r="W205" s="7" t="inlineStr">
        <is>
          <t>http://web.archive.org/web/20240714024358/https://eur-lex.europa.eu/legal-content/EN/TXT/?uri=celex%3A52016SC0302</t>
        </is>
      </c>
    </row>
    <row r="206">
      <c r="A206" s="7" t="n">
        <v>33</v>
      </c>
      <c r="B206" s="7" t="inlineStr">
        <is>
          <t>Copyright in the Digital Single Market Directive</t>
        </is>
      </c>
      <c r="C206" s="7" t="inlineStr">
        <is>
          <t>ex-ante assessment</t>
        </is>
      </c>
      <c r="D206" s="7" t="inlineStr">
        <is>
          <t>official</t>
        </is>
      </c>
      <c r="E206" s="7" t="inlineStr">
        <is>
          <t>initial review</t>
        </is>
      </c>
      <c r="F206" s="7" t="inlineStr">
        <is>
          <t>ec-2016-copyright-ia</t>
        </is>
      </c>
      <c r="G206" s="7" t="inlineStr">
        <is>
          <t>European Commission (2016), Impact Assessment on the modernisation of EU copyright rules (executive summary SWD(2016) 302), SWD(2016) 301</t>
        </is>
      </c>
      <c r="H206" s="7" t="n">
        <v>2016</v>
      </c>
      <c r="I206" s="7" t="inlineStr">
        <is>
          <t>Commission impact assessment</t>
        </is>
      </c>
      <c r="J206" s="7" t="inlineStr">
        <is>
          <t>ex-ante</t>
        </is>
      </c>
      <c r="K206" s="7" t="inlineStr">
        <is>
          <t>licensing revenue; compliance costs; legal certainty</t>
        </is>
      </c>
      <c r="L206" s="7" t="inlineStr">
        <is>
          <t>positive (forecast)</t>
        </is>
      </c>
      <c r="M206" s="7" t="inlineStr">
        <is>
          <t>Qualitative only: press publishers' right to strengthen bargaining position without higher fees for services already licensing; upload-platform obligation to generate extra revenue for right holders with limited costs; costs could not be quantified overall for lack of data</t>
        </is>
      </c>
      <c r="N206" s="7" t="inlineStr">
        <is>
          <t>The Commission expected the new rules to help publishers and right holders license content to online platforms, but put no numbers on the gains.</t>
        </is>
      </c>
      <c r="O206" s="7" t="inlineStr">
        <is>
          <t>EU, forecast</t>
        </is>
      </c>
      <c r="P206" s="7" t="inlineStr">
        <is>
          <t>forecast; largely unquantified</t>
        </is>
      </c>
      <c r="Q206" s="7" t="inlineStr"/>
      <c r="R206" s="7" t="inlineStr">
        <is>
          <t>open</t>
        </is>
      </c>
      <c r="S206" s="7" t="inlineStr">
        <is>
          <t>full text read</t>
        </is>
      </c>
      <c r="T206" s="7" t="inlineStr">
        <is>
          <t>2026-10-10</t>
        </is>
      </c>
      <c r="U206" s="7" t="inlineStr">
        <is>
          <t>https://eur-lex.europa.eu/legal-content/EN/TXT/?uri=CELEX:52016SC0302</t>
        </is>
      </c>
      <c r="V206" s="7" t="inlineStr"/>
      <c r="W206" s="7" t="inlineStr">
        <is>
          <t>http://web.archive.org/web/20240714024358/https://eur-lex.europa.eu/legal-content/EN/TXT/?uri=celex%3A52016SC0302</t>
        </is>
      </c>
    </row>
    <row r="207">
      <c r="A207" s="7" t="n">
        <v>33</v>
      </c>
      <c r="B207" s="7" t="inlineStr">
        <is>
          <t>Copyright in the Digital Single Market Directive</t>
        </is>
      </c>
      <c r="C207" s="7" t="inlineStr">
        <is>
          <t>evidence</t>
        </is>
      </c>
      <c r="D207" s="7" t="inlineStr">
        <is>
          <t>official</t>
        </is>
      </c>
      <c r="E207" s="7" t="inlineStr">
        <is>
          <t>initial review</t>
        </is>
      </c>
      <c r="F207" s="7" t="inlineStr">
        <is>
          <t>ec-2024-art17-6-assessment</t>
        </is>
      </c>
      <c r="G207" s="7" t="inlineStr">
        <is>
          <t>European Commission (2024), Assessment of the impact of Article 17(6) of Directive (EU) 2019/790, SWD(2024) 259 final (Council doc. 15441/24)</t>
        </is>
      </c>
      <c r="H207" s="7" t="n">
        <v>2024</v>
      </c>
      <c r="I207" s="7" t="inlineStr">
        <is>
          <t>Commission review</t>
        </is>
      </c>
      <c r="J207" s="7" t="inlineStr">
        <is>
          <t>consultation of Member States and stakeholders</t>
        </is>
      </c>
      <c r="K207" s="7" t="inlineStr">
        <is>
          <t>start-up liability regime; licensing</t>
        </is>
      </c>
      <c r="L207" s="7" t="inlineStr">
        <is>
          <t>inconclusive</t>
        </is>
      </c>
      <c r="M207" s="7" t="inlineStr">
        <is>
          <t>Limited evidence; very few Member States identified any platform under the start-up regime; no platform replied; right holders allege abuses without substantiation; 'difficult to draw at this stage any further conclusion'. Full Art. 17 review due no sooner than June 2026</t>
        </is>
      </c>
      <c r="N207" s="7" t="inlineStr">
        <is>
          <t>The Commission's first look at the lighter rules for upload start-ups found almost no evidence either way, partly because transposition was late.</t>
        </is>
      </c>
      <c r="O207" s="7" t="inlineStr">
        <is>
          <t>EU, 2023-24</t>
        </is>
      </c>
      <c r="P207" s="7" t="inlineStr">
        <is>
          <t>consultation-based; low response</t>
        </is>
      </c>
      <c r="Q207" s="7" t="inlineStr"/>
      <c r="R207" s="7" t="inlineStr">
        <is>
          <t>open</t>
        </is>
      </c>
      <c r="S207" s="7" t="inlineStr">
        <is>
          <t>full text read</t>
        </is>
      </c>
      <c r="T207" s="7" t="inlineStr">
        <is>
          <t>2026-10-10</t>
        </is>
      </c>
      <c r="U207" s="7" t="inlineStr">
        <is>
          <t>https://data.consilium.europa.eu/doc/document/ST-15441-2024-INIT/en/pdf</t>
        </is>
      </c>
      <c r="V207" s="7" t="inlineStr">
        <is>
          <t>https://data.consilium.europa.eu/doc/document/ST-15441-2024-INIT/en/pdf</t>
        </is>
      </c>
      <c r="W207" s="7" t="inlineStr"/>
    </row>
    <row r="208">
      <c r="A208" s="7" t="n">
        <v>33</v>
      </c>
      <c r="B208" s="7" t="inlineStr">
        <is>
          <t>Copyright in the Digital Single Market Directive</t>
        </is>
      </c>
      <c r="C208" s="7" t="inlineStr">
        <is>
          <t>evidence</t>
        </is>
      </c>
      <c r="D208" s="7" t="inlineStr">
        <is>
          <t>academic</t>
        </is>
      </c>
      <c r="E208" s="7" t="inlineStr">
        <is>
          <t>initial review</t>
        </is>
      </c>
      <c r="F208" s="7" t="inlineStr">
        <is>
          <t>calzada-gil-2020-news-aggregators</t>
        </is>
      </c>
      <c r="G208" s="7" t="inlineStr">
        <is>
          <t>Calzada &amp; Gil (2020), What Do News Aggregators Do? Evidence from Google News in Spain and Germany, Marketing Science 39(1)</t>
        </is>
      </c>
      <c r="H208" s="7" t="n">
        <v>2020</v>
      </c>
      <c r="I208" s="7" t="inlineStr">
        <is>
          <t>peer-reviewed</t>
        </is>
      </c>
      <c r="J208" s="7" t="inlineStr">
        <is>
          <t>difference-in-differences (Google News closure in Spain, Dec 2014; France and Italy as controls)</t>
        </is>
      </c>
      <c r="K208" s="7" t="inlineStr">
        <is>
          <t>news traffic; advertising revenue</t>
        </is>
      </c>
      <c r="L208" s="7" t="inlineStr">
        <is>
          <t>negative (for ancillary right)</t>
        </is>
      </c>
      <c r="M208" s="7" t="inlineStr">
        <is>
          <t>Spain's 2014 ancillary right led Google News to close; daily visits to Spanish news outlets fell 8-14% relative to France/Italy, with lower ad revenue; Germany's opt-in did not affect opted-out outlets overall but cut Axel Springer visits by 7%</t>
        </is>
      </c>
      <c r="N208" s="7" t="inlineStr">
        <is>
          <t>When Spain's publishers' right made Google News leave the country, visits to Spanish news sites fell by 8-14%, suggesting aggregators send readers to publishers rather than replace them.</t>
        </is>
      </c>
      <c r="O208" s="7" t="inlineStr">
        <is>
          <t>Spain, Germany, 2014-15</t>
        </is>
      </c>
      <c r="P208" s="7" t="inlineStr">
        <is>
          <t>causal (DiD); predecessor national laws, not Art. 15 itself</t>
        </is>
      </c>
      <c r="Q208" s="7" t="inlineStr"/>
      <c r="R208" s="7" t="inlineStr">
        <is>
          <t>paywalled</t>
        </is>
      </c>
      <c r="S208" s="7" t="inlineStr">
        <is>
          <t>page summary via search</t>
        </is>
      </c>
      <c r="T208" s="7" t="inlineStr">
        <is>
          <t>2026-10-10</t>
        </is>
      </c>
      <c r="U208" s="7" t="inlineStr">
        <is>
          <t>https://doi.org/10.1287/mksc.2019.1150</t>
        </is>
      </c>
      <c r="V208" s="7" t="inlineStr">
        <is>
          <t>https://diposit.ub.edu/dspace/handle/2445/150425</t>
        </is>
      </c>
      <c r="W208" s="7" t="inlineStr"/>
    </row>
    <row r="209">
      <c r="A209" s="7" t="n">
        <v>33</v>
      </c>
      <c r="B209" s="7" t="inlineStr">
        <is>
          <t>Copyright in the Digital Single Market Directive</t>
        </is>
      </c>
      <c r="C209" s="7" t="inlineStr">
        <is>
          <t>evidence</t>
        </is>
      </c>
      <c r="D209" s="7" t="inlineStr">
        <is>
          <t>academic</t>
        </is>
      </c>
      <c r="E209" s="7" t="inlineStr">
        <is>
          <t>initial review</t>
        </is>
      </c>
      <c r="F209" s="7" t="inlineStr">
        <is>
          <t>athey-mobius-pal-2021-aggregators</t>
        </is>
      </c>
      <c r="G209" s="7" t="inlineStr">
        <is>
          <t>Athey, Mobius &amp; Pal (2021), The Impact of Aggregators on Internet News Consumption, NBER Working Paper 28746</t>
        </is>
      </c>
      <c r="H209" s="7" t="n">
        <v>2021</v>
      </c>
      <c r="I209" s="7" t="inlineStr">
        <is>
          <t>working paper</t>
        </is>
      </c>
      <c r="J209" s="7" t="inlineStr">
        <is>
          <t>synthetic control (browsing data of 100,000+ users in Spain around Google News closure)</t>
        </is>
      </c>
      <c r="K209" s="7" t="inlineStr">
        <is>
          <t>news consumption; publisher traffic</t>
        </is>
      </c>
      <c r="L209" s="7" t="inlineStr">
        <is>
          <t>negative (for ancillary right)</t>
        </is>
      </c>
      <c r="M209" s="7" t="inlineStr">
        <is>
          <t>Google News shutdown cut overall news consumption of its users by about 20% and page views on other publishers by 10%; losses concentrated on small publishers</t>
        </is>
      </c>
      <c r="N209" s="7" t="inlineStr">
        <is>
          <t>After Google News closed in Spain, its users read about 20% less news and small publishers lost the most traffic.</t>
        </is>
      </c>
      <c r="O209" s="7" t="inlineStr">
        <is>
          <t>Spain, 2014-15</t>
        </is>
      </c>
      <c r="P209" s="7" t="inlineStr">
        <is>
          <t>causal (synthetic control); predecessor national law</t>
        </is>
      </c>
      <c r="Q209" s="7" t="inlineStr">
        <is>
          <t>Data from Microsoft users; Athey and Mobius affiliated with Microsoft Research</t>
        </is>
      </c>
      <c r="R209" s="7" t="inlineStr">
        <is>
          <t>open</t>
        </is>
      </c>
      <c r="S209" s="7" t="inlineStr">
        <is>
          <t>abstract read</t>
        </is>
      </c>
      <c r="T209" s="7" t="inlineStr">
        <is>
          <t>2026-10-10</t>
        </is>
      </c>
      <c r="U209" s="7" t="inlineStr">
        <is>
          <t>https://www.nber.org/papers/w28746</t>
        </is>
      </c>
      <c r="V209" s="7" t="inlineStr">
        <is>
          <t>https://www.nber.org/system/files/working_papers/w28746/w28746.pdf</t>
        </is>
      </c>
      <c r="W209" s="7" t="inlineStr"/>
    </row>
    <row r="210">
      <c r="A210" s="7" t="n">
        <v>33</v>
      </c>
      <c r="B210" s="7" t="inlineStr">
        <is>
          <t>Copyright in the Digital Single Market Directive</t>
        </is>
      </c>
      <c r="C210" s="7" t="inlineStr">
        <is>
          <t>evidence</t>
        </is>
      </c>
      <c r="D210" s="7" t="inlineStr">
        <is>
          <t>official</t>
        </is>
      </c>
      <c r="E210" s="7" t="inlineStr">
        <is>
          <t>initial review</t>
        </is>
      </c>
      <c r="F210" s="7" t="inlineStr">
        <is>
          <t>jrc-2016-news-aggregation</t>
        </is>
      </c>
      <c r="G210" s="7" t="inlineStr">
        <is>
          <t>European Commission Joint Research Centre (2017), The economics of online news aggregation and neighbouring rights for news publishers (draft, released after access-to-documents request), JRC draft presented 2016, disclosed Dec 2017</t>
        </is>
      </c>
      <c r="H210" s="7" t="n">
        <v>2017</v>
      </c>
      <c r="I210" s="7" t="inlineStr">
        <is>
          <t>Commission research (draft)</t>
        </is>
      </c>
      <c r="J210" s="7" t="inlineStr">
        <is>
          <t>literature and evidence review (Spain, Germany)</t>
        </is>
      </c>
      <c r="K210" s="7" t="inlineStr">
        <is>
          <t>publisher revenue; traffic</t>
        </is>
      </c>
      <c r="L210" s="7" t="inlineStr">
        <is>
          <t>negative (for ancillary right)</t>
        </is>
      </c>
      <c r="M210" s="7" t="inlineStr">
        <is>
          <t>Aggregators increase traffic and ad revenue for newspapers; the market value of the German and Spanish rights 'so far remain zero'</t>
        </is>
      </c>
      <c r="N210" s="7" t="inlineStr">
        <is>
          <t>An internal Commission research paper, not published at the time, found that earlier national publishers' rights had raised no money and that news aggregators help publishers.</t>
        </is>
      </c>
      <c r="O210" s="7" t="inlineStr">
        <is>
          <t>Spain, Germany</t>
        </is>
      </c>
      <c r="P210" s="7" t="inlineStr">
        <is>
          <t>draft; not peer-reviewed</t>
        </is>
      </c>
      <c r="Q210" s="7" t="inlineStr"/>
      <c r="R210" s="7" t="inlineStr">
        <is>
          <t>open</t>
        </is>
      </c>
      <c r="S210" s="7" t="inlineStr">
        <is>
          <t>page summary via search</t>
        </is>
      </c>
      <c r="T210" s="7" t="inlineStr">
        <is>
          <t>2026-10-10</t>
        </is>
      </c>
      <c r="U210" s="7" t="inlineStr">
        <is>
          <t>https://www.create.ac.uk/?p=16974</t>
        </is>
      </c>
      <c r="V210" s="7" t="inlineStr"/>
      <c r="W210" s="7" t="inlineStr"/>
    </row>
    <row r="211">
      <c r="A211" s="7" t="n">
        <v>33</v>
      </c>
      <c r="B211" s="7" t="inlineStr">
        <is>
          <t>Copyright in the Digital Single Market Directive</t>
        </is>
      </c>
      <c r="C211" s="7" t="inlineStr">
        <is>
          <t>enforcement or case law</t>
        </is>
      </c>
      <c r="D211" s="7" t="inlineStr">
        <is>
          <t>official</t>
        </is>
      </c>
      <c r="E211" s="7" t="inlineStr">
        <is>
          <t>initial review</t>
        </is>
      </c>
      <c r="F211" s="7" t="inlineStr">
        <is>
          <t>adlc-2021-2024-google-neighbouring-rights</t>
        </is>
      </c>
      <c r="G211" s="7" t="inlineStr">
        <is>
          <t>Autorité de la concurrence (France) (2024), Decisions 21-D-17 (EUR 500m fine, July 2021) and 24-D-03 (EUR 250m fine, March 2024) against Google on press publishers' related rights, French competition authority decisions</t>
        </is>
      </c>
      <c r="H211" s="7" t="n">
        <v>2024</v>
      </c>
      <c r="I211" s="7" t="inlineStr">
        <is>
          <t>national regulator enforcement</t>
        </is>
      </c>
      <c r="J211" s="7" t="inlineStr">
        <is>
          <t>enforcement record</t>
        </is>
      </c>
      <c r="K211" s="7" t="inlineStr">
        <is>
          <t>negotiation with publishers</t>
        </is>
      </c>
      <c r="L211" s="7" t="inlineStr">
        <is>
          <t>n/a</t>
        </is>
      </c>
      <c r="M211" s="7" t="inlineStr">
        <is>
          <t>Google fined EUR 500m for not negotiating in good faith with publishers after interim measures (2020), then EUR 250m for breaching four of seven commitments made in 2022</t>
        </is>
      </c>
      <c r="N211" s="7" t="inlineStr">
        <is>
          <t>France's competition authority had to fine Google twice (EUR 500m and EUR 250m) to make it negotiate payments to news publishers under the new right.</t>
        </is>
      </c>
      <c r="O211" s="7" t="inlineStr">
        <is>
          <t>France, 2019-24</t>
        </is>
      </c>
      <c r="P211" s="7" t="inlineStr">
        <is>
          <t>enforcement record</t>
        </is>
      </c>
      <c r="Q211" s="7" t="inlineStr"/>
      <c r="R211" s="7" t="inlineStr">
        <is>
          <t>open</t>
        </is>
      </c>
      <c r="S211" s="7" t="inlineStr">
        <is>
          <t>page summary via search</t>
        </is>
      </c>
      <c r="T211" s="7" t="inlineStr">
        <is>
          <t>2026-10-10</t>
        </is>
      </c>
      <c r="U211" s="7" t="inlineStr">
        <is>
          <t>https://www.autoritedelaconcurrence.fr/fr/entityprint/pdf/node/10179</t>
        </is>
      </c>
      <c r="V211" s="7" t="inlineStr"/>
      <c r="W211" s="7" t="inlineStr"/>
    </row>
    <row r="212">
      <c r="A212" s="7" t="n">
        <v>33</v>
      </c>
      <c r="B212" s="7" t="inlineStr">
        <is>
          <t>Copyright in the Digital Single Market Directive</t>
        </is>
      </c>
      <c r="C212" s="7" t="inlineStr">
        <is>
          <t>evidence</t>
        </is>
      </c>
      <c r="D212" s="7" t="inlineStr">
        <is>
          <t>academic</t>
        </is>
      </c>
      <c r="E212" s="7" t="inlineStr">
        <is>
          <t>initial review</t>
        </is>
      </c>
      <c r="F212" s="7" t="inlineStr">
        <is>
          <t>doseva-et-al-2022-uploaders</t>
        </is>
      </c>
      <c r="G212" s="7" t="inlineStr">
        <is>
          <t>Doseva, Schmid-Petri, Schillmöller &amp; Heckmann (2022), Uploaders' perceptions of the German implementation of the EU copyright reform and their preferences for copyright regulation, Internet Policy Review 11(4)</t>
        </is>
      </c>
      <c r="H212" s="7" t="n">
        <v>2022</v>
      </c>
      <c r="I212" s="7" t="inlineStr">
        <is>
          <t>peer-reviewed</t>
        </is>
      </c>
      <c r="J212" s="7" t="inlineStr">
        <is>
          <t>qualitative interviews (n=19) and content analysis of consultation comments (n=17)</t>
        </is>
      </c>
      <c r="K212" s="7" t="inlineStr">
        <is>
          <t>freedom of expression; user perceptions</t>
        </is>
      </c>
      <c r="L212" s="7" t="inlineStr">
        <is>
          <t>negative (perceived)</t>
        </is>
      </c>
      <c r="M212" s="7" t="inlineStr">
        <is>
          <t>Uploaders see state-mandated upload filters as restricting free expression and consider the German safeguards against filters ineffective in practice</t>
        </is>
      </c>
      <c r="N212" s="7" t="inlineStr">
        <is>
          <t>Interviews with German content creators found they see upload filters as a threat to free expression and doubt national safeguards work.</t>
        </is>
      </c>
      <c r="O212" s="7" t="inlineStr">
        <is>
          <t>Germany, 2021-22</t>
        </is>
      </c>
      <c r="P212" s="7" t="inlineStr">
        <is>
          <t>qualitative; small sample</t>
        </is>
      </c>
      <c r="Q212" s="7" t="inlineStr"/>
      <c r="R212" s="7" t="inlineStr">
        <is>
          <t>open</t>
        </is>
      </c>
      <c r="S212" s="7" t="inlineStr">
        <is>
          <t>abstract read</t>
        </is>
      </c>
      <c r="T212" s="7" t="inlineStr">
        <is>
          <t>2026-10-10</t>
        </is>
      </c>
      <c r="U212" s="7" t="inlineStr">
        <is>
          <t>https://policyreview.info/articles/analysis/uploaders-perceptions-german-implementation-eu-copyright-reform</t>
        </is>
      </c>
      <c r="V212" s="7" t="inlineStr"/>
      <c r="W212" s="7" t="inlineStr">
        <is>
          <t>http://web.archive.org/web/20260607102546/https://policyreview.info/articles/analysis/uploaders-perceptions-german-implementation-eu-copyright-reform</t>
        </is>
      </c>
    </row>
    <row r="213">
      <c r="A213" s="7" t="n">
        <v>33</v>
      </c>
      <c r="B213" s="7" t="inlineStr">
        <is>
          <t>Copyright in the Digital Single Market Directive</t>
        </is>
      </c>
      <c r="C213" s="7" t="inlineStr">
        <is>
          <t>evidence</t>
        </is>
      </c>
      <c r="D213" s="7" t="inlineStr">
        <is>
          <t>academic</t>
        </is>
      </c>
      <c r="E213" s="7" t="inlineStr">
        <is>
          <t>2026-10 broadened search</t>
        </is>
      </c>
      <c r="F213" s="7" t="inlineStr">
        <is>
          <t>dergacheva-2023-art17-youtube</t>
        </is>
      </c>
      <c r="G213" s="7" t="inlineStr">
        <is>
          <t>Daria Dergacheva, Christian Katzenbach (2023), Mandate to overblock? Understanding the impact of the European Union's Article 17 on copyright content moderation on YouTube, Policy &amp; Internet (Wiley), DOI 10.1002/poi3.379</t>
        </is>
      </c>
      <c r="H213" s="7" t="n">
        <v>2023</v>
      </c>
      <c r="I213" s="7" t="inlineStr">
        <is>
          <t>peer-reviewed article</t>
        </is>
      </c>
      <c r="J213" s="7" t="inlineStr">
        <is>
          <t>comparison of YouTube takedowns and genre diversity (Stirling dual-concept diversity index) in Germany vs France, exploiting Germany's 5-month-earlier Article 17 implementation</t>
        </is>
      </c>
      <c r="K213" s="7" t="inlineStr">
        <is>
          <t>copyright-related video takedowns, cultural supply diversity on YouTube</t>
        </is>
      </c>
      <c r="L213" s="7" t="inlineStr">
        <is>
          <t>negative</t>
        </is>
      </c>
      <c r="M213" s="7" t="inlineStr">
        <is>
          <t>Over 2019-2022, takedowns in copyright-prone categories differed significantly between Germany and France, and content diversity (genres, videos, subscribers) fell in both, more so in Germany.</t>
        </is>
      </c>
      <c r="N213" s="7" t="inlineStr">
        <is>
          <t>Comparing Germany, which applied the new upload rules earlier, with France, the authors found more removal of copyright-sensitive videos and a larger drop in the variety of content on YouTube in Germany.</t>
        </is>
      </c>
      <c r="O213" s="7" t="inlineStr">
        <is>
          <t>2019-2022; Germany and France</t>
        </is>
      </c>
      <c r="P213" s="7" t="inlineStr">
        <is>
          <t>Quasi-experimental comparison of two countries using reused data; descriptive inference, no formal DiD; open access</t>
        </is>
      </c>
      <c r="Q213" s="7" t="inlineStr"/>
      <c r="R213" s="7" t="inlineStr">
        <is>
          <t>open</t>
        </is>
      </c>
      <c r="S213" s="7" t="inlineStr">
        <is>
          <t>abstract read</t>
        </is>
      </c>
      <c r="T213" s="7" t="inlineStr">
        <is>
          <t>2026-10-10</t>
        </is>
      </c>
      <c r="U213" s="7" t="inlineStr">
        <is>
          <t>https://www.hiig.de/wp-content/uploads/2024/05/Policy-Internet-2023-Dergacheva-Mandate-to-overblock-Understanding-the-impact-of-the-European-Union-s-Article-17.pdf</t>
        </is>
      </c>
      <c r="V213" s="7" t="inlineStr">
        <is>
          <t>https://www.hiig.de/wp-content/uploads/2024/05/Policy-Internet-2023-Dergacheva-Mandate-to-overblock-Understanding-the-impact-of-the-European-Union-s-Article-17.pdf</t>
        </is>
      </c>
      <c r="W213" s="7" t="inlineStr"/>
    </row>
    <row r="214">
      <c r="A214" s="7" t="n">
        <v>33</v>
      </c>
      <c r="B214" s="7" t="inlineStr">
        <is>
          <t>Copyright in the Digital Single Market Directive</t>
        </is>
      </c>
      <c r="C214" s="7" t="inlineStr">
        <is>
          <t>evidence</t>
        </is>
      </c>
      <c r="D214" s="7" t="inlineStr">
        <is>
          <t>think tank</t>
        </is>
      </c>
      <c r="E214" s="7" t="inlineStr">
        <is>
          <t>2026-10 broadened search</t>
        </is>
      </c>
      <c r="F214" s="7" t="inlineStr">
        <is>
          <t>nobre-2026-post-dsm-copyright-report</t>
        </is>
      </c>
      <c r="G214" s="7" t="inlineStr">
        <is>
          <t>Teresa Nobre (COMMUNIA Association) (2026), The Post-DSM Copyright Report, COMMUNIA Association</t>
        </is>
      </c>
      <c r="H214" s="7" t="n">
        <v>2026</v>
      </c>
      <c r="I214" s="7" t="inlineStr">
        <is>
          <t>think tank report</t>
        </is>
      </c>
      <c r="J214" s="7" t="inlineStr">
        <is>
          <t>comparative legal mapping of more than 500 national provisions implementing the DSM Directive in all EU Member States, with accompanying database</t>
        </is>
      </c>
      <c r="K214" s="7" t="inlineStr">
        <is>
          <t>transposition of user-rights provisions (TDM, education, cultural heritage, Art. 7 override protection, press publishers' right limits, Art. 17 safeguards)</t>
        </is>
      </c>
      <c r="L214" s="7" t="inlineStr">
        <is>
          <t>mixed</t>
        </is>
      </c>
      <c r="M214" s="7" t="inlineStr">
        <is>
          <t>Twenty Member States adopted research exceptions broader than the Directive's mandatory TDM exception, but many failed to fully implement mandatory limits on the press publishers' right and most took a minimalist approach to Article 17 user safeguards.</t>
        </is>
      </c>
      <c r="N214" s="7" t="inlineStr">
        <is>
          <t>A review of how every EU country wrote the 2019 copyright rules into national law finds that countries went in very different directions: many widened rights for researchers, but protections for ordinary users against over-blocking and limits on publishers' new rights were often left out.</t>
        </is>
      </c>
      <c r="O214" s="7" t="inlineStr">
        <is>
          <t>EU-27, national transposition laws to 2026</t>
        </is>
      </c>
      <c r="P214" s="7" t="inlineStr">
        <is>
          <t>Systematic, transparent legal mapping; measures legal outputs, not economic or behavioural effects; author organisation advocates for user rights.</t>
        </is>
      </c>
      <c r="Q214" s="7" t="inlineStr">
        <is>
          <t>Campaigning association for the public domain and user rights in copyright</t>
        </is>
      </c>
      <c r="R214" s="7" t="inlineStr">
        <is>
          <t>open</t>
        </is>
      </c>
      <c r="S214" s="7" t="inlineStr">
        <is>
          <t>full text read</t>
        </is>
      </c>
      <c r="T214" s="7" t="inlineStr">
        <is>
          <t>2026-10-10</t>
        </is>
      </c>
      <c r="U214" s="7" t="inlineStr">
        <is>
          <t>https://communia-association.org/publication/the-post-dsm-copyright-report/</t>
        </is>
      </c>
      <c r="V214" s="7" t="inlineStr">
        <is>
          <t>https://communia-association.org/wp-content/uploads/2026/05/The-Post-DSM-Copyright-Report.pdf</t>
        </is>
      </c>
      <c r="W214" s="7" t="inlineStr"/>
    </row>
    <row r="215">
      <c r="A215" s="7" t="n">
        <v>33</v>
      </c>
      <c r="B215" s="7" t="inlineStr">
        <is>
          <t>Copyright in the Digital Single Market Directive</t>
        </is>
      </c>
      <c r="C215" s="7" t="inlineStr">
        <is>
          <t>evidence</t>
        </is>
      </c>
      <c r="D215" s="7" t="inlineStr">
        <is>
          <t>consultancy or industry</t>
        </is>
      </c>
      <c r="E215" s="7" t="inlineStr">
        <is>
          <t>2026-10 broadened search</t>
        </is>
      </c>
      <c r="F215" s="7" t="inlineStr">
        <is>
          <t>google-2025-eu-news-experiment</t>
        </is>
      </c>
      <c r="G215" s="7" t="inlineStr">
        <is>
          <t>Google (Paul Liu, Director, Economics) (2025), Our experiment on the value of European news content (with EU 2025 Report on the Value of News Content), Google blog / company report</t>
        </is>
      </c>
      <c r="H215" s="7" t="n">
        <v>2025</v>
      </c>
      <c r="I215" s="7" t="inlineStr">
        <is>
          <t>company report</t>
        </is>
      </c>
      <c r="J215" s="7" t="inlineStr">
        <is>
          <t>randomised experiment: EU-publisher news removed from Search, News and Discover for 1% of users in eight Member States, 14 Nov 2024 to 31 Jan 2025</t>
        </is>
      </c>
      <c r="K215" s="7" t="inlineStr">
        <is>
          <t>Google Search ad revenue, Google usage</t>
        </is>
      </c>
      <c r="L215" s="7" t="inlineStr">
        <is>
          <t>no effect</t>
        </is>
      </c>
      <c r="M215" s="7" t="inlineStr">
        <is>
          <t>Removing EU news publishers' content for 1% of users produced no measurable change in Google Search ad revenue and a 0.8% drop in usage.</t>
        </is>
      </c>
      <c r="N215" s="7" t="inlineStr">
        <is>
          <t>Google ran a test hiding European news from a small share of users to argue, in payment talks under the press publishers' right, that news brings it little advertising money; it reports no measurable revenue loss.</t>
        </is>
      </c>
      <c r="O215" s="7" t="inlineStr">
        <is>
          <t>Belgium, Croatia, Denmark, Greece, Italy, Netherlands, Poland, Spain; Nov 2024 to Jan 2025</t>
        </is>
      </c>
      <c r="P215" s="7" t="inlineStr">
        <is>
          <t>Randomised design but run and reported by the party paying under Art. 15; short horizon, 1% sample, ignores publisher-side value; Google says an external firm (Coalfire) checked execution.</t>
        </is>
      </c>
      <c r="Q215" s="7" t="inlineStr">
        <is>
          <t>Google is the main licensee under Article 15 and is negotiating payments with publishers</t>
        </is>
      </c>
      <c r="R215" s="7" t="inlineStr">
        <is>
          <t>open</t>
        </is>
      </c>
      <c r="S215" s="7" t="inlineStr">
        <is>
          <t>abstract read</t>
        </is>
      </c>
      <c r="T215" s="7" t="inlineStr">
        <is>
          <t>2026-10-10</t>
        </is>
      </c>
      <c r="U215" s="7" t="inlineStr">
        <is>
          <t>https://blog.google/around-the-globe/google-europe/our-experiment-on-the-value-of-european-news-content/</t>
        </is>
      </c>
      <c r="V215" s="7" t="inlineStr">
        <is>
          <t>https://storage.googleapis.com/gweb-uniblog-publish-prod/documents/EU_2025_Report_on_the_Value_of_News_Content.pdf</t>
        </is>
      </c>
      <c r="W215" s="7" t="inlineStr"/>
    </row>
    <row r="216">
      <c r="A216" s="7" t="n">
        <v>43</v>
      </c>
      <c r="B216" s="7" t="inlineStr">
        <is>
          <t>Open Data Directive (PSI)</t>
        </is>
      </c>
      <c r="C216" s="7" t="inlineStr">
        <is>
          <t>ex-ante assessment</t>
        </is>
      </c>
      <c r="D216" s="7" t="inlineStr">
        <is>
          <t>official</t>
        </is>
      </c>
      <c r="E216" s="7" t="inlineStr">
        <is>
          <t>initial review</t>
        </is>
      </c>
      <c r="F216" s="7" t="inlineStr">
        <is>
          <t>ec-2018-psi-ia</t>
        </is>
      </c>
      <c r="G216" s="7" t="inlineStr">
        <is>
          <t>European Commission (2018), Impact Assessment accompanying the proposal for a Directive on the re-use of public sector information (executive summary SWD(2018) 128), SWD(2018) 127</t>
        </is>
      </c>
      <c r="H216" s="7" t="n">
        <v>2018</v>
      </c>
      <c r="I216" s="7" t="inlineStr">
        <is>
          <t>Commission impact assessment</t>
        </is>
      </c>
      <c r="J216" s="7" t="inlineStr">
        <is>
          <t>ex-ante (Deloitte support study model)</t>
        </is>
      </c>
      <c r="K216" s="7" t="inlineStr">
        <is>
          <t>economic value; jobs; costs</t>
        </is>
      </c>
      <c r="L216" s="7" t="inlineStr">
        <is>
          <t>positive (forecast)</t>
        </is>
      </c>
      <c r="M216" s="7" t="inlineStr">
        <is>
          <t>Direct economic value of PSI EUR 52bn in 2018; preferred option lifts it to about EUR 194bn in 2028 (30% above EUR 150bn baseline); jobs 709,000 vs 518,000; cost of opening data EUR 2.7bn vs 4.1bn baseline</t>
        </is>
      </c>
      <c r="N216" s="7" t="inlineStr">
        <is>
          <t>The Commission forecast that the recast would make public data worth about EUR 194 billion a year to the economy by 2028, 30% more than without it, and support about 190,000 extra jobs.</t>
        </is>
      </c>
      <c r="O216" s="7" t="inlineStr">
        <is>
          <t>EU-28, forecast to 2028/2030</t>
        </is>
      </c>
      <c r="P216" s="7" t="inlineStr">
        <is>
          <t>forecast; model-based</t>
        </is>
      </c>
      <c r="Q216" s="7" t="inlineStr"/>
      <c r="R216" s="7" t="inlineStr">
        <is>
          <t>open</t>
        </is>
      </c>
      <c r="S216" s="7" t="inlineStr">
        <is>
          <t>full text partly read</t>
        </is>
      </c>
      <c r="T216" s="7" t="inlineStr">
        <is>
          <t>2026-10-10</t>
        </is>
      </c>
      <c r="U216" s="7" t="inlineStr">
        <is>
          <t>https://eur-lex.europa.eu/legal-content/EN/TXT/?uri=CELEX:52018SC0127</t>
        </is>
      </c>
      <c r="V216" s="7" t="inlineStr"/>
      <c r="W216" s="7" t="inlineStr"/>
    </row>
    <row r="217">
      <c r="A217" s="7" t="n">
        <v>43</v>
      </c>
      <c r="B217" s="7" t="inlineStr">
        <is>
          <t>Open Data Directive (PSI)</t>
        </is>
      </c>
      <c r="C217" s="7" t="inlineStr">
        <is>
          <t>evidence</t>
        </is>
      </c>
      <c r="D217" s="7" t="inlineStr">
        <is>
          <t>official</t>
        </is>
      </c>
      <c r="E217" s="7" t="inlineStr">
        <is>
          <t>initial review</t>
        </is>
      </c>
      <c r="F217" s="7" t="inlineStr">
        <is>
          <t>ec-2018-psi-evaluation</t>
        </is>
      </c>
      <c r="G217" s="7" t="inlineStr">
        <is>
          <t>European Commission (2018), Evaluation of Directive 2003/98/EC on the re-use of public sector information (executive summary SWD(2018) 129), SWD(2018) 145</t>
        </is>
      </c>
      <c r="H217" s="7" t="n">
        <v>2018</v>
      </c>
      <c r="I217" s="7" t="inlineStr">
        <is>
          <t>Commission evaluation</t>
        </is>
      </c>
      <c r="J217" s="7" t="inlineStr">
        <is>
          <t>review (Deloitte study, Open Data Maturity report, consultations)</t>
        </is>
      </c>
      <c r="K217" s="7" t="inlineStr">
        <is>
          <t>competition; jobs and services; cross-border re-use</t>
        </is>
      </c>
      <c r="L217" s="7" t="inlineStr">
        <is>
          <t>positive overall, with gaps</t>
        </is>
      </c>
      <c r="M217" s="7" t="inlineStr">
        <is>
          <t>PSI Directive effective in ensuring fairer competition and enabling new jobs and services, less so for cross-border re-use; positive cost-benefit balance; challenges remain on dynamic data, charging above marginal cost, data lock-in</t>
        </is>
      </c>
      <c r="N217" s="7" t="inlineStr">
        <is>
          <t>The Commission's evaluation of the earlier PSI rules found they helped create services and jobs but that real-time data and high fees were still holding re-use back.</t>
        </is>
      </c>
      <c r="O217" s="7" t="inlineStr">
        <is>
          <t>EU, 2003-2017</t>
        </is>
      </c>
      <c r="P217" s="7" t="inlineStr">
        <is>
          <t>self-evaluation; benefits largely qualitative</t>
        </is>
      </c>
      <c r="Q217" s="7" t="inlineStr"/>
      <c r="R217" s="7" t="inlineStr">
        <is>
          <t>open</t>
        </is>
      </c>
      <c r="S217" s="7" t="inlineStr">
        <is>
          <t>executive summary full text read</t>
        </is>
      </c>
      <c r="T217" s="7" t="inlineStr">
        <is>
          <t>2026-10-10</t>
        </is>
      </c>
      <c r="U217" s="7" t="inlineStr">
        <is>
          <t>https://eur-lex.europa.eu/legal-content/EN/TXT/?uri=CELEX:52018SC0145</t>
        </is>
      </c>
      <c r="V217" s="7" t="inlineStr"/>
      <c r="W217" s="7" t="inlineStr"/>
    </row>
    <row r="218">
      <c r="A218" s="7" t="n">
        <v>43</v>
      </c>
      <c r="B218" s="7" t="inlineStr">
        <is>
          <t>Open Data Directive (PSI)</t>
        </is>
      </c>
      <c r="C218" s="7" t="inlineStr">
        <is>
          <t>ex-ante assessment</t>
        </is>
      </c>
      <c r="D218" s="7" t="inlineStr">
        <is>
          <t>official</t>
        </is>
      </c>
      <c r="E218" s="7" t="inlineStr">
        <is>
          <t>initial review</t>
        </is>
      </c>
      <c r="F218" s="7" t="inlineStr">
        <is>
          <t>ec-2022-hvd-ia</t>
        </is>
      </c>
      <c r="G218" s="7" t="inlineStr">
        <is>
          <t>European Commission (2022), Impact assessment report accompanying the Implementing Regulation laying down a list of specific high-value datasets (executive summary SWD(2022) 433), SWD(2022) 432</t>
        </is>
      </c>
      <c r="H218" s="7" t="n">
        <v>2022</v>
      </c>
      <c r="I218" s="7" t="inlineStr">
        <is>
          <t>Commission impact assessment</t>
        </is>
      </c>
      <c r="J218" s="7" t="inlineStr">
        <is>
          <t>ex-ante</t>
        </is>
      </c>
      <c r="K218" s="7" t="inlineStr">
        <is>
          <t>economic value of high-value datasets</t>
        </is>
      </c>
      <c r="L218" s="7" t="inlineStr">
        <is>
          <t>positive (forecast)</t>
        </is>
      </c>
      <c r="M218" s="7" t="inlineStr">
        <is>
          <t>Direct effect of preferred option EUR 75bn in 2028, EUR 6bn above baseline; indirect forward effect EUR 201bn (EUR 16bn above baseline); figures described as estimates as dataset value is hard to isolate</t>
        </is>
      </c>
      <c r="N218" s="7" t="inlineStr">
        <is>
          <t>The Commission expected free, API-based access to key public datasets to add about EUR 6 billion a year in direct value by 2028.</t>
        </is>
      </c>
      <c r="O218" s="7" t="inlineStr">
        <is>
          <t>EU, forecast to 2028</t>
        </is>
      </c>
      <c r="P218" s="7" t="inlineStr">
        <is>
          <t>forecast</t>
        </is>
      </c>
      <c r="Q218" s="7" t="inlineStr"/>
      <c r="R218" s="7" t="inlineStr">
        <is>
          <t>open</t>
        </is>
      </c>
      <c r="S218" s="7" t="inlineStr">
        <is>
          <t>executive summary read</t>
        </is>
      </c>
      <c r="T218" s="7" t="inlineStr">
        <is>
          <t>2026-10-10</t>
        </is>
      </c>
      <c r="U218" s="7" t="inlineStr">
        <is>
          <t>https://eur-lex.europa.eu/legal-content/EN/TXT/?uri=CELEX:52022SC0433</t>
        </is>
      </c>
      <c r="V218" s="7" t="inlineStr">
        <is>
          <t>https://edz.bib.uni-mannheim.de/edz/pdf/swd/2022/swd-2022-0433-en.pdf</t>
        </is>
      </c>
      <c r="W218" s="7" t="inlineStr"/>
    </row>
    <row r="219">
      <c r="A219" s="7" t="n">
        <v>43</v>
      </c>
      <c r="B219" s="7" t="inlineStr">
        <is>
          <t>Open Data Directive (PSI)</t>
        </is>
      </c>
      <c r="C219" s="7" t="inlineStr">
        <is>
          <t>evidence</t>
        </is>
      </c>
      <c r="D219" s="7" t="inlineStr">
        <is>
          <t>official</t>
        </is>
      </c>
      <c r="E219" s="7" t="inlineStr">
        <is>
          <t>initial review</t>
        </is>
      </c>
      <c r="F219" s="7" t="inlineStr">
        <is>
          <t>odm-2025</t>
        </is>
      </c>
      <c r="G219" s="7" t="inlineStr">
        <is>
          <t>data.europa.eu (European Commission) (2025), Open Data Maturity Report 2025, data.europa.eu</t>
        </is>
      </c>
      <c r="H219" s="7" t="n">
        <v>2025</v>
      </c>
      <c r="I219" s="7" t="inlineStr">
        <is>
          <t>Commission monitoring report</t>
        </is>
      </c>
      <c r="J219" s="7" t="inlineStr">
        <is>
          <t>self-assessment questionnaire of national administrations</t>
        </is>
      </c>
      <c r="K219" s="7" t="inlineStr">
        <is>
          <t>policy; portals; quality; impact</t>
        </is>
      </c>
      <c r="L219" s="7" t="inlineStr">
        <is>
          <t>positive (activity)</t>
        </is>
      </c>
      <c r="M219" s="7" t="inlineStr">
        <is>
          <t>EU-27 average maturity 86% in 2025 (+3 pp); impact dimension least mature at 82%; HVD implementation ongoing</t>
        </is>
      </c>
      <c r="N219" s="7" t="inlineStr">
        <is>
          <t>Countries rate their open data policies and portals highly (86% on average), but score lowest on showing actual impact.</t>
        </is>
      </c>
      <c r="O219" s="7" t="inlineStr">
        <is>
          <t>EU-27, 2025</t>
        </is>
      </c>
      <c r="P219" s="7" t="inlineStr">
        <is>
          <t>self-reported; measures readiness, not outcomes</t>
        </is>
      </c>
      <c r="Q219" s="7" t="inlineStr"/>
      <c r="R219" s="7" t="inlineStr">
        <is>
          <t>open</t>
        </is>
      </c>
      <c r="S219" s="7" t="inlineStr">
        <is>
          <t>full text partly read</t>
        </is>
      </c>
      <c r="T219" s="7" t="inlineStr">
        <is>
          <t>2026-10-10</t>
        </is>
      </c>
      <c r="U219" s="7" t="inlineStr">
        <is>
          <t>https://data.europa.eu/sites/default/files/2025-12/2025_odm_report_7.pdf</t>
        </is>
      </c>
      <c r="V219" s="7" t="inlineStr"/>
      <c r="W219" s="7" t="inlineStr"/>
    </row>
    <row r="220">
      <c r="A220" s="7" t="n">
        <v>43</v>
      </c>
      <c r="B220" s="7" t="inlineStr">
        <is>
          <t>Open Data Directive (PSI)</t>
        </is>
      </c>
      <c r="C220" s="7" t="inlineStr">
        <is>
          <t>evidence</t>
        </is>
      </c>
      <c r="D220" s="7" t="inlineStr">
        <is>
          <t>official</t>
        </is>
      </c>
      <c r="E220" s="7" t="inlineStr">
        <is>
          <t>initial review</t>
        </is>
      </c>
      <c r="F220" s="7" t="inlineStr">
        <is>
          <t>edp-2020-economic-impact</t>
        </is>
      </c>
      <c r="G220" s="7" t="inlineStr">
        <is>
          <t>European Data Portal (Capgemini Invent et al.) (2020), The Economic Impact of Open Data: Opportunities for value creation in Europe, European Data Portal study for the European Commission</t>
        </is>
      </c>
      <c r="H220" s="7" t="n">
        <v>2020</v>
      </c>
      <c r="I220" s="7" t="inlineStr">
        <is>
          <t>Commission-commissioned study</t>
        </is>
      </c>
      <c r="J220" s="7" t="inlineStr">
        <is>
          <t>market sizing model</t>
        </is>
      </c>
      <c r="K220" s="7" t="inlineStr">
        <is>
          <t>market size; jobs; efficiency gains</t>
        </is>
      </c>
      <c r="L220" s="7" t="inlineStr">
        <is>
          <t>positive (estimate)</t>
        </is>
      </c>
      <c r="M220" s="7" t="inlineStr">
        <is>
          <t>Open data market size estimated at EUR 184bn (2019), forecast EUR 199.5-334.2bn in 2025</t>
        </is>
      </c>
      <c r="N220" s="7" t="inlineStr">
        <is>
          <t>A Commission-funded study put the value of Europe's open data market at EUR 184 billion in 2019, but did not test what the Directive itself contributed.</t>
        </is>
      </c>
      <c r="O220" s="7" t="inlineStr">
        <is>
          <t>EU27+, 2019-2025</t>
        </is>
      </c>
      <c r="P220" s="7" t="inlineStr">
        <is>
          <t>modelled estimate; no attribution to the Directive</t>
        </is>
      </c>
      <c r="Q220" s="7" t="inlineStr"/>
      <c r="R220" s="7" t="inlineStr">
        <is>
          <t>open</t>
        </is>
      </c>
      <c r="S220" s="7" t="inlineStr">
        <is>
          <t>page summary via search</t>
        </is>
      </c>
      <c r="T220" s="7" t="inlineStr">
        <is>
          <t>2026-10-10</t>
        </is>
      </c>
      <c r="U220" s="7" t="inlineStr">
        <is>
          <t>https://data.europa.eu/en/publications/open-data-impact</t>
        </is>
      </c>
      <c r="V220" s="7" t="inlineStr"/>
      <c r="W220" s="7" t="inlineStr">
        <is>
          <t>http://web.archive.org/web/20260303070732/https://data.europa.eu/en/publications/open-data-impact</t>
        </is>
      </c>
    </row>
    <row r="221">
      <c r="A221" s="7" t="n">
        <v>43</v>
      </c>
      <c r="B221" s="7" t="inlineStr">
        <is>
          <t>Open Data Directive (PSI)</t>
        </is>
      </c>
      <c r="C221" s="7" t="inlineStr">
        <is>
          <t>evidence</t>
        </is>
      </c>
      <c r="D221" s="7" t="inlineStr">
        <is>
          <t>academic</t>
        </is>
      </c>
      <c r="E221" s="7" t="inlineStr">
        <is>
          <t>initial review</t>
        </is>
      </c>
      <c r="F221" s="7" t="inlineStr">
        <is>
          <t>nagaraj-2022-landsat</t>
        </is>
      </c>
      <c r="G221" s="7" t="inlineStr">
        <is>
          <t>Nagaraj (2022), The Private Impact of Public Data: Landsat Satellite Maps Increased Gold Discoveries and Encouraged Entry, Management Science 68(1), 564-582</t>
        </is>
      </c>
      <c r="H221" s="7" t="n">
        <v>2022</v>
      </c>
      <c r="I221" s="7" t="inlineStr">
        <is>
          <t>peer-reviewed</t>
        </is>
      </c>
      <c r="J221" s="7" t="inlineStr">
        <is>
          <t>causal: quasi-experiment using timing and cloud-cover variation in Landsat coverage</t>
        </is>
      </c>
      <c r="K221" s="7" t="inlineStr">
        <is>
          <t>discoveries; firm entry</t>
        </is>
      </c>
      <c r="L221" s="7" t="inlineStr">
        <is>
          <t>positive</t>
        </is>
      </c>
      <c r="M221" s="7" t="inlineStr">
        <is>
          <t>Free public satellite data nearly doubled the rate of significant gold discoveries in newly mapped regions and raised new entrants' share of discoveries from about 10% to 25%</t>
        </is>
      </c>
      <c r="N221" s="7" t="inlineStr">
        <is>
          <t>When the US released free satellite maps, gold discoveries nearly doubled and newcomers found a much bigger share - evidence that opening public data can boost competition, though not a test of the EU Directive.</t>
        </is>
      </c>
      <c r="O221" s="7" t="inlineStr">
        <is>
          <t>global gold exploration, US data release</t>
        </is>
      </c>
      <c r="P221" s="7" t="inlineStr">
        <is>
          <t>not EU-specific; indirect evidence for the Directive's logic</t>
        </is>
      </c>
      <c r="Q221" s="7" t="inlineStr"/>
      <c r="R221" s="7" t="inlineStr">
        <is>
          <t>paywalled</t>
        </is>
      </c>
      <c r="S221" s="7" t="inlineStr">
        <is>
          <t>abstract read (via search)</t>
        </is>
      </c>
      <c r="T221" s="7" t="inlineStr">
        <is>
          <t>2026-10-10</t>
        </is>
      </c>
      <c r="U221" s="7" t="inlineStr">
        <is>
          <t>https://doi.org/10.1287/mnsc.2020.3878</t>
        </is>
      </c>
      <c r="V221" s="7" t="inlineStr"/>
      <c r="W221" s="7" t="inlineStr"/>
    </row>
    <row r="222">
      <c r="A222" s="7" t="n">
        <v>43</v>
      </c>
      <c r="B222" s="7" t="inlineStr">
        <is>
          <t>Open Data Directive (PSI)</t>
        </is>
      </c>
      <c r="C222" s="7" t="inlineStr">
        <is>
          <t>evidence</t>
        </is>
      </c>
      <c r="D222" s="7" t="inlineStr">
        <is>
          <t>official</t>
        </is>
      </c>
      <c r="E222" s="7" t="inlineStr">
        <is>
          <t>2026-10 broadened search</t>
        </is>
      </c>
      <c r="F222" s="7" t="inlineStr">
        <is>
          <t>vaneendenburg-2024-hvd-findability</t>
        </is>
      </c>
      <c r="G222" s="7" t="inlineStr">
        <is>
          <t>Leon van Eendenburg, Jolanta Suárez (data.europa.eu / Publications Office) (2024), High-value datasets: Cross-country findability and comparability of metadata, data.europa.eu study, Publications Office of the EU, doi:10.2830/0033148</t>
        </is>
      </c>
      <c r="H222" s="7" t="n">
        <v>2024</v>
      </c>
      <c r="I222" s="7" t="inlineStr">
        <is>
          <t>agency report</t>
        </is>
      </c>
      <c r="J222" s="7" t="inlineStr">
        <is>
          <t>pilot audit of 24 high-value datasets in Denmark, Estonia, Latvia and Finland against Implementing Regulation 2023/138 metadata requirements (April-May 2024)</t>
        </is>
      </c>
      <c r="K222" s="7" t="inlineStr">
        <is>
          <t>availability, findability and metadata quality of high-value datasets</t>
        </is>
      </c>
      <c r="L222" s="7" t="inlineStr">
        <is>
          <t>descriptive</t>
        </is>
      </c>
      <c r="M222" s="7" t="inlineStr">
        <is>
          <t>Of 24 high-value datasets assessed, 20 were found, 3 were gated and 1 unavailable; 14 were easily findable on data.europa.eu and 8 did not reference the regulation.</t>
        </is>
      </c>
      <c r="N222" s="7" t="inlineStr">
        <is>
          <t>A spot check of 24 key public datasets in four countries found most were available but many were hard to find or poorly labelled, just before the EU rules took effect.</t>
        </is>
      </c>
      <c r="O222" s="7" t="inlineStr">
        <is>
          <t>April-May 2024; DK, EE, LV, FI</t>
        </is>
      </c>
      <c r="P222" s="7" t="inlineStr">
        <is>
          <t>Small pilot sample, conducted just before application date; descriptive only</t>
        </is>
      </c>
      <c r="Q222" s="7" t="inlineStr">
        <is>
          <t>European Commission (data.europa.eu, author of the act)</t>
        </is>
      </c>
      <c r="R222" s="7" t="inlineStr">
        <is>
          <t>open</t>
        </is>
      </c>
      <c r="S222" s="7" t="inlineStr">
        <is>
          <t>full text read</t>
        </is>
      </c>
      <c r="T222" s="7" t="inlineStr">
        <is>
          <t>2026-10-10</t>
        </is>
      </c>
      <c r="U222" s="7" t="inlineStr">
        <is>
          <t>https://data.europa.eu/sites/default/files/report/High-value%20Dataset%20Findability%20and%20Metadata%20Accessibility.pdf</t>
        </is>
      </c>
      <c r="V222" s="7" t="inlineStr">
        <is>
          <t>https://data.europa.eu/sites/default/files/report/High-value%20Dataset%20Findability%20and%20Metadata%20Accessibility.pdf</t>
        </is>
      </c>
      <c r="W222" s="7" t="inlineStr"/>
    </row>
    <row r="223">
      <c r="A223" s="7" t="n">
        <v>43</v>
      </c>
      <c r="B223" s="7" t="inlineStr">
        <is>
          <t>Open Data Directive (PSI)</t>
        </is>
      </c>
      <c r="C223" s="7" t="inlineStr">
        <is>
          <t>evidence</t>
        </is>
      </c>
      <c r="D223" s="7" t="inlineStr">
        <is>
          <t>consultancy or industry</t>
        </is>
      </c>
      <c r="E223" s="7" t="inlineStr">
        <is>
          <t>2026-10 broadened search</t>
        </is>
      </c>
      <c r="F223" s="7" t="inlineStr">
        <is>
          <t>gardner-2025-odd-evaluation</t>
        </is>
      </c>
      <c r="G223" s="7" t="inlineStr">
        <is>
          <t>Gardner, H., Enzerink, S., Page, M., Brincat, A. (Capgemini); Tenge, E., Velcsov, T., Macchioni, M.S. (Spark Legal and Policy Consulting); Lechardoy, L., Spolverato, G. (Open Evidence) (2025), Study supporting the evaluation of the Free Flow of Non-Personal Data Regulation, Open Data Directive and Data Governance Act - Final Report, European Commission, DG CONNECT (Publications Office, published January 2026)</t>
        </is>
      </c>
      <c r="H223" s="7" t="n">
        <v>2025</v>
      </c>
      <c r="I223" s="7" t="inlineStr">
        <is>
          <t>Commission evaluation support study</t>
        </is>
      </c>
      <c r="J223" s="7" t="inlineStr">
        <is>
          <t>ex-post evaluation: legal analysis, stakeholder surveys, interviews and consultations</t>
        </is>
      </c>
      <c r="K223" s="7" t="inlineStr">
        <is>
          <t>public sector data supply and reuse; high-value datasets implementation</t>
        </is>
      </c>
      <c r="L223" s="7" t="inlineStr">
        <is>
          <t>mixed</t>
        </is>
      </c>
      <c r="M223" s="7" t="inlineStr">
        <is>
          <t>The evaluation finds the Open Data Directive has successfully catalysed public sector data supply and reuse, although implementation of High-Value Datasets remains uneven and technical fragmentation persists.</t>
        </is>
      </c>
      <c r="N223" s="7" t="inlineStr">
        <is>
          <t>The Commission's contracted evaluation says the open data law has led governments to publish and share more data, but the key 'high-value' datasets are not yet published consistently across countries.</t>
        </is>
      </c>
      <c r="O223" s="7" t="inlineStr">
        <is>
          <t>2019-2025; EU27</t>
        </is>
      </c>
      <c r="P223" s="7" t="inlineStr">
        <is>
          <t>Official ex-post evaluation; mainly qualitative/stakeholder evidence, no counterfactual (the same study is listed for the Free Flow Regulation under the name Open Evidence et al.)</t>
        </is>
      </c>
      <c r="Q223" s="7" t="inlineStr">
        <is>
          <t>Commissioned and steered by the Commission (evaluating its own act)</t>
        </is>
      </c>
      <c r="R223" s="7" t="inlineStr">
        <is>
          <t>open</t>
        </is>
      </c>
      <c r="S223" s="7" t="inlineStr">
        <is>
          <t>abstract read</t>
        </is>
      </c>
      <c r="T223" s="7" t="inlineStr">
        <is>
          <t>2026-10-10</t>
        </is>
      </c>
      <c r="U223" s="7" t="inlineStr">
        <is>
          <t>https://op.europa.eu/en/publication-detail/-/publication/3a2a3e8b-edd1-11f0-8d3c-01aa75ed71a1/language-en</t>
        </is>
      </c>
      <c r="V223" s="7" t="inlineStr"/>
      <c r="W223" s="7" t="inlineStr"/>
    </row>
    <row r="224">
      <c r="A224" s="7" t="n">
        <v>43</v>
      </c>
      <c r="B224" s="7" t="inlineStr">
        <is>
          <t>Open Data Directive (PSI)</t>
        </is>
      </c>
      <c r="C224" s="7" t="inlineStr">
        <is>
          <t>evidence</t>
        </is>
      </c>
      <c r="D224" s="7" t="inlineStr">
        <is>
          <t>official</t>
        </is>
      </c>
      <c r="E224" s="7" t="inlineStr">
        <is>
          <t>2026-10 broadened search</t>
        </is>
      </c>
      <c r="F224" s="7" t="inlineStr">
        <is>
          <t>ramponi-2024-hvdbestpractices</t>
        </is>
      </c>
      <c r="G224" s="7" t="inlineStr">
        <is>
          <t>Ramponi, M., Moro, M., Suárez, J. (data.europa.eu) (2024), High-value Datasets Best Practices Report, data.europa.eu / Publications Office of the EU (DOI 10.2830/113131)</t>
        </is>
      </c>
      <c r="H224" s="7" t="n">
        <v>2024</v>
      </c>
      <c r="I224" s="7" t="inlineStr">
        <is>
          <t>agency report</t>
        </is>
      </c>
      <c r="J224" s="7" t="inlineStr">
        <is>
          <t>qualitative interviews with representatives of seven Member States</t>
        </is>
      </c>
      <c r="K224" s="7" t="inlineStr">
        <is>
          <t>implementation of high-value dataset requirements</t>
        </is>
      </c>
      <c r="L224" s="7" t="inlineStr">
        <is>
          <t>mixed</t>
        </is>
      </c>
      <c r="M224" s="7" t="inlineStr">
        <is>
          <t>Interviews with seven Member States around the HVD Regulation's start (9 June 2024) found varying degrees of adoption, difficulties making some HVDs free of charge and significant obstacles to using EU vocabularies, APIs and bulk downloads.</t>
        </is>
      </c>
      <c r="N224" s="7" t="inlineStr">
        <is>
          <t>An EU open-data portal study asked seven countries how they were coping with the new duty to publish key datasets for free. Progress varied, and some found the technical and free-of-charge rules hard to meet.</t>
        </is>
      </c>
      <c r="O224" s="7" t="inlineStr">
        <is>
          <t>2024; seven EU Member States</t>
        </is>
      </c>
      <c r="P224" s="7" t="inlineStr">
        <is>
          <t>Small qualitative sample, descriptive; Commission-contracted</t>
        </is>
      </c>
      <c r="Q224" s="7" t="inlineStr">
        <is>
          <t>Commission-run portal</t>
        </is>
      </c>
      <c r="R224" s="7" t="inlineStr">
        <is>
          <t>open</t>
        </is>
      </c>
      <c r="S224" s="7" t="inlineStr">
        <is>
          <t>abstract read</t>
        </is>
      </c>
      <c r="T224" s="7" t="inlineStr">
        <is>
          <t>2026-10-10</t>
        </is>
      </c>
      <c r="U224" s="7" t="inlineStr">
        <is>
          <t>https://data.europa.eu/en/publications/reports/high-value-datasets-best-practices-europe</t>
        </is>
      </c>
      <c r="V224" s="7" t="inlineStr">
        <is>
          <t>https://data.europa.eu/sites/default/files/report/High-value%20Datasets%20Best%20Practices%20Report.pdf</t>
        </is>
      </c>
      <c r="W224" s="7" t="inlineStr"/>
    </row>
    <row r="225">
      <c r="A225" s="7" t="n">
        <v>39</v>
      </c>
      <c r="B225" s="7" t="inlineStr">
        <is>
          <t>FDI Screening Regulation</t>
        </is>
      </c>
      <c r="C225" s="7" t="inlineStr">
        <is>
          <t>evidence</t>
        </is>
      </c>
      <c r="D225" s="7" t="inlineStr">
        <is>
          <t>official</t>
        </is>
      </c>
      <c r="E225" s="7" t="inlineStr">
        <is>
          <t>initial review</t>
        </is>
      </c>
      <c r="F225" s="7" t="inlineStr">
        <is>
          <t>ec-2024-fdi-evaluation</t>
        </is>
      </c>
      <c r="G225" s="7" t="inlineStr">
        <is>
          <t>European Commission (2024), Evaluation of Regulation (EU) 2019/452 establishing a framework for the screening of foreign direct investments into the Union (executive summary SWD(2024) 24), SWD(2024) 23</t>
        </is>
      </c>
      <c r="H225" s="7" t="n">
        <v>2024</v>
      </c>
      <c r="I225" s="7" t="inlineStr">
        <is>
          <t>Commission evaluation</t>
        </is>
      </c>
      <c r="J225" s="7" t="inlineStr">
        <is>
          <t>review (OECD study, ECA report, stakeholder consultation)</t>
        </is>
      </c>
      <c r="K225" s="7" t="inlineStr">
        <is>
          <t>security; FDI flows; administrative burden</t>
        </is>
      </c>
      <c r="L225" s="7" t="inlineStr">
        <is>
          <t>positive overall, with gaps</t>
        </is>
      </c>
      <c r="M225" s="7" t="inlineStr">
        <is>
          <t>Positive impact on protecting security and public order; 'has not had chilling effects on the flow of FDI into the EU'; burden reasonable; blind spots from Member States without screening, intra-EU structured investments outside scope, short timelines and divergent national rules</t>
        </is>
      </c>
      <c r="N225" s="7" t="inlineStr">
        <is>
          <t>The Commission concluded that the screening framework helps protect security without deterring investment, but has gaps because some countries do not screen and national rules differ.</t>
        </is>
      </c>
      <c r="O225" s="7" t="inlineStr">
        <is>
          <t>EU, Oct 2020-Jun 2023</t>
        </is>
      </c>
      <c r="P225" s="7" t="inlineStr">
        <is>
          <t>self-evaluation; no causal test of chilling effect</t>
        </is>
      </c>
      <c r="Q225" s="7" t="inlineStr"/>
      <c r="R225" s="7" t="inlineStr">
        <is>
          <t>open</t>
        </is>
      </c>
      <c r="S225" s="7" t="inlineStr">
        <is>
          <t>executive summary full text read</t>
        </is>
      </c>
      <c r="T225" s="7" t="inlineStr">
        <is>
          <t>2026-10-10</t>
        </is>
      </c>
      <c r="U225" s="7" t="inlineStr">
        <is>
          <t>https://eur-lex.europa.eu/legal-content/EN/TXT/?uri=CELEX:52024SC0023</t>
        </is>
      </c>
      <c r="V225" s="7" t="inlineStr"/>
      <c r="W225" s="7" t="inlineStr"/>
    </row>
    <row r="226">
      <c r="A226" s="7" t="n">
        <v>39</v>
      </c>
      <c r="B226" s="7" t="inlineStr">
        <is>
          <t>FDI Screening Regulation</t>
        </is>
      </c>
      <c r="C226" s="7" t="inlineStr">
        <is>
          <t>evidence</t>
        </is>
      </c>
      <c r="D226" s="7" t="inlineStr">
        <is>
          <t>official</t>
        </is>
      </c>
      <c r="E226" s="7" t="inlineStr">
        <is>
          <t>initial review</t>
        </is>
      </c>
      <c r="F226" s="7" t="inlineStr">
        <is>
          <t>ec-2025-fdi-fifth-annual-report</t>
        </is>
      </c>
      <c r="G226" s="7" t="inlineStr">
        <is>
          <t>European Commission (2025), Fifth Annual Report on the screening of foreign direct investments into the Union, COM(2025) 632</t>
        </is>
      </c>
      <c r="H226" s="7" t="n">
        <v>2025</v>
      </c>
      <c r="I226" s="7" t="inlineStr">
        <is>
          <t>Commission monitoring report</t>
        </is>
      </c>
      <c r="J226" s="7" t="inlineStr">
        <is>
          <t>administrative statistics</t>
        </is>
      </c>
      <c r="K226" s="7" t="inlineStr">
        <is>
          <t>screening activity; FDI flows</t>
        </is>
      </c>
      <c r="L226" s="7" t="inlineStr">
        <is>
          <t>n/a (activity)</t>
        </is>
      </c>
      <c r="M226" s="7" t="inlineStr">
        <is>
          <t>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is>
      </c>
      <c r="N226" s="7" t="inlineStr">
        <is>
          <t>In 2024 EU countries handled over 3,000 screening cases and blocked about 1% of those formally screened; the Commission cleared 92% of cross-border notifications within 15 days.</t>
        </is>
      </c>
      <c r="O226" s="7" t="inlineStr">
        <is>
          <t>EU, 2024</t>
        </is>
      </c>
      <c r="P226" s="7" t="inlineStr">
        <is>
          <t>activity data only</t>
        </is>
      </c>
      <c r="Q226" s="7" t="inlineStr"/>
      <c r="R226" s="7" t="inlineStr">
        <is>
          <t>open</t>
        </is>
      </c>
      <c r="S226" s="7" t="inlineStr">
        <is>
          <t>full text partly read</t>
        </is>
      </c>
      <c r="T226" s="7" t="inlineStr">
        <is>
          <t>2026-10-10</t>
        </is>
      </c>
      <c r="U226" s="7" t="inlineStr">
        <is>
          <t>https://eur-lex.europa.eu/legal-content/EN/TXT/?uri=CELEX:52025DC0632</t>
        </is>
      </c>
      <c r="V226" s="7" t="inlineStr">
        <is>
          <t>https://data.consilium.europa.eu/doc/document/ST-13990-2025-INIT/en/pdf</t>
        </is>
      </c>
      <c r="W226" s="7" t="inlineStr">
        <is>
          <t>http://web.archive.org/web/20260516224510/https://eur-lex.europa.eu/legal-content/EN/TXT/?uri=CELEX:52025DC0632</t>
        </is>
      </c>
    </row>
    <row r="227">
      <c r="A227" s="7" t="n">
        <v>39</v>
      </c>
      <c r="B227" s="7" t="inlineStr">
        <is>
          <t>FDI Screening Regulation</t>
        </is>
      </c>
      <c r="C227" s="7" t="inlineStr">
        <is>
          <t>evidence</t>
        </is>
      </c>
      <c r="D227" s="7" t="inlineStr">
        <is>
          <t>official</t>
        </is>
      </c>
      <c r="E227" s="7" t="inlineStr">
        <is>
          <t>initial review</t>
        </is>
      </c>
      <c r="F227" s="7" t="inlineStr">
        <is>
          <t>eca-2023-fdi-screening</t>
        </is>
      </c>
      <c r="G227" s="7" t="inlineStr">
        <is>
          <t>European Court of Auditors (2023), Screening foreign direct investments in the EU: First steps taken, but significant limitations remain in addressing security and public-order risks effectively, Special Report 27/2023</t>
        </is>
      </c>
      <c r="H227" s="7" t="n">
        <v>2023</v>
      </c>
      <c r="I227" s="7" t="inlineStr">
        <is>
          <t>independent audit</t>
        </is>
      </c>
      <c r="J227" s="7" t="inlineStr">
        <is>
          <t>audit (sample of notified cases, all Commission opinions 2020-2022)</t>
        </is>
      </c>
      <c r="K227" s="7" t="inlineStr">
        <is>
          <t>effectiveness; efficiency</t>
        </is>
      </c>
      <c r="L227" s="7" t="inlineStr">
        <is>
          <t>mixed</t>
        </is>
      </c>
      <c r="M227" s="7" t="inlineStr">
        <is>
          <t>Commission took appropriate steps, but 'significant limitations' reduce effectiveness: six Member States lacked screening, divergent scope create 'multiple blind spots'; cooperation mechanism only 'partially effective'; high volume of low-risk cases overburdens it</t>
        </is>
      </c>
      <c r="N227" s="7" t="inlineStr">
        <is>
          <t>The EU's auditors found the framework a useful first step but riddled with blind spots because several countries did not screen investments at all.</t>
        </is>
      </c>
      <c r="O227" s="7" t="inlineStr">
        <is>
          <t>EU, 2020-2022</t>
        </is>
      </c>
      <c r="P227" s="7" t="inlineStr">
        <is>
          <t>audit; no economic impact analysis</t>
        </is>
      </c>
      <c r="Q227" s="7" t="inlineStr"/>
      <c r="R227" s="7" t="inlineStr">
        <is>
          <t>open</t>
        </is>
      </c>
      <c r="S227" s="7" t="inlineStr">
        <is>
          <t>executive summary read</t>
        </is>
      </c>
      <c r="T227" s="7" t="inlineStr">
        <is>
          <t>2026-10-10</t>
        </is>
      </c>
      <c r="U227" s="7" t="inlineStr">
        <is>
          <t>https://www.eca.europa.eu/ECAHTML/SR-2023-27/en/body.html</t>
        </is>
      </c>
      <c r="V227" s="7" t="inlineStr"/>
      <c r="W227" s="7" t="inlineStr"/>
    </row>
    <row r="228">
      <c r="A228" s="7" t="n">
        <v>39</v>
      </c>
      <c r="B228" s="7" t="inlineStr">
        <is>
          <t>FDI Screening Regulation</t>
        </is>
      </c>
      <c r="C228" s="7" t="inlineStr">
        <is>
          <t>evidence</t>
        </is>
      </c>
      <c r="D228" s="7" t="inlineStr">
        <is>
          <t>official</t>
        </is>
      </c>
      <c r="E228" s="7" t="inlineStr">
        <is>
          <t>initial review</t>
        </is>
      </c>
      <c r="F228" s="7" t="inlineStr">
        <is>
          <t>oecd-2022-fdi-framework</t>
        </is>
      </c>
      <c r="G228" s="7" t="inlineStr">
        <is>
          <t>OECD (2022), Framework for Screening Foreign Direct Investment into the EU: Assessing effectiveness and efficiency, OECD Publishing (study for the European Commission)</t>
        </is>
      </c>
      <c r="H228" s="7" t="n">
        <v>2022</v>
      </c>
      <c r="I228" s="7" t="inlineStr">
        <is>
          <t>Commission-commissioned evaluation study</t>
        </is>
      </c>
      <c r="J228" s="7" t="inlineStr">
        <is>
          <t>desk research and interviews with authorities</t>
        </is>
      </c>
      <c r="K228" s="7" t="inlineStr">
        <is>
          <t>effectiveness; efficiency</t>
        </is>
      </c>
      <c r="L228" s="7" t="inlineStr">
        <is>
          <t>positive overall, with gaps</t>
        </is>
      </c>
      <c r="M228" s="7" t="inlineStr">
        <is>
          <t>Positive overall assessment but 12 issues diminish effectiveness or efficiency, first among them Member States without any screening mechanism; reforms suggested for each</t>
        </is>
      </c>
      <c r="N228" s="7" t="inlineStr">
        <is>
          <t>An OECD review for the Commission judged the system broadly positive but listed 12 weaknesses, starting with countries that had no screening at all.</t>
        </is>
      </c>
      <c r="O228" s="7" t="inlineStr">
        <is>
          <t>EU, 2020-2022</t>
        </is>
      </c>
      <c r="P228" s="7" t="inlineStr">
        <is>
          <t>process evaluation; co-financed by the EU</t>
        </is>
      </c>
      <c r="Q228" s="7" t="inlineStr"/>
      <c r="R228" s="7" t="inlineStr">
        <is>
          <t>open</t>
        </is>
      </c>
      <c r="S228" s="7" t="inlineStr">
        <is>
          <t>page summary via search</t>
        </is>
      </c>
      <c r="T228" s="7" t="inlineStr">
        <is>
          <t>2026-10-10</t>
        </is>
      </c>
      <c r="U228" s="7" t="inlineStr">
        <is>
          <t>https://www.oecd.org/en/publications/framework-for-screening-foreign-direct-investment-into-the-eu_f75ec890-en.html</t>
        </is>
      </c>
      <c r="V228" s="7" t="inlineStr"/>
      <c r="W228" s="7" t="inlineStr"/>
    </row>
    <row r="229">
      <c r="A229" s="7" t="n">
        <v>39</v>
      </c>
      <c r="B229" s="7" t="inlineStr">
        <is>
          <t>FDI Screening Regulation</t>
        </is>
      </c>
      <c r="C229" s="7" t="inlineStr">
        <is>
          <t>evidence</t>
        </is>
      </c>
      <c r="D229" s="7" t="inlineStr">
        <is>
          <t>academic</t>
        </is>
      </c>
      <c r="E229" s="7" t="inlineStr">
        <is>
          <t>initial review</t>
        </is>
      </c>
      <c r="F229" s="7" t="inlineStr">
        <is>
          <t>eichenauer-wang-2024</t>
        </is>
      </c>
      <c r="G229" s="7" t="inlineStr">
        <is>
          <t>Eichenauer &amp; Wang (2024), Mild Deglobalization: Foreign Investment Screening and Cross-Border Investment, Kiel Working Paper 2265</t>
        </is>
      </c>
      <c r="H229" s="7" t="n">
        <v>2024</v>
      </c>
      <c r="I229" s="7" t="inlineStr">
        <is>
          <t>working paper</t>
        </is>
      </c>
      <c r="J229" s="7" t="inlineStr">
        <is>
          <t>causal: staggered triple-difference (deal-level cross-border M&amp;A, OECD and EU countries, 2007-2022)</t>
        </is>
      </c>
      <c r="K229" s="7" t="inlineStr">
        <is>
          <t>cross-border M&amp;A</t>
        </is>
      </c>
      <c r="L229" s="7" t="inlineStr">
        <is>
          <t>negative</t>
        </is>
      </c>
      <c r="M229" s="7" t="inlineStr">
        <is>
          <t>Introducing screening reduces the number of M&amp;A in a newly screened sector by 11.7-16.0%; driven by minority acquisitions and by deals involving foreign governments/SOEs or US investors; no reduction for intra-EU/EFTA deals</t>
        </is>
      </c>
      <c r="N229" s="7" t="inlineStr">
        <is>
          <t>The first cross-country study finds that when a sector becomes subject to investment screening, foreign takeovers in it fall by roughly 12-16%.</t>
        </is>
      </c>
      <c r="O229" s="7" t="inlineStr">
        <is>
          <t>OECD and EU countries, 2007-2022</t>
        </is>
      </c>
      <c r="P229" s="7" t="inlineStr">
        <is>
          <t>measures national screening, not the EU Regulation alone</t>
        </is>
      </c>
      <c r="Q229" s="7" t="inlineStr"/>
      <c r="R229" s="7" t="inlineStr">
        <is>
          <t>open</t>
        </is>
      </c>
      <c r="S229" s="7" t="inlineStr">
        <is>
          <t>abstract read</t>
        </is>
      </c>
      <c r="T229" s="7" t="inlineStr">
        <is>
          <t>2026-10-10</t>
        </is>
      </c>
      <c r="U229" s="7" t="inlineStr">
        <is>
          <t>https://ifw-kiel.de/publications/mild-deglobalization-foreign-investment-screening-and-cross-border-investment-32640</t>
        </is>
      </c>
      <c r="V229" s="7" t="inlineStr"/>
      <c r="W229" s="7" t="inlineStr"/>
    </row>
    <row r="230">
      <c r="A230" s="7" t="n">
        <v>39</v>
      </c>
      <c r="B230" s="7" t="inlineStr">
        <is>
          <t>FDI Screening Regulation</t>
        </is>
      </c>
      <c r="C230" s="7" t="inlineStr">
        <is>
          <t>evidence</t>
        </is>
      </c>
      <c r="D230" s="7" t="inlineStr">
        <is>
          <t>academic</t>
        </is>
      </c>
      <c r="E230" s="7" t="inlineStr">
        <is>
          <t>initial review</t>
        </is>
      </c>
      <c r="F230" s="7" t="inlineStr">
        <is>
          <t>mau-2023-ism</t>
        </is>
      </c>
      <c r="G230" s="7" t="inlineStr">
        <is>
          <t>Mau (2023), Screening or deterring investments into the European Union?, Maastricht University SBE blog (summary of working paper Mau 2023)</t>
        </is>
      </c>
      <c r="H230" s="7" t="n">
        <v>2023</v>
      </c>
      <c r="I230" s="7" t="inlineStr">
        <is>
          <t>working paper (blog summary)</t>
        </is>
      </c>
      <c r="J230" s="7" t="inlineStr">
        <is>
          <t>regression analysis of M&amp;A by non-EU buyers in EU countries adopting screening mechanisms</t>
        </is>
      </c>
      <c r="K230" s="7" t="inlineStr">
        <is>
          <t>cross-border M&amp;A</t>
        </is>
      </c>
      <c r="L230" s="7" t="inlineStr">
        <is>
          <t>negative</t>
        </is>
      </c>
      <c r="M230" s="7" t="inlineStr">
        <is>
          <t>EU countries adopting a screening mechanism in line with the EU framework saw significantly larger decreases in overall M&amp;A activity; cannot confirm the effect is driven by Chinese or state-controlled investors</t>
        </is>
      </c>
      <c r="N230" s="7" t="inlineStr">
        <is>
          <t>An early study finds that EU countries which introduced screening under the EU framework saw bigger drops in foreign takeovers, and not only from China.</t>
        </is>
      </c>
      <c r="O230" s="7" t="inlineStr">
        <is>
          <t>EU, 2005-2022</t>
        </is>
      </c>
      <c r="P230" s="7" t="inlineStr">
        <is>
          <t>early results; full paper not reviewed</t>
        </is>
      </c>
      <c r="Q230" s="7" t="inlineStr"/>
      <c r="R230" s="7" t="inlineStr">
        <is>
          <t>open</t>
        </is>
      </c>
      <c r="S230" s="7" t="inlineStr">
        <is>
          <t>page summary (blog read)</t>
        </is>
      </c>
      <c r="T230" s="7" t="inlineStr">
        <is>
          <t>2026-10-10</t>
        </is>
      </c>
      <c r="U230" s="7" t="inlineStr">
        <is>
          <t>https://maastrichtuniversity.nl/news/screening-or-deterring-investments-european-union</t>
        </is>
      </c>
      <c r="V230" s="7" t="inlineStr"/>
      <c r="W230" s="7" t="inlineStr"/>
    </row>
    <row r="231">
      <c r="A231" s="7" t="n">
        <v>39</v>
      </c>
      <c r="B231" s="7" t="inlineStr">
        <is>
          <t>FDI Screening Regulation</t>
        </is>
      </c>
      <c r="C231" s="7" t="inlineStr">
        <is>
          <t>evidence</t>
        </is>
      </c>
      <c r="D231" s="7" t="inlineStr">
        <is>
          <t>academic</t>
        </is>
      </c>
      <c r="E231" s="7" t="inlineStr">
        <is>
          <t>2026-10 broadened search</t>
        </is>
      </c>
      <c r="F231" s="7" t="inlineStr">
        <is>
          <t>eichenauer-2024-screening-vc</t>
        </is>
      </c>
      <c r="G231" s="7" t="inlineStr">
        <is>
          <t>Eichenauer, V. Z.; Köppl, S.; Köppl-Turyna, M. (2024), Investment screening and venture capital, EcoAustria Research Paper No. 30 (also Kiel Working Paper 2282 / CESifo WP 11538)</t>
        </is>
      </c>
      <c r="H231" s="7" t="n">
        <v>2024</v>
      </c>
      <c r="I231" s="7" t="inlineStr">
        <is>
          <t>academic working paper</t>
        </is>
      </c>
      <c r="J231" s="7" t="inlineStr">
        <is>
          <t>panel regressions on cross-border VC deals (Preqin) linked to country-sector screening coverage (PRISM data extended by Eichenauer &amp; Wang), Europe 2007-2022</t>
        </is>
      </c>
      <c r="K231" s="7" t="inlineStr">
        <is>
          <t>number, size and structure of cross-border venture capital deals</t>
        </is>
      </c>
      <c r="L231" s="7" t="inlineStr">
        <is>
          <t>negative</t>
        </is>
      </c>
      <c r="M231" s="7" t="inlineStr">
        <is>
          <t>Despite very few deals actually being blocked, the spread of investment screening is associated with a significant decline in cross-border VC deals in Europe, strongest for financial investors, late-stage rounds and non-OECD investors.</t>
        </is>
      </c>
      <c r="N231" s="7" t="inlineStr">
        <is>
          <t>When European countries started checking foreign investments for security risks, fewer foreign venture capital investors put money into European start-ups, even though almost no deals were actually stopped.</t>
        </is>
      </c>
      <c r="O231" s="7" t="inlineStr">
        <is>
          <t>Europe, 2007-2022</t>
        </is>
      </c>
      <c r="P231" s="7" t="inlineStr">
        <is>
          <t>Panel design exploiting staggered national screening reforms; measures national regimes around the EU framework rather than Regulation 2019/452 alone; exact effect sizes not in abstract</t>
        </is>
      </c>
      <c r="Q231" s="7" t="inlineStr"/>
      <c r="R231" s="7" t="inlineStr">
        <is>
          <t>open</t>
        </is>
      </c>
      <c r="S231" s="7" t="inlineStr">
        <is>
          <t>abstract read</t>
        </is>
      </c>
      <c r="T231" s="7" t="inlineStr">
        <is>
          <t>2026-10-10</t>
        </is>
      </c>
      <c r="U231" s="7" t="inlineStr">
        <is>
          <t>https://ideas.repec.org/p/zbw/ecoarp/308092.html</t>
        </is>
      </c>
      <c r="V231" s="7" t="inlineStr"/>
      <c r="W231" s="7" t="inlineStr"/>
    </row>
    <row r="232">
      <c r="A232" s="7" t="n">
        <v>39</v>
      </c>
      <c r="B232" s="7" t="inlineStr">
        <is>
          <t>FDI Screening Regulation</t>
        </is>
      </c>
      <c r="C232" s="7" t="inlineStr">
        <is>
          <t>evidence</t>
        </is>
      </c>
      <c r="D232" s="7" t="inlineStr">
        <is>
          <t>academic</t>
        </is>
      </c>
      <c r="E232" s="7" t="inlineStr">
        <is>
          <t>2026-10 broadened search</t>
        </is>
      </c>
      <c r="F232" s="7" t="inlineStr">
        <is>
          <t>kaya-2026-germany-screening-ma</t>
        </is>
      </c>
      <c r="G232" s="7" t="inlineStr">
        <is>
          <t>Kaya, O.; Mostowfi, M.; Sugandhita, S. (2026), Foreign investment screening and cross-border M&amp;A in sensitive sectors: Evidence from Germany, Finance Research Letters, vol. 92, 109525</t>
        </is>
      </c>
      <c r="H232" s="7" t="n">
        <v>2026</v>
      </c>
      <c r="I232" s="7" t="inlineStr">
        <is>
          <t>peer-reviewed article</t>
        </is>
      </c>
      <c r="J232" s="7" t="inlineStr">
        <is>
          <t>difference-in-differences on firm-level M&amp;A data (newly regulated vs other sectors), Germany 2016-2024</t>
        </is>
      </c>
      <c r="K232" s="7" t="inlineStr">
        <is>
          <t>likelihood and type of foreign acquisitions of German firms by investor origin</t>
        </is>
      </c>
      <c r="L232" s="7" t="inlineStr">
        <is>
          <t>mixed</t>
        </is>
      </c>
      <c r="M232" s="7" t="inlineStr">
        <is>
          <t>Germany's 2020 screening reform significantly raised the likelihood that German firms in newly regulated sectors were acquired by investors from other EU countries, driven by majority-control deals, shifting ownership from non-EU to EU investors.</t>
        </is>
      </c>
      <c r="N232" s="7" t="inlineStr">
        <is>
          <t>After Germany tightened checks on foreign takeovers in sensitive sectors in 2020, more of these firms were bought by investors from other EU countries rather than from outside the EU.</t>
        </is>
      </c>
      <c r="O232" s="7" t="inlineStr">
        <is>
          <t>Germany, 2016-2024</t>
        </is>
      </c>
      <c r="P232" s="7" t="inlineStr">
        <is>
          <t>Clean DiD on national reform that coincided with and partly implemented the EU framework (AWG/AWV 2020 amendments); single-country, effect sizes not in abstract</t>
        </is>
      </c>
      <c r="Q232" s="7" t="inlineStr"/>
      <c r="R232" s="7" t="inlineStr">
        <is>
          <t>open</t>
        </is>
      </c>
      <c r="S232" s="7" t="inlineStr">
        <is>
          <t>abstract read</t>
        </is>
      </c>
      <c r="T232" s="7" t="inlineStr">
        <is>
          <t>2026-10-10</t>
        </is>
      </c>
      <c r="U232" s="7" t="inlineStr">
        <is>
          <t>https://doi.org/10.1016/j.frl.2026.109525</t>
        </is>
      </c>
      <c r="V232" s="7" t="inlineStr">
        <is>
          <t>https://www.sciencedirect.com/science/article/pii/S1544612326000565</t>
        </is>
      </c>
      <c r="W232" s="7" t="inlineStr"/>
    </row>
    <row r="233">
      <c r="A233" s="7" t="n">
        <v>39</v>
      </c>
      <c r="B233" s="7" t="inlineStr">
        <is>
          <t>FDI Screening Regulation</t>
        </is>
      </c>
      <c r="C233" s="7" t="inlineStr">
        <is>
          <t>evidence</t>
        </is>
      </c>
      <c r="D233" s="7" t="inlineStr">
        <is>
          <t>think tank</t>
        </is>
      </c>
      <c r="E233" s="7" t="inlineStr">
        <is>
          <t>2026-10 broadened search</t>
        </is>
      </c>
      <c r="F233" s="7" t="inlineStr">
        <is>
          <t>kratz-2025-cofdi2024update</t>
        </is>
      </c>
      <c r="G233" s="7" t="inlineStr">
        <is>
          <t>Agatha Kratz, Max J. Zenglein, Andreas Mischer, Gregor Sebastian, Armand Meyer (Rhodium Group and MERICS) (2025), Chinese Investment Rebounds Despite Growing Frictions: Chinese FDI in Europe: 2024 Update, MERICS Report (May 2025), with Rhodium Group</t>
        </is>
      </c>
      <c r="H233" s="7" t="n">
        <v>2025</v>
      </c>
      <c r="I233" s="7" t="inlineStr">
        <is>
          <t>think tank report</t>
        </is>
      </c>
      <c r="J233" s="7" t="inlineStr">
        <is>
          <t>descriptive deal-level tracking of Chinese M&amp;A and greenfield FDI in the EU and UK (Rhodium China Cross Border Monitor), combined with Commission screening statistics and a hand-collected list of publicly disclosed screening cases (section 3)</t>
        </is>
      </c>
      <c r="K233" s="7" t="inlineStr">
        <is>
          <t>Chinese FDI volumes and composition; share of screening notifications involving Chinese investors; outcomes of disclosed screening cases</t>
        </is>
      </c>
      <c r="L233" s="7" t="inlineStr">
        <is>
          <t>descriptive</t>
        </is>
      </c>
      <c r="M233" s="7" t="inlineStr">
        <is>
          <t>The share of EU-screened transactions involving Chinese investors rose to 6% in 2023 (from 5.4% in 2022) even as Chinese M&amp;A fell; the authors count 9 publicly disclosed screening cases involving Chinese firms in 2024 (12 in 2023, 16 in 2022), with blocks or forced divestments in semiconductors, batteries and gas turbines.</t>
        </is>
      </c>
      <c r="N233" s="7" t="inlineStr">
        <is>
          <t>Chinese takeovers of European companies have shrunk to a fraction of their 2016 peak, while new Chinese-built factories (mostly for electric cars and batteries) are growing. More of the deals that governments review now involve Chinese buyers, and several sensitive deals were blocked or unwound in 2024.</t>
        </is>
      </c>
      <c r="O233" s="7" t="inlineStr">
        <is>
          <t>2019-2024; EU-27 and UK</t>
        </is>
      </c>
      <c r="P233" s="7" t="inlineStr">
        <is>
          <t>Descriptive monitoring; screening is one of several drivers (capital controls, geopolitics) and no attempt is made to isolate its effect; case list admittedly partial because most reviews are confidential.</t>
        </is>
      </c>
      <c r="Q233" s="7" t="inlineStr">
        <is>
          <t>Rhodium Group is a commercial research consultancy; MERICS is an independent think tank (foundation-funded)</t>
        </is>
      </c>
      <c r="R233" s="7" t="inlineStr">
        <is>
          <t>open</t>
        </is>
      </c>
      <c r="S233" s="7" t="inlineStr">
        <is>
          <t>full text read</t>
        </is>
      </c>
      <c r="T233" s="7" t="inlineStr">
        <is>
          <t>2026-10-10</t>
        </is>
      </c>
      <c r="U233" s="7" t="inlineStr">
        <is>
          <t>https://www.merics.org/de/report/chinese-investment-rebounds-despite-growing-frictions-chinese-fdi-europe-2024-update</t>
        </is>
      </c>
      <c r="V233" s="7" t="inlineStr">
        <is>
          <t>https://rhg.com/wp-content/uploads/2025/05/MERICS-Rhodium-Group-COFDI-Update-2025.pdf</t>
        </is>
      </c>
      <c r="W233" s="7" t="inlineStr"/>
    </row>
    <row r="234">
      <c r="A234" s="7" t="n">
        <v>39</v>
      </c>
      <c r="B234" s="7" t="inlineStr">
        <is>
          <t>FDI Screening Regulation</t>
        </is>
      </c>
      <c r="C234" s="7" t="inlineStr">
        <is>
          <t>evidence</t>
        </is>
      </c>
      <c r="D234" s="7" t="inlineStr">
        <is>
          <t>think tank</t>
        </is>
      </c>
      <c r="E234" s="7" t="inlineStr">
        <is>
          <t>2026-10 broadened search</t>
        </is>
      </c>
      <c r="F234" s="7" t="inlineStr">
        <is>
          <t>green-2026-doorajar</t>
        </is>
      </c>
      <c r="G234" s="7" t="inlineStr">
        <is>
          <t>James Green, Sander Tordoir (2026), Europe's door to Chinese tech investment is still ajar, Centre for European Reform, CER Insight (4 March 2026)</t>
        </is>
      </c>
      <c r="H234" s="7" t="n">
        <v>2026</v>
      </c>
      <c r="I234" s="7" t="inlineStr">
        <is>
          <t>think tank policy brief</t>
        </is>
      </c>
      <c r="J234" s="7" t="inlineStr">
        <is>
          <t>structured qualitative assessment with case evidence (blocked or unwound Chinese semiconductor acquisitions 2021-2025) and descriptive FDI data (Rhodium/MERICS, AidData)</t>
        </is>
      </c>
      <c r="K234" s="7" t="inlineStr">
        <is>
          <t>blocking of Chinese acquisitions in sensitive tech; shift from M&amp;A to greenfield; geographic shift towards member states with looser screening</t>
        </is>
      </c>
      <c r="L234" s="7" t="inlineStr">
        <is>
          <t>mixed</t>
        </is>
      </c>
      <c r="M234" s="7" t="inlineStr">
        <is>
          <t>Since the 2019 framework, Germany, Italy, the Netherlands and the UK have blocked or unwound Chinese acquisitions of sensitive semiconductor assets, but Chinese FDI has shifted to greenfield projects in permissive member states - Hungary took 44% of Europe-bound Chinese investment in 2023 and 33% in 2024 - which the M&amp;A-focused screening framework barely covers.</t>
        </is>
      </c>
      <c r="N234" s="7" t="inlineStr">
        <is>
          <t>CER finds that European governments have largely stopped Chinese takeovers of sensitive tech firms, but the screening system, which was optional and uneven from 2020, does little about Chinese companies building their own factories, which now go mainly to countries with weaker screening such as Hungary.</t>
        </is>
      </c>
      <c r="O234" s="7" t="inlineStr">
        <is>
          <t>2015-2026; EU member states and UK</t>
        </is>
      </c>
      <c r="P234" s="7" t="inlineStr">
        <is>
          <t>Policy analysis with case evidence and descriptive data; no causal identification; attributes the geographic shift partly to looser screening without testing it.</t>
        </is>
      </c>
      <c r="Q234" s="7" t="inlineStr"/>
      <c r="R234" s="7" t="inlineStr">
        <is>
          <t>open</t>
        </is>
      </c>
      <c r="S234" s="7" t="inlineStr">
        <is>
          <t>full text read</t>
        </is>
      </c>
      <c r="T234" s="7" t="inlineStr">
        <is>
          <t>2026-10-10</t>
        </is>
      </c>
      <c r="U234" s="7" t="inlineStr">
        <is>
          <t>https://www.cer.eu/insights/europes-door-chinese-tech-investment-still-ajar</t>
        </is>
      </c>
      <c r="V234" s="7" t="inlineStr"/>
      <c r="W234" s="7" t="inlineStr"/>
    </row>
    <row r="235">
      <c r="A235" s="7" t="n">
        <v>39</v>
      </c>
      <c r="B235" s="7" t="inlineStr">
        <is>
          <t>FDI Screening Regulation</t>
        </is>
      </c>
      <c r="C235" s="7" t="inlineStr">
        <is>
          <t>evidence</t>
        </is>
      </c>
      <c r="D235" s="7" t="inlineStr">
        <is>
          <t>academic</t>
        </is>
      </c>
      <c r="E235" s="7" t="inlineStr">
        <is>
          <t>2026-10 broadened search</t>
        </is>
      </c>
      <c r="F235" s="7" t="inlineStr">
        <is>
          <t>greco-2025-screeningide</t>
        </is>
      </c>
      <c r="G235" s="7" t="inlineStr">
        <is>
          <t>Samuele Greco, Chiara Pollio, Lauretta Rubini, Alessandra Vecchi (2025), Screening degli IDE europei e investimenti green cinesi in UE, Mondo Cinese (journal article)</t>
        </is>
      </c>
      <c r="H235" s="7" t="n">
        <v>2025</v>
      </c>
      <c r="I235" s="7" t="inlineStr">
        <is>
          <t>peer-reviewed article</t>
        </is>
      </c>
      <c r="J235" s="7" t="inlineStr">
        <is>
          <t>legal analysis of Regulation 2019/452 and its roll-out plus descriptive trend analysis of Chinese green-sector FDI in Europe 2019-2024</t>
        </is>
      </c>
      <c r="K235" s="7" t="inlineStr">
        <is>
          <t>Chinese green-sector FDI trends before and after the screening framework</t>
        </is>
      </c>
      <c r="L235" s="7" t="inlineStr">
        <is>
          <t>descriptive</t>
        </is>
      </c>
      <c r="M235" s="7" t="inlineStr">
        <is>
          <t>The paper documents trend shifts in Chinese green-sector FDI into Europe between 2019 and 2024 alongside the roll-out of the EU screening framework (no effect size reported in the abstract).</t>
        </is>
      </c>
      <c r="N235" s="7" t="inlineStr">
        <is>
          <t>An Italian study that describes how the EU's investment-screening rules were rolled out and how Chinese investment in green technologies in Europe changed from 2019 to 2024.</t>
        </is>
      </c>
      <c r="O235" s="7" t="inlineStr">
        <is>
          <t>2019-2024; EU</t>
        </is>
      </c>
      <c r="P235" s="7" t="inlineStr">
        <is>
          <t>Descriptive only, in Italian; only the abstract was available (no full text in repository); no causal design.</t>
        </is>
      </c>
      <c r="Q235" s="7" t="inlineStr"/>
      <c r="R235" s="7" t="inlineStr">
        <is>
          <t>paywalled</t>
        </is>
      </c>
      <c r="S235" s="7" t="inlineStr">
        <is>
          <t>abstract read</t>
        </is>
      </c>
      <c r="T235" s="7" t="inlineStr">
        <is>
          <t>2026-10-10</t>
        </is>
      </c>
      <c r="U235" s="7" t="inlineStr">
        <is>
          <t>https://hdl.handle.net/11392/2603776</t>
        </is>
      </c>
      <c r="V235" s="7" t="inlineStr"/>
      <c r="W235" s="7" t="inlineStr"/>
    </row>
    <row r="236">
      <c r="A236" s="7" t="n">
        <v>113</v>
      </c>
      <c r="B236" s="7" t="inlineStr">
        <is>
          <t>.eu Top-Level Domain Regulation</t>
        </is>
      </c>
      <c r="C236" s="7" t="inlineStr">
        <is>
          <t>ex-ante assessment</t>
        </is>
      </c>
      <c r="D236" s="7" t="inlineStr">
        <is>
          <t>official</t>
        </is>
      </c>
      <c r="E236" s="7" t="inlineStr">
        <is>
          <t>initial review</t>
        </is>
      </c>
      <c r="F236" s="7" t="inlineStr">
        <is>
          <t>ec-2018-doteu-ia</t>
        </is>
      </c>
      <c r="G236" s="7" t="inlineStr">
        <is>
          <t>European Commission (2018), Impact Assessment accompanying the proposal on the implementation and functioning of the .eu top-level domain (executive summary SWD(2018) 121), SWD(2018) 120</t>
        </is>
      </c>
      <c r="H236" s="7" t="n">
        <v>2018</v>
      </c>
      <c r="I236" s="7" t="inlineStr">
        <is>
          <t>Commission impact assessment</t>
        </is>
      </c>
      <c r="J236" s="7" t="inlineStr">
        <is>
          <t>ex-ante (qualitative)</t>
        </is>
      </c>
      <c r="K236" s="7" t="inlineStr">
        <is>
          <t>governance; flexibility; attractiveness of .eu</t>
        </is>
      </c>
      <c r="L236" s="7" t="inlineStr">
        <is>
          <t>positive (forecast, qualitative)</t>
        </is>
      </c>
      <c r="M236" s="7" t="inlineStr">
        <is>
          <t>Preferred option: principles-based framework, separate multistakeholder advisory body, relaxed eligibility (EU citizenship criterion) and direct registration; no quantified targets</t>
        </is>
      </c>
      <c r="N236" s="7" t="inlineStr">
        <is>
          <t>The Commission expected simpler, more flexible rules and wider eligibility to make the .eu domain more attractive, without setting numerical targets.</t>
        </is>
      </c>
      <c r="O236" s="7" t="inlineStr">
        <is>
          <t>EU, forecast</t>
        </is>
      </c>
      <c r="P236" s="7" t="inlineStr">
        <is>
          <t>forecast; qualitative</t>
        </is>
      </c>
      <c r="Q236" s="7" t="inlineStr"/>
      <c r="R236" s="7" t="inlineStr">
        <is>
          <t>open</t>
        </is>
      </c>
      <c r="S236" s="7" t="inlineStr">
        <is>
          <t>full text read (executive summary)</t>
        </is>
      </c>
      <c r="T236" s="7" t="inlineStr">
        <is>
          <t>2026-10-10</t>
        </is>
      </c>
      <c r="U236" s="7" t="inlineStr">
        <is>
          <t>https://eur-lex.europa.eu/legal-content/EN/TXT/?uri=CELEX:52018SC0121</t>
        </is>
      </c>
      <c r="V236" s="7" t="inlineStr"/>
      <c r="W236" s="7" t="inlineStr"/>
    </row>
    <row r="237">
      <c r="A237" s="7" t="n">
        <v>113</v>
      </c>
      <c r="B237" s="7" t="inlineStr">
        <is>
          <t>.eu Top-Level Domain Regulation</t>
        </is>
      </c>
      <c r="C237" s="7" t="inlineStr">
        <is>
          <t>evidence</t>
        </is>
      </c>
      <c r="D237" s="7" t="inlineStr">
        <is>
          <t>official</t>
        </is>
      </c>
      <c r="E237" s="7" t="inlineStr">
        <is>
          <t>initial review</t>
        </is>
      </c>
      <c r="F237" s="7" t="inlineStr">
        <is>
          <t>ec-2018-doteu-refit-eval</t>
        </is>
      </c>
      <c r="G237" s="7" t="inlineStr">
        <is>
          <t>European Commission (2018), REFIT evaluation of Regulations 733/2002 and 874/2004 on the .eu top-level domain (executive summary), SWD(2018) 122</t>
        </is>
      </c>
      <c r="H237" s="7" t="n">
        <v>2018</v>
      </c>
      <c r="I237" s="7" t="inlineStr">
        <is>
          <t>Commission evaluation</t>
        </is>
      </c>
      <c r="J237" s="7" t="inlineStr">
        <is>
          <t>REFIT evaluation of predecessor rules</t>
        </is>
      </c>
      <c r="K237" s="7" t="inlineStr">
        <is>
          <t>effectiveness; efficiency</t>
        </is>
      </c>
      <c r="L237" s="7" t="inlineStr">
        <is>
          <t>mixed</t>
        </is>
      </c>
      <c r="M237" s="7" t="inlineStr">
        <is>
          <t>Old framework still delivered its benefits but was outdated and rigid, with governance and accountability deficiencies and poor fit with a fast-changing domain market</t>
        </is>
      </c>
      <c r="N237" s="7" t="inlineStr">
        <is>
          <t>The Commission's evaluation of the old .eu rules found them still useful but outdated and too rigid.</t>
        </is>
      </c>
      <c r="O237" s="7" t="inlineStr">
        <is>
          <t>EU, 2002-2017</t>
        </is>
      </c>
      <c r="P237" s="7" t="inlineStr">
        <is>
          <t>self-evaluation of predecessor</t>
        </is>
      </c>
      <c r="Q237" s="7" t="inlineStr"/>
      <c r="R237" s="7" t="inlineStr">
        <is>
          <t>open</t>
        </is>
      </c>
      <c r="S237" s="7" t="inlineStr">
        <is>
          <t>full text read (executive summary)</t>
        </is>
      </c>
      <c r="T237" s="7" t="inlineStr">
        <is>
          <t>2026-10-10</t>
        </is>
      </c>
      <c r="U237" s="7" t="inlineStr">
        <is>
          <t>https://eur-lex.europa.eu/legal-content/EN/TXT/?uri=CELEX:52018SC0122</t>
        </is>
      </c>
      <c r="V237" s="7" t="inlineStr"/>
      <c r="W237" s="7" t="inlineStr"/>
    </row>
    <row r="238">
      <c r="A238" s="7" t="n">
        <v>113</v>
      </c>
      <c r="B238" s="7" t="inlineStr">
        <is>
          <t>.eu Top-Level Domain Regulation</t>
        </is>
      </c>
      <c r="C238" s="7" t="inlineStr">
        <is>
          <t>evidence</t>
        </is>
      </c>
      <c r="D238" s="7" t="inlineStr">
        <is>
          <t>official</t>
        </is>
      </c>
      <c r="E238" s="7" t="inlineStr">
        <is>
          <t>initial review</t>
        </is>
      </c>
      <c r="F238" s="7" t="inlineStr">
        <is>
          <t>ec-2022-doteu-report</t>
        </is>
      </c>
      <c r="G238" s="7" t="inlineStr">
        <is>
          <t>European Commission (2022), Report on the implementation, functioning and effectiveness of the .eu Top-Level Domain from April 2019 to April 2021, COM(2022) 1</t>
        </is>
      </c>
      <c r="H238" s="7" t="n">
        <v>2022</v>
      </c>
      <c r="I238" s="7" t="inlineStr">
        <is>
          <t>Commission implementation report</t>
        </is>
      </c>
      <c r="J238" s="7" t="inlineStr">
        <is>
          <t>monitoring report (registry data)</t>
        </is>
      </c>
      <c r="K238" s="7" t="inlineStr">
        <is>
          <t>registrations; security</t>
        </is>
      </c>
      <c r="L238" s="7" t="inlineStr">
        <is>
          <t>n/a</t>
        </is>
      </c>
      <c r="M238" s="7" t="inlineStr">
        <is>
          <t>3.7 million .eu domains in April 2021 (8th largest ccTLD); growth flattened as Brexit losses were offset by pandemic demand; citizens abroad allowed to register; 100% availability</t>
        </is>
      </c>
      <c r="N238" s="7" t="inlineStr">
        <is>
          <t>In 2021 the .eu domain had 3.7 million registrations and growth had flattened.</t>
        </is>
      </c>
      <c r="O238" s="7" t="inlineStr">
        <is>
          <t>EU, 2019-2021 (mostly before the new Regulation applied)</t>
        </is>
      </c>
      <c r="P238" s="7" t="inlineStr">
        <is>
          <t>descriptive</t>
        </is>
      </c>
      <c r="Q238" s="7" t="inlineStr"/>
      <c r="R238" s="7" t="inlineStr">
        <is>
          <t>open</t>
        </is>
      </c>
      <c r="S238" s="7" t="inlineStr">
        <is>
          <t>full text partly read</t>
        </is>
      </c>
      <c r="T238" s="7" t="inlineStr">
        <is>
          <t>2026-10-10</t>
        </is>
      </c>
      <c r="U238" s="7" t="inlineStr">
        <is>
          <t>https://eur-lex.europa.eu/legal-content/EN/TXT/?uri=CELEX:52022DC0001</t>
        </is>
      </c>
      <c r="V238" s="7" t="inlineStr"/>
      <c r="W238" s="7" t="inlineStr"/>
    </row>
    <row r="239">
      <c r="A239" s="7" t="n">
        <v>113</v>
      </c>
      <c r="B239" s="7" t="inlineStr">
        <is>
          <t>.eu Top-Level Domain Regulation</t>
        </is>
      </c>
      <c r="C239" s="7" t="inlineStr">
        <is>
          <t>evidence</t>
        </is>
      </c>
      <c r="D239" s="7" t="inlineStr">
        <is>
          <t>official</t>
        </is>
      </c>
      <c r="E239" s="7" t="inlineStr">
        <is>
          <t>initial review</t>
        </is>
      </c>
      <c r="F239" s="7" t="inlineStr">
        <is>
          <t>eurid-2025-q4</t>
        </is>
      </c>
      <c r="G239" s="7" t="inlineStr">
        <is>
          <t>EURid (registry) (2026), Q4 2025 quarterly update, EURid quarterly report</t>
        </is>
      </c>
      <c r="H239" s="7" t="n">
        <v>2026</v>
      </c>
      <c r="I239" s="7" t="inlineStr">
        <is>
          <t>registry statistics</t>
        </is>
      </c>
      <c r="J239" s="7" t="inlineStr">
        <is>
          <t>descriptive</t>
        </is>
      </c>
      <c r="K239" s="7" t="inlineStr">
        <is>
          <t>registrations</t>
        </is>
      </c>
      <c r="L239" s="7" t="inlineStr">
        <is>
          <t>n/a</t>
        </is>
      </c>
      <c r="M239" s="7" t="inlineStr">
        <is>
          <t>3,790,453 .eu registrations at end-2025; 193,047 new registrations in Q4 2025</t>
        </is>
      </c>
      <c r="N239" s="7" t="inlineStr">
        <is>
          <t>By end-2025 the .eu domain had about 3.79 million registrations, roughly the same as in 2021.</t>
        </is>
      </c>
      <c r="O239" s="7" t="inlineStr">
        <is>
          <t>EU, 2025</t>
        </is>
      </c>
      <c r="P239" s="7" t="inlineStr">
        <is>
          <t>descriptive; registry operator data</t>
        </is>
      </c>
      <c r="Q239" s="7" t="inlineStr">
        <is>
          <t>EURid is the registry operator under contract with the Commission</t>
        </is>
      </c>
      <c r="R239" s="7" t="inlineStr">
        <is>
          <t>open</t>
        </is>
      </c>
      <c r="S239" s="7" t="inlineStr">
        <is>
          <t>page summary via search</t>
        </is>
      </c>
      <c r="T239" s="7" t="inlineStr">
        <is>
          <t>2026-10-10</t>
        </is>
      </c>
      <c r="U239" s="7" t="inlineStr">
        <is>
          <t>https://cdn.eurid.eu/assets/q4-2025.pdf</t>
        </is>
      </c>
      <c r="V239" s="7" t="inlineStr"/>
      <c r="W239" s="7" t="inlineStr"/>
    </row>
    <row r="240">
      <c r="A240" s="7" t="n">
        <v>114</v>
      </c>
      <c r="B240" s="7" t="inlineStr">
        <is>
          <t>Interoperability of EU information systems (borders and visa) Regulation</t>
        </is>
      </c>
      <c r="C240" s="7" t="inlineStr">
        <is>
          <t>ex-ante assessment</t>
        </is>
      </c>
      <c r="D240" s="7" t="inlineStr">
        <is>
          <t>official</t>
        </is>
      </c>
      <c r="E240" s="7" t="inlineStr">
        <is>
          <t>initial review</t>
        </is>
      </c>
      <c r="F240" s="7" t="inlineStr">
        <is>
          <t>ec-2017-interop-ia</t>
        </is>
      </c>
      <c r="G240" s="7" t="inlineStr">
        <is>
          <t>European Commission (2017), Impact Assessment accompanying the proposals on interoperability between EU information systems (executive summary SWD(2017) 474), SWD(2017) 473</t>
        </is>
      </c>
      <c r="H240" s="7" t="n">
        <v>2017</v>
      </c>
      <c r="I240" s="7" t="inlineStr">
        <is>
          <t>Commission impact assessment</t>
        </is>
      </c>
      <c r="J240" s="7" t="inlineStr">
        <is>
          <t>ex-ante</t>
        </is>
      </c>
      <c r="K240" s="7" t="inlineStr">
        <is>
          <t>border management; identity fraud; costs</t>
        </is>
      </c>
      <c r="L240" s="7" t="inlineStr">
        <is>
          <t>positive (forecast)</t>
        </is>
      </c>
      <c r="M240" s="7" t="inlineStr">
        <is>
          <t>Direct savings EUR 77.5m a year (training, resolving multiple identities); one-off costs EUR 169.8m, running costs EUR 28.5m a year; positive for border control and law enforcement</t>
        </is>
      </c>
      <c r="N240" s="7" t="inlineStr">
        <is>
          <t>The Commission expected linking the EU's border and security databases to save national administrations about EUR 77.5 million a year for a one-off cost of about EUR 170 million.</t>
        </is>
      </c>
      <c r="O240" s="7" t="inlineStr">
        <is>
          <t>EU, forecast</t>
        </is>
      </c>
      <c r="P240" s="7" t="inlineStr">
        <is>
          <t>forecast</t>
        </is>
      </c>
      <c r="Q240" s="7" t="inlineStr"/>
      <c r="R240" s="7" t="inlineStr">
        <is>
          <t>open</t>
        </is>
      </c>
      <c r="S240" s="7" t="inlineStr">
        <is>
          <t>full text read (executive summary)</t>
        </is>
      </c>
      <c r="T240" s="7" t="inlineStr">
        <is>
          <t>2026-10-10</t>
        </is>
      </c>
      <c r="U240" s="7" t="inlineStr">
        <is>
          <t>https://eur-lex.europa.eu/legal-content/EN/TXT/?uri=CELEX:52017SC0474</t>
        </is>
      </c>
      <c r="V240" s="7" t="inlineStr"/>
      <c r="W240" s="7" t="inlineStr">
        <is>
          <t>http://web.archive.org/web/20251206070935/https://eur-lex.europa.eu/legal-content/EN/TXT/?uri=CELEX:52017SC0474</t>
        </is>
      </c>
    </row>
    <row r="241">
      <c r="A241" s="7" t="n">
        <v>114</v>
      </c>
      <c r="B241" s="7" t="inlineStr">
        <is>
          <t>Interoperability of EU information systems (borders and visa) Regulation</t>
        </is>
      </c>
      <c r="C241" s="7" t="inlineStr">
        <is>
          <t>evidence</t>
        </is>
      </c>
      <c r="D241" s="7" t="inlineStr">
        <is>
          <t>official</t>
        </is>
      </c>
      <c r="E241" s="7" t="inlineStr">
        <is>
          <t>initial review</t>
        </is>
      </c>
      <c r="F241" s="7" t="inlineStr">
        <is>
          <t>ec-2026-interop-state-of-play</t>
        </is>
      </c>
      <c r="G241" s="7" t="inlineStr">
        <is>
          <t>European Commission (2026), Sixth report on the state of play of preparations for the full implementation of the Interoperability Regulations (covering 2025), COM(2026) 446</t>
        </is>
      </c>
      <c r="H241" s="7" t="n">
        <v>2026</v>
      </c>
      <c r="I241" s="7" t="inlineStr">
        <is>
          <t>Commission implementation report</t>
        </is>
      </c>
      <c r="J241" s="7" t="inlineStr">
        <is>
          <t>monitoring report</t>
        </is>
      </c>
      <c r="K241" s="7" t="inlineStr">
        <is>
          <t>delivery timeline; costs</t>
        </is>
      </c>
      <c r="L241" s="7" t="inlineStr">
        <is>
          <t>n/a (implementation delayed)</t>
        </is>
      </c>
      <c r="M241" s="7" t="inlineStr">
        <is>
          <t>Shared biometric matching service launched 19 May 2025; Entry/Exit System rolled out 12 Oct 2025; search portal and common identity repository to start 12 June 2026; reporting repository Q4 2026; eu-LISA contracts EUR 170.8m signed, EUR 133.2m paid by Dec 2025</t>
        </is>
      </c>
      <c r="N241" s="7" t="inlineStr">
        <is>
          <t>Six years on, the first building block went live in 2025 and the rest is due in 2026, about three years later than planned, with spending already above the original estimate.</t>
        </is>
      </c>
      <c r="O241" s="7" t="inlineStr">
        <is>
          <t>EU, 2025</t>
        </is>
      </c>
      <c r="P241" s="7" t="inlineStr">
        <is>
          <t>self-reported progress; no outcome data</t>
        </is>
      </c>
      <c r="Q241" s="7" t="inlineStr"/>
      <c r="R241" s="7" t="inlineStr">
        <is>
          <t>open</t>
        </is>
      </c>
      <c r="S241" s="7" t="inlineStr">
        <is>
          <t>full text partly read</t>
        </is>
      </c>
      <c r="T241" s="7" t="inlineStr">
        <is>
          <t>2026-10-10</t>
        </is>
      </c>
      <c r="U241" s="7" t="inlineStr">
        <is>
          <t>https://eur-lex.europa.eu/legal-content/EN/TXT/?uri=CELEX:52026DC0446</t>
        </is>
      </c>
      <c r="V241" s="7" t="inlineStr"/>
      <c r="W241" s="7" t="inlineStr"/>
    </row>
    <row r="242">
      <c r="A242" s="7" t="n">
        <v>114</v>
      </c>
      <c r="B242" s="7" t="inlineStr">
        <is>
          <t>Interoperability of EU information systems (borders and visa) Regulation</t>
        </is>
      </c>
      <c r="C242" s="7" t="inlineStr">
        <is>
          <t>evidence</t>
        </is>
      </c>
      <c r="D242" s="7" t="inlineStr">
        <is>
          <t>official</t>
        </is>
      </c>
      <c r="E242" s="7" t="inlineStr">
        <is>
          <t>initial review</t>
        </is>
      </c>
      <c r="F242" s="7" t="inlineStr">
        <is>
          <t>ec-2026-eulisa-eval</t>
        </is>
      </c>
      <c r="G242" s="7" t="inlineStr">
        <is>
          <t>European Commission (2026), Report on the evaluation of eu-LISA under Article 39 of Regulation (EU) 2018/1726, COM(2026) 32 (SWD(2026) 980)</t>
        </is>
      </c>
      <c r="H242" s="7" t="n">
        <v>2026</v>
      </c>
      <c r="I242" s="7" t="inlineStr">
        <is>
          <t>Commission evaluation</t>
        </is>
      </c>
      <c r="J242" s="7" t="inlineStr">
        <is>
          <t>agency evaluation</t>
        </is>
      </c>
      <c r="K242" s="7" t="inlineStr">
        <is>
          <t>delivery of large-scale IT systems</t>
        </is>
      </c>
      <c r="L242" s="7" t="inlineStr">
        <is>
          <t>mixed</t>
        </is>
      </c>
      <c r="M242" s="7" t="inlineStr">
        <is>
          <t>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is>
      </c>
      <c r="N242" s="7" t="inlineStr">
        <is>
          <t>The Commission's evaluation of the EU IT agency found it runs existing systems well but has struggled to deliver new ones on time, which has held up the interoperability project.</t>
        </is>
      </c>
      <c r="O242" s="7" t="inlineStr">
        <is>
          <t>EU, agency mandate period</t>
        </is>
      </c>
      <c r="P242" s="7" t="inlineStr">
        <is>
          <t>agency evaluation, not of the Regulation's effects</t>
        </is>
      </c>
      <c r="Q242" s="7" t="inlineStr"/>
      <c r="R242" s="7" t="inlineStr">
        <is>
          <t>open</t>
        </is>
      </c>
      <c r="S242" s="7" t="inlineStr">
        <is>
          <t>full text partly read</t>
        </is>
      </c>
      <c r="T242" s="7" t="inlineStr">
        <is>
          <t>2026-10-10</t>
        </is>
      </c>
      <c r="U242" s="7" t="inlineStr">
        <is>
          <t>https://eur-lex.europa.eu/legal-content/EN/TXT/?uri=CELEX:52026DC0032</t>
        </is>
      </c>
      <c r="V242" s="7" t="inlineStr"/>
      <c r="W242" s="7" t="inlineStr"/>
    </row>
    <row r="243">
      <c r="A243" s="7" t="n">
        <v>37</v>
      </c>
      <c r="B243" s="7" t="inlineStr">
        <is>
          <t>Cybersecurity Act</t>
        </is>
      </c>
      <c r="C243" s="7" t="inlineStr">
        <is>
          <t>ex-ante assessment</t>
        </is>
      </c>
      <c r="D243" s="7" t="inlineStr">
        <is>
          <t>official</t>
        </is>
      </c>
      <c r="E243" s="7" t="inlineStr">
        <is>
          <t>initial review</t>
        </is>
      </c>
      <c r="F243" s="7" t="inlineStr">
        <is>
          <t>ec-2017-csa-ia</t>
        </is>
      </c>
      <c r="G243" s="7" t="inlineStr">
        <is>
          <t>European Commission (2017), Impact Assessment accompanying the Cybersecurity Act proposal (executive summary SWD(2017) 501), SWD(2017) 500</t>
        </is>
      </c>
      <c r="H243" s="7" t="n">
        <v>2017</v>
      </c>
      <c r="I243" s="7" t="inlineStr">
        <is>
          <t>Commission impact assessment</t>
        </is>
      </c>
      <c r="J243" s="7" t="inlineStr">
        <is>
          <t>ex-ante (qualitative)</t>
        </is>
      </c>
      <c r="K243" s="7" t="inlineStr">
        <is>
          <t>cyber resilience; certification market fragmentation</t>
        </is>
      </c>
      <c r="L243" s="7" t="inlineStr">
        <is>
          <t>positive (forecast, qualitative)</t>
        </is>
      </c>
      <c r="M243" s="7" t="inlineStr">
        <is>
          <t>Preferred option: permanent, reinforced ENISA plus an EU ICT security certification framework enabling mutual recognition; moderate extra EU budget cost; benefits not quantified (context: cyber incidents cost about 0.41% of EU GDP)</t>
        </is>
      </c>
      <c r="N243" s="7" t="inlineStr">
        <is>
          <t>The Commission expected a stronger EU cyber agency and EU-wide certification to reduce fragmentation and raise trust, without quantifying the benefits.</t>
        </is>
      </c>
      <c r="O243" s="7" t="inlineStr">
        <is>
          <t>EU, forecast</t>
        </is>
      </c>
      <c r="P243" s="7" t="inlineStr">
        <is>
          <t>forecast; qualitative</t>
        </is>
      </c>
      <c r="Q243" s="7" t="inlineStr"/>
      <c r="R243" s="7" t="inlineStr">
        <is>
          <t>open</t>
        </is>
      </c>
      <c r="S243" s="7" t="inlineStr">
        <is>
          <t>full text read (executive summary)</t>
        </is>
      </c>
      <c r="T243" s="7" t="inlineStr">
        <is>
          <t>2026-10-10</t>
        </is>
      </c>
      <c r="U243" s="7" t="inlineStr">
        <is>
          <t>https://eur-lex.europa.eu/legal-content/EN/TXT/?uri=CELEX:52017SC0501</t>
        </is>
      </c>
      <c r="V243" s="7" t="inlineStr"/>
      <c r="W243" s="7" t="inlineStr">
        <is>
          <t>http://web.archive.org/web/20231112102655/https://eur-lex.europa.eu/legal-content/EN/TXT/?uri=CELEX:52017SC0501</t>
        </is>
      </c>
    </row>
    <row r="244">
      <c r="A244" s="7" t="n">
        <v>37</v>
      </c>
      <c r="B244" s="7" t="inlineStr">
        <is>
          <t>Cybersecurity Act</t>
        </is>
      </c>
      <c r="C244" s="7" t="inlineStr">
        <is>
          <t>evidence</t>
        </is>
      </c>
      <c r="D244" s="7" t="inlineStr">
        <is>
          <t>official</t>
        </is>
      </c>
      <c r="E244" s="7" t="inlineStr">
        <is>
          <t>initial review</t>
        </is>
      </c>
      <c r="F244" s="7" t="inlineStr">
        <is>
          <t>ec-2026-csa-evaluation</t>
        </is>
      </c>
      <c r="G244" s="7" t="inlineStr">
        <is>
          <t>European Commission (2026), Report on the evaluation of ENISA and the European Cybersecurity Certification Framework, COM(2026) 9 (SWD(2026) 2)</t>
        </is>
      </c>
      <c r="H244" s="7" t="n">
        <v>2026</v>
      </c>
      <c r="I244" s="7" t="inlineStr">
        <is>
          <t>Commission evaluation</t>
        </is>
      </c>
      <c r="J244" s="7" t="inlineStr">
        <is>
          <t>evaluation (interviews, surveys, document review; external study completed Dec 2024)</t>
        </is>
      </c>
      <c r="K244" s="7" t="inlineStr">
        <is>
          <t>ENISA effectiveness; certification</t>
        </is>
      </c>
      <c r="L244" s="7" t="inlineStr">
        <is>
          <t>mixed</t>
        </is>
      </c>
      <c r="M244" s="7" t="inlineStr">
        <is>
          <t>ENISA delivered nearly all planned outputs but lacked indicators and resources; the certification framework failed to reduce fragmentation: first scheme (EUCC) took 57 months and was adopted only in early 2024, cloud scheme stalled over data-sovereignty debates</t>
        </is>
      </c>
      <c r="N244" s="7" t="inlineStr">
        <is>
          <t>The Commission's evaluation found the EU cyber agency does useful work but is stretched, while the certification system has been slow and has not reduced fragmentation: only one scheme was adopted in five years.</t>
        </is>
      </c>
      <c r="O244" s="7" t="inlineStr">
        <is>
          <t>EU, 2017-2023</t>
        </is>
      </c>
      <c r="P244" s="7" t="inlineStr">
        <is>
          <t>self-evaluation; no outcome indicators</t>
        </is>
      </c>
      <c r="Q244" s="7" t="inlineStr"/>
      <c r="R244" s="7" t="inlineStr">
        <is>
          <t>open</t>
        </is>
      </c>
      <c r="S244" s="7" t="inlineStr">
        <is>
          <t>full text partly read</t>
        </is>
      </c>
      <c r="T244" s="7" t="inlineStr">
        <is>
          <t>2026-10-10</t>
        </is>
      </c>
      <c r="U244" s="7" t="inlineStr">
        <is>
          <t>https://eur-lex.europa.eu/legal-content/EN/TXT/?uri=CELEX:52026DC0009</t>
        </is>
      </c>
      <c r="V244" s="7" t="inlineStr"/>
      <c r="W244" s="7" t="inlineStr"/>
    </row>
    <row r="245">
      <c r="A245" s="7" t="n">
        <v>37</v>
      </c>
      <c r="B245" s="7" t="inlineStr">
        <is>
          <t>Cybersecurity Act</t>
        </is>
      </c>
      <c r="C245" s="7" t="inlineStr">
        <is>
          <t>ex-ante assessment</t>
        </is>
      </c>
      <c r="D245" s="7" t="inlineStr">
        <is>
          <t>official</t>
        </is>
      </c>
      <c r="E245" s="7" t="inlineStr">
        <is>
          <t>initial review</t>
        </is>
      </c>
      <c r="F245" s="7" t="inlineStr">
        <is>
          <t>ec-2026-csa2-ia</t>
        </is>
      </c>
      <c r="G245" s="7" t="inlineStr">
        <is>
          <t>European Commission (2026), Impact Assessment accompanying the proposal for a Cybersecurity Act 2 (executive summary SWD(2026) 12), SWD(2026) 11</t>
        </is>
      </c>
      <c r="H245" s="7" t="n">
        <v>2026</v>
      </c>
      <c r="I245" s="7" t="inlineStr">
        <is>
          <t>Commission impact assessment</t>
        </is>
      </c>
      <c r="J245" s="7" t="inlineStr">
        <is>
          <t>ex-ante</t>
        </is>
      </c>
      <c r="K245" s="7" t="inlineStr">
        <is>
          <t>costs; compliance burden; certification reform</t>
        </is>
      </c>
      <c r="L245" s="7" t="inlineStr">
        <is>
          <t>positive (forecast)</t>
        </is>
      </c>
      <c r="M245" s="7" t="inlineStr">
        <is>
          <t>Proposes repealing and replacing Regulation 2019/881: reformed certification framework with scheme maintenance; ENISA costs up to EUR 161.3m over five years; compliance savings for businesses of up to EUR 14.6bn</t>
        </is>
      </c>
      <c r="N245" s="7" t="inlineStr">
        <is>
          <t>Building on the evaluation, the Commission proposed in 2026 to replace the Cybersecurity Act and fix its certification process.</t>
        </is>
      </c>
      <c r="O245" s="7" t="inlineStr">
        <is>
          <t>EU, forecast</t>
        </is>
      </c>
      <c r="P245" s="7" t="inlineStr">
        <is>
          <t>forecast</t>
        </is>
      </c>
      <c r="Q245" s="7" t="inlineStr"/>
      <c r="R245" s="7" t="inlineStr">
        <is>
          <t>open</t>
        </is>
      </c>
      <c r="S245" s="7" t="inlineStr">
        <is>
          <t>full text read (executive summary, partly)</t>
        </is>
      </c>
      <c r="T245" s="7" t="inlineStr">
        <is>
          <t>2026-10-10</t>
        </is>
      </c>
      <c r="U245" s="7" t="inlineStr">
        <is>
          <t>https://eur-lex.europa.eu/legal-content/EN/TXT/?uri=CELEX:52026SC0012</t>
        </is>
      </c>
      <c r="V245" s="7" t="inlineStr"/>
      <c r="W245" s="7" t="inlineStr"/>
    </row>
    <row r="246">
      <c r="A246" s="7" t="n">
        <v>37</v>
      </c>
      <c r="B246" s="7" t="inlineStr">
        <is>
          <t>Cybersecurity Act</t>
        </is>
      </c>
      <c r="C246" s="7" t="inlineStr">
        <is>
          <t>evidence</t>
        </is>
      </c>
      <c r="D246" s="7" t="inlineStr">
        <is>
          <t>official</t>
        </is>
      </c>
      <c r="E246" s="7" t="inlineStr">
        <is>
          <t>2026-10 broadened search</t>
        </is>
      </c>
      <c r="F246" s="7" t="inlineStr">
        <is>
          <t>dgcnect-2026-enisa-eccf-supportstudy</t>
        </is>
      </c>
      <c r="G246" s="7" t="inlineStr">
        <is>
          <t>External contractor for DG CNECT, European Commission (consortium reported as Intellera Consulting, PPMI and PwC EU Services; not named in the report) (2026), Study to support the evaluation of the European Union Agency for Cybersecurity (ENISA) and the European Cybersecurity Certification Framework: Final Report (4 December 2024), Publications Office of the European Union; doi:10.2759/7122638</t>
        </is>
      </c>
      <c r="H246" s="7" t="n">
        <v>2026</v>
      </c>
      <c r="I246" s="7" t="inlineStr">
        <is>
          <t>Commission evaluation</t>
        </is>
      </c>
      <c r="J246" s="7" t="inlineStr">
        <is>
          <t>mixed-methods ex-post evaluation: document and monitoring data review, 65 interviews, stakeholder survey programme with 209 responses (70 on the certification framework), public consultation, two workshops</t>
        </is>
      </c>
      <c r="K246" s="7" t="inlineStr">
        <is>
          <t>effectiveness, efficiency, relevance, coherence, EU added value of ENISA and the certification framework</t>
        </is>
      </c>
      <c r="L246" s="7" t="inlineStr">
        <is>
          <t>mixed</t>
        </is>
      </c>
      <c r="M246" s="7" t="inlineStr">
        <is>
          <t>Based on 65 interviews and 209 survey responses, ENISA largely met stakeholder needs, but the certification framework made slow progress (only the EUCC scheme completed adoption by 2024; EUCS and EU5G still pending) and only partially met its objectives.</t>
        </is>
      </c>
      <c r="N246" s="7" t="inlineStr">
        <is>
          <t>The independent study behind the Commission's review found the EU cyber agency generally useful, but the EU-wide cybersecurity certification system set up by the Act has been slow, with only one certification scheme adopted after five years.</t>
        </is>
      </c>
      <c r="O246" s="7" t="inlineStr">
        <is>
          <t>2017-2023; EU</t>
        </is>
      </c>
      <c r="P246" s="7" t="inlineStr">
        <is>
          <t>Stakeholder-based qualitative evaluation without counterfactual; commissioned by the Commission; underpins the existing 2026 Commission evaluation report (distinct document with separate evidence base).</t>
        </is>
      </c>
      <c r="Q246" s="7" t="inlineStr">
        <is>
          <t>commissioned by the European Commission (self-evaluation support)</t>
        </is>
      </c>
      <c r="R246" s="7" t="inlineStr">
        <is>
          <t>open</t>
        </is>
      </c>
      <c r="S246" s="7" t="inlineStr">
        <is>
          <t>full text read</t>
        </is>
      </c>
      <c r="T246" s="7" t="inlineStr">
        <is>
          <t>2026-10-10</t>
        </is>
      </c>
      <c r="U246" s="7" t="inlineStr">
        <is>
          <t>https://data.europa.eu/doi/10.2759/7122638</t>
        </is>
      </c>
      <c r="V246" s="7" t="inlineStr"/>
      <c r="W246" s="7" t="inlineStr"/>
    </row>
    <row r="247">
      <c r="A247" s="7" t="n">
        <v>41</v>
      </c>
      <c r="B247" s="7" t="inlineStr">
        <is>
          <t>Market Surveillance Regulation</t>
        </is>
      </c>
      <c r="C247" s="7" t="inlineStr">
        <is>
          <t>ex-ante assessment</t>
        </is>
      </c>
      <c r="D247" s="7" t="inlineStr">
        <is>
          <t>official</t>
        </is>
      </c>
      <c r="E247" s="7" t="inlineStr">
        <is>
          <t>initial review</t>
        </is>
      </c>
      <c r="F247" s="7" t="inlineStr">
        <is>
          <t>ec-2017-msr-ia</t>
        </is>
      </c>
      <c r="G247" s="7" t="inlineStr">
        <is>
          <t>European Commission (2017), Impact Assessment accompanying the proposal on compliance with and enforcement of Union harmonisation legislation on products (executive summary SWD(2017) 467), SWD(2017) 466</t>
        </is>
      </c>
      <c r="H247" s="7" t="n">
        <v>2017</v>
      </c>
      <c r="I247" s="7" t="inlineStr">
        <is>
          <t>Commission impact assessment</t>
        </is>
      </c>
      <c r="J247" s="7" t="inlineStr">
        <is>
          <t>ex-ante (qualitative)</t>
        </is>
      </c>
      <c r="K247" s="7" t="inlineStr">
        <is>
          <t>product compliance; enforcement efficiency</t>
        </is>
      </c>
      <c r="L247" s="7" t="inlineStr">
        <is>
          <t>positive (forecast, qualitative)</t>
        </is>
      </c>
      <c r="M247" s="7" t="inlineStr">
        <is>
          <t>Products under EU harmonised rules worth over EUR 2,400bn a year (69% of manufactured output); expected fewer non-compliant products, more efficient import checks and a level playing field; EU Product Compliance Network costs about EUR 18m a year</t>
        </is>
      </c>
      <c r="N247" s="7" t="inlineStr">
        <is>
          <t>The Commission expected stronger, better coordinated market surveillance to reduce unsafe and non-compliant products, without quantifying the gain.</t>
        </is>
      </c>
      <c r="O247" s="7" t="inlineStr">
        <is>
          <t>EU, forecast</t>
        </is>
      </c>
      <c r="P247" s="7" t="inlineStr">
        <is>
          <t>forecast; benefits not quantified</t>
        </is>
      </c>
      <c r="Q247" s="7" t="inlineStr"/>
      <c r="R247" s="7" t="inlineStr">
        <is>
          <t>open</t>
        </is>
      </c>
      <c r="S247" s="7" t="inlineStr">
        <is>
          <t>full text read (executive summary)</t>
        </is>
      </c>
      <c r="T247" s="7" t="inlineStr">
        <is>
          <t>2026-10-10</t>
        </is>
      </c>
      <c r="U247" s="7" t="inlineStr">
        <is>
          <t>https://eur-lex.europa.eu/legal-content/EN/TXT/?uri=CELEX:52017SC0467</t>
        </is>
      </c>
      <c r="V247" s="7" t="inlineStr"/>
      <c r="W247" s="7" t="inlineStr">
        <is>
          <t>http://web.archive.org/web/20241119073230/https://eur-lex.europa.eu/legal-content/EN/TXT/?uri=celex%3A52017SC0467</t>
        </is>
      </c>
    </row>
    <row r="248">
      <c r="A248" s="7" t="n">
        <v>41</v>
      </c>
      <c r="B248" s="7" t="inlineStr">
        <is>
          <t>Market Surveillance Regulation</t>
        </is>
      </c>
      <c r="C248" s="7" t="inlineStr">
        <is>
          <t>evidence</t>
        </is>
      </c>
      <c r="D248" s="7" t="inlineStr">
        <is>
          <t>official</t>
        </is>
      </c>
      <c r="E248" s="7" t="inlineStr">
        <is>
          <t>initial review</t>
        </is>
      </c>
      <c r="F248" s="7" t="inlineStr">
        <is>
          <t>ec-2025-msr-art4-report</t>
        </is>
      </c>
      <c r="G248" s="7" t="inlineStr">
        <is>
          <t>European Commission (2025), Report on the implementation of Article 4 of Regulation (EU) 2019/1020, COM(2025) 63</t>
        </is>
      </c>
      <c r="H248" s="7" t="n">
        <v>2025</v>
      </c>
      <c r="I248" s="7" t="inlineStr">
        <is>
          <t>Commission implementation report</t>
        </is>
      </c>
      <c r="J248" s="7" t="inlineStr">
        <is>
          <t>review (survey of 108 market surveillance authorities, joint actions, evaluation study)</t>
        </is>
      </c>
      <c r="K248" s="7" t="inlineStr">
        <is>
          <t>compliance; cooperation with operators</t>
        </is>
      </c>
      <c r="L248" s="7" t="inlineStr">
        <is>
          <t>limited effect</t>
        </is>
      </c>
      <c r="M248" s="7" t="inlineStr">
        <is>
          <t>85% of authorities checked Article 4; operator absent in 7% and incorrect in 5% of checks; only 34% of indicated operators confirmed in a 2023 online joint action; non-compliance about 10% of checks with no clear change; half of authorities saw no change; not a full evaluation</t>
        </is>
      </c>
      <c r="N248" s="7" t="inlineStr">
        <is>
          <t>A Commission review found the rule requiring an EU-based contact for products has had no clear effect on compliance yet, and online sellers often give wrong details.</t>
        </is>
      </c>
      <c r="O248" s="7" t="inlineStr">
        <is>
          <t>EU, 2021-2023</t>
        </is>
      </c>
      <c r="P248" s="7" t="inlineStr">
        <is>
          <t>partial report; survey-based; low business response</t>
        </is>
      </c>
      <c r="Q248" s="7" t="inlineStr"/>
      <c r="R248" s="7" t="inlineStr">
        <is>
          <t>open</t>
        </is>
      </c>
      <c r="S248" s="7" t="inlineStr">
        <is>
          <t>full text partly read</t>
        </is>
      </c>
      <c r="T248" s="7" t="inlineStr">
        <is>
          <t>2026-10-10</t>
        </is>
      </c>
      <c r="U248" s="7" t="inlineStr">
        <is>
          <t>https://eur-lex.europa.eu/legal-content/EN/TXT/?uri=CELEX:52025DC0063</t>
        </is>
      </c>
      <c r="V248" s="7" t="inlineStr"/>
      <c r="W248" s="7" t="inlineStr">
        <is>
          <t>http://web.archive.org/web/20251119145820/https://eur-lex.europa.eu/legal-content/EN/TXT/?uri=CELEX%3A52025DC0063</t>
        </is>
      </c>
    </row>
    <row r="249">
      <c r="A249" s="7" t="n">
        <v>41</v>
      </c>
      <c r="B249" s="7" t="inlineStr">
        <is>
          <t>Market Surveillance Regulation</t>
        </is>
      </c>
      <c r="C249" s="7" t="inlineStr">
        <is>
          <t>evidence</t>
        </is>
      </c>
      <c r="D249" s="7" t="inlineStr">
        <is>
          <t>official</t>
        </is>
      </c>
      <c r="E249" s="7" t="inlineStr">
        <is>
          <t>initial review</t>
        </is>
      </c>
      <c r="F249" s="7" t="inlineStr">
        <is>
          <t>ec-2025-ecommerce-toolbox</t>
        </is>
      </c>
      <c r="G249" s="7" t="inlineStr">
        <is>
          <t>European Commission (2025), A comprehensive EU toolbox for safe and sustainable e-commerce, COM(2025) 37</t>
        </is>
      </c>
      <c r="H249" s="7" t="n">
        <v>2025</v>
      </c>
      <c r="I249" s="7" t="inlineStr">
        <is>
          <t>Commission communication</t>
        </is>
      </c>
      <c r="J249" s="7" t="inlineStr">
        <is>
          <t>policy document with customs statistics</t>
        </is>
      </c>
      <c r="K249" s="7" t="inlineStr">
        <is>
          <t>imports; product safety</t>
        </is>
      </c>
      <c r="L249" s="7" t="inlineStr">
        <is>
          <t>n/a</t>
        </is>
      </c>
      <c r="M249" s="7" t="inlineStr">
        <is>
          <t>4.6bn low-value consignments imported in 2024, nearly double 2023 (2.4bn) and more than triple 2022 (1.4bn); surge of non-compliant products strains authorities; calls for stronger enforcement</t>
        </is>
      </c>
      <c r="N249" s="7" t="inlineStr">
        <is>
          <t>The Commission says direct imports of cheap parcels tripled in two years to 4.6 billion in 2024, overwhelming product checks.</t>
        </is>
      </c>
      <c r="O249" s="7" t="inlineStr">
        <is>
          <t>EU, 2022-2024</t>
        </is>
      </c>
      <c r="P249" s="7" t="inlineStr">
        <is>
          <t>context, not an evaluation of the Regulation</t>
        </is>
      </c>
      <c r="Q249" s="7" t="inlineStr"/>
      <c r="R249" s="7" t="inlineStr">
        <is>
          <t>open</t>
        </is>
      </c>
      <c r="S249" s="7" t="inlineStr">
        <is>
          <t>full text partly read</t>
        </is>
      </c>
      <c r="T249" s="7" t="inlineStr">
        <is>
          <t>2026-10-10</t>
        </is>
      </c>
      <c r="U249" s="7" t="inlineStr">
        <is>
          <t>https://eur-lex.europa.eu/legal-content/EN/TXT/?uri=CELEX:52025DC0037</t>
        </is>
      </c>
      <c r="V249" s="7" t="inlineStr"/>
      <c r="W249" s="7" t="inlineStr">
        <is>
          <t>http://web.archive.org/web/20261001140548/https://eur-lex.europa.eu/legal-content/EN/TXT/?uri=CELEX%3A52025DC0037</t>
        </is>
      </c>
    </row>
    <row r="250">
      <c r="A250" s="7" t="n">
        <v>41</v>
      </c>
      <c r="B250" s="7" t="inlineStr">
        <is>
          <t>Market Surveillance Regulation</t>
        </is>
      </c>
      <c r="C250" s="7" t="inlineStr">
        <is>
          <t>evidence</t>
        </is>
      </c>
      <c r="D250" s="7" t="inlineStr">
        <is>
          <t>official</t>
        </is>
      </c>
      <c r="E250" s="7" t="inlineStr">
        <is>
          <t>2026-10 broadened search</t>
        </is>
      </c>
      <c r="F250" s="7" t="inlineStr">
        <is>
          <t>ec-2026-customs-pca-product-compliance</t>
        </is>
      </c>
      <c r="G250" s="7" t="inlineStr">
        <is>
          <t>European Commission (DG TAXUD) (2026), Large scale EU customs control action shows most third-country e-commerce goods do not follow standards (results of priority control area action and product compliance controls report 2022-2024), European Commission, Taxation and Customs Union news, 7 January 2026</t>
        </is>
      </c>
      <c r="H250" s="7" t="n">
        <v>2026</v>
      </c>
      <c r="I250" s="7" t="inlineStr">
        <is>
          <t>agency report</t>
        </is>
      </c>
      <c r="J250" s="7" t="inlineStr">
        <is>
          <t>EU-wide customs priority control action (20,000 toys and small electronics checked, sample lab-tested) plus Member State statistics on customs product-compliance controls under Art. 25 of Regulation 2019/1020, 2022-2024</t>
        </is>
      </c>
      <c r="K250" s="7" t="inlineStr">
        <is>
          <t>non-compliance of imported e-commerce goods; customs interventions and refusals</t>
        </is>
      </c>
      <c r="L250" s="7" t="inlineStr">
        <is>
          <t>descriptive</t>
        </is>
      </c>
      <c r="M250" s="7" t="inlineStr">
        <is>
          <t>More than half of 20,000 checked e-commerce toys and small electronics did not meet EU standards and 84% of lab-tested items were dangerous, while customs refused on average only 13 items per million released in 2024 as controls lag e-commerce growth.</t>
        </is>
      </c>
      <c r="N250" s="7" t="inlineStr">
        <is>
          <t>Border checks show most cheap products shipped directly to EU shoppers break EU safety rules, but customs can only stop a tiny fraction of the billions of parcels arriving.</t>
        </is>
      </c>
      <c r="O250" s="7" t="inlineStr">
        <is>
          <t>EU27, 2022-2025</t>
        </is>
      </c>
      <c r="P250" s="7" t="inlineStr">
        <is>
          <t>Official monitoring data; targeted (risk-based) sample so non-compliance not representative; underlying report not opened, read via Commission news page</t>
        </is>
      </c>
      <c r="Q250" s="7" t="inlineStr">
        <is>
          <t>Commission reporting on its own framework</t>
        </is>
      </c>
      <c r="R250" s="7" t="inlineStr">
        <is>
          <t>open</t>
        </is>
      </c>
      <c r="S250" s="7" t="inlineStr">
        <is>
          <t>summary only</t>
        </is>
      </c>
      <c r="T250" s="7" t="inlineStr">
        <is>
          <t>2026-10-10</t>
        </is>
      </c>
      <c r="U250" s="7" t="inlineStr">
        <is>
          <t>https://taxation-customs.ec.europa.eu/news/large-scale-eu-customs-control-action-shows-most-third-country-e-commerce-goods-do-not-follow-2026-01-07_en</t>
        </is>
      </c>
      <c r="V250" s="7" t="inlineStr"/>
      <c r="W250" s="7" t="inlineStr"/>
    </row>
    <row r="251">
      <c r="A251" s="7" t="n">
        <v>41</v>
      </c>
      <c r="B251" s="7" t="inlineStr">
        <is>
          <t>Market Surveillance Regulation</t>
        </is>
      </c>
      <c r="C251" s="7" t="inlineStr">
        <is>
          <t>evidence</t>
        </is>
      </c>
      <c r="D251" s="7" t="inlineStr">
        <is>
          <t>official</t>
        </is>
      </c>
      <c r="E251" s="7" t="inlineStr">
        <is>
          <t>2026-10 broadened search</t>
        </is>
      </c>
      <c r="F251" s="7" t="inlineStr">
        <is>
          <t>eesc-2026-msr-evaluation</t>
        </is>
      </c>
      <c r="G251" s="7" t="inlineStr">
        <is>
          <t>European Economic and Social Committee (rapporteur Antje Gerstein, co-rapporteur Anastasis Yiapanis) (2026), Evaluation of Regulation (EU) 2019/1020 on market surveillance and compliance of products (information report INT/1106), EESC information report, adopted 29 April 2026</t>
        </is>
      </c>
      <c r="H251" s="7" t="n">
        <v>2026</v>
      </c>
      <c r="I251" s="7" t="inlineStr">
        <is>
          <t>official evaluation (EESC information report)</t>
        </is>
      </c>
      <c r="J251" s="7" t="inlineStr">
        <is>
          <t>fact-finding visits with semi-structured interviews in France, Germany, Greece and Malta plus questionnaire of 23 organisations (Jan-Feb 2026)</t>
        </is>
      </c>
      <c r="K251" s="7" t="inlineStr">
        <is>
          <t>relevance and effectiveness of the MSR; authorised representatives; resources; online sales</t>
        </is>
      </c>
      <c r="L251" s="7" t="inlineStr">
        <is>
          <t>mixed</t>
        </is>
      </c>
      <c r="M251" s="7" t="inlineStr">
        <is>
          <t>Stakeholders rate the MSR highly relevant but only partially effective, citing weak verification of authorised representatives, understaffed authorities and online non-compliance (e.g. a French authority reported over 60% of toys sold online unsafe versus 10-15% offline).</t>
        </is>
      </c>
      <c r="N251" s="7" t="inlineStr">
        <is>
          <t>An EU advisory body asked authorities and stakeholders in four countries how the market surveillance rules work and heard that they are sound in principle but under-resourced and weak against online sellers from outside the EU.</t>
        </is>
      </c>
      <c r="O251" s="7" t="inlineStr">
        <is>
          <t>FR, DE, GR, MT; July 2021 - early 2026</t>
        </is>
      </c>
      <c r="P251" s="7" t="inlineStr">
        <is>
          <t>Small qualitative sample (23 questionnaire responses, 4 country visits); perception-based.</t>
        </is>
      </c>
      <c r="Q251" s="7" t="inlineStr"/>
      <c r="R251" s="7" t="inlineStr">
        <is>
          <t>open</t>
        </is>
      </c>
      <c r="S251" s="7" t="inlineStr">
        <is>
          <t>full text read</t>
        </is>
      </c>
      <c r="T251" s="7" t="inlineStr">
        <is>
          <t>2026-10-10</t>
        </is>
      </c>
      <c r="U251" s="7" t="inlineStr">
        <is>
          <t>https://www.eesc.europa.eu/en/our-work/opinions-information-reports/information-reports/evaluation-regulation-eu-20191020-market-surveillance-and-compliance-products</t>
        </is>
      </c>
      <c r="V251" s="7" t="inlineStr">
        <is>
          <t>https://dm-publicapi.eesc.europa.eu/v1/documents/EESC-2025-03345-00-00-RE-TRA-en.docx/content</t>
        </is>
      </c>
      <c r="W251" s="7" t="inlineStr"/>
    </row>
    <row r="252">
      <c r="A252" s="7" t="n">
        <v>41</v>
      </c>
      <c r="B252" s="7" t="inlineStr">
        <is>
          <t>Market Surveillance Regulation</t>
        </is>
      </c>
      <c r="C252" s="7" t="inlineStr">
        <is>
          <t>evidence</t>
        </is>
      </c>
      <c r="D252" s="7" t="inlineStr">
        <is>
          <t>think tank</t>
        </is>
      </c>
      <c r="E252" s="7" t="inlineStr">
        <is>
          <t>2026-10 broadened search</t>
        </is>
      </c>
      <c r="F252" s="7" t="inlineStr">
        <is>
          <t>euroconsumers-2025-temu-shein-tests</t>
        </is>
      </c>
      <c r="G252" s="7" t="inlineStr">
        <is>
          <t>Euroconsumers / Test Achats-Test Aankoop (with German and Danish partners) (2025), Systemic failures in product compliance on TEMU and Shein, Euroconsumers, 3 November 2025</t>
        </is>
      </c>
      <c r="H252" s="7" t="n">
        <v>2025</v>
      </c>
      <c r="I252" s="7" t="inlineStr">
        <is>
          <t>think tank report</t>
        </is>
      </c>
      <c r="J252" s="7" t="inlineStr">
        <is>
          <t>mystery shopping and accredited laboratory testing of 162 products (81 per platform) across children's products, USB chargers and jewellery</t>
        </is>
      </c>
      <c r="K252" s="7" t="inlineStr">
        <is>
          <t>product compliance and safety of goods sold on online marketplaces</t>
        </is>
      </c>
      <c r="L252" s="7" t="inlineStr">
        <is>
          <t>negative</t>
        </is>
      </c>
      <c r="M252" s="7" t="inlineStr">
        <is>
          <t>26 of 27 children's products from Temu and all 27 from Shein were non-compliant, and only 1 of 27 Temu chargers fully complied; overall almost two thirds of Temu and 73% of Shein products failed at least one requirement.</t>
        </is>
      </c>
      <c r="N252" s="7" t="inlineStr">
        <is>
          <t>Consumer testers bought products on Temu and Shein and found most toys and chargers broke EU safety or labelling rules.</t>
        </is>
      </c>
      <c r="O252" s="7" t="inlineStr">
        <is>
          <t>Belgium/EU, purchases March 2025</t>
        </is>
      </c>
      <c r="P252" s="7" t="inlineStr">
        <is>
          <t>Small, category-targeted sample; measures market outcome the MSR (and GPSR/DSA) target, not the MSR's causal effect.</t>
        </is>
      </c>
      <c r="Q252" s="7" t="inlineStr">
        <is>
          <t>Consumer organisations campaigning on marketplace enforcement</t>
        </is>
      </c>
      <c r="R252" s="7" t="inlineStr">
        <is>
          <t>open</t>
        </is>
      </c>
      <c r="S252" s="7" t="inlineStr">
        <is>
          <t>full text read</t>
        </is>
      </c>
      <c r="T252" s="7" t="inlineStr">
        <is>
          <t>2026-10-10</t>
        </is>
      </c>
      <c r="U252" s="7" t="inlineStr">
        <is>
          <t>https://euroconsumers.org/systemic-failures-in-product-compliance-on-temu-and-shein</t>
        </is>
      </c>
      <c r="V252" s="7" t="inlineStr"/>
      <c r="W252" s="7" t="inlineStr"/>
    </row>
    <row r="253">
      <c r="A253" s="7" t="n">
        <v>44</v>
      </c>
      <c r="B253" s="7" t="inlineStr">
        <is>
          <t>Platform-to-Business (P2B) Regulation</t>
        </is>
      </c>
      <c r="C253" s="7" t="inlineStr">
        <is>
          <t>ex-ante assessment</t>
        </is>
      </c>
      <c r="D253" s="7" t="inlineStr">
        <is>
          <t>official</t>
        </is>
      </c>
      <c r="E253" s="7" t="inlineStr">
        <is>
          <t>initial review</t>
        </is>
      </c>
      <c r="F253" s="7" t="inlineStr">
        <is>
          <t>ec-2018-p2b-ia</t>
        </is>
      </c>
      <c r="G253" s="7" t="inlineStr">
        <is>
          <t>European Commission (2018), Impact assessment accompanying the proposal on fairness and transparency for business users of online intermediation services (executive summary SWD(2018) 139), SWD(2018) 138</t>
        </is>
      </c>
      <c r="H253" s="7" t="n">
        <v>2018</v>
      </c>
      <c r="I253" s="7" t="inlineStr">
        <is>
          <t>Commission impact assessment</t>
        </is>
      </c>
      <c r="J253" s="7" t="inlineStr">
        <is>
          <t>ex-ante</t>
        </is>
      </c>
      <c r="K253" s="7" t="inlineStr">
        <is>
          <t>platform economy turnover; compliance costs</t>
        </is>
      </c>
      <c r="L253" s="7" t="inlineStr">
        <is>
          <t>positive (forecast)</t>
        </is>
      </c>
      <c r="M253" s="7" t="inlineStr">
        <is>
          <t>Preferred option would reverse a trust-related dampening effect on the platform economy worth EUR 0.81-4.05bn; costs up to about 1 FTE for small platforms and about 0.03% of turnover for large ones; no costs for merchants</t>
        </is>
      </c>
      <c r="N253" s="7" t="inlineStr">
        <is>
          <t>The Commission expected fairer, more transparent platform terms to unlock EUR 0.8-4 billion of extra online trade at small cost to platforms.</t>
        </is>
      </c>
      <c r="O253" s="7" t="inlineStr">
        <is>
          <t>EU, forecast</t>
        </is>
      </c>
      <c r="P253" s="7" t="inlineStr">
        <is>
          <t>forecast</t>
        </is>
      </c>
      <c r="Q253" s="7" t="inlineStr"/>
      <c r="R253" s="7" t="inlineStr">
        <is>
          <t>open</t>
        </is>
      </c>
      <c r="S253" s="7" t="inlineStr">
        <is>
          <t>full text read (executive summary)</t>
        </is>
      </c>
      <c r="T253" s="7" t="inlineStr">
        <is>
          <t>2026-10-10</t>
        </is>
      </c>
      <c r="U253" s="7" t="inlineStr">
        <is>
          <t>https://eur-lex.europa.eu/legal-content/EN/TXT/?uri=CELEX:52018SC0139</t>
        </is>
      </c>
      <c r="V253" s="7" t="inlineStr"/>
      <c r="W253" s="7" t="inlineStr">
        <is>
          <t>http://web.archive.org/web/20240516075522/https://eur-lex.europa.eu/legal-content/EN/TXT/?uri=celex%3A52018SC0139</t>
        </is>
      </c>
    </row>
    <row r="254">
      <c r="A254" s="7" t="n">
        <v>44</v>
      </c>
      <c r="B254" s="7" t="inlineStr">
        <is>
          <t>Platform-to-Business (P2B) Regulation</t>
        </is>
      </c>
      <c r="C254" s="7" t="inlineStr">
        <is>
          <t>evidence</t>
        </is>
      </c>
      <c r="D254" s="7" t="inlineStr">
        <is>
          <t>official</t>
        </is>
      </c>
      <c r="E254" s="7" t="inlineStr">
        <is>
          <t>initial review</t>
        </is>
      </c>
      <c r="F254" s="7" t="inlineStr">
        <is>
          <t>ec-2023-p2b-review</t>
        </is>
      </c>
      <c r="G254" s="7" t="inlineStr">
        <is>
          <t>European Commission (2023), First preliminary review on the implementation of Regulation (EU) 2019/1150 (with SWD(2023) 300), COM(2023) 525</t>
        </is>
      </c>
      <c r="H254" s="7" t="n">
        <v>2023</v>
      </c>
      <c r="I254" s="7" t="inlineStr">
        <is>
          <t>Commission evaluation</t>
        </is>
      </c>
      <c r="J254" s="7" t="inlineStr">
        <is>
          <t>review (support study: 308 interviews, survey of business users in 8 Member States, review of terms of 300 platforms, focus groups)</t>
        </is>
      </c>
      <c r="K254" s="7" t="inlineStr">
        <is>
          <t>compliance; awareness; complaint handling</t>
        </is>
      </c>
      <c r="L254" s="7" t="inlineStr">
        <is>
          <t>positive but limited</t>
        </is>
      </c>
      <c r="M254" s="7" t="inlineStr">
        <is>
          <t>Initial positive effects but full potential not reached; widespread non-compliance and low awareness; only about a third of platforms disclose ranking parameters; 19 of 179 publish complaint reports; 25 of 179 list two mediators</t>
        </is>
      </c>
      <c r="N254" s="7" t="inlineStr">
        <is>
          <t>Three years in, the Commission found that most platforms were not fully complying and most businesses did not know their rights.</t>
        </is>
      </c>
      <c r="O254" s="7" t="inlineStr">
        <is>
          <t>EU, 2020-2022</t>
        </is>
      </c>
      <c r="P254" s="7" t="inlineStr">
        <is>
          <t>self-evaluation; descriptive</t>
        </is>
      </c>
      <c r="Q254" s="7" t="inlineStr"/>
      <c r="R254" s="7" t="inlineStr">
        <is>
          <t>open</t>
        </is>
      </c>
      <c r="S254" s="7" t="inlineStr">
        <is>
          <t>full text read</t>
        </is>
      </c>
      <c r="T254" s="7" t="inlineStr">
        <is>
          <t>2026-10-10</t>
        </is>
      </c>
      <c r="U254" s="7" t="inlineStr">
        <is>
          <t>https://eur-lex.europa.eu/legal-content/EN/TXT/?uri=CELEX:52023DC0525</t>
        </is>
      </c>
      <c r="V254" s="7" t="inlineStr"/>
      <c r="W254" s="7" t="inlineStr"/>
    </row>
    <row r="255">
      <c r="A255" s="7" t="n">
        <v>44</v>
      </c>
      <c r="B255" s="7" t="inlineStr">
        <is>
          <t>Platform-to-Business (P2B) Regulation</t>
        </is>
      </c>
      <c r="C255" s="7" t="inlineStr">
        <is>
          <t>evidence</t>
        </is>
      </c>
      <c r="D255" s="7" t="inlineStr">
        <is>
          <t>academic</t>
        </is>
      </c>
      <c r="E255" s="7" t="inlineStr">
        <is>
          <t>initial review</t>
        </is>
      </c>
      <c r="F255" s="7" t="inlineStr">
        <is>
          <t>sovrano-lognoul-bacchelli-2024</t>
        </is>
      </c>
      <c r="G255" s="7" t="inlineStr">
        <is>
          <t>Sovrano, Lognoul &amp; Bacchelli (2024), An Empirical Study on Compliance with Ranking Transparency in the Software Documentation of EU Online Platforms, ICSE-SEIS 2024 (arXiv 2312.14794)</t>
        </is>
      </c>
      <c r="H255" s="7" t="n">
        <v>2024</v>
      </c>
      <c r="I255" s="7" t="inlineStr">
        <is>
          <t>peer-reviewed (conference)</t>
        </is>
      </c>
      <c r="J255" s="7" t="inlineStr">
        <is>
          <t>descriptive compliance audit (six platforms) plus automated assessment tools</t>
        </is>
      </c>
      <c r="K255" s="7" t="inlineStr">
        <is>
          <t>ranking transparency compliance</t>
        </is>
      </c>
      <c r="L255" s="7" t="inlineStr">
        <is>
          <t>mixed</t>
        </is>
      </c>
      <c r="M255" s="7" t="inlineStr">
        <is>
          <t>Substantial differences in how Amazon, Bing, Booking, Google, Tripadvisor and Yahoo document ranking under P2B Article 5; compliance remains a challenge</t>
        </is>
      </c>
      <c r="N255" s="7" t="inlineStr">
        <is>
          <t>An audit of six major platforms found very uneven explanations of how they rank sellers and results, as the Regulation requires.</t>
        </is>
      </c>
      <c r="O255" s="7" t="inlineStr">
        <is>
          <t>EU, 2023</t>
        </is>
      </c>
      <c r="P255" s="7" t="inlineStr">
        <is>
          <t>small sample; descriptive</t>
        </is>
      </c>
      <c r="Q255" s="7" t="inlineStr"/>
      <c r="R255" s="7" t="inlineStr">
        <is>
          <t>open</t>
        </is>
      </c>
      <c r="S255" s="7" t="inlineStr">
        <is>
          <t>abstract read</t>
        </is>
      </c>
      <c r="T255" s="7" t="inlineStr">
        <is>
          <t>2026-10-10</t>
        </is>
      </c>
      <c r="U255" s="7" t="inlineStr">
        <is>
          <t>https://arxiv.org/abs/2312.14794</t>
        </is>
      </c>
      <c r="V255" s="7" t="inlineStr">
        <is>
          <t>https://arxiv.org/pdf/2312.14794</t>
        </is>
      </c>
      <c r="W255" s="7" t="inlineStr"/>
    </row>
    <row r="256">
      <c r="A256" s="7" t="n">
        <v>44</v>
      </c>
      <c r="B256" s="7" t="inlineStr">
        <is>
          <t>Platform-to-Business (P2B) Regulation</t>
        </is>
      </c>
      <c r="C256" s="7" t="inlineStr">
        <is>
          <t>evidence</t>
        </is>
      </c>
      <c r="D256" s="7" t="inlineStr">
        <is>
          <t>official</t>
        </is>
      </c>
      <c r="E256" s="7" t="inlineStr">
        <is>
          <t>initial review</t>
        </is>
      </c>
      <c r="F256" s="7" t="inlineStr">
        <is>
          <t>ccpc-2023-p2b-survey</t>
        </is>
      </c>
      <c r="G256" s="7" t="inlineStr">
        <is>
          <t>Competition and Consumer Protection Commission (Ireland) / Ipsos (2023), Platform to Business research: survey of businesses using online platforms (Q4 2022), CCPC</t>
        </is>
      </c>
      <c r="H256" s="7" t="n">
        <v>2023</v>
      </c>
      <c r="I256" s="7" t="inlineStr">
        <is>
          <t>national regulator</t>
        </is>
      </c>
      <c r="J256" s="7" t="inlineStr">
        <is>
          <t>survey (n=177, not fully representative)</t>
        </is>
      </c>
      <c r="K256" s="7" t="inlineStr">
        <is>
          <t>awareness</t>
        </is>
      </c>
      <c r="L256" s="7" t="inlineStr">
        <is>
          <t>negative (low awareness)</t>
        </is>
      </c>
      <c r="M256" s="7" t="inlineStr">
        <is>
          <t>51% of businesses had no knowledge of the P2B Regulation, 21% knew only its name, 24% its main provisions, 4% detailed knowledge</t>
        </is>
      </c>
      <c r="N256" s="7" t="inlineStr">
        <is>
          <t>Half of Irish businesses selling through platforms had never heard of the rules meant to protect them.</t>
        </is>
      </c>
      <c r="O256" s="7" t="inlineStr">
        <is>
          <t>Ireland, autumn 2022</t>
        </is>
      </c>
      <c r="P256" s="7" t="inlineStr">
        <is>
          <t>small, indicative sample</t>
        </is>
      </c>
      <c r="Q256" s="7" t="inlineStr"/>
      <c r="R256" s="7" t="inlineStr">
        <is>
          <t>open</t>
        </is>
      </c>
      <c r="S256" s="7" t="inlineStr">
        <is>
          <t>full text partly read</t>
        </is>
      </c>
      <c r="T256" s="7" t="inlineStr">
        <is>
          <t>2026-10-10</t>
        </is>
      </c>
      <c r="U256" s="7" t="inlineStr">
        <is>
          <t>https://www.ccpc.ie/business/wp-content/uploads/sites/3/2023/01/P2B-Survey-Q4-2022.pdf</t>
        </is>
      </c>
      <c r="V256" s="7" t="inlineStr"/>
      <c r="W256" s="7" t="inlineStr">
        <is>
          <t>http://web.archive.org/web/20260412053132/https://www.ccpc.ie/business/wp-content/uploads/sites/3/2023/01/P2B-Survey-Q4-2022.pdf</t>
        </is>
      </c>
    </row>
    <row r="257">
      <c r="A257" s="7" t="n">
        <v>44</v>
      </c>
      <c r="B257" s="7" t="inlineStr">
        <is>
          <t>Platform-to-Business (P2B) Regulation</t>
        </is>
      </c>
      <c r="C257" s="7" t="inlineStr">
        <is>
          <t>enforcement or case law</t>
        </is>
      </c>
      <c r="D257" s="7" t="inlineStr">
        <is>
          <t>official</t>
        </is>
      </c>
      <c r="E257" s="7" t="inlineStr">
        <is>
          <t>initial review</t>
        </is>
      </c>
      <c r="F257" s="7" t="inlineStr">
        <is>
          <t>ccpc-2026-p2b-sweep</t>
        </is>
      </c>
      <c r="G257" s="7" t="inlineStr">
        <is>
          <t>Competition and Consumer Protection Commission (Ireland) (2026), CCPC conducts sweep of online platforms to identify potential breaches of the Platform to Business Regulation, CCPC press release, 1 May 2026</t>
        </is>
      </c>
      <c r="H257" s="7" t="n">
        <v>2026</v>
      </c>
      <c r="I257" s="7" t="inlineStr">
        <is>
          <t>national regulator (enforcement)</t>
        </is>
      </c>
      <c r="J257" s="7" t="inlineStr">
        <is>
          <t>enforcement sweep (17 platforms, late 2025)</t>
        </is>
      </c>
      <c r="K257" s="7" t="inlineStr">
        <is>
          <t>compliance</t>
        </is>
      </c>
      <c r="L257" s="7" t="inlineStr">
        <is>
          <t>negative (non-compliance)</t>
        </is>
      </c>
      <c r="M257" s="7" t="inlineStr">
        <is>
          <t>About 80% of platforms swept had some element of non-compliance (complaint handling, mediation, terms); followed a notable rise in complaints in 2025</t>
        </is>
      </c>
      <c r="N257" s="7" t="inlineStr">
        <is>
          <t>Six years after the rules took effect, Ireland's regulator found about four in five platforms checked still breached them in some way.</t>
        </is>
      </c>
      <c r="O257" s="7" t="inlineStr">
        <is>
          <t>Ireland, late 2025</t>
        </is>
      </c>
      <c r="P257" s="7" t="inlineStr">
        <is>
          <t>screening, not legal findings</t>
        </is>
      </c>
      <c r="Q257" s="7" t="inlineStr"/>
      <c r="R257" s="7" t="inlineStr">
        <is>
          <t>open</t>
        </is>
      </c>
      <c r="S257" s="7" t="inlineStr">
        <is>
          <t>full text read</t>
        </is>
      </c>
      <c r="T257" s="7" t="inlineStr">
        <is>
          <t>2026-10-10</t>
        </is>
      </c>
      <c r="U257" s="7" t="inlineStr">
        <is>
          <t>https://www.ccpc.ie/business/ccpc-conducts-sweep-of-online-platforms-to-identify-potential-breaches-of-the-platform-to-business-regulation/</t>
        </is>
      </c>
      <c r="V257" s="7" t="inlineStr"/>
      <c r="W257" s="7" t="inlineStr"/>
    </row>
    <row r="258">
      <c r="A258" s="7" t="n">
        <v>44</v>
      </c>
      <c r="B258" s="7" t="inlineStr">
        <is>
          <t>Platform-to-Business (P2B) Regulation</t>
        </is>
      </c>
      <c r="C258" s="7" t="inlineStr">
        <is>
          <t>evidence</t>
        </is>
      </c>
      <c r="D258" s="7" t="inlineStr">
        <is>
          <t>official</t>
        </is>
      </c>
      <c r="E258" s="7" t="inlineStr">
        <is>
          <t>initial review</t>
        </is>
      </c>
      <c r="F258" s="7" t="inlineStr">
        <is>
          <t>ec-2025-digital-omnibus-p2b</t>
        </is>
      </c>
      <c r="G258" s="7" t="inlineStr">
        <is>
          <t>European Commission (2025), Proposal for a Digital Omnibus Regulation (repealing, among others, Regulation (EU) 2019/1150), COM(2025) 837</t>
        </is>
      </c>
      <c r="H258" s="7" t="n">
        <v>2025</v>
      </c>
      <c r="I258" s="7" t="inlineStr">
        <is>
          <t>Commission legislative proposal</t>
        </is>
      </c>
      <c r="J258" s="7" t="inlineStr">
        <is>
          <t>policy assessment (internal analysis, consultation)</t>
        </is>
      </c>
      <c r="K258" s="7" t="inlineStr">
        <is>
          <t>regulatory overlap; burden</t>
        </is>
      </c>
      <c r="L258" s="7" t="inlineStr">
        <is>
          <t>n/a</t>
        </is>
      </c>
      <c r="M258" s="7" t="inlineStr">
        <is>
          <t>Proposes repeal of the P2B Regulation: DSA and DMA have largely overtaken it, it has 'only residual value'; cites 2023 review finding low awareness, insufficient compliance and very limited complaints</t>
        </is>
      </c>
      <c r="N258" s="7" t="inlineStr">
        <is>
          <t>In November 2025 the Commission proposed scrapping the P2B Regulation, saying newer platform laws had overtaken it.</t>
        </is>
      </c>
      <c r="O258" s="7" t="inlineStr">
        <is>
          <t>EU</t>
        </is>
      </c>
      <c r="P258" s="7" t="inlineStr">
        <is>
          <t>proposal; not an evaluation</t>
        </is>
      </c>
      <c r="Q258" s="7" t="inlineStr"/>
      <c r="R258" s="7" t="inlineStr">
        <is>
          <t>open</t>
        </is>
      </c>
      <c r="S258" s="7" t="inlineStr">
        <is>
          <t>full text partly read</t>
        </is>
      </c>
      <c r="T258" s="7" t="inlineStr">
        <is>
          <t>2026-10-10</t>
        </is>
      </c>
      <c r="U258" s="7" t="inlineStr">
        <is>
          <t>https://eur-lex.europa.eu/legal-content/EN/TXT/?uri=CELEX:52025PC0837</t>
        </is>
      </c>
      <c r="V258" s="7" t="inlineStr"/>
      <c r="W258" s="7" t="inlineStr"/>
    </row>
    <row r="259">
      <c r="A259" s="7" t="n">
        <v>44</v>
      </c>
      <c r="B259" s="7" t="inlineStr">
        <is>
          <t>Platform-to-Business (P2B) Regulation</t>
        </is>
      </c>
      <c r="C259" s="7" t="inlineStr">
        <is>
          <t>evidence</t>
        </is>
      </c>
      <c r="D259" s="7" t="inlineStr">
        <is>
          <t>consultancy or industry</t>
        </is>
      </c>
      <c r="E259" s="7" t="inlineStr">
        <is>
          <t>2026-10 broadened search</t>
        </is>
      </c>
      <c r="F259" s="7" t="inlineStr">
        <is>
          <t>ppmi-2023-p2b-evaluation</t>
        </is>
      </c>
      <c r="G259" s="7" t="inlineStr">
        <is>
          <t>Gineikytė-Kanclerė, V., Klimavičiūtė, L., Kudzmanaitė, B., Lechardoy, L. et al. (PPMI &amp; Open Evidence for DG GROW) (2023), Study on evaluation of the Regulation (EU) 2019/1150 on promoting fairness and transparency for business users of online intermediation services (the P2B Regulation): final report, European Commission, Publications Office</t>
        </is>
      </c>
      <c r="H259" s="7" t="n">
        <v>2023</v>
      </c>
      <c r="I259" s="7" t="inlineStr">
        <is>
          <t>Commission evaluation</t>
        </is>
      </c>
      <c r="J259" s="7" t="inlineStr">
        <is>
          <t>survey of 1,068 business users in 8 Member States (non-probability panel), review of T&amp;Cs of 300 platforms, 300+ interviews, focus groups</t>
        </is>
      </c>
      <c r="K259" s="7" t="inlineStr">
        <is>
          <t>platform compliance with transparency/redress rules; business-user experience</t>
        </is>
      </c>
      <c r="L259" s="7" t="inlineStr">
        <is>
          <t>negative</t>
        </is>
      </c>
      <c r="M259" s="7" t="inlineStr">
        <is>
          <t>Full alignment of platform T&amp;Cs with the Regulation is rare (e.g. only 22% of 290 platforms disclosed info on additional distribution channels); 62.2% of business users reported at least one issue but only 22% of them took action.</t>
        </is>
      </c>
      <c r="N259" s="7" t="inlineStr">
        <is>
          <t>The Commission's external evaluators found that online platforms only patchily follow the P2B rules and that most small businesses do not know about or use the complaint routes.</t>
        </is>
      </c>
      <c r="O259" s="7" t="inlineStr">
        <is>
          <t>EU (8 Member States surveyed), 2020-2022</t>
        </is>
      </c>
      <c r="P259" s="7" t="inlineStr">
        <is>
          <t>Large structured compliance review plus survey; opt-in survey not representative; external study underlying the Commission's 2023 review (SWD already listed), so partly overlapping.</t>
        </is>
      </c>
      <c r="Q259" s="7" t="inlineStr">
        <is>
          <t>Commissioned by the European Commission (DG GROW)</t>
        </is>
      </c>
      <c r="R259" s="7" t="inlineStr">
        <is>
          <t>open</t>
        </is>
      </c>
      <c r="S259" s="7" t="inlineStr">
        <is>
          <t>full text read</t>
        </is>
      </c>
      <c r="T259" s="7" t="inlineStr">
        <is>
          <t>2026-10-10</t>
        </is>
      </c>
      <c r="U259" s="7" t="inlineStr">
        <is>
          <t>https://doi.org/10.2873/29212</t>
        </is>
      </c>
      <c r="V259" s="7" t="inlineStr">
        <is>
          <t>https://op.europa.eu/o/opportal-service/download-handler?identifier=d6a287b5-5116-11ee-9220-01aa75ed71a1&amp;format=pdf&amp;language=en&amp;productionSystem=cellar&amp;part=</t>
        </is>
      </c>
      <c r="W259" s="7" t="inlineStr"/>
    </row>
    <row r="260">
      <c r="A260" s="7" t="n">
        <v>44</v>
      </c>
      <c r="B260" s="7" t="inlineStr">
        <is>
          <t>Platform-to-Business (P2B) Regulation</t>
        </is>
      </c>
      <c r="C260" s="7" t="inlineStr">
        <is>
          <t>evidence</t>
        </is>
      </c>
      <c r="D260" s="7" t="inlineStr">
        <is>
          <t>official</t>
        </is>
      </c>
      <c r="E260" s="7" t="inlineStr">
        <is>
          <t>2026-10 broadened search</t>
        </is>
      </c>
      <c r="F260" s="7" t="inlineStr">
        <is>
          <t>acm-2024-p2b-survey</t>
        </is>
      </c>
      <c r="G260" s="7" t="inlineStr">
        <is>
          <t>Autoriteit Consument &amp; Markt (ACM) (2024), Onderzoek naar ervaring van zakelijke gebruikers van online platforms met algemene voorwaarden (Study into experiences of business users on online platforms with general terms and conditions), ACM (Netherlands Authority for Consumers and Markets)</t>
        </is>
      </c>
      <c r="H260" s="7" t="n">
        <v>2024</v>
      </c>
      <c r="I260" s="7" t="inlineStr">
        <is>
          <t>survey report</t>
        </is>
      </c>
      <c r="J260" s="7" t="inlineStr">
        <is>
          <t>survey of 400 business users on four platforms</t>
        </is>
      </c>
      <c r="K260" s="7" t="inlineStr">
        <is>
          <t>awareness of P2B rights; suspensions without reasons; clarity of T&amp;Cs; satisfaction</t>
        </is>
      </c>
      <c r="L260" s="7" t="inlineStr">
        <is>
          <t>negative</t>
        </is>
      </c>
      <c r="M260" s="7" t="inlineStr">
        <is>
          <t>Two in three business users were unaware of the P2B Regulation; 27% of those suspended/restricted/terminated in the past two years never received reasons in advance; one in four dissatisfied with treatment.</t>
        </is>
      </c>
      <c r="N260" s="7" t="inlineStr">
        <is>
          <t>The Dutch regulator found most sellers on online platforms don't know their P2B rights, and over a quarter of those who were suspended were never told why beforehand.</t>
        </is>
      </c>
      <c r="O260" s="7" t="inlineStr">
        <is>
          <t>Netherlands, 2023</t>
        </is>
      </c>
      <c r="P260" s="7" t="inlineStr">
        <is>
          <t>Regulator-commissioned survey, moderate sample, four platforms only; descriptive.</t>
        </is>
      </c>
      <c r="Q260" s="7" t="inlineStr"/>
      <c r="R260" s="7" t="inlineStr">
        <is>
          <t>open</t>
        </is>
      </c>
      <c r="S260" s="7" t="inlineStr">
        <is>
          <t>abstract read</t>
        </is>
      </c>
      <c r="T260" s="7" t="inlineStr">
        <is>
          <t>2026-10-10</t>
        </is>
      </c>
      <c r="U260" s="7" t="inlineStr">
        <is>
          <t>https://www.acm.nl/en/node/24872</t>
        </is>
      </c>
      <c r="V260" s="7" t="inlineStr"/>
      <c r="W260" s="7" t="inlineStr"/>
    </row>
    <row r="261">
      <c r="A261" s="7" t="n">
        <v>44</v>
      </c>
      <c r="B261" s="7" t="inlineStr">
        <is>
          <t>Platform-to-Business (P2B) Regulation</t>
        </is>
      </c>
      <c r="C261" s="7" t="inlineStr">
        <is>
          <t>evidence</t>
        </is>
      </c>
      <c r="D261" s="7" t="inlineStr">
        <is>
          <t>official</t>
        </is>
      </c>
      <c r="E261" s="7" t="inlineStr">
        <is>
          <t>2026-10 broadened search</t>
        </is>
      </c>
      <c r="F261" s="7" t="inlineStr">
        <is>
          <t>agcom-2023-p2b-monitoring</t>
        </is>
      </c>
      <c r="G261" s="7" t="inlineStr">
        <is>
          <t>Autorità per le garanzie nelle comunicazioni (AGCOM) (2023), Regolamento (UE) 2019/1150 - Report sull'attività di monitoraggio 2023, AGCOM (Italy)</t>
        </is>
      </c>
      <c r="H261" s="7" t="n">
        <v>2023</v>
      </c>
      <c r="I261" s="7" t="inlineStr">
        <is>
          <t>agency report</t>
        </is>
      </c>
      <c r="J261" s="7" t="inlineStr">
        <is>
          <t>survey of business users and corporate website owners plus information requests and review of platforms' and search engines' terms and conditions (Feb-Jun 2023, second annual round)</t>
        </is>
      </c>
      <c r="K261" s="7" t="inlineStr">
        <is>
          <t>business-user awareness, complaint handling, mediation use, compliance of T&amp;Cs</t>
        </is>
      </c>
      <c r="L261" s="7" t="inlineStr">
        <is>
          <t>mixed</t>
        </is>
      </c>
      <c r="M261" s="7" t="inlineStr">
        <is>
          <t>About 86% of Italian business users had no or only superficial knowledge of the P2B Regulation, 68% found platforms' complaint systems hard to access and only 15% of complaints succeeded, while about 60% of platforms updated their T&amp;Cs and 93% named mediators.</t>
        </is>
      </c>
      <c r="N261" s="7" t="inlineStr">
        <is>
          <t>Italy's communications regulator found that online platforms have largely updated their terms to follow the EU platform-to-business rules, but most small firms do not know their rights and find platforms' complaint channels unhelpful.</t>
        </is>
      </c>
      <c r="O261" s="7" t="inlineStr">
        <is>
          <t>Italy, 2022 to 2023</t>
        </is>
      </c>
      <c r="P261" s="7" t="inlineStr">
        <is>
          <t>Official monitoring with survey and document review; self-selected survey respondents (sample size not stated in summary); descriptive.</t>
        </is>
      </c>
      <c r="Q261" s="7" t="inlineStr"/>
      <c r="R261" s="7" t="inlineStr">
        <is>
          <t>open</t>
        </is>
      </c>
      <c r="S261" s="7" t="inlineStr">
        <is>
          <t>full text read</t>
        </is>
      </c>
      <c r="T261" s="7" t="inlineStr">
        <is>
          <t>2026-10-10</t>
        </is>
      </c>
      <c r="U261" s="7" t="inlineStr">
        <is>
          <t>https://www.agcom.it/sites/default/files/media/allegato/2024/Executive%20summary%202023_0.pdf</t>
        </is>
      </c>
      <c r="V261" s="7" t="inlineStr">
        <is>
          <t>https://www.agcom.it/sites/default/files/media/allegato/2024/2.pdf</t>
        </is>
      </c>
      <c r="W261" s="7" t="inlineStr"/>
    </row>
    <row r="262">
      <c r="A262" s="7" t="n">
        <v>52</v>
      </c>
      <c r="B262" s="7" t="inlineStr">
        <is>
          <t>Recovery and Resilience Facility</t>
        </is>
      </c>
      <c r="C262" s="7" t="inlineStr">
        <is>
          <t>evidence</t>
        </is>
      </c>
      <c r="D262" s="7" t="inlineStr">
        <is>
          <t>official</t>
        </is>
      </c>
      <c r="E262" s="7" t="inlineStr">
        <is>
          <t>initial review</t>
        </is>
      </c>
      <c r="F262" s="7" t="inlineStr">
        <is>
          <t>ec-2024-rrf-midterm-evaluation</t>
        </is>
      </c>
      <c r="G262" s="7" t="inlineStr">
        <is>
          <t>European Commission (2024), Mid-term evaluation of the Recovery and Resilience Facility (Staff Working Document accompanying COM(2024) 82), SWD(2024) 70</t>
        </is>
      </c>
      <c r="H262" s="7" t="n">
        <v>2024</v>
      </c>
      <c r="I262" s="7" t="inlineStr">
        <is>
          <t>Commission evaluation</t>
        </is>
      </c>
      <c r="J262" s="7" t="inlineStr">
        <is>
          <t>mid-term evaluation; QUEST and NiGEM macro-model simulations (ex-ante style)</t>
        </is>
      </c>
      <c r="K262" s="7" t="inlineStr">
        <is>
          <t>GDP; employment; spreads; implementation</t>
        </is>
      </c>
      <c r="L262" s="7" t="inlineStr">
        <is>
          <t>positive (model-based)</t>
        </is>
      </c>
      <c r="M262" s="7" t="inlineStr">
        <is>
          <t>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is>
      </c>
      <c r="N262" s="7" t="inlineStr">
        <is>
          <t>The Commission's mid-term evaluation used economic models to estimate the fund could lift EU output by up to 1.4% by 2026, but says these are model forecasts, not measured effects.</t>
        </is>
      </c>
      <c r="O262" s="7" t="inlineStr">
        <is>
          <t>EU, 2021-2026</t>
        </is>
      </c>
      <c r="P262" s="7" t="inlineStr">
        <is>
          <t>model simulation; no counterfactual data</t>
        </is>
      </c>
      <c r="Q262" s="7" t="inlineStr"/>
      <c r="R262" s="7" t="inlineStr">
        <is>
          <t>open</t>
        </is>
      </c>
      <c r="S262" s="7" t="inlineStr">
        <is>
          <t>full text read (macro section)</t>
        </is>
      </c>
      <c r="T262" s="7" t="inlineStr">
        <is>
          <t>2026-10-10</t>
        </is>
      </c>
      <c r="U262" s="7" t="inlineStr">
        <is>
          <t>https://eur-lex.europa.eu/legal-content/EN/TXT/?uri=CELEX:52024SC0070</t>
        </is>
      </c>
      <c r="V262" s="7" t="inlineStr">
        <is>
          <t>https://eur-lex.europa.eu/legal-content/EN/TXT/PDF/?uri=CELEX:52024SC0070</t>
        </is>
      </c>
      <c r="W262" s="7" t="inlineStr"/>
    </row>
    <row r="263">
      <c r="A263" s="7" t="n">
        <v>52</v>
      </c>
      <c r="B263" s="7" t="inlineStr">
        <is>
          <t>Recovery and Resilience Facility</t>
        </is>
      </c>
      <c r="C263" s="7" t="inlineStr">
        <is>
          <t>evidence</t>
        </is>
      </c>
      <c r="D263" s="7" t="inlineStr">
        <is>
          <t>official</t>
        </is>
      </c>
      <c r="E263" s="7" t="inlineStr">
        <is>
          <t>initial review</t>
        </is>
      </c>
      <c r="F263" s="7" t="inlineStr">
        <is>
          <t>ec-2026-rrf-implementation-report</t>
        </is>
      </c>
      <c r="G263" s="7" t="inlineStr">
        <is>
          <t>European Commission (2026), Report on the implementation of the Recovery and Resilience Facility, COM(2026) 546</t>
        </is>
      </c>
      <c r="H263" s="7" t="n">
        <v>2026</v>
      </c>
      <c r="I263" s="7" t="inlineStr">
        <is>
          <t>Commission implementation report</t>
        </is>
      </c>
      <c r="J263" s="7" t="inlineStr">
        <is>
          <t>monitoring report (disbursements, milestones, common indicators)</t>
        </is>
      </c>
      <c r="K263" s="7" t="inlineStr">
        <is>
          <t>absorption; milestones and targets; outputs</t>
        </is>
      </c>
      <c r="L263" s="7" t="inlineStr">
        <is>
          <t>positive (activity)</t>
        </is>
      </c>
      <c r="M263" s="7" t="inlineStr">
        <is>
          <t>EUR 450bn (79% of envelope) disbursed by 1 Oct 2026; 4,082 of 5,981 milestones and targets fulfilled (68%); EUR 123bn final requests under assessment; common indicators lack targets and counterfactual and data cannot be audited by the Commission</t>
        </is>
      </c>
      <c r="N263" s="7" t="inlineStr">
        <is>
          <t>By October 2026, the EU had paid out EUR 450 billion (79% of the fund) and countries had met about two-thirds of their agreed milestones; the Commission admits its indicators cannot show what the money achieved.</t>
        </is>
      </c>
      <c r="O263" s="7" t="inlineStr">
        <is>
          <t>EU, 2021-2026</t>
        </is>
      </c>
      <c r="P263" s="7" t="inlineStr">
        <is>
          <t>administrative data; self-reported by Member States</t>
        </is>
      </c>
      <c r="Q263" s="7" t="inlineStr"/>
      <c r="R263" s="7" t="inlineStr">
        <is>
          <t>open</t>
        </is>
      </c>
      <c r="S263" s="7" t="inlineStr">
        <is>
          <t>full text read (summary, disbursement and indicator sections)</t>
        </is>
      </c>
      <c r="T263" s="7" t="inlineStr">
        <is>
          <t>2026-10-10</t>
        </is>
      </c>
      <c r="U263" s="7" t="inlineStr">
        <is>
          <t>https://eur-lex.europa.eu/legal-content/EN/TXT/?uri=CELEX:52026DC0546</t>
        </is>
      </c>
      <c r="V263" s="7" t="inlineStr">
        <is>
          <t>https://eur-lex.europa.eu/legal-content/EN/TXT/PDF/?uri=CELEX:52026DC0546</t>
        </is>
      </c>
      <c r="W263" s="7" t="inlineStr"/>
    </row>
    <row r="264">
      <c r="A264" s="7" t="n">
        <v>52</v>
      </c>
      <c r="B264" s="7" t="inlineStr">
        <is>
          <t>Recovery and Resilience Facility</t>
        </is>
      </c>
      <c r="C264" s="7" t="inlineStr">
        <is>
          <t>evidence</t>
        </is>
      </c>
      <c r="D264" s="7" t="inlineStr">
        <is>
          <t>official</t>
        </is>
      </c>
      <c r="E264" s="7" t="inlineStr">
        <is>
          <t>initial review</t>
        </is>
      </c>
      <c r="F264" s="7" t="inlineStr">
        <is>
          <t>bankowski-et-al-2024-ecb-op362</t>
        </is>
      </c>
      <c r="G264" s="7" t="inlineStr">
        <is>
          <t>Bańkowski, K., Benalal, N., Bouabdallah, O., De Stefani, R., Dorrucci, E., Huber, C., Jacquinot, P., Modery, W., Nerlich, C., Rodríguez-Vives, M., Szörfi, B., Zorell, N. &amp; Zwick, C. (2024), Four years into NextGenerationEU: what impact on the euro area economy?, ECB Occasional Paper No 362</t>
        </is>
      </c>
      <c r="H264" s="7" t="n">
        <v>2024</v>
      </c>
      <c r="I264" s="7" t="inlineStr">
        <is>
          <t>central bank research</t>
        </is>
      </c>
      <c r="J264" s="7" t="inlineStr">
        <is>
          <t>macro-model simulations (several models and scenarios) plus tentative panel evidence on reforms</t>
        </is>
      </c>
      <c r="K264" s="7" t="inlineStr">
        <is>
          <t>GDP; inflation; public debt; institutional quality</t>
        </is>
      </c>
      <c r="L264" s="7" t="inlineStr">
        <is>
          <t>positive (smaller and later than first expected)</t>
        </is>
      </c>
      <c r="M264" s="7" t="inlineStr">
        <is>
          <t>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is>
      </c>
      <c r="N264" s="7" t="inlineStr">
        <is>
          <t>ECB staff estimate the recovery fund could raise euro-area output by 0.4-0.9% by 2026, less and later than first hoped because of widespread delays.</t>
        </is>
      </c>
      <c r="O264" s="7" t="inlineStr">
        <is>
          <t>euro area, 2021-2031</t>
        </is>
      </c>
      <c r="P264" s="7" t="inlineStr">
        <is>
          <t>model-based; scenario range</t>
        </is>
      </c>
      <c r="Q264" s="7" t="inlineStr"/>
      <c r="R264" s="7" t="inlineStr">
        <is>
          <t>open</t>
        </is>
      </c>
      <c r="S264" s="7" t="inlineStr">
        <is>
          <t>abstract read</t>
        </is>
      </c>
      <c r="T264" s="7" t="inlineStr">
        <is>
          <t>2026-10-10</t>
        </is>
      </c>
      <c r="U264" s="7" t="inlineStr">
        <is>
          <t>https://www.ecb.europa.eu/pub/pdf/scpops/ecb.op362~c055a591dd.en.pdf</t>
        </is>
      </c>
      <c r="V264" s="7" t="inlineStr">
        <is>
          <t>https://www.ecb.europa.eu/pub/pdf/scpops/ecb.op362~c055a591dd.en.pdf</t>
        </is>
      </c>
      <c r="W264" s="7" t="inlineStr">
        <is>
          <t>http://web.archive.org/web/20260801032817/https://www.ecb.europa.eu/pub/pdf/scpops/ecb.op362~c055a591dd.en.pdf</t>
        </is>
      </c>
    </row>
    <row r="265">
      <c r="A265" s="7" t="n">
        <v>52</v>
      </c>
      <c r="B265" s="7" t="inlineStr">
        <is>
          <t>Recovery and Resilience Facility</t>
        </is>
      </c>
      <c r="C265" s="7" t="inlineStr">
        <is>
          <t>evidence</t>
        </is>
      </c>
      <c r="D265" s="7" t="inlineStr">
        <is>
          <t>official</t>
        </is>
      </c>
      <c r="E265" s="7" t="inlineStr">
        <is>
          <t>initial review</t>
        </is>
      </c>
      <c r="F265" s="7" t="inlineStr">
        <is>
          <t>eca-2024-sr13-rrf-absorption</t>
        </is>
      </c>
      <c r="G265" s="7" t="inlineStr">
        <is>
          <t>European Court of Auditors (2024), Absorption of funds from the Recovery and Resilience Facility - Progressing with delays and risks remain regarding the completion of measures and therefore the achievement of RRF objectives (Special report 13/2024), ECA Special report 13/2024</t>
        </is>
      </c>
      <c r="H265" s="7" t="n">
        <v>2024</v>
      </c>
      <c r="I265" s="7" t="inlineStr">
        <is>
          <t>audit report</t>
        </is>
      </c>
      <c r="J265" s="7" t="inlineStr">
        <is>
          <t>performance audit (incl. visits to ES, IT, SK, RO)</t>
        </is>
      </c>
      <c r="K265" s="7" t="inlineStr">
        <is>
          <t>absorption; delays; flow to final recipients</t>
        </is>
      </c>
      <c r="L265" s="7" t="inlineStr">
        <is>
          <t>negative (implementation risks)</t>
        </is>
      </c>
      <c r="M265" s="7" t="inlineStr">
        <is>
          <t>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is>
      </c>
      <c r="N265" s="7" t="inlineStr">
        <is>
          <t>EU auditors found the recovery fund was being spent late, only about half the money paid to governments had reached final recipients by late 2023, and payments did not always match what was achieved.</t>
        </is>
      </c>
      <c r="O265" s="7" t="inlineStr">
        <is>
          <t>EU, 2021-2023</t>
        </is>
      </c>
      <c r="P265" s="7" t="inlineStr">
        <is>
          <t>audit</t>
        </is>
      </c>
      <c r="Q265" s="7" t="inlineStr"/>
      <c r="R265" s="7" t="inlineStr">
        <is>
          <t>open</t>
        </is>
      </c>
      <c r="S265" s="7" t="inlineStr">
        <is>
          <t>full text read (executive summary)</t>
        </is>
      </c>
      <c r="T265" s="7" t="inlineStr">
        <is>
          <t>2026-10-10</t>
        </is>
      </c>
      <c r="U265" s="7" t="inlineStr">
        <is>
          <t>https://www.eca.europa.eu/ECAPublications/SR-2024-13/SR-2024-13_EN.pdf</t>
        </is>
      </c>
      <c r="V265" s="7" t="inlineStr"/>
      <c r="W265" s="7" t="inlineStr"/>
    </row>
    <row r="266">
      <c r="A266" s="7" t="n">
        <v>52</v>
      </c>
      <c r="B266" s="7" t="inlineStr">
        <is>
          <t>Recovery and Resilience Facility</t>
        </is>
      </c>
      <c r="C266" s="7" t="inlineStr">
        <is>
          <t>evidence</t>
        </is>
      </c>
      <c r="D266" s="7" t="inlineStr">
        <is>
          <t>official</t>
        </is>
      </c>
      <c r="E266" s="7" t="inlineStr">
        <is>
          <t>initial review</t>
        </is>
      </c>
      <c r="F266" s="7" t="inlineStr">
        <is>
          <t>eca-2023-sr26-rrf-performance</t>
        </is>
      </c>
      <c r="G266" s="7" t="inlineStr">
        <is>
          <t>European Court of Auditors (2023), The Recovery and Resilience Facility's performance monitoring framework - Measuring implementation progress but not sufficient to capture performance (Special report 26/2023), ECA Special report 26/2023</t>
        </is>
      </c>
      <c r="H266" s="7" t="n">
        <v>2023</v>
      </c>
      <c r="I266" s="7" t="inlineStr">
        <is>
          <t>audit report</t>
        </is>
      </c>
      <c r="J266" s="7" t="inlineStr">
        <is>
          <t>performance audit</t>
        </is>
      </c>
      <c r="K266" s="7" t="inlineStr">
        <is>
          <t>monitoring framework</t>
        </is>
      </c>
      <c r="L266" s="7" t="inlineStr">
        <is>
          <t>negative (measurement gap)</t>
        </is>
      </c>
      <c r="M266" s="7" t="inlineStr">
        <is>
          <t>Milestones and targets measure implementation progress but are limited for assessing performance; common indicators give an incomplete view of outputs and results</t>
        </is>
      </c>
      <c r="N266" s="7" t="inlineStr">
        <is>
          <t>EU auditors concluded that for a fund billed as performance-based, the EU can track progress but cannot measure actual performance.</t>
        </is>
      </c>
      <c r="O266" s="7" t="inlineStr">
        <is>
          <t>EU, 2021-2022</t>
        </is>
      </c>
      <c r="P266" s="7" t="inlineStr">
        <is>
          <t>audit</t>
        </is>
      </c>
      <c r="Q266" s="7" t="inlineStr"/>
      <c r="R266" s="7" t="inlineStr">
        <is>
          <t>open</t>
        </is>
      </c>
      <c r="S266" s="7" t="inlineStr">
        <is>
          <t>page summary via search</t>
        </is>
      </c>
      <c r="T266" s="7" t="inlineStr">
        <is>
          <t>2026-10-10</t>
        </is>
      </c>
      <c r="U266" s="7" t="inlineStr">
        <is>
          <t>https://www.eca.europa.eu/ECAPublications/SR-2023-26/SR-2023-26_EN.pdf</t>
        </is>
      </c>
      <c r="V266" s="7" t="inlineStr"/>
      <c r="W266" s="7" t="inlineStr"/>
    </row>
    <row r="267">
      <c r="A267" s="7" t="n">
        <v>52</v>
      </c>
      <c r="B267" s="7" t="inlineStr">
        <is>
          <t>Recovery and Resilience Facility</t>
        </is>
      </c>
      <c r="C267" s="7" t="inlineStr">
        <is>
          <t>evidence</t>
        </is>
      </c>
      <c r="D267" s="7" t="inlineStr">
        <is>
          <t>academic</t>
        </is>
      </c>
      <c r="E267" s="7" t="inlineStr">
        <is>
          <t>initial review</t>
        </is>
      </c>
      <c r="F267" s="7" t="inlineStr">
        <is>
          <t>busse-caselli-fotiou-2026-imf</t>
        </is>
      </c>
      <c r="G267" s="7" t="inlineStr">
        <is>
          <t>Busse, M., Caselli, F. &amp; Fotiou, A. (2026), The EU's Recovery and Resilience Facility: Experience and Lessons for the Next Multiannual Financial Framework, IMF Working Paper WP/26/114</t>
        </is>
      </c>
      <c r="H267" s="7" t="n">
        <v>2026</v>
      </c>
      <c r="I267" s="7" t="inlineStr">
        <is>
          <t>working paper (IMF)</t>
        </is>
      </c>
      <c r="J267" s="7" t="inlineStr">
        <is>
          <t>sectoral and cross-country empirical analysis</t>
        </is>
      </c>
      <c r="K267" s="7" t="inlineStr">
        <is>
          <t>output; employment; sovereign debt markets; reforms</t>
        </is>
      </c>
      <c r="L267" s="7" t="inlineStr">
        <is>
          <t>positive (short-term)</t>
        </is>
      </c>
      <c r="M267" s="7" t="inlineStr">
        <is>
          <t>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is>
      </c>
      <c r="N267" s="7" t="inlineStr">
        <is>
          <t>IMF economists find the fund gave a short-term boost to jobs and output in countries that received most, and calmed debt markets, but slow spending limits its impact so far.</t>
        </is>
      </c>
      <c r="O267" s="7" t="inlineStr">
        <is>
          <t>EU, 2021-2025</t>
        </is>
      </c>
      <c r="P267" s="7" t="inlineStr">
        <is>
          <t>empirical, early; identification details not verified</t>
        </is>
      </c>
      <c r="Q267" s="7" t="inlineStr"/>
      <c r="R267" s="7" t="inlineStr">
        <is>
          <t>open</t>
        </is>
      </c>
      <c r="S267" s="7" t="inlineStr">
        <is>
          <t>page summary via search</t>
        </is>
      </c>
      <c r="T267" s="7" t="inlineStr">
        <is>
          <t>2026-10-10</t>
        </is>
      </c>
      <c r="U267" s="7" t="inlineStr">
        <is>
          <t>https://www.elibrary.imf.org/view/journals/001/2026/114/article-A001-en.xml</t>
        </is>
      </c>
      <c r="V267" s="7" t="inlineStr">
        <is>
          <t>https://www.astrid-online.it/static/upload/wpie/wpiea2026114-source-pdf.pdf</t>
        </is>
      </c>
      <c r="W267" s="7" t="inlineStr"/>
    </row>
    <row r="268">
      <c r="A268" s="7" t="n">
        <v>52</v>
      </c>
      <c r="B268" s="7" t="inlineStr">
        <is>
          <t>Recovery and Resilience Facility</t>
        </is>
      </c>
      <c r="C268" s="7" t="inlineStr">
        <is>
          <t>evidence</t>
        </is>
      </c>
      <c r="D268" s="7" t="inlineStr">
        <is>
          <t>academic</t>
        </is>
      </c>
      <c r="E268" s="7" t="inlineStr">
        <is>
          <t>initial review</t>
        </is>
      </c>
      <c r="F268" s="7" t="inlineStr">
        <is>
          <t>pfeiffer-varga-intveld-2022</t>
        </is>
      </c>
      <c r="G268" s="7" t="inlineStr">
        <is>
          <t>Pfeiffer, P., Varga, J. &amp; in 't Veld, J. (2022), Quantifying spillovers of coordinated investment stimulus in the EU, Macroeconomic Dynamics 27: 1843-1865</t>
        </is>
      </c>
      <c r="H268" s="7" t="n">
        <v>2022</v>
      </c>
      <c r="I268" s="7" t="inlineStr">
        <is>
          <t>peer-reviewed</t>
        </is>
      </c>
      <c r="J268" s="7" t="inlineStr">
        <is>
          <t>DSGE model simulation (QUEST)</t>
        </is>
      </c>
      <c r="K268" s="7" t="inlineStr">
        <is>
          <t>GDP; cross-border spillovers</t>
        </is>
      </c>
      <c r="L268" s="7" t="inlineStr">
        <is>
          <t>positive (model-based)</t>
        </is>
      </c>
      <c r="M268" s="7" t="inlineStr">
        <is>
          <t>Basis of the Commission's NGEU estimates: coordinated investment across Member States generates substantial positive cross-border spillovers</t>
        </is>
      </c>
      <c r="N268" s="7" t="inlineStr">
        <is>
          <t>Commission economists' model showing that spending the recovery funds at the same time in all countries amplifies the boost to growth through cross-border spillovers.</t>
        </is>
      </c>
      <c r="O268" s="7" t="inlineStr">
        <is>
          <t>EU, simulation</t>
        </is>
      </c>
      <c r="P268" s="7" t="inlineStr">
        <is>
          <t>model; authors are Commission staff</t>
        </is>
      </c>
      <c r="Q268" s="7" t="inlineStr">
        <is>
          <t>Authors are European Commission (DG ECFIN) staff</t>
        </is>
      </c>
      <c r="R268" s="7" t="inlineStr">
        <is>
          <t>paywalled</t>
        </is>
      </c>
      <c r="S268" s="7" t="inlineStr">
        <is>
          <t>page summary via search (bibliographic data via Crossref)</t>
        </is>
      </c>
      <c r="T268" s="7" t="inlineStr">
        <is>
          <t>2026-10-10</t>
        </is>
      </c>
      <c r="U268" s="7" t="inlineStr">
        <is>
          <t>https://doi.org/10.1017/s1365100522000487</t>
        </is>
      </c>
      <c r="V268" s="7" t="inlineStr"/>
      <c r="W268" s="7" t="inlineStr"/>
    </row>
    <row r="269">
      <c r="A269" s="7" t="n">
        <v>52</v>
      </c>
      <c r="B269" s="7" t="inlineStr">
        <is>
          <t>Recovery and Resilience Facility</t>
        </is>
      </c>
      <c r="C269" s="7" t="inlineStr">
        <is>
          <t>evidence</t>
        </is>
      </c>
      <c r="D269" s="7" t="inlineStr">
        <is>
          <t>official</t>
        </is>
      </c>
      <c r="E269" s="7" t="inlineStr">
        <is>
          <t>2026-10 broadened search</t>
        </is>
      </c>
      <c r="F269" s="7" t="inlineStr">
        <is>
          <t>dipietro-2026-crowdin</t>
        </is>
      </c>
      <c r="G269" s="7" t="inlineStr">
        <is>
          <t>Di Pietro, F., Haustein, E., Conte, A., D'Adamo, G. &amp; Winterhager, V. (2026), EU Budget: The crowd-in effects, JRC Working Papers on Territorial Modelling and Analysis 2026-06</t>
        </is>
      </c>
      <c r="H269" s="7" t="n">
        <v>2026</v>
      </c>
      <c r="I269" s="7" t="inlineStr">
        <is>
          <t>academic working paper</t>
        </is>
      </c>
      <c r="J269" s="7" t="inlineStr">
        <is>
          <t>synthetic control (country-level) for the RRF; local projections for ESIF</t>
        </is>
      </c>
      <c r="K269" s="7" t="inlineStr">
        <is>
          <t>total, public and private investment (capital formation)</t>
        </is>
      </c>
      <c r="L269" s="7" t="inlineStr">
        <is>
          <t>positive</t>
        </is>
      </c>
      <c r="M269" s="7" t="inlineStr">
        <is>
          <t>Synthetic control shows a positive and increasing effect of the RRF on total investment from 2022 onward, driven mainly by private investment (abstract gives no point estimate).</t>
        </is>
      </c>
      <c r="N269" s="7" t="inlineStr">
        <is>
          <t>EU recovery money appears to have raised investment in recipient countries, and most of the extra investment came from private firms rather than governments.</t>
        </is>
      </c>
      <c r="O269" s="7" t="inlineStr">
        <is>
          <t>EU member states, c.2021-2024</t>
        </is>
      </c>
      <c r="P269" s="7" t="inlineStr">
        <is>
          <t>Causal design (synthetic control), but few treated units and the RRF hit all EU states at once, so donor pool and timing are hard; Commission in-house research.</t>
        </is>
      </c>
      <c r="Q269" s="7" t="inlineStr">
        <is>
          <t>European Commission (JRC) evaluating an EU instrument</t>
        </is>
      </c>
      <c r="R269" s="7" t="inlineStr">
        <is>
          <t>open</t>
        </is>
      </c>
      <c r="S269" s="7" t="inlineStr">
        <is>
          <t>abstract read</t>
        </is>
      </c>
      <c r="T269" s="7" t="inlineStr">
        <is>
          <t>2026-10-10</t>
        </is>
      </c>
      <c r="U269" s="7" t="inlineStr">
        <is>
          <t>https://ideas.repec.org/p/ipt/termod/202606.html</t>
        </is>
      </c>
      <c r="V269" s="7" t="inlineStr"/>
      <c r="W269" s="7" t="inlineStr"/>
    </row>
    <row r="270">
      <c r="A270" s="7" t="n">
        <v>52</v>
      </c>
      <c r="B270" s="7" t="inlineStr">
        <is>
          <t>Recovery and Resilience Facility</t>
        </is>
      </c>
      <c r="C270" s="7" t="inlineStr">
        <is>
          <t>evidence</t>
        </is>
      </c>
      <c r="D270" s="7" t="inlineStr">
        <is>
          <t>official</t>
        </is>
      </c>
      <c r="E270" s="7" t="inlineStr">
        <is>
          <t>2026-10 broadened search</t>
        </is>
      </c>
      <c r="F270" s="7" t="inlineStr">
        <is>
          <t>zorell-2026-institutions</t>
        </is>
      </c>
      <c r="G270" s="7" t="inlineStr">
        <is>
          <t>Zorell, N. &amp; Zwick, C. (2026), Assessing the impact of the EU's Recovery and Resilience Facility on institutional quality: a Bayesian synthetic control approach, ECB Working Paper Series No 3212</t>
        </is>
      </c>
      <c r="H270" s="7" t="n">
        <v>2026</v>
      </c>
      <c r="I270" s="7" t="inlineStr">
        <is>
          <t>academic working paper</t>
        </is>
      </c>
      <c r="J270" s="7" t="inlineStr">
        <is>
          <t>Bayesian synthetic control on Worldwide Governance Indicators, data to 2024</t>
        </is>
      </c>
      <c r="K270" s="7" t="inlineStr">
        <is>
          <t>institutional quality (WGI)</t>
        </is>
      </c>
      <c r="L270" s="7" t="inlineStr">
        <is>
          <t>mixed</t>
        </is>
      </c>
      <c r="M270" s="7" t="inlineStr">
        <is>
          <t>Finds robust, economically meaningful RRF-induced improvements in institutional quality in Italy; evidence for other main beneficiaries ranges from suggestive to limited.</t>
        </is>
      </c>
      <c r="N270" s="7" t="inlineStr">
        <is>
          <t>The recovery fund seems to have improved the quality of government institutions in Italy, but the evidence for other big recipient countries is weak.</t>
        </is>
      </c>
      <c r="O270" s="7" t="inlineStr">
        <is>
          <t>Italy, Spain, other main RRF beneficiaries; 2021-2024</t>
        </is>
      </c>
      <c r="P270" s="7" t="inlineStr">
        <is>
          <t>Causal design but country-level, short post-period, and WGI are perception-based indicators; authors say too early for firm conclusions.</t>
        </is>
      </c>
      <c r="Q270" s="7" t="inlineStr"/>
      <c r="R270" s="7" t="inlineStr">
        <is>
          <t>open</t>
        </is>
      </c>
      <c r="S270" s="7" t="inlineStr">
        <is>
          <t>abstract read</t>
        </is>
      </c>
      <c r="T270" s="7" t="inlineStr">
        <is>
          <t>2026-10-10</t>
        </is>
      </c>
      <c r="U270" s="7" t="inlineStr">
        <is>
          <t>https://econpapers.repec.org/RePEc:ecb:ecbwps:20263212</t>
        </is>
      </c>
      <c r="V270" s="7" t="inlineStr">
        <is>
          <t>https://www.ecb.europa.eu/pub/pdf/scpwps/ecb.wp3212~a92cdf140a.en.pdf</t>
        </is>
      </c>
      <c r="W270" s="7" t="inlineStr"/>
    </row>
    <row r="271">
      <c r="A271" s="7" t="n">
        <v>52</v>
      </c>
      <c r="B271" s="7" t="inlineStr">
        <is>
          <t>Recovery and Resilience Facility</t>
        </is>
      </c>
      <c r="C271" s="7" t="inlineStr">
        <is>
          <t>evidence</t>
        </is>
      </c>
      <c r="D271" s="7" t="inlineStr">
        <is>
          <t>official</t>
        </is>
      </c>
      <c r="E271" s="7" t="inlineStr">
        <is>
          <t>2026-10 broadened search</t>
        </is>
      </c>
      <c r="F271" s="7" t="inlineStr">
        <is>
          <t>accetturo-2026-nrrp-procurement</t>
        </is>
      </c>
      <c r="G271" s="7" t="inlineStr">
        <is>
          <t>Accetturo, A., Baltrunaite, A., Lazzaro, E. &amp; Mancini, A. L. (2026), Do Incentives and Organizational Innovations Affect the Performance of Public Administrations? Lessons from the Italian NRRP, CEPR Discussion Paper 21596</t>
        </is>
      </c>
      <c r="H271" s="7" t="n">
        <v>2026</v>
      </c>
      <c r="I271" s="7" t="inlineStr">
        <is>
          <t>academic working paper</t>
        </is>
      </c>
      <c r="J271" s="7" t="inlineStr">
        <is>
          <t>within- and across-municipality variation in NRRP-funded vs other public works contracts (difference-in-differences-type design)</t>
        </is>
      </c>
      <c r="K271" s="7" t="inlineStr">
        <is>
          <t>speed of procurement awarding, start and progress of works</t>
        </is>
      </c>
      <c r="L271" s="7" t="inlineStr">
        <is>
          <t>mixed</t>
        </is>
      </c>
      <c r="M271" s="7" t="inlineStr">
        <is>
          <t>The NRRP significantly improved procurement awarding and higher upfront liquidity sped the start of works, but no appreciable effect on the subsequent progress of works.</t>
        </is>
      </c>
      <c r="N271" s="7" t="inlineStr">
        <is>
          <t>Italy's recovery plan made town halls quicker at awarding public works contracts and starting construction, but did not make the building itself go faster.</t>
        </is>
      </c>
      <c r="O271" s="7" t="inlineStr">
        <is>
          <t>Italian municipalities, c.2021-2025</t>
        </is>
      </c>
      <c r="P271" s="7" t="inlineStr">
        <is>
          <t>Credible quasi-experimental design on administrative contract data; authors are Bank of Italy economists; single country.</t>
        </is>
      </c>
      <c r="Q271" s="7" t="inlineStr"/>
      <c r="R271" s="7" t="inlineStr">
        <is>
          <t>paywalled</t>
        </is>
      </c>
      <c r="S271" s="7" t="inlineStr">
        <is>
          <t>abstract read</t>
        </is>
      </c>
      <c r="T271" s="7" t="inlineStr">
        <is>
          <t>2026-10-10</t>
        </is>
      </c>
      <c r="U271" s="7" t="inlineStr">
        <is>
          <t>https://econpapers.repec.org/RePEc:cpr:ceprdp:21596</t>
        </is>
      </c>
      <c r="V271" s="7" t="inlineStr"/>
      <c r="W271" s="7" t="inlineStr"/>
    </row>
    <row r="272">
      <c r="A272" s="7" t="n">
        <v>52</v>
      </c>
      <c r="B272" s="7" t="inlineStr">
        <is>
          <t>Recovery and Resilience Facility</t>
        </is>
      </c>
      <c r="C272" s="7" t="inlineStr">
        <is>
          <t>evidence</t>
        </is>
      </c>
      <c r="D272" s="7" t="inlineStr">
        <is>
          <t>academic</t>
        </is>
      </c>
      <c r="E272" s="7" t="inlineStr">
        <is>
          <t>2026-10 broadened search</t>
        </is>
      </c>
      <c r="F272" s="7" t="inlineStr">
        <is>
          <t>ferri-2023-twin-transition</t>
        </is>
      </c>
      <c r="G272" s="7" t="inlineStr">
        <is>
          <t>Ferri, G., Menghini, M. &amp; Pini, M. (2023), Does the NRRP speed up firms' Twin Transition? Empirical evidence from Italy, Working paper (MEF / CEIS Tor Vergata)</t>
        </is>
      </c>
      <c r="H272" s="7" t="n">
        <v>2023</v>
      </c>
      <c r="I272" s="7" t="inlineStr">
        <is>
          <t>academic working paper</t>
        </is>
      </c>
      <c r="J272" s="7" t="inlineStr">
        <is>
          <t>firm survey of almost 3,000 Italian firms; probit-type regressions with instrumental-variables robustness</t>
        </is>
      </c>
      <c r="K272" s="7" t="inlineStr">
        <is>
          <t>firm green and digital (twin transition) investment; firm performance</t>
        </is>
      </c>
      <c r="L272" s="7" t="inlineStr">
        <is>
          <t>positive</t>
        </is>
      </c>
      <c r="M272" s="7" t="inlineStr">
        <is>
          <t>Firms activating NRRP projects are more likely to start and to continue twin-transition investment, especially in disadvantaged segments and areas; results robust to IV.</t>
        </is>
      </c>
      <c r="N272" s="7" t="inlineStr">
        <is>
          <t>Italian firms that took part in recovery-plan projects were more likely to invest in going green and digital.</t>
        </is>
      </c>
      <c r="O272" s="7" t="inlineStr">
        <is>
          <t>Italy, survey c.2022</t>
        </is>
      </c>
      <c r="P272" s="7" t="inlineStr">
        <is>
          <t>Survey-based and early; selection into NRRP projects is a concern despite IV; one co-author is from the Italian Treasury.</t>
        </is>
      </c>
      <c r="Q272" s="7" t="inlineStr"/>
      <c r="R272" s="7" t="inlineStr">
        <is>
          <t>open</t>
        </is>
      </c>
      <c r="S272" s="7" t="inlineStr">
        <is>
          <t>abstract read</t>
        </is>
      </c>
      <c r="T272" s="7" t="inlineStr">
        <is>
          <t>2026-10-10</t>
        </is>
      </c>
      <c r="U272" s="7" t="inlineStr">
        <is>
          <t>https://fondazionetorvergata.it/public/fondazioneceis/files/Ferri_2023_NRRP_effect_WP-MEF.pdf</t>
        </is>
      </c>
      <c r="V272" s="7" t="inlineStr">
        <is>
          <t>https://fondazionetorvergata.it/public/fondazioneceis/files/Ferri_2023_NRRP_effect_WP-MEF.pdf</t>
        </is>
      </c>
      <c r="W272" s="7" t="inlineStr"/>
    </row>
    <row r="273">
      <c r="A273" s="7" t="n">
        <v>52</v>
      </c>
      <c r="B273" s="7" t="inlineStr">
        <is>
          <t>Recovery and Resilience Facility</t>
        </is>
      </c>
      <c r="C273" s="7" t="inlineStr">
        <is>
          <t>evidence</t>
        </is>
      </c>
      <c r="D273" s="7" t="inlineStr">
        <is>
          <t>official</t>
        </is>
      </c>
      <c r="E273" s="7" t="inlineStr">
        <is>
          <t>2026-10 broadened search</t>
        </is>
      </c>
      <c r="F273" s="7" t="inlineStr">
        <is>
          <t>fernandezcerezo-2025-ebae-ngeu</t>
        </is>
      </c>
      <c r="G273" s="7" t="inlineStr">
        <is>
          <t>Fernández Cerezo, A., Puente Díaz, S. &amp; Veiga Duarte, R. (2025), Weak business investment in Spain following the pandemic: an analysis based on the Banco de España Business Activity Survey, Banco de España Economic Bulletin 2025/Q1</t>
        </is>
      </c>
      <c r="H273" s="7" t="n">
        <v>2025</v>
      </c>
      <c r="I273" s="7" t="inlineStr">
        <is>
          <t>agency report</t>
        </is>
      </c>
      <c r="J273" s="7" t="inlineStr">
        <is>
          <t>special module of the Banco de España Business Activity Survey (EBAE), descriptive statistics</t>
        </is>
      </c>
      <c r="K273" s="7" t="inlineStr">
        <is>
          <t>additionality of NGEU-funded firm investment</t>
        </is>
      </c>
      <c r="L273" s="7" t="inlineStr">
        <is>
          <t>positive</t>
        </is>
      </c>
      <c r="M273" s="7" t="inlineStr">
        <is>
          <t>45% of firms with NGEU-funded projects said they would not have made the investments without the funds and 31% would have made only part of them; additionality lower for green investment.</t>
        </is>
      </c>
      <c r="N273" s="7" t="inlineStr">
        <is>
          <t>Most Spanish firms that got EU recovery money say they would not have invested as much without it, though the effect is weaker for green projects.</t>
        </is>
      </c>
      <c r="O273" s="7" t="inlineStr">
        <is>
          <t>Spain, 2024 survey</t>
        </is>
      </c>
      <c r="P273" s="7" t="inlineStr">
        <is>
          <t>Self-reported counterfactual from firms, not a causal estimate; large representative central-bank survey.</t>
        </is>
      </c>
      <c r="Q273" s="7" t="inlineStr"/>
      <c r="R273" s="7" t="inlineStr">
        <is>
          <t>open</t>
        </is>
      </c>
      <c r="S273" s="7" t="inlineStr">
        <is>
          <t>abstract read</t>
        </is>
      </c>
      <c r="T273" s="7" t="inlineStr">
        <is>
          <t>2026-10-10</t>
        </is>
      </c>
      <c r="U273" s="7" t="inlineStr">
        <is>
          <t>https://doi.org/10.53479/38999</t>
        </is>
      </c>
      <c r="V273" s="7" t="inlineStr">
        <is>
          <t>https://www.bde.es/f/webbe/SES/Secciones/Publicaciones/InformesBoletinesRevistas/BoletinEconomico/25/T1/Files/be2501-art02e.pdf</t>
        </is>
      </c>
      <c r="W273" s="7" t="inlineStr"/>
    </row>
    <row r="274">
      <c r="A274" s="7" t="n">
        <v>52</v>
      </c>
      <c r="B274" s="7" t="inlineStr">
        <is>
          <t>Recovery and Resilience Facility</t>
        </is>
      </c>
      <c r="C274" s="7" t="inlineStr">
        <is>
          <t>evidence</t>
        </is>
      </c>
      <c r="D274" s="7" t="inlineStr">
        <is>
          <t>academic</t>
        </is>
      </c>
      <c r="E274" s="7" t="inlineStr">
        <is>
          <t>2026-10 broadened search</t>
        </is>
      </c>
      <c r="F274" s="7" t="inlineStr">
        <is>
          <t>havlik-2021-spreads</t>
        </is>
      </c>
      <c r="G274" s="7" t="inlineStr">
        <is>
          <t>Havlik, A., Heinemann, F., Helbig, S. &amp; Nover, J. (2021), Dispelling the shadow of fiscal dominance? Fiscal and monetary announcement effects for euro area sovereign spreads in the corona pandemic, ZEW Discussion Paper 21-050</t>
        </is>
      </c>
      <c r="H274" s="7" t="n">
        <v>2021</v>
      </c>
      <c r="I274" s="7" t="inlineStr">
        <is>
          <t>academic working paper</t>
        </is>
      </c>
      <c r="J274" s="7" t="inlineStr">
        <is>
          <t>event study regressions on government bond spreads of ten euro countries</t>
        </is>
      </c>
      <c r="K274" s="7" t="inlineStr">
        <is>
          <t>sovereign bond spreads</t>
        </is>
      </c>
      <c r="L274" s="7" t="inlineStr">
        <is>
          <t>positive</t>
        </is>
      </c>
      <c r="M274" s="7" t="inlineStr">
        <is>
          <t>Only the Next Generation EU announcement among fiscal measures had a smaller but statistically significant spread-reducing effect; PEPP had much larger effects.</t>
        </is>
      </c>
      <c r="N274" s="7" t="inlineStr">
        <is>
          <t>Announcing the EU recovery fund (of which the RRF is the core) slightly lowered borrowing costs for weaker euro countries, though ECB bond buying mattered far more.</t>
        </is>
      </c>
      <c r="O274" s="7" t="inlineStr">
        <is>
          <t>10 euro area countries, 2020</t>
        </is>
      </c>
      <c r="P274" s="7" t="inlineStr">
        <is>
          <t>Clean high-frequency event study, but measures the NGEU announcement (before the RRF Regulation), not the Regulation's implementation.</t>
        </is>
      </c>
      <c r="Q274" s="7" t="inlineStr"/>
      <c r="R274" s="7" t="inlineStr">
        <is>
          <t>open</t>
        </is>
      </c>
      <c r="S274" s="7" t="inlineStr">
        <is>
          <t>abstract read</t>
        </is>
      </c>
      <c r="T274" s="7" t="inlineStr">
        <is>
          <t>2026-10-10</t>
        </is>
      </c>
      <c r="U274" s="7" t="inlineStr">
        <is>
          <t>https://econpapers.repec.org/RePEc:zbw:zewdip:21050</t>
        </is>
      </c>
      <c r="V274" s="7" t="inlineStr">
        <is>
          <t>https://ftp.zew.de/pub/zew-docs/dp/dp21050.pdf</t>
        </is>
      </c>
      <c r="W274" s="7" t="inlineStr"/>
    </row>
    <row r="275">
      <c r="A275" s="7" t="n">
        <v>52</v>
      </c>
      <c r="B275" s="7" t="inlineStr">
        <is>
          <t>Recovery and Resilience Facility</t>
        </is>
      </c>
      <c r="C275" s="7" t="inlineStr">
        <is>
          <t>evidence</t>
        </is>
      </c>
      <c r="D275" s="7" t="inlineStr">
        <is>
          <t>academic</t>
        </is>
      </c>
      <c r="E275" s="7" t="inlineStr">
        <is>
          <t>2026-10 broadened search</t>
        </is>
      </c>
      <c r="F275" s="7" t="inlineStr">
        <is>
          <t>espinosa-2023-regional-scm</t>
        </is>
      </c>
      <c r="G275" s="7" t="inlineStr">
        <is>
          <t>Espinosa, P. (2023), On the Impact of Next Generation EU Funds: A Regional Synthetic Control Method Approach, Universitat de València Working Papers</t>
        </is>
      </c>
      <c r="H275" s="7" t="n">
        <v>2023</v>
      </c>
      <c r="I275" s="7" t="inlineStr">
        <is>
          <t>academic working paper</t>
        </is>
      </c>
      <c r="J275" s="7" t="inlineStr">
        <is>
          <t>regional synthetic control (Spanish regions)</t>
        </is>
      </c>
      <c r="K275" s="7" t="inlineStr">
        <is>
          <t>regional GDP per capita</t>
        </is>
      </c>
      <c r="L275" s="7" t="inlineStr">
        <is>
          <t>positive</t>
        </is>
      </c>
      <c r="M275" s="7" t="inlineStr">
        <is>
          <t>Finds NGEU funds raised Spanish regional GDP per capita in 2022 relative to a no-NGEU counterfactual (abstract gives no magnitude; 2023-24 projected).</t>
        </is>
      </c>
      <c r="N275" s="7" t="inlineStr">
        <is>
          <t>Spanish regions appear to have grown a little faster in 2022 because of EU recovery funds.</t>
        </is>
      </c>
      <c r="O275" s="7" t="inlineStr">
        <is>
          <t>Spain (regions), 2022 with projections to 2024</t>
        </is>
      </c>
      <c r="P275" s="7" t="inlineStr">
        <is>
          <t>Weak: unclear donor pool (all EU regions treated), very early and partly projected; unpublished working paper; author flags caution.</t>
        </is>
      </c>
      <c r="Q275" s="7" t="inlineStr"/>
      <c r="R275" s="7" t="inlineStr">
        <is>
          <t>open</t>
        </is>
      </c>
      <c r="S275" s="7" t="inlineStr">
        <is>
          <t>abstract read</t>
        </is>
      </c>
      <c r="T275" s="7" t="inlineStr">
        <is>
          <t>2026-10-10</t>
        </is>
      </c>
      <c r="U275" s="7" t="inlineStr">
        <is>
          <t>https://producciocientifica.uv.es/documentos/67bdc07d6e765f0ccc69d7cb</t>
        </is>
      </c>
      <c r="V275" s="7" t="inlineStr"/>
      <c r="W275" s="7" t="inlineStr"/>
    </row>
    <row r="276">
      <c r="A276" s="7" t="n">
        <v>52</v>
      </c>
      <c r="B276" s="7" t="inlineStr">
        <is>
          <t>Recovery and Resilience Facility</t>
        </is>
      </c>
      <c r="C276" s="7" t="inlineStr">
        <is>
          <t>evidence</t>
        </is>
      </c>
      <c r="D276" s="7" t="inlineStr">
        <is>
          <t>official</t>
        </is>
      </c>
      <c r="E276" s="7" t="inlineStr">
        <is>
          <t>2026-10 broadened search</t>
        </is>
      </c>
      <c r="F276" s="7" t="inlineStr">
        <is>
          <t>eca-2025-sr13-digital</t>
        </is>
      </c>
      <c r="G276" s="7" t="inlineStr">
        <is>
          <t>European Court of Auditors (2025), Support from the Recovery and Resilience Facility for the digital transition in EU member states (Special report 13/2025), European Court of Auditors</t>
        </is>
      </c>
      <c r="H276" s="7" t="n">
        <v>2025</v>
      </c>
      <c r="I276" s="7" t="inlineStr">
        <is>
          <t>ECA special report</t>
        </is>
      </c>
      <c r="J276" s="7" t="inlineStr">
        <is>
          <t>performance audit: document review, surveys of member states, sample of 27 digital measures in DK, FR, IT, LU, RO; milestone completion analysis</t>
        </is>
      </c>
      <c r="K276" s="7" t="inlineStr">
        <is>
          <t>digital spending allocation, milestones and targets, results of digital measures</t>
        </is>
      </c>
      <c r="L276" s="7" t="inlineStr">
        <is>
          <t>negative</t>
        </is>
      </c>
      <c r="M276" s="7" t="inlineStr">
        <is>
          <t>All member states met the 20% digital spending target, but more than one third of final milestones and targets in the sample were inadequate or unambitious and results could be assessed for only 5 of 15 completed measures; a 'missed opportunity'.</t>
        </is>
      </c>
      <c r="N276" s="7" t="inlineStr">
        <is>
          <t>Auditors found countries met the rule to spend a fifth of recovery money on digital, but often not on their biggest digital weaknesses, and progress is poorly measured.</t>
        </is>
      </c>
      <c r="O276" s="7" t="inlineStr">
        <is>
          <t>EU-27, five sampled member states; 2021-2024</t>
        </is>
      </c>
      <c r="P276" s="7" t="inlineStr">
        <is>
          <t>Independent audit with structured sample; qualitative-plus-counts, not causal.</t>
        </is>
      </c>
      <c r="Q276" s="7" t="inlineStr"/>
      <c r="R276" s="7" t="inlineStr">
        <is>
          <t>open</t>
        </is>
      </c>
      <c r="S276" s="7" t="inlineStr">
        <is>
          <t>full text read</t>
        </is>
      </c>
      <c r="T276" s="7" t="inlineStr">
        <is>
          <t>2026-10-10</t>
        </is>
      </c>
      <c r="U276" s="7" t="inlineStr">
        <is>
          <t>https://www.eca.europa.eu/en/publications/SR-2025-13</t>
        </is>
      </c>
      <c r="V276" s="7" t="inlineStr">
        <is>
          <t>https://www.eca.europa.eu/ECAPublications/SR-2025-13/SR-2025-13_EN.pdf</t>
        </is>
      </c>
      <c r="W276" s="7" t="inlineStr"/>
    </row>
    <row r="277">
      <c r="A277" s="7" t="n">
        <v>52</v>
      </c>
      <c r="B277" s="7" t="inlineStr">
        <is>
          <t>Recovery and Resilience Facility</t>
        </is>
      </c>
      <c r="C277" s="7" t="inlineStr">
        <is>
          <t>evidence</t>
        </is>
      </c>
      <c r="D277" s="7" t="inlineStr">
        <is>
          <t>official</t>
        </is>
      </c>
      <c r="E277" s="7" t="inlineStr">
        <is>
          <t>2026-10 broadened search</t>
        </is>
      </c>
      <c r="F277" s="7" t="inlineStr">
        <is>
          <t>eca-2025-sr21-business</t>
        </is>
      </c>
      <c r="G277" s="7" t="inlineStr">
        <is>
          <t>European Court of Auditors (2025), RRF support for an improved business environment (Special report 21/2025), European Court of Auditors</t>
        </is>
      </c>
      <c r="H277" s="7" t="n">
        <v>2025</v>
      </c>
      <c r="I277" s="7" t="inlineStr">
        <is>
          <t>ECA special report</t>
        </is>
      </c>
      <c r="J277" s="7" t="inlineStr">
        <is>
          <t>performance audit of business-environment reforms across all RRPs and 25 sampled reforms in BG, ES, CY, AT</t>
        </is>
      </c>
      <c r="K277" s="7" t="inlineStr">
        <is>
          <t>coverage of country-specific recommendations; outputs and results of reforms</t>
        </is>
      </c>
      <c r="L277" s="7" t="inlineStr">
        <is>
          <t>mixed</t>
        </is>
      </c>
      <c r="M277" s="7" t="inlineStr">
        <is>
          <t>Two thirds of 2019-2020 business-environment sub-CSRs were addressed by RRPs, but almost half only marginally and none in full; only one third of completed sampled reforms showed significant results.</t>
        </is>
      </c>
      <c r="N277" s="7" t="inlineStr">
        <is>
          <t>The recovery fund's business reforms tackled some of the EU's recommendations, but rarely fully, and only a third of finished reforms showed real results.</t>
        </is>
      </c>
      <c r="O277" s="7" t="inlineStr">
        <is>
          <t>EU-27; BG, ES, CY, AT; Feb 2020-Apr 2025</t>
        </is>
      </c>
      <c r="P277" s="7" t="inlineStr">
        <is>
          <t>Independent audit; structured assessment with counts; small reform sample.</t>
        </is>
      </c>
      <c r="Q277" s="7" t="inlineStr"/>
      <c r="R277" s="7" t="inlineStr">
        <is>
          <t>open</t>
        </is>
      </c>
      <c r="S277" s="7" t="inlineStr">
        <is>
          <t>full text read</t>
        </is>
      </c>
      <c r="T277" s="7" t="inlineStr">
        <is>
          <t>2026-10-10</t>
        </is>
      </c>
      <c r="U277" s="7" t="inlineStr">
        <is>
          <t>https://www.eca.europa.eu/en/publications/SR-2025-21</t>
        </is>
      </c>
      <c r="V277" s="7" t="inlineStr">
        <is>
          <t>https://www.eca.europa.eu/ECAPublications/SR-2025-21/SR-2025-21_EN.pdf</t>
        </is>
      </c>
      <c r="W277" s="7" t="inlineStr"/>
    </row>
    <row r="278">
      <c r="A278" s="7" t="n">
        <v>52</v>
      </c>
      <c r="B278" s="7" t="inlineStr">
        <is>
          <t>Recovery and Resilience Facility</t>
        </is>
      </c>
      <c r="C278" s="7" t="inlineStr">
        <is>
          <t>evidence</t>
        </is>
      </c>
      <c r="D278" s="7" t="inlineStr">
        <is>
          <t>think tank</t>
        </is>
      </c>
      <c r="E278" s="7" t="inlineStr">
        <is>
          <t>2026-10 broadened search</t>
        </is>
      </c>
      <c r="F278" s="7" t="inlineStr">
        <is>
          <t>darvas-2023-performance</t>
        </is>
      </c>
      <c r="G278" s="7" t="inlineStr">
        <is>
          <t>Darvas, Z., Welslau, L. &amp; Zettelmeyer, J. (2023), The EU Recovery and Resilience Facility falls short against performance-based funding standards, Bruegel Analysis 08/2023</t>
        </is>
      </c>
      <c r="H278" s="7" t="n">
        <v>2023</v>
      </c>
      <c r="I278" s="7" t="inlineStr">
        <is>
          <t>think tank policy brief</t>
        </is>
      </c>
      <c r="J278" s="7" t="inlineStr">
        <is>
          <t>structured content analysis of milestones and targets in seven national recovery plans (input/output/result classification)</t>
        </is>
      </c>
      <c r="K278" s="7" t="inlineStr">
        <is>
          <t>use of result vs input/output indicators in national plans</t>
        </is>
      </c>
      <c r="L278" s="7" t="inlineStr">
        <is>
          <t>negative</t>
        </is>
      </c>
      <c r="M278" s="7" t="inlineStr">
        <is>
          <t>Input indicators make up more than half of all indicators for Germany, almost half for France and over a third for the Netherlands and Spain, while Finland, Italy and Romania use many result indicators.</t>
        </is>
      </c>
      <c r="N278" s="7" t="inlineStr">
        <is>
          <t>Bruegel found that many recovery plans pay out for money spent or things built rather than for real results, which undercuts the claim that the fund is performance-based.</t>
        </is>
      </c>
      <c r="O278" s="7" t="inlineStr">
        <is>
          <t>DE, FR, ES, FI, IT, NL, RO; plans as adopted 2021-2022</t>
        </is>
      </c>
      <c r="P278" s="7" t="inlineStr">
        <is>
          <t>Descriptive design analysis of plans, not of outcomes; early.</t>
        </is>
      </c>
      <c r="Q278" s="7" t="inlineStr">
        <is>
          <t>Bruegel is funded partly by EU member states and corporate members; no specific position on the RRF</t>
        </is>
      </c>
      <c r="R278" s="7" t="inlineStr">
        <is>
          <t>open</t>
        </is>
      </c>
      <c r="S278" s="7" t="inlineStr">
        <is>
          <t>full text read</t>
        </is>
      </c>
      <c r="T278" s="7" t="inlineStr">
        <is>
          <t>2026-10-10</t>
        </is>
      </c>
      <c r="U278" s="7" t="inlineStr">
        <is>
          <t>https://www.bruegel.org/analysis/eu-recovery-and-resilience-facility-falls-short-against-performance-based-funding</t>
        </is>
      </c>
      <c r="V278" s="7" t="inlineStr"/>
      <c r="W278" s="7" t="inlineStr"/>
    </row>
    <row r="279">
      <c r="A279" s="7" t="n">
        <v>52</v>
      </c>
      <c r="B279" s="7" t="inlineStr">
        <is>
          <t>Recovery and Resilience Facility</t>
        </is>
      </c>
      <c r="C279" s="7" t="inlineStr">
        <is>
          <t>evidence</t>
        </is>
      </c>
      <c r="D279" s="7" t="inlineStr">
        <is>
          <t>consultancy or industry</t>
        </is>
      </c>
      <c r="E279" s="7" t="inlineStr">
        <is>
          <t>2026-10 broadened search</t>
        </is>
      </c>
      <c r="F279" s="7" t="inlineStr">
        <is>
          <t>ecorys-ceps-2024-rrf-midterm-study</t>
        </is>
      </c>
      <c r="G279" s="7" t="inlineStr">
        <is>
          <t>Ecorys, CEPS, CSIL, NIESR &amp; Wavestone (for DG ECFIN) (2024), Study supporting the mid-term evaluation of the Recovery and Resilience Facility, European Commission (DG ECFIN) external study</t>
        </is>
      </c>
      <c r="H279" s="7" t="n">
        <v>2024</v>
      </c>
      <c r="I279" s="7" t="inlineStr">
        <is>
          <t>Commission evaluation</t>
        </is>
      </c>
      <c r="J279" s="7" t="inlineStr">
        <is>
          <t>mixed-method evaluation: interviews and surveys of national coordination bodies, case studies, macro-model (NiGEM) estimates</t>
        </is>
      </c>
      <c r="K279" s="7" t="inlineStr">
        <is>
          <t>GDP, unemployment, implementation, efficiency</t>
        </is>
      </c>
      <c r="L279" s="7" t="inlineStr">
        <is>
          <t>positive</t>
        </is>
      </c>
      <c r="M279" s="7" t="inlineStr">
        <is>
          <t>Estimates GDP 0.4% higher in 2022 and unemployment 0.2 pp lower than without RRF spending; flags implementation delays and administrative burden.</t>
        </is>
      </c>
      <c r="N279" s="7" t="inlineStr">
        <is>
          <t>An independent consortium hired by the Commission judged that the recovery fund lifted EU output a little in 2022 but faced delays and red tape.</t>
        </is>
      </c>
      <c r="O279" s="7" t="inlineStr">
        <is>
          <t>EU-27, 2021-2023</t>
        </is>
      </c>
      <c r="P279" s="7" t="inlineStr">
        <is>
          <t>Macro effect is model-based, not estimated from outcome data; underpins the Commission's own mid-term evaluation SWD (already listed), so partly overlapping; commissioned by the Commission.</t>
        </is>
      </c>
      <c r="Q279" s="7" t="inlineStr">
        <is>
          <t>Commissioned by the European Commission (DG ECFIN)</t>
        </is>
      </c>
      <c r="R279" s="7" t="inlineStr">
        <is>
          <t>open</t>
        </is>
      </c>
      <c r="S279" s="7" t="inlineStr">
        <is>
          <t>abstract read</t>
        </is>
      </c>
      <c r="T279" s="7" t="inlineStr">
        <is>
          <t>2026-10-10</t>
        </is>
      </c>
      <c r="U279" s="7" t="inlineStr">
        <is>
          <t>https://www.ecorys.com/case-studies/study-informing-the-mid-term-evaluation-of-the-eus-recovery-and-resilience-facility/</t>
        </is>
      </c>
      <c r="V279" s="7" t="inlineStr"/>
      <c r="W279" s="7" t="inlineStr"/>
    </row>
    <row r="280">
      <c r="A280" s="7" t="n">
        <v>52</v>
      </c>
      <c r="B280" s="7" t="inlineStr">
        <is>
          <t>Recovery and Resilience Facility</t>
        </is>
      </c>
      <c r="C280" s="7" t="inlineStr">
        <is>
          <t>evidence</t>
        </is>
      </c>
      <c r="D280" s="7" t="inlineStr">
        <is>
          <t>official</t>
        </is>
      </c>
      <c r="E280" s="7" t="inlineStr">
        <is>
          <t>2026-10 broadened search</t>
        </is>
      </c>
      <c r="F280" s="7" t="inlineStr">
        <is>
          <t>delemos-2026-rrd-briefing</t>
        </is>
      </c>
      <c r="G280" s="7" t="inlineStr">
        <is>
          <t>Samuel De Lemos, Giacomo Loi, Mentor Mehmedi, Rudi Becker Đuricic (EGOV), Andras Schwarcz, Anda-Diana Ghiran-Merveille, Ludovica Munari (BSU), European Parliament (2026), Recovery and Resilience Dialogue with the European Commission: BUDG-ECON Committee meeting on 9 February 2026 (In-depth analysis, PE 779.862), European Parliament, Economic Governance and EMU Scrutiny Unit (EGOV) and Budgetary Support Unit</t>
        </is>
      </c>
      <c r="H280" s="7" t="n">
        <v>2026</v>
      </c>
      <c r="I280" s="7" t="inlineStr">
        <is>
          <t>parliamentary research briefing</t>
        </is>
      </c>
      <c r="J280" s="7" t="inlineStr">
        <is>
          <t>descriptive statistics from the Commission's RRF Scoreboard (absorption, milestones, plan revisions) plus country case notes</t>
        </is>
      </c>
      <c r="K280" s="7" t="inlineStr">
        <is>
          <t>disbursement and absorption rates, milestone fulfilment, reasons for plan amendments</t>
        </is>
      </c>
      <c r="L280" s="7" t="inlineStr">
        <is>
          <t>descriptive</t>
        </is>
      </c>
      <c r="M280" s="7" t="inlineStr">
        <is>
          <t>By end-January 2026, 66% of RRF grants and 77% of loans had been disbursed, but cutting eight countries' loan envelopes alone raised the Facility-wide absorption rate from 60.5% to 68.3%, and 57% of plan amendments since June 2025 cited 'administrative simplification' (vs 15% before).</t>
        </is>
      </c>
      <c r="N280" s="7" t="inlineStr">
        <is>
          <t>Parliament's own analysts show that much of the recent 'progress' in spending EU recovery money comes from countries shrinking the loans they asked for, not from faster delivery, and that late plan changes increasingly water down commitments.</t>
        </is>
      </c>
      <c r="O280" s="7" t="inlineStr">
        <is>
          <t>EU-27, 2021 to January 2026</t>
        </is>
      </c>
      <c r="P280" s="7" t="inlineStr">
        <is>
          <t>Official descriptive monitoring based on public Scoreboard data; no causal analysis; useful decomposition of absorption figures.</t>
        </is>
      </c>
      <c r="Q280" s="7" t="inlineStr"/>
      <c r="R280" s="7" t="inlineStr">
        <is>
          <t>open</t>
        </is>
      </c>
      <c r="S280" s="7" t="inlineStr">
        <is>
          <t>full text read</t>
        </is>
      </c>
      <c r="T280" s="7" t="inlineStr">
        <is>
          <t>2026-10-10</t>
        </is>
      </c>
      <c r="U280" s="7" t="inlineStr">
        <is>
          <t>https://www.europarl.europa.eu/meetdocs/2024_2029/plmrep/COMMITTEES/ECON/DV/2026/02-09/ECTI_IDA2026779862_EN.pdf</t>
        </is>
      </c>
      <c r="V280" s="7" t="inlineStr">
        <is>
          <t>https://www.europarl.europa.eu/meetdocs/2024_2029/plmrep/COMMITTEES/ECON/DV/2026/02-09/ECTI_IDA2026779862_EN.pdf</t>
        </is>
      </c>
      <c r="W280" s="7" t="inlineStr"/>
    </row>
    <row r="281">
      <c r="A281" s="7" t="n">
        <v>52</v>
      </c>
      <c r="B281" s="7" t="inlineStr">
        <is>
          <t>Recovery and Resilience Facility</t>
        </is>
      </c>
      <c r="C281" s="7" t="inlineStr">
        <is>
          <t>evidence</t>
        </is>
      </c>
      <c r="D281" s="7" t="inlineStr">
        <is>
          <t>think tank</t>
        </is>
      </c>
      <c r="E281" s="7" t="inlineStr">
        <is>
          <t>2026-10 broadened search</t>
        </is>
      </c>
      <c r="F281" s="7" t="inlineStr">
        <is>
          <t>hidalgo-2026-nextgen-tracker-spain</t>
        </is>
      </c>
      <c r="G281" s="7" t="inlineStr">
        <is>
          <t>Manuel Hidalgo, Jorge Galindo, Javier Martínez (EsadeEcPol) (2026), Evolución de los Fondos Next-Gen EU en España (EsadeEcPol Policy Brief #55), EsadeEcPol (Esade Center for Economic Policy)</t>
        </is>
      </c>
      <c r="H281" s="7" t="n">
        <v>2026</v>
      </c>
      <c r="I281" s="7" t="inlineStr">
        <is>
          <t>think tank policy brief</t>
        </is>
      </c>
      <c r="J281" s="7" t="inlineStr">
        <is>
          <t>descriptive statistics from the EsadeEcPol NextGenEU Tracker (calls, awards and beneficiaries of Spain's recovery plan, data to 12 March 2026)</t>
        </is>
      </c>
      <c r="K281" s="7" t="inlineStr">
        <is>
          <t>funds called vs awarded, regional and sectoral distribution, concentration of beneficiaries</t>
        </is>
      </c>
      <c r="L281" s="7" t="inlineStr">
        <is>
          <t>descriptive</t>
        </is>
      </c>
      <c r="M281" s="7" t="inlineStr">
        <is>
          <t>Spain had called EUR 90.7bn in RRF grants but awarded only EUR 63.4bn by March 2026 (a EUR 27bn gap), and the top 1% of beneficiaries received 71.4% of the value awarded, with construction taking over EUR 13bn versus about EUR 1.3bn for education and health combined.</t>
        </is>
      </c>
      <c r="N281" s="7" t="inlineStr">
        <is>
          <t>A Spanish think tank tracking the EU recovery money finds that a large share was still not awarded months before the deadline, and that most of what was awarded went to a small number of big recipients and to building works rather than skills or health.</t>
        </is>
      </c>
      <c r="O281" s="7" t="inlineStr">
        <is>
          <t>Spain, 2021 to March 2026</t>
        </is>
      </c>
      <c r="P281" s="7" t="inlineStr">
        <is>
          <t>Careful administrative-data tracker; descriptive only; awards are not the same as spending or impact.</t>
        </is>
      </c>
      <c r="Q281" s="7" t="inlineStr"/>
      <c r="R281" s="7" t="inlineStr">
        <is>
          <t>open</t>
        </is>
      </c>
      <c r="S281" s="7" t="inlineStr">
        <is>
          <t>full text read</t>
        </is>
      </c>
      <c r="T281" s="7" t="inlineStr">
        <is>
          <t>2026-10-10</t>
        </is>
      </c>
      <c r="U281" s="7" t="inlineStr">
        <is>
          <t>https://www.esade.edu/ecpol/wp-content/uploads/2026/04/EsadeEcPol_fondos_brief_ES.pdf</t>
        </is>
      </c>
      <c r="V281" s="7" t="inlineStr">
        <is>
          <t>https://www.esade.edu/ecpol/wp-content/uploads/2026/04/EsadeEcPol_fondos_brief_ES.pdf</t>
        </is>
      </c>
      <c r="W281" s="7" t="inlineStr"/>
    </row>
    <row r="282">
      <c r="A282" s="7" t="n">
        <v>52</v>
      </c>
      <c r="B282" s="7" t="inlineStr">
        <is>
          <t>Recovery and Resilience Facility</t>
        </is>
      </c>
      <c r="C282" s="7" t="inlineStr">
        <is>
          <t>evidence</t>
        </is>
      </c>
      <c r="D282" s="7" t="inlineStr">
        <is>
          <t>think tank</t>
        </is>
      </c>
      <c r="E282" s="7" t="inlineStr">
        <is>
          <t>2026-10 broadened search</t>
        </is>
      </c>
      <c r="F282" s="7" t="inlineStr">
        <is>
          <t>funcas-2025-nextgen-transformacion</t>
        </is>
      </c>
      <c r="G282" s="7" t="inlineStr">
        <is>
          <t>Área financiera y digitalización de Funcas (2025), Fondos NextGen: ¿la transformación que no llega? (Cuadernos de Información Económica, n.º 308), Funcas, Cuadernos de Información Económica 308 (September-October 2025)</t>
        </is>
      </c>
      <c r="H282" s="7" t="n">
        <v>2025</v>
      </c>
      <c r="I282" s="7" t="inlineStr">
        <is>
          <t>think tank report</t>
        </is>
      </c>
      <c r="J282" s="7" t="inlineStr">
        <is>
          <t>descriptive analysis of budget execution data for Spain's Recovery, Transformation and Resilience Plan</t>
        </is>
      </c>
      <c r="K282" s="7" t="inlineStr">
        <is>
          <t>commitments vs actual payments, share of current vs investment spending</t>
        </is>
      </c>
      <c r="L282" s="7" t="inlineStr">
        <is>
          <t>negative</t>
        </is>
      </c>
      <c r="M282" s="7" t="inlineStr">
        <is>
          <t>By mid-2025 fewer than one third of Spain's NextGen budget credits had turned into actual payments, and about 25% of resources went to current rather than investment spending.</t>
        </is>
      </c>
      <c r="N282" s="7" t="inlineStr">
        <is>
          <t>Spain was quick to sign up for and receive EU recovery money, but slow to actually spend it, and a quarter went on day-to-day costs rather than long-term investment, so the promised transformation of the economy has been limited.</t>
        </is>
      </c>
      <c r="O282" s="7" t="inlineStr">
        <is>
          <t>Spain, 2021 to mid-2025</t>
        </is>
      </c>
      <c r="P282" s="7" t="inlineStr">
        <is>
          <t>Descriptive budget-execution analysis by an established think tank; abstract and introduction read; no counterfactual.</t>
        </is>
      </c>
      <c r="Q282" s="7" t="inlineStr">
        <is>
          <t>Funcas is the research foundation of the Spanish savings-bank confederation (CECA)</t>
        </is>
      </c>
      <c r="R282" s="7" t="inlineStr">
        <is>
          <t>open</t>
        </is>
      </c>
      <c r="S282" s="7" t="inlineStr">
        <is>
          <t>abstract read</t>
        </is>
      </c>
      <c r="T282" s="7" t="inlineStr">
        <is>
          <t>2026-10-10</t>
        </is>
      </c>
      <c r="U282" s="7" t="inlineStr">
        <is>
          <t>https://www.funcas.es/articulos/fondos-nextgen-la-transformacion-que-no-llega/</t>
        </is>
      </c>
      <c r="V282" s="7" t="inlineStr"/>
      <c r="W282" s="7" t="inlineStr"/>
    </row>
    <row r="283">
      <c r="A283" s="7" t="n">
        <v>46</v>
      </c>
      <c r="B283" s="7" t="inlineStr">
        <is>
          <t>InvestEU Programme</t>
        </is>
      </c>
      <c r="C283" s="7" t="inlineStr">
        <is>
          <t>ex-ante assessment</t>
        </is>
      </c>
      <c r="D283" s="7" t="inlineStr">
        <is>
          <t>official</t>
        </is>
      </c>
      <c r="E283" s="7" t="inlineStr">
        <is>
          <t>initial review</t>
        </is>
      </c>
      <c r="F283" s="7" t="inlineStr">
        <is>
          <t>ec-2018-investeu-ia</t>
        </is>
      </c>
      <c r="G283" s="7" t="inlineStr">
        <is>
          <t>European Commission (2018), Impact Assessment accompanying the proposal establishing the InvestEU Programme, SWD(2018) 314</t>
        </is>
      </c>
      <c r="H283" s="7" t="n">
        <v>2018</v>
      </c>
      <c r="I283" s="7" t="inlineStr">
        <is>
          <t>Commission impact assessment</t>
        </is>
      </c>
      <c r="J283" s="7" t="inlineStr">
        <is>
          <t>ex-ante (builds on EFSI and financial instrument evaluations)</t>
        </is>
      </c>
      <c r="K283" s="7" t="inlineStr">
        <is>
          <t>investment mobilised</t>
        </is>
      </c>
      <c r="L283" s="7" t="inlineStr">
        <is>
          <t>positive (forecast)</t>
        </is>
      </c>
      <c r="M283" s="7" t="inlineStr">
        <is>
          <t>Single EU guarantee of EUR 38bn expected to mobilise EUR 650bn of investment, with a more cautious multiplier than EFSI because of riskier, policy-targeted products; EFSI multiplier 13.5 at end-2017 against a target of 15</t>
        </is>
      </c>
      <c r="N283" s="7" t="inlineStr">
        <is>
          <t>The Commission expected merging EU investment instruments into one guarantee programme to unlock EUR 650 billion of investment; the final, smaller programme targets EUR 372 billion.</t>
        </is>
      </c>
      <c r="O283" s="7" t="inlineStr">
        <is>
          <t>EU, forecast</t>
        </is>
      </c>
      <c r="P283" s="7" t="inlineStr">
        <is>
          <t>forecast for original 2018 proposal; budget later reduced</t>
        </is>
      </c>
      <c r="Q283" s="7" t="inlineStr"/>
      <c r="R283" s="7" t="inlineStr">
        <is>
          <t>open</t>
        </is>
      </c>
      <c r="S283" s="7" t="inlineStr">
        <is>
          <t>full text partly read</t>
        </is>
      </c>
      <c r="T283" s="7" t="inlineStr">
        <is>
          <t>2026-10-10</t>
        </is>
      </c>
      <c r="U283" s="7" t="inlineStr">
        <is>
          <t>https://eur-lex.europa.eu/legal-content/EN/TXT/?uri=CELEX:52018SC0314</t>
        </is>
      </c>
      <c r="V283" s="7" t="inlineStr"/>
      <c r="W283" s="7" t="inlineStr"/>
    </row>
    <row r="284">
      <c r="A284" s="7" t="n">
        <v>46</v>
      </c>
      <c r="B284" s="7" t="inlineStr">
        <is>
          <t>InvestEU Programme</t>
        </is>
      </c>
      <c r="C284" s="7" t="inlineStr">
        <is>
          <t>evidence</t>
        </is>
      </c>
      <c r="D284" s="7" t="inlineStr">
        <is>
          <t>official</t>
        </is>
      </c>
      <c r="E284" s="7" t="inlineStr">
        <is>
          <t>initial review</t>
        </is>
      </c>
      <c r="F284" s="7" t="inlineStr">
        <is>
          <t>ec-2024-investeu-interim-eval</t>
        </is>
      </c>
      <c r="G284" s="7" t="inlineStr">
        <is>
          <t>European Commission (based on ICF study) (2024), Interim evaluation of the InvestEU Programme, SWD(2024) 228 (executive summary SWD(2024) 229)</t>
        </is>
      </c>
      <c r="H284" s="7" t="n">
        <v>2024</v>
      </c>
      <c r="I284" s="7" t="inlineStr">
        <is>
          <t>Commission evaluation</t>
        </is>
      </c>
      <c r="J284" s="7" t="inlineStr">
        <is>
          <t>interim evaluation (portfolio data to end-2023, interviews, surveys)</t>
        </is>
      </c>
      <c r="K284" s="7" t="inlineStr">
        <is>
          <t>investment mobilised; additionality</t>
        </is>
      </c>
      <c r="L284" s="7" t="inlineStr">
        <is>
          <t>positive (self-assessment)</t>
        </is>
      </c>
      <c r="M284" s="7" t="inlineStr">
        <is>
          <t>About EUR 218bn expected to be mobilised by end-2023 (65% private), anticipated multiplier 14.76; 90% of the EUR 26.2bn guarantee allocated; meaningful crowding-in and high additionality; budget insufficient relative to demand</t>
        </is>
      </c>
      <c r="N284" s="7" t="inlineStr">
        <is>
          <t>The Commission's mid-term review says InvestEU was on track to unlock EUR 218 billion of investment by end-2023, most of it private, and that demand exceeds its budget.</t>
        </is>
      </c>
      <c r="O284" s="7" t="inlineStr">
        <is>
          <t>EU, 2021-2023</t>
        </is>
      </c>
      <c r="P284" s="7" t="inlineStr">
        <is>
          <t>self-evaluation; mobilisation figures are expected, not realised; no counterfactual</t>
        </is>
      </c>
      <c r="Q284" s="7" t="inlineStr"/>
      <c r="R284" s="7" t="inlineStr">
        <is>
          <t>open</t>
        </is>
      </c>
      <c r="S284" s="7" t="inlineStr">
        <is>
          <t>page summary (Commission page and press report)</t>
        </is>
      </c>
      <c r="T284" s="7" t="inlineStr">
        <is>
          <t>2026-10-10</t>
        </is>
      </c>
      <c r="U284" s="7" t="inlineStr">
        <is>
          <t>https://investeu.europa.eu/interim-evaluation-investeu-programme_en</t>
        </is>
      </c>
      <c r="V284" s="7" t="inlineStr"/>
      <c r="W284" s="7" t="inlineStr"/>
    </row>
    <row r="285">
      <c r="A285" s="7" t="n">
        <v>46</v>
      </c>
      <c r="B285" s="7" t="inlineStr">
        <is>
          <t>InvestEU Programme</t>
        </is>
      </c>
      <c r="C285" s="7" t="inlineStr">
        <is>
          <t>evidence</t>
        </is>
      </c>
      <c r="D285" s="7" t="inlineStr">
        <is>
          <t>official</t>
        </is>
      </c>
      <c r="E285" s="7" t="inlineStr">
        <is>
          <t>initial review</t>
        </is>
      </c>
      <c r="F285" s="7" t="inlineStr">
        <is>
          <t>eca-2025-efsi-sr07</t>
        </is>
      </c>
      <c r="G285" s="7" t="inlineStr">
        <is>
          <t>European Court of Auditors (2025), The European Fund for Strategic Investments: contributed substantially to addressing the investment gap, but had not fully reached the EUR 500 billion target in the real economy by the end of 2022, ECA Special Report 07/2025</t>
        </is>
      </c>
      <c r="H285" s="7" t="n">
        <v>2025</v>
      </c>
      <c r="I285" s="7" t="inlineStr">
        <is>
          <t>independent audit</t>
        </is>
      </c>
      <c r="J285" s="7" t="inlineStr">
        <is>
          <t>audit of reported results</t>
        </is>
      </c>
      <c r="K285" s="7" t="inlineStr">
        <is>
          <t>investment mobilised; additionality</t>
        </is>
      </c>
      <c r="L285" s="7" t="inlineStr">
        <is>
          <t>negative (for predecessor's reporting)</t>
        </is>
      </c>
      <c r="M285" s="7" t="inlineStr">
        <is>
          <t>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is>
      </c>
      <c r="N285" s="7" t="inlineStr">
        <is>
          <t>The EU's auditors found that InvestEU's predecessor overstated the investment it unlocked by about a quarter and could not prove it funded projects that would not have happened anyway, a warning for how InvestEU's figures are read.</t>
        </is>
      </c>
      <c r="O285" s="7" t="inlineStr">
        <is>
          <t>EU, 2015-2022 (EFSI)</t>
        </is>
      </c>
      <c r="P285" s="7" t="inlineStr">
        <is>
          <t>audit of predecessor programme, same methodology lineage</t>
        </is>
      </c>
      <c r="Q285" s="7" t="inlineStr"/>
      <c r="R285" s="7" t="inlineStr">
        <is>
          <t>open</t>
        </is>
      </c>
      <c r="S285" s="7" t="inlineStr">
        <is>
          <t>abstract read (ECA press release and report contents)</t>
        </is>
      </c>
      <c r="T285" s="7" t="inlineStr">
        <is>
          <t>2026-10-10</t>
        </is>
      </c>
      <c r="U285" s="7" t="inlineStr">
        <is>
          <t>https://www.eca.europa.eu/ECAPublications/SR-2025-07/SR-2025-07_EN.pdf</t>
        </is>
      </c>
      <c r="V285" s="7" t="inlineStr">
        <is>
          <t>https://www.eca.europa.eu/ECAPublications/SR-2025-07/SR-2025-07_EN.pdf</t>
        </is>
      </c>
      <c r="W285" s="7" t="inlineStr">
        <is>
          <t>http://web.archive.org/web/20250803150211/https://www.eca.europa.eu/ECAPublications/SR-2025-07/SR-2025-07_EN.pdf</t>
        </is>
      </c>
    </row>
    <row r="286">
      <c r="A286" s="7" t="n">
        <v>46</v>
      </c>
      <c r="B286" s="7" t="inlineStr">
        <is>
          <t>InvestEU Programme</t>
        </is>
      </c>
      <c r="C286" s="7" t="inlineStr">
        <is>
          <t>evidence</t>
        </is>
      </c>
      <c r="D286" s="7" t="inlineStr">
        <is>
          <t>academic</t>
        </is>
      </c>
      <c r="E286" s="7" t="inlineStr">
        <is>
          <t>initial review</t>
        </is>
      </c>
      <c r="F286" s="7" t="inlineStr">
        <is>
          <t>frayman-2026-efsi</t>
        </is>
      </c>
      <c r="G286" s="7" t="inlineStr">
        <is>
          <t>Frayman (2026), The European Fund for Strategic Investments (EFSI): causal effects of a state lending policy, Journal of Economic Policy Reform</t>
        </is>
      </c>
      <c r="H286" s="7" t="n">
        <v>2026</v>
      </c>
      <c r="I286" s="7" t="inlineStr">
        <is>
          <t>peer-reviewed</t>
        </is>
      </c>
      <c r="J286" s="7" t="inlineStr">
        <is>
          <t>causal: difference-in-differences with matched controls</t>
        </is>
      </c>
      <c r="K286" s="7" t="inlineStr">
        <is>
          <t>firm investment (fixed assets)</t>
        </is>
      </c>
      <c r="L286" s="7" t="inlineStr">
        <is>
          <t>positive</t>
        </is>
      </c>
      <c r="M286" s="7" t="inlineStr">
        <is>
          <t>EFSI-backed direct EIB loans raised recipients' fixed-asset growth by about 12 percentage points on average after treatment</t>
        </is>
      </c>
      <c r="N286" s="7" t="inlineStr">
        <is>
          <t>A causal study of InvestEU's predecessor finds firms receiving its loans grew their fixed assets about 12 percentage points faster than similar firms.</t>
        </is>
      </c>
      <c r="O286" s="7" t="inlineStr">
        <is>
          <t>EU firms, EFSI period</t>
        </is>
      </c>
      <c r="P286" s="7" t="inlineStr">
        <is>
          <t>predecessor programme; direct loans, not guarantees</t>
        </is>
      </c>
      <c r="Q286" s="7" t="inlineStr"/>
      <c r="R286" s="7" t="inlineStr">
        <is>
          <t>paywalled</t>
        </is>
      </c>
      <c r="S286" s="7" t="inlineStr">
        <is>
          <t>page summary via search (Crossref metadata confirmed)</t>
        </is>
      </c>
      <c r="T286" s="7" t="inlineStr">
        <is>
          <t>2026-10-10</t>
        </is>
      </c>
      <c r="U286" s="7" t="inlineStr">
        <is>
          <t>https://doi.org/10.1080/17487870.2026.2613781</t>
        </is>
      </c>
      <c r="V286" s="7" t="inlineStr"/>
      <c r="W286" s="7" t="inlineStr"/>
    </row>
    <row r="287">
      <c r="A287" s="7" t="n">
        <v>46</v>
      </c>
      <c r="B287" s="7" t="inlineStr">
        <is>
          <t>InvestEU Programme</t>
        </is>
      </c>
      <c r="C287" s="7" t="inlineStr">
        <is>
          <t>evidence</t>
        </is>
      </c>
      <c r="D287" s="7" t="inlineStr">
        <is>
          <t>academic</t>
        </is>
      </c>
      <c r="E287" s="7" t="inlineStr">
        <is>
          <t>2026-10 broadened search</t>
        </is>
      </c>
      <c r="F287" s="7" t="inlineStr">
        <is>
          <t>bertoni-2025-cosme-beFRit</t>
        </is>
      </c>
      <c r="G287" s="7" t="inlineStr">
        <is>
          <t>Bertoni, F., Colombo, M.G., Quas, A. (2025), Economic impact assessment of the COSME Loan Guarantee Facility: evidence from Belgium, France and Italy, EIF Impact Assessment Working Paper 2025/107</t>
        </is>
      </c>
      <c r="H287" s="7" t="n">
        <v>2025</v>
      </c>
      <c r="I287" s="7" t="inlineStr">
        <is>
          <t>academic working paper</t>
        </is>
      </c>
      <c r="J287" s="7" t="inlineStr">
        <is>
          <t>difference-in-differences with propensity-score matching on firm accounts (3 years after signature), fixed-effects panel models, probit and Cox survival models</t>
        </is>
      </c>
      <c r="K287" s="7" t="inlineStr">
        <is>
          <t>SME growth in assets, sales, employment, fixed assets; labour productivity; survival</t>
        </is>
      </c>
      <c r="L287" s="7" t="inlineStr">
        <is>
          <t>positive</t>
        </is>
      </c>
      <c r="M287" s="7" t="inlineStr">
        <is>
          <t>Three years after the guaranteed loan, beneficiaries grew 8.0 pp more in assets, 5.4 pp in sales and 7.8 pp in employment than matched firms (all p&lt;0.01), with labour productivity about 2% lower.</t>
        </is>
      </c>
      <c r="N287" s="7" t="inlineStr">
        <is>
          <t>Small firms in Belgium, France and Italy that got bank loans backed by the EU's COSME guarantee grew faster in jobs, sales and investment than similar firms without one. The scheme is the direct predecessor of the InvestEU SME guarantee.</t>
        </is>
      </c>
      <c r="O287" s="7" t="inlineStr">
        <is>
          <t>2015-2023; Belgium, France, Italy</t>
        </is>
      </c>
      <c r="P287" s="7" t="inlineStr">
        <is>
          <t>Strong matched DiD on predecessor instrument (COSME LGF, now run under InvestEU's SME window); selection on unobservables possible</t>
        </is>
      </c>
      <c r="Q287" s="7" t="inlineStr">
        <is>
          <t>Published by the EIF, which manages the guarantees</t>
        </is>
      </c>
      <c r="R287" s="7" t="inlineStr">
        <is>
          <t>open</t>
        </is>
      </c>
      <c r="S287" s="7" t="inlineStr">
        <is>
          <t>full text read</t>
        </is>
      </c>
      <c r="T287" s="7" t="inlineStr">
        <is>
          <t>2026-10-10</t>
        </is>
      </c>
      <c r="U287" s="7" t="inlineStr">
        <is>
          <t>https://www.eif.org/news_centre/publications/eif-working-paper-2025-107.htm</t>
        </is>
      </c>
      <c r="V287" s="7" t="inlineStr">
        <is>
          <t>https://www.eif.org/news_centre/publications/eif-working-paper-2025-107.htm</t>
        </is>
      </c>
      <c r="W287" s="7" t="inlineStr"/>
    </row>
    <row r="288">
      <c r="A288" s="7" t="n">
        <v>46</v>
      </c>
      <c r="B288" s="7" t="inlineStr">
        <is>
          <t>InvestEU Programme</t>
        </is>
      </c>
      <c r="C288" s="7" t="inlineStr">
        <is>
          <t>evidence</t>
        </is>
      </c>
      <c r="D288" s="7" t="inlineStr">
        <is>
          <t>academic</t>
        </is>
      </c>
      <c r="E288" s="7" t="inlineStr">
        <is>
          <t>2026-10 broadened search</t>
        </is>
      </c>
      <c r="F288" s="7" t="inlineStr">
        <is>
          <t>bertoni-2025-cosme-grplesro</t>
        </is>
      </c>
      <c r="G288" s="7" t="inlineStr">
        <is>
          <t>Bertoni, F., Colombo, M.G., Quas, A. (2025), Economic impact assessment of the COSME Loan Guarantee Facility: evidence from Greece, Poland, Spain and Romania, EIF Impact Assessment Working Paper 2025/103</t>
        </is>
      </c>
      <c r="H288" s="7" t="n">
        <v>2025</v>
      </c>
      <c r="I288" s="7" t="inlineStr">
        <is>
          <t>academic working paper</t>
        </is>
      </c>
      <c r="J288" s="7" t="inlineStr">
        <is>
          <t>difference-in-differences with propensity-score matching on firm accounts, fixed-effects panel models, probit and Cox survival models</t>
        </is>
      </c>
      <c r="K288" s="7" t="inlineStr">
        <is>
          <t>SME growth in assets, sales, employment, fixed assets; productivity; bankruptcy</t>
        </is>
      </c>
      <c r="L288" s="7" t="inlineStr">
        <is>
          <t>positive</t>
        </is>
      </c>
      <c r="M288" s="7" t="inlineStr">
        <is>
          <t>Beneficiaries outgrew matched firms by 13.3 pp in assets, 10.8 pp in sales and 9.2 pp in employment after three years, with no productivity change, and were 2.8 pp less likely to go bankrupt by end-2023.</t>
        </is>
      </c>
      <c r="N288" s="7" t="inlineStr">
        <is>
          <t>In Greece, Poland, Spain and Romania, small firms with EU-guaranteed loans grew faster and were less likely to fail than comparable firms. This is evidence on the guarantee scheme that InvestEU continues.</t>
        </is>
      </c>
      <c r="O288" s="7" t="inlineStr">
        <is>
          <t>2015-2023; Greece, Poland, Spain, Romania</t>
        </is>
      </c>
      <c r="P288" s="7" t="inlineStr">
        <is>
          <t>Strong matched DiD on predecessor instrument (COSME LGF); unobserved selection possible</t>
        </is>
      </c>
      <c r="Q288" s="7" t="inlineStr">
        <is>
          <t>Published by the EIF, which manages the guarantees</t>
        </is>
      </c>
      <c r="R288" s="7" t="inlineStr">
        <is>
          <t>open</t>
        </is>
      </c>
      <c r="S288" s="7" t="inlineStr">
        <is>
          <t>full text read</t>
        </is>
      </c>
      <c r="T288" s="7" t="inlineStr">
        <is>
          <t>2026-10-10</t>
        </is>
      </c>
      <c r="U288" s="7" t="inlineStr">
        <is>
          <t>https://www.eif.org/news_centre/publications/eif-working-paper-2025-103.htm</t>
        </is>
      </c>
      <c r="V288" s="7" t="inlineStr">
        <is>
          <t>https://www.eif.org/news_centre/publications/eif-working-paper-2025-103.htm</t>
        </is>
      </c>
      <c r="W288" s="7" t="inlineStr"/>
    </row>
    <row r="289">
      <c r="A289" s="7" t="n">
        <v>46</v>
      </c>
      <c r="B289" s="7" t="inlineStr">
        <is>
          <t>InvestEU Programme</t>
        </is>
      </c>
      <c r="C289" s="7" t="inlineStr">
        <is>
          <t>evidence</t>
        </is>
      </c>
      <c r="D289" s="7" t="inlineStr">
        <is>
          <t>official</t>
        </is>
      </c>
      <c r="E289" s="7" t="inlineStr">
        <is>
          <t>2026-10 broadened search</t>
        </is>
      </c>
      <c r="F289" s="7" t="inlineStr">
        <is>
          <t>eib-2018-efsievaluation</t>
        </is>
      </c>
      <c r="G289" s="7" t="inlineStr">
        <is>
          <t>EIB Operations Evaluation Division (Bernabè, S., Benko, B. et al.; with Ramboll, GDCC, Panteia) (2018), Evaluation of the European Fund for Strategic Investments, EIB Operations Evaluation, Thematic Evaluation Report, June 2018</t>
        </is>
      </c>
      <c r="H289" s="7" t="n">
        <v>2018</v>
      </c>
      <c r="I289" s="7" t="inlineStr">
        <is>
          <t>agency report</t>
        </is>
      </c>
      <c r="J289" s="7" t="inlineStr">
        <is>
          <t>mixed-methods evaluation: portfolio data, original survey of Infrastructure and Innovation Window final beneficiaries, Commission survey of SME Window beneficiaries, case studies</t>
        </is>
      </c>
      <c r="K289" s="7" t="inlineStr">
        <is>
          <t>investment mobilised; additionality (would projects have happened without support)</t>
        </is>
      </c>
      <c r="L289" s="7" t="inlineStr">
        <is>
          <t>positive</t>
        </is>
      </c>
      <c r="M289" s="7" t="inlineStr">
        <is>
          <t>Surveys found 76% of SME-window and 67% of infrastructure-window operations would have stopped, shrunk or been delayed without EFSI-backed financing (81% for equity-type vs 63% for debt), and 98% of surveyed debt operations received inputs the market could not provide.</t>
        </is>
      </c>
      <c r="N289" s="7" t="inlineStr">
        <is>
          <t>The EIB's own evaluators found that most projects backed by the Juncker Plan guarantee, InvestEU's predecessor, said they would have been smaller, later or cancelled without it.</t>
        </is>
      </c>
      <c r="O289" s="7" t="inlineStr">
        <is>
          <t>2015-2017; EU28</t>
        </is>
      </c>
      <c r="P289" s="7" t="inlineStr">
        <is>
          <t>Predecessor (EFSI) evidence; self-reported counterfactual from beneficiary surveys, likely upward-biased; in-house evaluation</t>
        </is>
      </c>
      <c r="Q289" s="7" t="inlineStr">
        <is>
          <t>EIB evaluating its own operations</t>
        </is>
      </c>
      <c r="R289" s="7" t="inlineStr">
        <is>
          <t>open</t>
        </is>
      </c>
      <c r="S289" s="7" t="inlineStr">
        <is>
          <t>full text read</t>
        </is>
      </c>
      <c r="T289" s="7" t="inlineStr">
        <is>
          <t>2026-10-10</t>
        </is>
      </c>
      <c r="U289" s="7" t="inlineStr">
        <is>
          <t>https://www.eib.org/files/ev/ev_report_evaluation_of_efsi_en.pdf</t>
        </is>
      </c>
      <c r="V289" s="7" t="inlineStr">
        <is>
          <t>https://www.eib.org/files/ev/ev_report_evaluation_of_efsi_en.pdf</t>
        </is>
      </c>
      <c r="W289" s="7" t="inlineStr"/>
    </row>
    <row r="290">
      <c r="A290" s="7" t="n">
        <v>49</v>
      </c>
      <c r="B290" s="7" t="inlineStr">
        <is>
          <t>Single Market Programme</t>
        </is>
      </c>
      <c r="C290" s="7" t="inlineStr">
        <is>
          <t>ex-ante assessment</t>
        </is>
      </c>
      <c r="D290" s="7" t="inlineStr">
        <is>
          <t>official</t>
        </is>
      </c>
      <c r="E290" s="7" t="inlineStr">
        <is>
          <t>initial review</t>
        </is>
      </c>
      <c r="F290" s="7" t="inlineStr">
        <is>
          <t>ec-2018-smp-ia</t>
        </is>
      </c>
      <c r="G290" s="7" t="inlineStr">
        <is>
          <t>European Commission (2018), Impact Assessment accompanying the proposal establishing the Single Market Programme, SWD(2018) 320</t>
        </is>
      </c>
      <c r="H290" s="7" t="n">
        <v>2018</v>
      </c>
      <c r="I290" s="7" t="inlineStr">
        <is>
          <t>Commission impact assessment</t>
        </is>
      </c>
      <c r="J290" s="7" t="inlineStr">
        <is>
          <t>ex-ante (programme design; qualitative)</t>
        </is>
      </c>
      <c r="K290" s="7" t="inlineStr">
        <is>
          <t>programme design; single market functioning</t>
        </is>
      </c>
      <c r="L290" s="7" t="inlineStr">
        <is>
          <t>positive (forecast)</t>
        </is>
      </c>
      <c r="M290" s="7" t="inlineStr">
        <is>
          <t>Merges six predecessor programmes (COSME, consumer, standardisation, food chain, statistics, internal market tools) into one; justification largely qualitative, citing evaluations of predecessors; no macro forecast of programme impact</t>
        </is>
      </c>
      <c r="N290" s="7" t="inlineStr">
        <is>
          <t>The Commission argued that combining six existing funding lines into one Single Market Programme would make support for SMEs, consumers and enforcement simpler and more flexible, but did not forecast measurable economic effects.</t>
        </is>
      </c>
      <c r="O290" s="7" t="inlineStr">
        <is>
          <t>EU, 2021-2027</t>
        </is>
      </c>
      <c r="P290" s="7" t="inlineStr">
        <is>
          <t>forecast; qualitative</t>
        </is>
      </c>
      <c r="Q290" s="7" t="inlineStr"/>
      <c r="R290" s="7" t="inlineStr">
        <is>
          <t>open</t>
        </is>
      </c>
      <c r="S290" s="7" t="inlineStr">
        <is>
          <t>full text skimmed</t>
        </is>
      </c>
      <c r="T290" s="7" t="inlineStr">
        <is>
          <t>2026-10-10</t>
        </is>
      </c>
      <c r="U290" s="7" t="inlineStr">
        <is>
          <t>https://eur-lex.europa.eu/legal-content/EN/TXT/?uri=CELEX:52018SC0320</t>
        </is>
      </c>
      <c r="V290" s="7" t="inlineStr"/>
      <c r="W290" s="7" t="inlineStr">
        <is>
          <t>http://web.archive.org/web/20251122023230/https://eur-lex.europa.eu/legal-content/EN/TXT/?uri=celex%3A52018SC0320</t>
        </is>
      </c>
    </row>
    <row r="291">
      <c r="A291" s="7" t="n">
        <v>49</v>
      </c>
      <c r="B291" s="7" t="inlineStr">
        <is>
          <t>Single Market Programme</t>
        </is>
      </c>
      <c r="C291" s="7" t="inlineStr">
        <is>
          <t>evidence</t>
        </is>
      </c>
      <c r="D291" s="7" t="inlineStr">
        <is>
          <t>official</t>
        </is>
      </c>
      <c r="E291" s="7" t="inlineStr">
        <is>
          <t>initial review</t>
        </is>
      </c>
      <c r="F291" s="7" t="inlineStr">
        <is>
          <t>ec-2025-smp-interim</t>
        </is>
      </c>
      <c r="G291" s="7" t="inlineStr">
        <is>
          <t>European Commission (2025), Report on the interim evaluation of the Single Market Programme 2021-2027 (with SWD(2025) 172), COM(2025) 347</t>
        </is>
      </c>
      <c r="H291" s="7" t="n">
        <v>2025</v>
      </c>
      <c r="I291" s="7" t="inlineStr">
        <is>
          <t>Commission evaluation</t>
        </is>
      </c>
      <c r="J291" s="7" t="inlineStr">
        <is>
          <t>interim evaluation (external study by Prognos consortium; surveys, monitoring data, case studies)</t>
        </is>
      </c>
      <c r="K291" s="7" t="inlineStr">
        <is>
          <t>outputs; user satisfaction; SME support</t>
        </is>
      </c>
      <c r="L291" s="7" t="inlineStr">
        <is>
          <t>positive</t>
        </is>
      </c>
      <c r="M291" s="7" t="inlineStr">
        <is>
          <t>Positive conclusions for 2021-2023 across all pillars; EUR 1.9bn (44%) of EUR 4.35bn allocated; flagship SME services highly rated; but data collection weak, indicators need refining, and impact on SME growth should be measured with a harmonised survey</t>
        </is>
      </c>
      <c r="N291" s="7" t="inlineStr">
        <is>
          <t>The Commission's mid-term review rates the programme as effective, but most evidence is satisfaction surveys and activity counts; it admits impact on firms' growth is not yet measured.</t>
        </is>
      </c>
      <c r="O291" s="7" t="inlineStr">
        <is>
          <t>EU, 2021-2023</t>
        </is>
      </c>
      <c r="P291" s="7" t="inlineStr">
        <is>
          <t>self-evaluation; no counterfactual</t>
        </is>
      </c>
      <c r="Q291" s="7" t="inlineStr"/>
      <c r="R291" s="7" t="inlineStr">
        <is>
          <t>open</t>
        </is>
      </c>
      <c r="S291" s="7" t="inlineStr">
        <is>
          <t>full text read</t>
        </is>
      </c>
      <c r="T291" s="7" t="inlineStr">
        <is>
          <t>2026-10-10</t>
        </is>
      </c>
      <c r="U291" s="7" t="inlineStr">
        <is>
          <t>https://eur-lex.europa.eu/legal-content/EN/TXT/?uri=CELEX:52025DC0347</t>
        </is>
      </c>
      <c r="V291" s="7" t="inlineStr"/>
      <c r="W291" s="7" t="inlineStr">
        <is>
          <t>http://web.archive.org/web/20260213153009/https://eur-lex.europa.eu/legal-content/EN/TXT/?uri=CELEX:52025DC0347</t>
        </is>
      </c>
    </row>
    <row r="292">
      <c r="A292" s="7" t="n">
        <v>49</v>
      </c>
      <c r="B292" s="7" t="inlineStr">
        <is>
          <t>Single Market Programme</t>
        </is>
      </c>
      <c r="C292" s="7" t="inlineStr">
        <is>
          <t>evidence</t>
        </is>
      </c>
      <c r="D292" s="7" t="inlineStr">
        <is>
          <t>official</t>
        </is>
      </c>
      <c r="E292" s="7" t="inlineStr">
        <is>
          <t>2026-10 broadened search</t>
        </is>
      </c>
      <c r="F292" s="7" t="inlineStr">
        <is>
          <t>eismea-2026-een-impact</t>
        </is>
      </c>
      <c r="G292" s="7" t="inlineStr">
        <is>
          <t>European Innovation Council and SMEs Executive Agency (EISMEA) / Enterprise Europe Network (2026), Enterprise Europe Network Impact Report 2022-2025, EISMEA / Enterprise Europe Network (reported by EEN Czechia)</t>
        </is>
      </c>
      <c r="H292" s="7" t="n">
        <v>2026</v>
      </c>
      <c r="I292" s="7" t="inlineStr">
        <is>
          <t>agency report</t>
        </is>
      </c>
      <c r="J292" s="7" t="inlineStr">
        <is>
          <t>self-reported outcome rates from EEN client impact surveys; descriptive, no comparison group</t>
        </is>
      </c>
      <c r="K292" s="7" t="inlineStr">
        <is>
          <t>SME innovation, internationalisation, funding obtained, digital adoption, sustainability measures among EEN clients</t>
        </is>
      </c>
      <c r="L292" s="7" t="inlineStr">
        <is>
          <t>positive</t>
        </is>
      </c>
      <c r="M292" s="7" t="inlineStr">
        <is>
          <t>Among SMEs supported by the SMP-funded Enterprise Europe Network in 2022-2025, 90% introduced new or improved products or processes, 84% entered new markets (79% in other EU countries), 78% obtained funding, 88% adopted digital solutions and 91% took steps to cut environmental impact.</t>
        </is>
      </c>
      <c r="N292" s="7" t="inlineStr">
        <is>
          <t>The EU business support network paid for by the Single Market Programme says most of the small firms it helped went on to innovate, export or get funding. These figures come from the firms' own answers, with no comparison to firms that got no help.</t>
        </is>
      </c>
      <c r="O292" s="7" t="inlineStr">
        <is>
          <t>2022-2025; EU and EEN partner countries</t>
        </is>
      </c>
      <c r="P292" s="7" t="inlineStr">
        <is>
          <t>Client self-reports, selection bias likely, no counterfactual; full PDF could not be opened (blocked), figures taken from official EEN national partner page.</t>
        </is>
      </c>
      <c r="Q292" s="7" t="inlineStr">
        <is>
          <t>Published by the agency that runs the network (EU executive agency)</t>
        </is>
      </c>
      <c r="R292" s="7" t="inlineStr">
        <is>
          <t>open</t>
        </is>
      </c>
      <c r="S292" s="7" t="inlineStr">
        <is>
          <t>summary only</t>
        </is>
      </c>
      <c r="T292" s="7" t="inlineStr">
        <is>
          <t>2026-10-10</t>
        </is>
      </c>
      <c r="U292" s="7" t="inlineStr">
        <is>
          <t>https://een.gov.cz/en/news/enterprise-europe-network-impact-report-2022-2025-how-the-network-helps-companies-manage-change/</t>
        </is>
      </c>
      <c r="V292" s="7" t="inlineStr">
        <is>
          <t>https://een.ec.europa.eu/system/files/documents/2026-04/EEN-Impact-Report-2022-2025_en_0.pdf</t>
        </is>
      </c>
      <c r="W292" s="7" t="inlineStr"/>
    </row>
    <row r="293">
      <c r="A293" s="7" t="n">
        <v>45</v>
      </c>
      <c r="B293" s="7" t="inlineStr">
        <is>
          <t>Digital Europe Programme</t>
        </is>
      </c>
      <c r="C293" s="7" t="inlineStr">
        <is>
          <t>ex-ante assessment</t>
        </is>
      </c>
      <c r="D293" s="7" t="inlineStr">
        <is>
          <t>official</t>
        </is>
      </c>
      <c r="E293" s="7" t="inlineStr">
        <is>
          <t>initial review</t>
        </is>
      </c>
      <c r="F293" s="7" t="inlineStr">
        <is>
          <t>ec-2018-dep-ia</t>
        </is>
      </c>
      <c r="G293" s="7" t="inlineStr">
        <is>
          <t>European Commission (2018), Impact Assessment accompanying the proposal establishing the Digital Europe programme (executive summary SWD(2018) 306), SWD(2018) 305</t>
        </is>
      </c>
      <c r="H293" s="7" t="n">
        <v>2018</v>
      </c>
      <c r="I293" s="7" t="inlineStr">
        <is>
          <t>Commission impact assessment</t>
        </is>
      </c>
      <c r="J293" s="7" t="inlineStr">
        <is>
          <t>ex-ante (problem analysis; qualitative)</t>
        </is>
      </c>
      <c r="K293" s="7" t="inlineStr">
        <is>
          <t>digital investment gap; HPC; AI; cybersecurity; skills</t>
        </is>
      </c>
      <c r="L293" s="7" t="inlineStr">
        <is>
          <t>positive (forecast)</t>
        </is>
      </c>
      <c r="M293" s="7" t="inlineStr">
        <is>
          <t>Identifies an upstream investment gap: EU consumes one third of world HPC resources but provides about 5%; HPC investment at 60% of US level; only 20% of SMEs highly digitised; no quantified impact forecast</t>
        </is>
      </c>
      <c r="N293" s="7" t="inlineStr">
        <is>
          <t>The Commission said Europe was under-investing in supercomputers, AI, cybersecurity and digital skills and proposed a dedicated deployment programme, without forecasting measurable economic gains.</t>
        </is>
      </c>
      <c r="O293" s="7" t="inlineStr">
        <is>
          <t>EU, 2021-2027</t>
        </is>
      </c>
      <c r="P293" s="7" t="inlineStr">
        <is>
          <t>forecast; qualitative</t>
        </is>
      </c>
      <c r="Q293" s="7" t="inlineStr"/>
      <c r="R293" s="7" t="inlineStr">
        <is>
          <t>open</t>
        </is>
      </c>
      <c r="S293" s="7" t="inlineStr">
        <is>
          <t>full text skimmed</t>
        </is>
      </c>
      <c r="T293" s="7" t="inlineStr">
        <is>
          <t>2026-10-10</t>
        </is>
      </c>
      <c r="U293" s="7" t="inlineStr">
        <is>
          <t>https://eur-lex.europa.eu/legal-content/EN/TXT/?uri=CELEX:52018SC0305</t>
        </is>
      </c>
      <c r="V293" s="7" t="inlineStr"/>
      <c r="W293" s="7" t="inlineStr"/>
    </row>
    <row r="294">
      <c r="A294" s="7" t="n">
        <v>45</v>
      </c>
      <c r="B294" s="7" t="inlineStr">
        <is>
          <t>Digital Europe Programme</t>
        </is>
      </c>
      <c r="C294" s="7" t="inlineStr">
        <is>
          <t>evidence</t>
        </is>
      </c>
      <c r="D294" s="7" t="inlineStr">
        <is>
          <t>official</t>
        </is>
      </c>
      <c r="E294" s="7" t="inlineStr">
        <is>
          <t>initial review</t>
        </is>
      </c>
      <c r="F294" s="7" t="inlineStr">
        <is>
          <t>ec-2025-dep-interim</t>
        </is>
      </c>
      <c r="G294" s="7" t="inlineStr">
        <is>
          <t>European Commission (2025), Interim Evaluation of the Digital Europe Programme (Staff Working Document) and report COM(2025) 771, SWD(2025) 420; COM(2025) 771</t>
        </is>
      </c>
      <c r="H294" s="7" t="n">
        <v>2025</v>
      </c>
      <c r="I294" s="7" t="inlineStr">
        <is>
          <t>Commission evaluation</t>
        </is>
      </c>
      <c r="J294" s="7" t="inlineStr">
        <is>
          <t>interim evaluation (monitoring data, surveys, perceived-value study)</t>
        </is>
      </c>
      <c r="K294" s="7" t="inlineStr">
        <is>
          <t>outputs; HPC; EDIHs; skills; cybersecurity</t>
        </is>
      </c>
      <c r="L294" s="7" t="inlineStr">
        <is>
          <t>positive</t>
        </is>
      </c>
      <c r="M294" s="7" t="inlineStr">
        <is>
          <t>Implementation initially delayed by late legal basis but accelerated; on track or ahead on outputs; JUPITER exascale system; 150+ EDIHs serving 54,600 companies; 20,700 people trained; 26 CyberHubs; administrative costs 4.9%; outcome-level benefits only emerging</t>
        </is>
      </c>
      <c r="N294" s="7" t="inlineStr">
        <is>
          <t>The Commission's mid-term review finds the EUR 8.2bn programme has delivered its planned supercomputers, innovation hubs and training places, but evidence on effects for firms or the economy is still limited to user ratings.</t>
        </is>
      </c>
      <c r="O294" s="7" t="inlineStr">
        <is>
          <t>EU, 2021-2024</t>
        </is>
      </c>
      <c r="P294" s="7" t="inlineStr">
        <is>
          <t>self-evaluation; no counterfactual</t>
        </is>
      </c>
      <c r="Q294" s="7" t="inlineStr"/>
      <c r="R294" s="7" t="inlineStr">
        <is>
          <t>open</t>
        </is>
      </c>
      <c r="S294" s="7" t="inlineStr">
        <is>
          <t>full text read (report; SWD key sections)</t>
        </is>
      </c>
      <c r="T294" s="7" t="inlineStr">
        <is>
          <t>2026-10-10</t>
        </is>
      </c>
      <c r="U294" s="7" t="inlineStr">
        <is>
          <t>https://eur-lex.europa.eu/legal-content/EN/TXT/?uri=CELEX:52025SC0420</t>
        </is>
      </c>
      <c r="V294" s="7" t="inlineStr"/>
      <c r="W294" s="7" t="inlineStr"/>
    </row>
    <row r="295">
      <c r="A295" s="7" t="n">
        <v>45</v>
      </c>
      <c r="B295" s="7" t="inlineStr">
        <is>
          <t>Digital Europe Programme</t>
        </is>
      </c>
      <c r="C295" s="7" t="inlineStr">
        <is>
          <t>evidence</t>
        </is>
      </c>
      <c r="D295" s="7" t="inlineStr">
        <is>
          <t>consultancy or industry</t>
        </is>
      </c>
      <c r="E295" s="7" t="inlineStr">
        <is>
          <t>2026-10 broadened search</t>
        </is>
      </c>
      <c r="F295" s="7" t="inlineStr">
        <is>
          <t>simmonds-2026-dep-interim-study</t>
        </is>
      </c>
      <c r="G295" s="7" t="inlineStr">
        <is>
          <t>Paul Simmonds; Kleitia Zeqo; Matthias Ploeg; Alexandre Lotito; Ivette Oomens; Sophie Viscido; Emma Coroler; Jonathan Puerta; Tomas van den Broeke (Technopolis Group) (2026), Interim Evaluation of the Digital Europe Programme: Final report (supporting study), Publications Office of the EU (study for DG CNECT), doi:10.2759/8693841</t>
        </is>
      </c>
      <c r="H295" s="7" t="n">
        <v>2026</v>
      </c>
      <c r="I295" s="7" t="inlineStr">
        <is>
          <t>evaluation support study</t>
        </is>
      </c>
      <c r="J295" s="7" t="inlineStr">
        <is>
          <t>mixed-methods programme evaluation: public consultation, surveys of beneficiaries, applicants and end users, stakeholder interviews, three case studies, monitoring-indicator analysis; plus JRC RHOMOLO model projections (ex-ante component)</t>
        </is>
      </c>
      <c r="K295" s="7" t="inlineStr">
        <is>
          <t>progress on programme indicators, end-user reach, beneficiary-reported benefits, efficiency, coherence</t>
        </is>
      </c>
      <c r="L295" s="7" t="inlineStr">
        <is>
          <t>mixed</t>
        </is>
      </c>
      <c r="M295" s="7" t="inlineStr">
        <is>
          <t>The programme had engaged over 55,000 SMEs as end users by end-2024, which the study notes is only about 0.2% of the EU's almost 26 million SMEs; 55% of beneficiaries reported stronger cross-border networks and 36% an improved ability to deliver new products and services.</t>
        </is>
      </c>
      <c r="N295" s="7" t="inlineStr">
        <is>
          <t>Consultants hired by the Commission reviewed how the EU's Digital Europe funding programme performed up to 2024. It has built major infrastructure (supercomputers, AI test facilities, digital innovation hubs) and participants report benefits, but its direct reach to businesses is still small and red tape and low awareness remain problems.</t>
        </is>
      </c>
      <c r="O295" s="7" t="inlineStr">
        <is>
          <t>EU-27 plus associated countries, 2021 to end-2024</t>
        </is>
      </c>
      <c r="P295" s="7" t="inlineStr">
        <is>
          <t>Contractor study behind the Commission's SWD(2025) 420 (already listed); survey-based self-reported benefits, no counterfactual; GDP effects are model projections, not observed.</t>
        </is>
      </c>
      <c r="Q295" s="7" t="inlineStr">
        <is>
          <t>Commissioned and paid for by the European Commission (DG CNECT), which runs the programme</t>
        </is>
      </c>
      <c r="R295" s="7" t="inlineStr">
        <is>
          <t>open</t>
        </is>
      </c>
      <c r="S295" s="7" t="inlineStr">
        <is>
          <t>full text read</t>
        </is>
      </c>
      <c r="T295" s="7" t="inlineStr">
        <is>
          <t>2026-10-10</t>
        </is>
      </c>
      <c r="U295" s="7" t="inlineStr">
        <is>
          <t>https://technopolis-group.com/wp-content/uploads/2026/02/interim-evaluation-of-digital-europe-programme-KK0126009ENN.pdf</t>
        </is>
      </c>
      <c r="V295" s="7" t="inlineStr">
        <is>
          <t>https://technopolis-group.com/wp-content/uploads/2026/02/interim-evaluation-of-digital-europe-programme-KK0126009ENN.pdf</t>
        </is>
      </c>
      <c r="W295" s="7" t="inlineStr"/>
    </row>
    <row r="296">
      <c r="A296" s="7" t="n">
        <v>45</v>
      </c>
      <c r="B296" s="7" t="inlineStr">
        <is>
          <t>Digital Europe Programme</t>
        </is>
      </c>
      <c r="C296" s="7" t="inlineStr">
        <is>
          <t>evidence</t>
        </is>
      </c>
      <c r="D296" s="7" t="inlineStr">
        <is>
          <t>official</t>
        </is>
      </c>
      <c r="E296" s="7" t="inlineStr">
        <is>
          <t>2026-10 broadened search</t>
        </is>
      </c>
      <c r="F296" s="7" t="inlineStr">
        <is>
          <t>jrc-2025-edih-state-of-play</t>
        </is>
      </c>
      <c r="G296" s="7" t="inlineStr">
        <is>
          <t>European Commission, Joint Research Centre (Carpentier, D'Adda, Nepelski, Stake) (2025), European Digital Innovation Hubs Network's activities and customers: State of Play 2024 (JRC140547), JRC Science for Policy report</t>
        </is>
      </c>
      <c r="H296" s="7" t="n">
        <v>2025</v>
      </c>
      <c r="I296" s="7" t="inlineStr">
        <is>
          <t>agency report</t>
        </is>
      </c>
      <c r="J296" s="7" t="inlineStr">
        <is>
          <t>descriptive monitoring statistics on EDIH services plus before/after comparison of Digital Maturity Assessment Tool scores for about 9,000-10,000 SMEs and 800 public organisations</t>
        </is>
      </c>
      <c r="K296" s="7" t="inlineStr">
        <is>
          <t>services delivered, events, regional coverage, change in customers' digital maturity scores</t>
        </is>
      </c>
      <c r="L296" s="7" t="inlineStr">
        <is>
          <t>positive</t>
        </is>
      </c>
      <c r="M296" s="7" t="inlineStr">
        <is>
          <t>By September 2024 EDIHs had organised over 5,000 events reaching more than 200,000 participants and delivered over 18,000 services; 90% of assessed users improved their digital maturity score, with AI and automation scores rising by up to 35%.</t>
        </is>
      </c>
      <c r="N296" s="7" t="inlineStr">
        <is>
          <t>The EU funds a network of local digital innovation hubs that help small firms and public bodies go digital. The Commission's research centre found that nine in ten organisations that were assessed twice scored higher on digital maturity after getting help.</t>
        </is>
      </c>
      <c r="O296" s="7" t="inlineStr">
        <is>
          <t>EU regions (about 90% coverage), 2023 to September 2024</t>
        </is>
      </c>
      <c r="P296" s="7" t="inlineStr">
        <is>
          <t>Before/after scores with no control group and self-assessed tool, so gains cannot be attributed to the hubs; the Commission's own research service evaluating a Commission programme. Report PDF not accessible from here; findings read from JRC and EDIH official landing pages.</t>
        </is>
      </c>
      <c r="Q296" s="7" t="inlineStr">
        <is>
          <t>European Commission (JRC) assessing a Commission-funded network</t>
        </is>
      </c>
      <c r="R296" s="7" t="inlineStr">
        <is>
          <t>open</t>
        </is>
      </c>
      <c r="S296" s="7" t="inlineStr">
        <is>
          <t>abstract read</t>
        </is>
      </c>
      <c r="T296" s="7" t="inlineStr">
        <is>
          <t>2026-10-10</t>
        </is>
      </c>
      <c r="U296" s="7" t="inlineStr">
        <is>
          <t>https://joint-research-centre.ec.europa.eu/jrc-news-and-updates/speeding-digitalisation-and-ai-uptake-european-businesses-2025-04-11_en</t>
        </is>
      </c>
      <c r="V296" s="7" t="inlineStr"/>
      <c r="W296" s="7" t="inlineStr"/>
    </row>
    <row r="297">
      <c r="A297" s="7" t="n">
        <v>45</v>
      </c>
      <c r="B297" s="7" t="inlineStr">
        <is>
          <t>Digital Europe Programme</t>
        </is>
      </c>
      <c r="C297" s="7" t="inlineStr">
        <is>
          <t>evidence</t>
        </is>
      </c>
      <c r="D297" s="7" t="inlineStr">
        <is>
          <t>academic</t>
        </is>
      </c>
      <c r="E297" s="7" t="inlineStr">
        <is>
          <t>2026-10 broadened search</t>
        </is>
      </c>
      <c r="F297" s="7" t="inlineStr">
        <is>
          <t>carpentier-2026-edih-selection</t>
        </is>
      </c>
      <c r="G297" s="7" t="inlineStr">
        <is>
          <t>Elodie Carpentier; Diego D'Adda; Daniel Nepelski (2026), Which firms receive digital innovation support? Evidence from the European Digital Innovation Hubs network, International Small Business Journal: Researching Entrepreneurship</t>
        </is>
      </c>
      <c r="H297" s="7" t="n">
        <v>2026</v>
      </c>
      <c r="I297" s="7" t="inlineStr">
        <is>
          <t>peer-reviewed article</t>
        </is>
      </c>
      <c r="J297" s="7" t="inlineStr">
        <is>
          <t>comparison of about 15,600 EDIH customer firms with the broader European business population (firm-level demographics, performance, capital structure, innovativeness)</t>
        </is>
      </c>
      <c r="K297" s="7" t="inlineStr">
        <is>
          <t>selection/targeting of programme beneficiaries</t>
        </is>
      </c>
      <c r="L297" s="7" t="inlineStr">
        <is>
          <t>mixed</t>
        </is>
      </c>
      <c r="M297" s="7" t="inlineStr">
        <is>
          <t>Comparing about 15,600 EDIH customer firms with the wider business population, EDIH customers are larger, faster-growing and more concentrated in high-tech, knowledge-intensive and ICT sectors, suggesting less digitally advanced firms may be systematically underserved.</t>
        </is>
      </c>
      <c r="N297" s="7" t="inlineStr">
        <is>
          <t>Researchers checked which companies actually use the EU-funded digital innovation hubs. They found the hubs mostly help firms that are already bigger, growing and tech-savvy, rather than the laggards the programme most wants to reach.</t>
        </is>
      </c>
      <c r="O297" s="7" t="inlineStr">
        <is>
          <t>EU, EDIH customers 2023 to about 2025</t>
        </is>
      </c>
      <c r="P297" s="7" t="inlineStr">
        <is>
          <t>Large firm-level dataset; descriptive comparison of selection, not an impact estimate; authors are JRC staff (Commission).</t>
        </is>
      </c>
      <c r="Q297" s="7" t="inlineStr">
        <is>
          <t>Authors work at the European Commission's JRC</t>
        </is>
      </c>
      <c r="R297" s="7" t="inlineStr">
        <is>
          <t>open</t>
        </is>
      </c>
      <c r="S297" s="7" t="inlineStr">
        <is>
          <t>abstract read</t>
        </is>
      </c>
      <c r="T297" s="7" t="inlineStr">
        <is>
          <t>2026-10-10</t>
        </is>
      </c>
      <c r="U297" s="7" t="inlineStr">
        <is>
          <t>https://doi.org/10.1177/02662426261461491</t>
        </is>
      </c>
      <c r="V297" s="7" t="inlineStr"/>
      <c r="W297" s="7" t="inlineStr"/>
    </row>
    <row r="298">
      <c r="A298" s="7" t="n">
        <v>45</v>
      </c>
      <c r="B298" s="7" t="inlineStr">
        <is>
          <t>Digital Europe Programme</t>
        </is>
      </c>
      <c r="C298" s="7" t="inlineStr">
        <is>
          <t>evidence</t>
        </is>
      </c>
      <c r="D298" s="7" t="inlineStr">
        <is>
          <t>academic</t>
        </is>
      </c>
      <c r="E298" s="7" t="inlineStr">
        <is>
          <t>2026-10 broadened search</t>
        </is>
      </c>
      <c r="F298" s="7" t="inlineStr">
        <is>
          <t>czyzewska-misztal-2026-dih-intermediaries</t>
        </is>
      </c>
      <c r="G298" s="7" t="inlineStr">
        <is>
          <t>Dorota Czyżewska-Misztal; Sébastien Bourdin; Fabien Nadou; Piotr Idczak (2026), Digital innovation hubs as territorial intermediaries: Aligning European digital strategy with local needs, European Urban and Regional Studies</t>
        </is>
      </c>
      <c r="H298" s="7" t="n">
        <v>2026</v>
      </c>
      <c r="I298" s="7" t="inlineStr">
        <is>
          <t>peer-reviewed article</t>
        </is>
      </c>
      <c r="J298" s="7" t="inlineStr">
        <is>
          <t>qualitative study based on 43 in-depth interviews with DIH/EDIH representatives, Commission stakeholders and network coordinators</t>
        </is>
      </c>
      <c r="K298" s="7" t="inlineStr">
        <is>
          <t>implementation of EDIH policy at regional level, roles of hubs, policy-local mismatches</t>
        </is>
      </c>
      <c r="L298" s="7" t="inlineStr">
        <is>
          <t>mixed</t>
        </is>
      </c>
      <c r="M298" s="7" t="inlineStr">
        <is>
          <t>Based on 43 interviews, the hubs act as promoters, facilitators and enablers of SME digitalisation, but there are persistent mismatches between EU policy objectives and local implementation, especially in less digitally advanced regions.</t>
        </is>
      </c>
      <c r="N298" s="7" t="inlineStr">
        <is>
          <t>Interviews with people running and overseeing EU digital innovation hubs show the hubs adapt to local needs, but EU goals and what happens on the ground often do not line up, particularly in regions that are already behind digitally.</t>
        </is>
      </c>
      <c r="O298" s="7" t="inlineStr">
        <is>
          <t>EU, interviews around 2023 to 2025</t>
        </is>
      </c>
      <c r="P298" s="7" t="inlineStr">
        <is>
          <t>Qualitative interview evidence, no quantified outcomes; covers DIHs broadly, not only DEP-funded EDIHs. First names of some authors taken from Crossref record.</t>
        </is>
      </c>
      <c r="Q298" s="7" t="inlineStr"/>
      <c r="R298" s="7" t="inlineStr">
        <is>
          <t>paywalled</t>
        </is>
      </c>
      <c r="S298" s="7" t="inlineStr">
        <is>
          <t>abstract read</t>
        </is>
      </c>
      <c r="T298" s="7" t="inlineStr">
        <is>
          <t>2026-10-10</t>
        </is>
      </c>
      <c r="U298" s="7" t="inlineStr">
        <is>
          <t>https://doi.org/10.1177/09697764261453005</t>
        </is>
      </c>
      <c r="V298" s="7" t="inlineStr"/>
      <c r="W298" s="7" t="inlineStr"/>
    </row>
    <row r="299">
      <c r="A299" s="7" t="n">
        <v>48</v>
      </c>
      <c r="B299" s="7" t="inlineStr">
        <is>
          <t>Horizon Europe</t>
        </is>
      </c>
      <c r="C299" s="7" t="inlineStr">
        <is>
          <t>ex-ante assessment</t>
        </is>
      </c>
      <c r="D299" s="7" t="inlineStr">
        <is>
          <t>official</t>
        </is>
      </c>
      <c r="E299" s="7" t="inlineStr">
        <is>
          <t>initial review</t>
        </is>
      </c>
      <c r="F299" s="7" t="inlineStr">
        <is>
          <t>ec-2018-horizon-europe-ia</t>
        </is>
      </c>
      <c r="G299" s="7" t="inlineStr">
        <is>
          <t>European Commission (2018), Impact Assessment accompanying the proposals for Horizon Europe (executive summary SWD(2018) 308), SWD(2018) 307</t>
        </is>
      </c>
      <c r="H299" s="7" t="n">
        <v>2018</v>
      </c>
      <c r="I299" s="7" t="inlineStr">
        <is>
          <t>Commission impact assessment</t>
        </is>
      </c>
      <c r="J299" s="7" t="inlineStr">
        <is>
          <t>ex-ante (QUEST, RHOMOLO and NEMESIS macro models)</t>
        </is>
      </c>
      <c r="K299" s="7" t="inlineStr">
        <is>
          <t>GDP; jobs; leverage</t>
        </is>
      </c>
      <c r="L299" s="7" t="inlineStr">
        <is>
          <t>positive (forecast)</t>
        </is>
      </c>
      <c r="M299" s="7" t="inlineStr">
        <is>
          <t>Continuation scenario: average GDP increase of 0.08-0.19% over 25 years, up to EUR 11 of GDP per euro invested; up to 100,000 direct R&amp;I jobs in 2021-2027 and up to 200,000 indirect jobs in 2027-2036; Horizon Europe changes add +0.04% to +0.1% of GDP (EUR 800-975bn over 25 years)</t>
        </is>
      </c>
      <c r="N299" s="7" t="inlineStr">
        <is>
          <t>The Commission forecast that Horizon Europe would add up to EUR 11 to EU output for every euro spent over 25 years and create up to 100,000 research jobs during the programme.</t>
        </is>
      </c>
      <c r="O299" s="7" t="inlineStr">
        <is>
          <t>EU, forecast 2021-2045</t>
        </is>
      </c>
      <c r="P299" s="7" t="inlineStr">
        <is>
          <t>forecast; model-based</t>
        </is>
      </c>
      <c r="Q299" s="7" t="inlineStr"/>
      <c r="R299" s="7" t="inlineStr">
        <is>
          <t>open</t>
        </is>
      </c>
      <c r="S299" s="7" t="inlineStr">
        <is>
          <t>full text read (Part 1 key sections)</t>
        </is>
      </c>
      <c r="T299" s="7" t="inlineStr">
        <is>
          <t>2026-10-10</t>
        </is>
      </c>
      <c r="U299" s="7" t="inlineStr">
        <is>
          <t>https://eur-lex.europa.eu/legal-content/EN/TXT/?uri=CELEX:52018SC0307</t>
        </is>
      </c>
      <c r="V299" s="7" t="inlineStr"/>
      <c r="W299" s="7" t="inlineStr"/>
    </row>
    <row r="300">
      <c r="A300" s="7" t="n">
        <v>48</v>
      </c>
      <c r="B300" s="7" t="inlineStr">
        <is>
          <t>Horizon Europe</t>
        </is>
      </c>
      <c r="C300" s="7" t="inlineStr">
        <is>
          <t>evidence</t>
        </is>
      </c>
      <c r="D300" s="7" t="inlineStr">
        <is>
          <t>official</t>
        </is>
      </c>
      <c r="E300" s="7" t="inlineStr">
        <is>
          <t>initial review</t>
        </is>
      </c>
      <c r="F300" s="7" t="inlineStr">
        <is>
          <t>ec-2024-h2020-expost</t>
        </is>
      </c>
      <c r="G300" s="7" t="inlineStr">
        <is>
          <t>European Commission (2024), Ex-post evaluation of Horizon 2020, the EU Framework Programme for Research and Innovation (Staff Working Document), SWD(2024) 29</t>
        </is>
      </c>
      <c r="H300" s="7" t="n">
        <v>2024</v>
      </c>
      <c r="I300" s="7" t="inlineStr">
        <is>
          <t>Commission evaluation</t>
        </is>
      </c>
      <c r="J300" s="7" t="inlineStr">
        <is>
          <t>ex-post evaluation; synthesis incl. counterfactual studies and macro models</t>
        </is>
      </c>
      <c r="K300" s="7" t="inlineStr">
        <is>
          <t>firm growth; investment; GDP</t>
        </is>
      </c>
      <c r="L300" s="7" t="inlineStr">
        <is>
          <t>positive</t>
        </is>
      </c>
      <c r="M300" s="7" t="inlineStr">
        <is>
          <t>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is>
      </c>
      <c r="N300" s="7" t="inlineStr">
        <is>
          <t>The Commission's final evaluation of Horizon 2020 found funded firms grew faster than similar rejected applicants, while model-based GDP gains came in lower than previously expected in two of three models.</t>
        </is>
      </c>
      <c r="O300" s="7" t="inlineStr">
        <is>
          <t>EU, 2014-2020 (outcomes to 2022)</t>
        </is>
      </c>
      <c r="P300" s="7" t="inlineStr">
        <is>
          <t>mixed: some causal firm-level studies plus models</t>
        </is>
      </c>
      <c r="Q300" s="7" t="inlineStr"/>
      <c r="R300" s="7" t="inlineStr">
        <is>
          <t>open</t>
        </is>
      </c>
      <c r="S300" s="7" t="inlineStr">
        <is>
          <t>full text read (effectiveness sections)</t>
        </is>
      </c>
      <c r="T300" s="7" t="inlineStr">
        <is>
          <t>2026-10-10</t>
        </is>
      </c>
      <c r="U300" s="7" t="inlineStr">
        <is>
          <t>https://eur-lex.europa.eu/legal-content/EN/TXT/?uri=CELEX:52024SC0029</t>
        </is>
      </c>
      <c r="V300" s="7" t="inlineStr"/>
      <c r="W300" s="7" t="inlineStr">
        <is>
          <t>http://web.archive.org/web/20240627150752/https://eur-lex.europa.eu/legal-content/EN/TXT/?uri=CELEX:52024SC0029</t>
        </is>
      </c>
    </row>
    <row r="301">
      <c r="A301" s="7" t="n">
        <v>48</v>
      </c>
      <c r="B301" s="7" t="inlineStr">
        <is>
          <t>Horizon Europe</t>
        </is>
      </c>
      <c r="C301" s="7" t="inlineStr">
        <is>
          <t>evidence</t>
        </is>
      </c>
      <c r="D301" s="7" t="inlineStr">
        <is>
          <t>official</t>
        </is>
      </c>
      <c r="E301" s="7" t="inlineStr">
        <is>
          <t>initial review</t>
        </is>
      </c>
      <c r="F301" s="7" t="inlineStr">
        <is>
          <t>ec-2025-horizon-europe-interim</t>
        </is>
      </c>
      <c r="G301" s="7" t="inlineStr">
        <is>
          <t>European Commission (2025), Interim Evaluation of the Horizon Europe Framework Programme for Research and Innovation (2021-2024), SWD(2025) 110</t>
        </is>
      </c>
      <c r="H301" s="7" t="n">
        <v>2025</v>
      </c>
      <c r="I301" s="7" t="inlineStr">
        <is>
          <t>Commission evaluation</t>
        </is>
      </c>
      <c r="J301" s="7" t="inlineStr">
        <is>
          <t>interim evaluation; monitoring data and macro-model simulations (NEMESIS, RHOMOLO, FIDELIO)</t>
        </is>
      </c>
      <c r="K301" s="7" t="inlineStr">
        <is>
          <t>jobs; leverage; GDP; success rates</t>
        </is>
      </c>
      <c r="L301" s="7" t="inlineStr">
        <is>
          <t>positive (model-based)</t>
        </is>
      </c>
      <c r="M301" s="7" t="inlineStr">
        <is>
          <t>39,543 FTE jobs created or maintained (21% of projects reporting); EUR 10.2bn co-investment; GDP multiplier of 4-11 by 2045 and 'on track' vs the IA; success rate 16.4% but 7 in 10 high-quality proposals unfunded</t>
        </is>
      </c>
      <c r="N301" s="7" t="inlineStr">
        <is>
          <t>The interim evaluation says Horizon Europe is on track, but its growth estimates are model re-runs and 7 in 10 high-quality proposals go unfunded.</t>
        </is>
      </c>
      <c r="O301" s="7" t="inlineStr">
        <is>
          <t>EU, 2021-2024</t>
        </is>
      </c>
      <c r="P301" s="7" t="inlineStr">
        <is>
          <t>monitoring and models; no counterfactual on Horizon Europe yet</t>
        </is>
      </c>
      <c r="Q301" s="7" t="inlineStr"/>
      <c r="R301" s="7" t="inlineStr">
        <is>
          <t>open</t>
        </is>
      </c>
      <c r="S301" s="7" t="inlineStr">
        <is>
          <t>full text read (impact and efficiency sections)</t>
        </is>
      </c>
      <c r="T301" s="7" t="inlineStr">
        <is>
          <t>2026-10-10</t>
        </is>
      </c>
      <c r="U301" s="7" t="inlineStr">
        <is>
          <t>https://eur-lex.europa.eu/legal-content/EN/TXT/?uri=CELEX:52025SC0110</t>
        </is>
      </c>
      <c r="V301" s="7" t="inlineStr"/>
      <c r="W301" s="7" t="inlineStr">
        <is>
          <t>http://web.archive.org/web/20260919202535/https://eur-lex.europa.eu/legal-content/EN/TXT/?uri=celex%3A52025SC0110</t>
        </is>
      </c>
    </row>
    <row r="302">
      <c r="A302" s="7" t="n">
        <v>48</v>
      </c>
      <c r="B302" s="7" t="inlineStr">
        <is>
          <t>Horizon Europe</t>
        </is>
      </c>
      <c r="C302" s="7" t="inlineStr">
        <is>
          <t>evidence</t>
        </is>
      </c>
      <c r="D302" s="7" t="inlineStr">
        <is>
          <t>academic</t>
        </is>
      </c>
      <c r="E302" s="7" t="inlineStr">
        <is>
          <t>initial review</t>
        </is>
      </c>
      <c r="F302" s="7" t="inlineStr">
        <is>
          <t>santoleri-et-al-2024-rd-grants</t>
        </is>
      </c>
      <c r="G302" s="7" t="inlineStr">
        <is>
          <t>Santoleri, P., Mina, A., Di Minin, A. &amp; Martelli, I. (2024), The Causal Effects of R&amp;D Grants: Evidence from a Regression Discontinuity, Review of Economics and Statistics 106(6): 1495-1510</t>
        </is>
      </c>
      <c r="H302" s="7" t="n">
        <v>2024</v>
      </c>
      <c r="I302" s="7" t="inlineStr">
        <is>
          <t>peer-reviewed</t>
        </is>
      </c>
      <c r="J302" s="7" t="inlineStr">
        <is>
          <t>regression discontinuity (Horizon 2020 SME Instrument evaluation scores)</t>
        </is>
      </c>
      <c r="K302" s="7" t="inlineStr">
        <is>
          <t>investment; patents; growth; survival; entry</t>
        </is>
      </c>
      <c r="L302" s="7" t="inlineStr">
        <is>
          <t>positive</t>
        </is>
      </c>
      <c r="M302" s="7" t="inlineStr">
        <is>
          <t>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is>
      </c>
      <c r="N302" s="7" t="inlineStr">
        <is>
          <t>A rigorous study of the EU's SME Instrument found that winning a grant (rather than just a quality label) made small firms invest, patent and grow more and made them less likely to fail.</t>
        </is>
      </c>
      <c r="O302" s="7" t="inlineStr">
        <is>
          <t>EU, Horizon 2020 (2014-2017 calls)</t>
        </is>
      </c>
      <c r="P302" s="7" t="inlineStr">
        <is>
          <t>causal (RD); predecessor programme</t>
        </is>
      </c>
      <c r="Q302" s="7" t="inlineStr"/>
      <c r="R302" s="7" t="inlineStr">
        <is>
          <t>paywalled</t>
        </is>
      </c>
      <c r="S302" s="7" t="inlineStr">
        <is>
          <t>abstract read</t>
        </is>
      </c>
      <c r="T302" s="7" t="inlineStr">
        <is>
          <t>2026-10-10</t>
        </is>
      </c>
      <c r="U302" s="7" t="inlineStr">
        <is>
          <t>https://doi.org/10.1162/rest_a_01233</t>
        </is>
      </c>
      <c r="V302" s="7" t="inlineStr">
        <is>
          <t>https://papers.ssrn.com/sol3/papers.cfm?abstract_id=3637867</t>
        </is>
      </c>
      <c r="W302" s="7" t="inlineStr"/>
    </row>
    <row r="303">
      <c r="A303" s="7" t="n">
        <v>48</v>
      </c>
      <c r="B303" s="7" t="inlineStr">
        <is>
          <t>Horizon Europe</t>
        </is>
      </c>
      <c r="C303" s="7" t="inlineStr">
        <is>
          <t>evidence</t>
        </is>
      </c>
      <c r="D303" s="7" t="inlineStr">
        <is>
          <t>academic</t>
        </is>
      </c>
      <c r="E303" s="7" t="inlineStr">
        <is>
          <t>initial review</t>
        </is>
      </c>
      <c r="F303" s="7" t="inlineStr">
        <is>
          <t>mitra-niakaros-2023-horizon-effect</t>
        </is>
      </c>
      <c r="G303" s="7" t="inlineStr">
        <is>
          <t>Mitra, A. &amp; Niakaros, K. (European Commission, DG RTD) (2023), The Horizon effect: A counterfactual analysis of EU research &amp; innovation grants, Publications Office of the EU (R&amp;I Paper Series)</t>
        </is>
      </c>
      <c r="H303" s="7" t="n">
        <v>2023</v>
      </c>
      <c r="I303" s="7" t="inlineStr">
        <is>
          <t>Commission staff working paper</t>
        </is>
      </c>
      <c r="J303" s="7" t="inlineStr">
        <is>
          <t>difference-in-differences (about 40,000 applicant firms, CORDA + ORBIS, 2010-2022)</t>
        </is>
      </c>
      <c r="K303" s="7" t="inlineStr">
        <is>
          <t>employment; assets; revenues</t>
        </is>
      </c>
      <c r="L303" s="7" t="inlineStr">
        <is>
          <t>positive</t>
        </is>
      </c>
      <c r="M303" s="7" t="inlineStr">
        <is>
          <t>Firms receiving a first Horizon 2020 grant increased employment by about 20% and total assets and revenues by about 30% relative to comparable non-funded applicants with high-quality proposals; effects concentrated in ICT and professional/scientific services, insignificant elsewhere</t>
        </is>
      </c>
      <c r="N303" s="7" t="inlineStr">
        <is>
          <t>Commission economists found companies that won Horizon 2020 grants grew jobs by about a fifth and revenue by about 30% compared with similar firms that narrowly missed out, mostly in tech and professional services.</t>
        </is>
      </c>
      <c r="O303" s="7" t="inlineStr">
        <is>
          <t>EU, 2014-2022</t>
        </is>
      </c>
      <c r="P303" s="7" t="inlineStr">
        <is>
          <t>quasi-experimental (DiD); authors are Commission staff</t>
        </is>
      </c>
      <c r="Q303" s="7" t="inlineStr">
        <is>
          <t>Authors are European Commission (DG Research and Innovation) staff evaluating their own programme</t>
        </is>
      </c>
      <c r="R303" s="7" t="inlineStr">
        <is>
          <t>open</t>
        </is>
      </c>
      <c r="S303" s="7" t="inlineStr">
        <is>
          <t>page summary via search</t>
        </is>
      </c>
      <c r="T303" s="7" t="inlineStr">
        <is>
          <t>2026-10-10</t>
        </is>
      </c>
      <c r="U303" s="7" t="inlineStr">
        <is>
          <t>https://data.europa.eu/doi/10.2777/584781</t>
        </is>
      </c>
      <c r="V303" s="7" t="inlineStr"/>
      <c r="W303" s="7" t="inlineStr"/>
    </row>
    <row r="304">
      <c r="A304" s="7" t="n">
        <v>48</v>
      </c>
      <c r="B304" s="7" t="inlineStr">
        <is>
          <t>Horizon Europe</t>
        </is>
      </c>
      <c r="C304" s="7" t="inlineStr">
        <is>
          <t>evidence</t>
        </is>
      </c>
      <c r="D304" s="7" t="inlineStr">
        <is>
          <t>academic</t>
        </is>
      </c>
      <c r="E304" s="7" t="inlineStr">
        <is>
          <t>initial review</t>
        </is>
      </c>
      <c r="F304" s="7" t="inlineStr">
        <is>
          <t>ghirelli-et-al-2023-erc</t>
        </is>
      </c>
      <c r="G304" s="7" t="inlineStr">
        <is>
          <t>Ghirelli, C., Havari, E., Meroni, E. &amp; Verzillo, S. (2023), The Long-Term Causal Effects of Winning an ERC Grant, IZA Discussion Paper 16108 / Banco de España Working Paper 2313</t>
        </is>
      </c>
      <c r="H304" s="7" t="n">
        <v>2023</v>
      </c>
      <c r="I304" s="7" t="inlineStr">
        <is>
          <t>working paper</t>
        </is>
      </c>
      <c r="J304" s="7" t="inlineStr">
        <is>
          <t>regression discontinuity and difference-in-differences (all ERC applicants 2007-2013, Scopus records)</t>
        </is>
      </c>
      <c r="K304" s="7" t="inlineStr">
        <is>
          <t>scientific productivity; citation impact; further EU funding</t>
        </is>
      </c>
      <c r="L304" s="7" t="inlineStr">
        <is>
          <t>mixed</t>
        </is>
      </c>
      <c r="M304" s="7" t="inlineStr">
        <is>
          <t>Near the funding cut-off (RD) no significant effect on productivity or quality; DiD on broader population finds positive long-term effects in some fields (Chemistry, Universe and Earth Sciences, Medicine, etc.), driven by top-ranked applicants</t>
        </is>
      </c>
      <c r="N304" s="7" t="inlineStr">
        <is>
          <t>A study of European Research Council grants found winning made no measurable difference to the output of researchers just above the funding line, though top-ranked winners in some fields did gain.</t>
        </is>
      </c>
      <c r="O304" s="7" t="inlineStr">
        <is>
          <t>EU, ERC 2007-2013 (FP7)</t>
        </is>
      </c>
      <c r="P304" s="7" t="inlineStr">
        <is>
          <t>causal (RD) plus DiD; predecessor programme</t>
        </is>
      </c>
      <c r="Q304" s="7" t="inlineStr"/>
      <c r="R304" s="7" t="inlineStr">
        <is>
          <t>open</t>
        </is>
      </c>
      <c r="S304" s="7" t="inlineStr">
        <is>
          <t>page summary via search</t>
        </is>
      </c>
      <c r="T304" s="7" t="inlineStr">
        <is>
          <t>2026-10-10</t>
        </is>
      </c>
      <c r="U304" s="7" t="inlineStr">
        <is>
          <t>https://docs.iza.org/dp16108.pdf</t>
        </is>
      </c>
      <c r="V304" s="7" t="inlineStr">
        <is>
          <t>https://docs.iza.org/dp16108.pdf</t>
        </is>
      </c>
      <c r="W304" s="7" t="inlineStr">
        <is>
          <t>http://web.archive.org/web/20260920142540/https://docs.iza.org/dp16108.pdf</t>
        </is>
      </c>
    </row>
    <row r="305">
      <c r="A305" s="7" t="n">
        <v>48</v>
      </c>
      <c r="B305" s="7" t="inlineStr">
        <is>
          <t>Horizon Europe</t>
        </is>
      </c>
      <c r="C305" s="7" t="inlineStr">
        <is>
          <t>evidence</t>
        </is>
      </c>
      <c r="D305" s="7" t="inlineStr">
        <is>
          <t>academic</t>
        </is>
      </c>
      <c r="E305" s="7" t="inlineStr">
        <is>
          <t>2026-10 broadened search</t>
        </is>
      </c>
      <c r="F305" s="7" t="inlineStr">
        <is>
          <t>delsorbo-2026-eicaccelerator</t>
        </is>
      </c>
      <c r="G305" s="7" t="inlineStr">
        <is>
          <t>Maria del Sorbo, Carina Faber, Marco Grazzi, Francesco Matteucci, Miriam Ruß (2026), Assessing changes in EU innovation policy programs: from SME instrument to EIC accelerator for start-up funding, Economia e Politica Industriale: Journal of Industrial and Business Economics 53(2): 501-537 (2026); earlier DISCE working paper dipe0037 (2024)</t>
        </is>
      </c>
      <c r="H305" s="7" t="n">
        <v>2026</v>
      </c>
      <c r="I305" s="7" t="inlineStr">
        <is>
          <t>peer-reviewed article</t>
        </is>
      </c>
      <c r="J305" s="7" t="inlineStr">
        <is>
          <t>applicant-data comparison of selection (probit-type funding determinants) plus regression discontinuity on evaluation scores for the EIC Accelerator pilot</t>
        </is>
      </c>
      <c r="K305" s="7" t="inlineStr">
        <is>
          <t>applicant profile; funding determinants; patenting, revenue and employment growth</t>
        </is>
      </c>
      <c r="L305" s="7" t="inlineStr">
        <is>
          <t>no effect</t>
        </is>
      </c>
      <c r="M305" s="7" t="inlineStr">
        <is>
          <t>The EIC Accelerator pilot attracted younger, smaller and more high-tech firms than the SME Instrument, but RDD estimates of funding effects on patenting, revenue and employment are not statistically significant given the short post-period.</t>
        </is>
      </c>
      <c r="N305" s="7" t="inlineStr">
        <is>
          <t>The EU's start-up funding scheme now reaches younger, more high-tech companies than its predecessor, but it is still too early to show that the money made those firms grow faster.</t>
        </is>
      </c>
      <c r="O305" s="7" t="inlineStr">
        <is>
          <t>SME Instrument (2014-2020) and EIC Accelerator pilot (2018-2020) applicants; EU and associated countries</t>
        </is>
      </c>
      <c r="P305" s="7" t="inlineStr">
        <is>
          <t>Strong RDD design but underpowered; covers the Horizon 2020 pilot that became Horizon Europe's EIC Accelerator (predecessor instrument); authors include EIC staff.</t>
        </is>
      </c>
      <c r="Q305" s="7" t="inlineStr">
        <is>
          <t>Two or more authors work for the European Innovation Council (European Commission)</t>
        </is>
      </c>
      <c r="R305" s="7" t="inlineStr">
        <is>
          <t>open</t>
        </is>
      </c>
      <c r="S305" s="7" t="inlineStr">
        <is>
          <t>abstract read</t>
        </is>
      </c>
      <c r="T305" s="7" t="inlineStr">
        <is>
          <t>2026-10-10</t>
        </is>
      </c>
      <c r="U305" s="7" t="inlineStr">
        <is>
          <t>https://ideas.repec.org/p/ctc/serie5/dipe0037.html</t>
        </is>
      </c>
      <c r="V305" s="7" t="inlineStr">
        <is>
          <t>http://dipartimenti.unicatt.it/politica-economica-DIPE0037.pdf</t>
        </is>
      </c>
      <c r="W305" s="7" t="inlineStr"/>
    </row>
    <row r="306">
      <c r="A306" s="7" t="n">
        <v>48</v>
      </c>
      <c r="B306" s="7" t="inlineStr">
        <is>
          <t>Horizon Europe</t>
        </is>
      </c>
      <c r="C306" s="7" t="inlineStr">
        <is>
          <t>evidence</t>
        </is>
      </c>
      <c r="D306" s="7" t="inlineStr">
        <is>
          <t>official</t>
        </is>
      </c>
      <c r="E306" s="7" t="inlineStr">
        <is>
          <t>2026-10 broadened search</t>
        </is>
      </c>
      <c r="F306" s="7" t="inlineStr">
        <is>
          <t>ppmi-2025-widening-networks</t>
        </is>
      </c>
      <c r="G306" s="7" t="inlineStr">
        <is>
          <t>PPMI, IDEA Consult, UNU-MERIT for European Commission DG RTD (2025), To what extent are Widening countries part of knowledge networks formed by the framework programmes? Working paper supporting the interim evaluation of Horizon Europe (support study on Excellent Science), Publications Office of the EU, doi:10.2777/2418909</t>
        </is>
      </c>
      <c r="H306" s="7" t="n">
        <v>2025</v>
      </c>
      <c r="I306" s="7" t="inlineStr">
        <is>
          <t>Commission evaluation support study</t>
        </is>
      </c>
      <c r="J306" s="7" t="inlineStr">
        <is>
          <t>dynamic network analysis of participation and collaboration networks in FP7, Horizon 2020 and early Horizon Europe (centrality, hub analysis)</t>
        </is>
      </c>
      <c r="K306" s="7" t="inlineStr">
        <is>
          <t>Widening countries' participation and collaboration shares, network centrality</t>
        </is>
      </c>
      <c r="L306" s="7" t="inlineStr">
        <is>
          <t>descriptive</t>
        </is>
      </c>
      <c r="M306" s="7" t="inlineStr">
        <is>
          <t>Widening countries show an increasing trend in collaboration shares into Horizon Europe, but large member states still steer consortia, few network hubs sit in Widening countries, and Hungary's share fell while Poland, Romania and Bulgaria stayed low.</t>
        </is>
      </c>
      <c r="N306" s="7" t="inlineStr">
        <is>
          <t>A study for the Commission finds that lower-performing EU countries are slowly becoming better connected in EU research projects under Horizon Europe, but big Western countries still run most of the networks.</t>
        </is>
      </c>
      <c r="O306" s="7" t="inlineStr">
        <is>
          <t>FP7 (2007-2013), Horizon 2020 (2014-2020), Horizon Europe (2021-early 2024); EU and associated countries</t>
        </is>
      </c>
      <c r="P306" s="7" t="inlineStr">
        <is>
          <t>Descriptive network statistics, no causal identification; supports the Commission's own interim evaluation.</t>
        </is>
      </c>
      <c r="Q306" s="7" t="inlineStr">
        <is>
          <t>Commissioned by the European Commission (DG RTD)</t>
        </is>
      </c>
      <c r="R306" s="7" t="inlineStr">
        <is>
          <t>open</t>
        </is>
      </c>
      <c r="S306" s="7" t="inlineStr">
        <is>
          <t>full text read</t>
        </is>
      </c>
      <c r="T306" s="7" t="inlineStr">
        <is>
          <t>2026-10-10</t>
        </is>
      </c>
      <c r="U306" s="7" t="inlineStr">
        <is>
          <t>https://era.gv.at/public/documents/5280/Study_To_what_extent_are_widening_countries_part_of_knowledge-KI0125068ENN.pdf</t>
        </is>
      </c>
      <c r="V306" s="7" t="inlineStr">
        <is>
          <t>https://era.gv.at/public/documents/5280/Study_To_what_extent_are_widening_countries_part_of_knowledge-KI0125068ENN.pdf</t>
        </is>
      </c>
      <c r="W306" s="7" t="inlineStr"/>
    </row>
    <row r="307">
      <c r="A307" s="7" t="n">
        <v>48</v>
      </c>
      <c r="B307" s="7" t="inlineStr">
        <is>
          <t>Horizon Europe</t>
        </is>
      </c>
      <c r="C307" s="7" t="inlineStr">
        <is>
          <t>evidence</t>
        </is>
      </c>
      <c r="D307" s="7" t="inlineStr">
        <is>
          <t>academic</t>
        </is>
      </c>
      <c r="E307" s="7" t="inlineStr">
        <is>
          <t>2026-10 broadened search</t>
        </is>
      </c>
      <c r="F307" s="7" t="inlineStr">
        <is>
          <t>orsanigo-2026-fpnetworks</t>
        </is>
      </c>
      <c r="G307" s="7" t="inlineStr">
        <is>
          <t>Veronica Orsanigo, Thomas Louf, Eleonora Andreotti, et al. (2026), Collaboration, Integration, and Thematic Exploration in European Framework Programmes: A Longitudinal Network Analysis, arXiv:2604.11339 (physics.soc-ph)</t>
        </is>
      </c>
      <c r="H307" s="7" t="n">
        <v>2026</v>
      </c>
      <c r="I307" s="7" t="inlineStr">
        <is>
          <t>academic working paper</t>
        </is>
      </c>
      <c r="J307" s="7" t="inlineStr">
        <is>
          <t>longitudinal country-level collaboration network analysis of CORDIS data for all nine Framework Programmes (FP1-Horizon Europe) plus semantic embeddings of project descriptions</t>
        </is>
      </c>
      <c r="K307" s="7" t="inlineStr">
        <is>
          <t>network integration of countries; thematic breadth of funded research</t>
        </is>
      </c>
      <c r="L307" s="7" t="inlineStr">
        <is>
          <t>descriptive</t>
        </is>
      </c>
      <c r="M307" s="7" t="inlineStr">
        <is>
          <t>Across all nine FPs including Horizon Europe, collaboration progressively integrates marginal countries but core-periphery asymmetries persist, and research exploration (117 topics) is more focused than a random benchmark.</t>
        </is>
      </c>
      <c r="N307" s="7" t="inlineStr">
        <is>
          <t>Looking at 40 years of EU research programmes up to Horizon Europe, the authors find EU projects slowly pull newer member countries into research networks, but the core-periphery divide has not closed.</t>
        </is>
      </c>
      <c r="O307" s="7" t="inlineStr">
        <is>
          <t>1984-2025 (FP1 to Horizon Europe projects starting before end-2025); EU and associated countries</t>
        </is>
      </c>
      <c r="P307" s="7" t="inlineStr">
        <is>
          <t>Descriptive; Horizon Europe is only the latest of nine programmes covered, no causal claims; preprint.</t>
        </is>
      </c>
      <c r="Q307" s="7" t="inlineStr"/>
      <c r="R307" s="7" t="inlineStr">
        <is>
          <t>open</t>
        </is>
      </c>
      <c r="S307" s="7" t="inlineStr">
        <is>
          <t>abstract read</t>
        </is>
      </c>
      <c r="T307" s="7" t="inlineStr">
        <is>
          <t>2026-10-10</t>
        </is>
      </c>
      <c r="U307" s="7" t="inlineStr">
        <is>
          <t>https://arxiv.org/abs/2604.11339</t>
        </is>
      </c>
      <c r="V307" s="7" t="inlineStr">
        <is>
          <t>https://arxiv.org/pdf/2604.11339</t>
        </is>
      </c>
      <c r="W307" s="7" t="inlineStr"/>
    </row>
    <row r="308">
      <c r="A308" s="7" t="n">
        <v>48</v>
      </c>
      <c r="B308" s="7" t="inlineStr">
        <is>
          <t>Horizon Europe</t>
        </is>
      </c>
      <c r="C308" s="7" t="inlineStr">
        <is>
          <t>evidence</t>
        </is>
      </c>
      <c r="D308" s="7" t="inlineStr">
        <is>
          <t>official</t>
        </is>
      </c>
      <c r="E308" s="7" t="inlineStr">
        <is>
          <t>2026-10 broadened search</t>
        </is>
      </c>
      <c r="F308" s="7" t="inlineStr">
        <is>
          <t>eca-2025-annualreport-research</t>
        </is>
      </c>
      <c r="G308" s="7" t="inlineStr">
        <is>
          <t>European Court of Auditors (2025), Annual reports concerning the 2024 financial year, Chapter 5 'Competitiveness for growth and jobs' (research: Horizon 2020 and Horizon Europe), European Court of Auditors, October 2025</t>
        </is>
      </c>
      <c r="H308" s="7" t="n">
        <v>2025</v>
      </c>
      <c r="I308" s="7" t="inlineStr">
        <is>
          <t>ECA audit report</t>
        </is>
      </c>
      <c r="J308" s="7" t="inlineStr">
        <is>
          <t>statistical audit sample of 99 research transactions (65 Horizon 2020, 34 Horizon Europe); error-rate estimation</t>
        </is>
      </c>
      <c r="K308" s="7" t="inlineStr">
        <is>
          <t>regularity of spending (error rates), adaptation to simplified rules, uptake of lump-sum funding</t>
        </is>
      </c>
      <c r="L308" s="7" t="inlineStr">
        <is>
          <t>negative</t>
        </is>
      </c>
      <c r="M308" s="7" t="inlineStr">
        <is>
          <t>Quantifiable errors in 26 of 99 research transactions, with no significant difference between Horizon 2020 and Horizon Europe despite simplification; lump sums were only about 15% of grants signed in 2024 against a 50% target by 2027.</t>
        </is>
      </c>
      <c r="N308" s="7" t="inlineStr">
        <is>
          <t>EU auditors found that Horizon Europe's simpler cost rules have not yet reduced mistakes in how research money is claimed, and that the simplest funding method (lump sums) is used far less than planned.</t>
        </is>
      </c>
      <c r="O308" s="7" t="inlineStr">
        <is>
          <t>2024 financial year; EU</t>
        </is>
      </c>
      <c r="P308" s="7" t="inlineStr">
        <is>
          <t>Rigorous audit sample, but small Horizon Europe subsample (34) and focused on compliance rather than research outcomes.</t>
        </is>
      </c>
      <c r="Q308" s="7" t="inlineStr"/>
      <c r="R308" s="7" t="inlineStr">
        <is>
          <t>open</t>
        </is>
      </c>
      <c r="S308" s="7" t="inlineStr">
        <is>
          <t>full text read</t>
        </is>
      </c>
      <c r="T308" s="7" t="inlineStr">
        <is>
          <t>2026-10-10</t>
        </is>
      </c>
      <c r="U308" s="7" t="inlineStr">
        <is>
          <t>https://www.eca.europa.eu/en/publications/AR-2024</t>
        </is>
      </c>
      <c r="V308" s="7" t="inlineStr">
        <is>
          <t>https://www.eca.europa.eu/ECAPublications/AR-2024/AR-2024_EN.pdf</t>
        </is>
      </c>
      <c r="W308" s="7" t="inlineStr"/>
    </row>
    <row r="309">
      <c r="A309" s="7" t="n">
        <v>48</v>
      </c>
      <c r="B309" s="7" t="inlineStr">
        <is>
          <t>Horizon Europe</t>
        </is>
      </c>
      <c r="C309" s="7" t="inlineStr">
        <is>
          <t>evidence</t>
        </is>
      </c>
      <c r="D309" s="7" t="inlineStr">
        <is>
          <t>official</t>
        </is>
      </c>
      <c r="E309" s="7" t="inlineStr">
        <is>
          <t>2026-10 broadened search</t>
        </is>
      </c>
      <c r="F309" s="7" t="inlineStr">
        <is>
          <t>ec-2026-monitoring-he2025</t>
        </is>
      </c>
      <c r="G309" s="7" t="inlineStr">
        <is>
          <t>European Commission (2026), Annual Report on Research and Technological Development Activities of the European Union and Monitoring of Horizon Europe in 2025, European Commission (summarised by EISMEA IP Helpdesk, 31 May 2026)</t>
        </is>
      </c>
      <c r="H309" s="7" t="n">
        <v>2026</v>
      </c>
      <c r="I309" s="7" t="inlineStr">
        <is>
          <t>Commission monitoring report</t>
        </is>
      </c>
      <c r="J309" s="7" t="inlineStr">
        <is>
          <t>programme monitoring statistics (proposals, grants, participants, reported outputs)</t>
        </is>
      </c>
      <c r="K309" s="7" t="inlineStr">
        <is>
          <t>participation, funding, SME share, innovation outputs and patents</t>
        </is>
      </c>
      <c r="L309" s="7" t="inlineStr">
        <is>
          <t>descriptive</t>
        </is>
      </c>
      <c r="M309" s="7" t="inlineStr">
        <is>
          <t>By end-2025 Horizon Europe had awarded EUR 52.8bn through 19,456 grants to over 31,000 organisations; SMEs were 35% of participants and projects reported 7,645 innovations and 94 patent applications.</t>
        </is>
      </c>
      <c r="N309" s="7" t="inlineStr">
        <is>
          <t>The Commission's monitoring report counts how much Horizon Europe money has gone out and to whom, and early outputs such as new products and patent applications.</t>
        </is>
      </c>
      <c r="O309" s="7" t="inlineStr">
        <is>
          <t>2021-2025; EU and associated countries</t>
        </is>
      </c>
      <c r="P309" s="7" t="inlineStr">
        <is>
          <t>Descriptive self-reported monitoring, no counterfactual; seen only via an official EU agency summary, not the report itself.</t>
        </is>
      </c>
      <c r="Q309" s="7" t="inlineStr">
        <is>
          <t>Commission reporting on its own programme</t>
        </is>
      </c>
      <c r="R309" s="7" t="inlineStr">
        <is>
          <t>open</t>
        </is>
      </c>
      <c r="S309" s="7" t="inlineStr">
        <is>
          <t>summary only</t>
        </is>
      </c>
      <c r="T309" s="7" t="inlineStr">
        <is>
          <t>2026-10-10</t>
        </is>
      </c>
      <c r="U309" s="7" t="inlineStr">
        <is>
          <t>https://intellectual-property-helpdesk.ec.europa.eu/news-events/news/commission-report-highlights-horizon-europes-growing-impact-and-europes-innovation-ambitions-2026-05-31_en</t>
        </is>
      </c>
      <c r="V309" s="7" t="inlineStr"/>
      <c r="W309" s="7" t="inlineStr"/>
    </row>
    <row r="310">
      <c r="A310" s="7" t="n">
        <v>48</v>
      </c>
      <c r="B310" s="7" t="inlineStr">
        <is>
          <t>Horizon Europe</t>
        </is>
      </c>
      <c r="C310" s="7" t="inlineStr">
        <is>
          <t>evidence</t>
        </is>
      </c>
      <c r="D310" s="7" t="inlineStr">
        <is>
          <t>official</t>
        </is>
      </c>
      <c r="E310" s="7" t="inlineStr">
        <is>
          <t>2026-10 broadened search</t>
        </is>
      </c>
      <c r="F310" s="7" t="inlineStr">
        <is>
          <t>eic-2025-impact-report</t>
        </is>
      </c>
      <c r="G310" s="7" t="inlineStr">
        <is>
          <t>European Innovation Council and SMEs Executive Agency (EISMEA) (2025), EIC Impact Report 2025, European Innovation Council, April 2025</t>
        </is>
      </c>
      <c r="H310" s="7" t="n">
        <v>2025</v>
      </c>
      <c r="I310" s="7" t="inlineStr">
        <is>
          <t>agency report</t>
        </is>
      </c>
      <c r="J310" s="7" t="inlineStr">
        <is>
          <t>descriptive monitoring statistics on EIC (Horizon Europe Pillar III) portfolio</t>
        </is>
      </c>
      <c r="K310" s="7" t="inlineStr">
        <is>
          <t>co-investment, investment rounds, employment and turnover growth, spinouts, innovations</t>
        </is>
      </c>
      <c r="L310" s="7" t="inlineStr">
        <is>
          <t>positive</t>
        </is>
      </c>
      <c r="M310" s="7" t="inlineStr">
        <is>
          <t>EIC Fund completed over 150 investment rounds under Horizon Europe and attracted over EUR 2.6 billion co-investment (over EUR 3 per EUR 1 invested); EIC-backed firms grow employment and turnover by about 50% within two years of award.</t>
        </is>
      </c>
      <c r="N310" s="7" t="inlineStr">
        <is>
          <t>The EU's innovation agency reports that the start-ups it backs under Horizon Europe attracted large private co-investment and grew quickly after funding.</t>
        </is>
      </c>
      <c r="O310" s="7" t="inlineStr">
        <is>
          <t>EU, 2021-2024</t>
        </is>
      </c>
      <c r="P310" s="7" t="inlineStr">
        <is>
          <t>Self-reported monitoring, no counterfactual (growth figures not causal).</t>
        </is>
      </c>
      <c r="Q310" s="7" t="inlineStr">
        <is>
          <t>Commission agency reporting on its own programme</t>
        </is>
      </c>
      <c r="R310" s="7" t="inlineStr">
        <is>
          <t>open</t>
        </is>
      </c>
      <c r="S310" s="7" t="inlineStr">
        <is>
          <t>abstract read</t>
        </is>
      </c>
      <c r="T310" s="7" t="inlineStr">
        <is>
          <t>2026-10-10</t>
        </is>
      </c>
      <c r="U310" s="7" t="inlineStr">
        <is>
          <t>https://eic.ec.europa.eu/news/eic-impact-report-2025-eic-track-leading-deep-tech-investor-mobilising-eu26-billion-additional-2025-04-03_en</t>
        </is>
      </c>
      <c r="V310" s="7" t="inlineStr">
        <is>
          <t>https://eic.ec.europa.eu/document/download/6a843d77-534e-42b8-a805-539fbc8ca92a_en?filename=EIC-Impact-Report-2025.pdf</t>
        </is>
      </c>
      <c r="W310" s="7" t="inlineStr"/>
    </row>
    <row r="311">
      <c r="A311" s="7" t="n">
        <v>51</v>
      </c>
      <c r="B311" s="7" t="inlineStr">
        <is>
          <t>Terrorist Content Online Regulation</t>
        </is>
      </c>
      <c r="C311" s="7" t="inlineStr">
        <is>
          <t>ex-ante assessment</t>
        </is>
      </c>
      <c r="D311" s="7" t="inlineStr">
        <is>
          <t>official</t>
        </is>
      </c>
      <c r="E311" s="7" t="inlineStr">
        <is>
          <t>initial review</t>
        </is>
      </c>
      <c r="F311" s="7" t="inlineStr">
        <is>
          <t>ec-2018-tco-ia</t>
        </is>
      </c>
      <c r="G311" s="7" t="inlineStr">
        <is>
          <t>European Commission (2018), Impact Assessment accompanying the proposal on preventing the dissemination of terrorist content online (executive summary SWD(2018) 409), SWD(2018) 408</t>
        </is>
      </c>
      <c r="H311" s="7" t="n">
        <v>2018</v>
      </c>
      <c r="I311" s="7" t="inlineStr">
        <is>
          <t>Commission impact assessment</t>
        </is>
      </c>
      <c r="J311" s="7" t="inlineStr">
        <is>
          <t>ex-ante (qualitative option comparison)</t>
        </is>
      </c>
      <c r="K311" s="7" t="inlineStr">
        <is>
          <t>removal speed; transparency; fundamental rights; compliance costs</t>
        </is>
      </c>
      <c r="L311" s="7" t="inlineStr">
        <is>
          <t>positive (forecast)</t>
        </is>
      </c>
      <c r="M311" s="7" t="inlineStr">
        <is>
          <t>Preferred option (one-hour removal orders, referrals, proactive measures for exposed providers, safeguards, transparency) judged most effective, with highest costs and highest benefits; no quantified headline</t>
        </is>
      </c>
      <c r="N311" s="7" t="inlineStr">
        <is>
          <t>The Commission expected binding one-hour removal orders and transparency duties to cut the spread of terrorist propaganda online, and accepted higher costs for platforms.</t>
        </is>
      </c>
      <c r="O311" s="7" t="inlineStr">
        <is>
          <t>EU, forecast</t>
        </is>
      </c>
      <c r="P311" s="7" t="inlineStr">
        <is>
          <t>forecast; qualitative</t>
        </is>
      </c>
      <c r="Q311" s="7" t="inlineStr"/>
      <c r="R311" s="7" t="inlineStr">
        <is>
          <t>open</t>
        </is>
      </c>
      <c r="S311" s="7" t="inlineStr">
        <is>
          <t>full text read (executive summary)</t>
        </is>
      </c>
      <c r="T311" s="7" t="inlineStr">
        <is>
          <t>2026-10-10</t>
        </is>
      </c>
      <c r="U311" s="7" t="inlineStr">
        <is>
          <t>https://eur-lex.europa.eu/legal-content/EN/TXT/?uri=CELEX:52018SC0409</t>
        </is>
      </c>
      <c r="V311" s="7" t="inlineStr"/>
      <c r="W311" s="7" t="inlineStr">
        <is>
          <t>http://web.archive.org/web/20250226073143/https://eur-lex.europa.eu/legal-content/EN/TXT/?uri=celex%3A52018SC0409</t>
        </is>
      </c>
    </row>
    <row r="312">
      <c r="A312" s="7" t="n">
        <v>51</v>
      </c>
      <c r="B312" s="7" t="inlineStr">
        <is>
          <t>Terrorist Content Online Regulation</t>
        </is>
      </c>
      <c r="C312" s="7" t="inlineStr">
        <is>
          <t>evidence</t>
        </is>
      </c>
      <c r="D312" s="7" t="inlineStr">
        <is>
          <t>official</t>
        </is>
      </c>
      <c r="E312" s="7" t="inlineStr">
        <is>
          <t>initial review</t>
        </is>
      </c>
      <c r="F312" s="7" t="inlineStr">
        <is>
          <t>ec-2024-tco-implementation</t>
        </is>
      </c>
      <c r="G312" s="7" t="inlineStr">
        <is>
          <t>European Commission (2024), Report on the implementation of Regulation (EU) 2021/784 on addressing the dissemination of terrorist content online (with SWD(2024) 36), COM(2024) 64</t>
        </is>
      </c>
      <c r="H312" s="7" t="n">
        <v>2024</v>
      </c>
      <c r="I312" s="7" t="inlineStr">
        <is>
          <t>Commission implementation report</t>
        </is>
      </c>
      <c r="J312" s="7" t="inlineStr">
        <is>
          <t>implementation report (Member State, Europol and provider data)</t>
        </is>
      </c>
      <c r="K312" s="7" t="inlineStr">
        <is>
          <t>removal orders; authority designation; safeguards</t>
        </is>
      </c>
      <c r="L312" s="7" t="inlineStr">
        <is>
          <t>positive</t>
        </is>
      </c>
      <c r="M312" s="7" t="inlineStr">
        <is>
          <t>By 31 Dec 2023: 349+ removal orders from six Member States, mostly executed quickly; 23 Member States designated authorities; 14,615 referrals via PERCI; no orders challenged; Commission concludes a positive impact in limiting spread of terrorist content</t>
        </is>
      </c>
      <c r="N312" s="7" t="inlineStr">
        <is>
          <t>The Commission's first report counts about 350 removal orders in 2023, mostly acted on quickly, and calls the law a success - but the evidence is activity counts, not a measured drop in terrorist content.</t>
        </is>
      </c>
      <c r="O312" s="7" t="inlineStr">
        <is>
          <t>EU, June 2022-Dec 2023</t>
        </is>
      </c>
      <c r="P312" s="7" t="inlineStr">
        <is>
          <t>self-assessment; descriptive</t>
        </is>
      </c>
      <c r="Q312" s="7" t="inlineStr"/>
      <c r="R312" s="7" t="inlineStr">
        <is>
          <t>open</t>
        </is>
      </c>
      <c r="S312" s="7" t="inlineStr">
        <is>
          <t>full text read</t>
        </is>
      </c>
      <c r="T312" s="7" t="inlineStr">
        <is>
          <t>2026-10-10</t>
        </is>
      </c>
      <c r="U312" s="7" t="inlineStr">
        <is>
          <t>https://eur-lex.europa.eu/legal-content/EN/TXT/?uri=CELEX:52024DC0064</t>
        </is>
      </c>
      <c r="V312" s="7" t="inlineStr"/>
      <c r="W312" s="7" t="inlineStr">
        <is>
          <t>http://web.archive.org/web/20260603022448/https://eur-lex.europa.eu/legal-content/EN/TXT/?uri=celex%3A52024DC0064</t>
        </is>
      </c>
    </row>
    <row r="313">
      <c r="A313" s="7" t="n">
        <v>51</v>
      </c>
      <c r="B313" s="7" t="inlineStr">
        <is>
          <t>Terrorist Content Online Regulation</t>
        </is>
      </c>
      <c r="C313" s="7" t="inlineStr">
        <is>
          <t>evidence</t>
        </is>
      </c>
      <c r="D313" s="7" t="inlineStr">
        <is>
          <t>official</t>
        </is>
      </c>
      <c r="E313" s="7" t="inlineStr">
        <is>
          <t>initial review</t>
        </is>
      </c>
      <c r="F313" s="7" t="inlineStr">
        <is>
          <t>fra-2026-terrorist-content</t>
        </is>
      </c>
      <c r="G313" s="7" t="inlineStr">
        <is>
          <t>EU Agency for Fundamental Rights (FRA) (2026), Regulating online terrorist content - Balancing public safety and fundamental rights, FRA report, 22 January 2026</t>
        </is>
      </c>
      <c r="H313" s="7" t="n">
        <v>2026</v>
      </c>
      <c r="I313" s="7" t="inlineStr">
        <is>
          <t>EU agency report</t>
        </is>
      </c>
      <c r="J313" s="7" t="inlineStr">
        <is>
          <t>qualitative (fieldwork interviews with 62 practitioners and experts)</t>
        </is>
      </c>
      <c r="K313" s="7" t="inlineStr">
        <is>
          <t>fundamental rights; over-removal; discrimination</t>
        </is>
      </c>
      <c r="L313" s="7" t="inlineStr">
        <is>
          <t>mixed</t>
        </is>
      </c>
      <c r="M313" s="7" t="inlineStr">
        <is>
          <t>Moderation by authorities and platforms may disproportionately affect Muslims and Arabic speakers while far-right content gets less scrutiny; risks of over-removal and chilling of free expression; recommends clearer definitions, transparency and avoiding incentives to over-remove</t>
        </is>
      </c>
      <c r="N313" s="7" t="inlineStr">
        <is>
          <t>The EU's rights agency warns that the terrorist content rules may lead platforms to over-remove legal posts and hit Muslim and Arabic-speaking users hardest, based on interviews with experts.</t>
        </is>
      </c>
      <c r="O313" s="7" t="inlineStr">
        <is>
          <t>EU, 2024-2025</t>
        </is>
      </c>
      <c r="P313" s="7" t="inlineStr">
        <is>
          <t>qualitative; interviews</t>
        </is>
      </c>
      <c r="Q313" s="7" t="inlineStr"/>
      <c r="R313" s="7" t="inlineStr">
        <is>
          <t>open</t>
        </is>
      </c>
      <c r="S313" s="7" t="inlineStr">
        <is>
          <t>page summary via search</t>
        </is>
      </c>
      <c r="T313" s="7" t="inlineStr">
        <is>
          <t>2026-10-10</t>
        </is>
      </c>
      <c r="U313" s="7" t="inlineStr">
        <is>
          <t>https://fra.europa.eu/en/publication/2025/regulating-online-terrorist-content</t>
        </is>
      </c>
      <c r="V313" s="7" t="inlineStr"/>
      <c r="W313" s="7" t="inlineStr"/>
    </row>
    <row r="314">
      <c r="A314" s="7" t="n">
        <v>51</v>
      </c>
      <c r="B314" s="7" t="inlineStr">
        <is>
          <t>Terrorist Content Online Regulation</t>
        </is>
      </c>
      <c r="C314" s="7" t="inlineStr">
        <is>
          <t>evidence</t>
        </is>
      </c>
      <c r="D314" s="7" t="inlineStr">
        <is>
          <t>official</t>
        </is>
      </c>
      <c r="E314" s="7" t="inlineStr">
        <is>
          <t>2026-10 broadened search</t>
        </is>
      </c>
      <c r="F314" s="7" t="inlineStr">
        <is>
          <t>bnetza-2026-tco-transparency</t>
        </is>
      </c>
      <c r="G314" s="7" t="inlineStr">
        <is>
          <t>Bundesnetzagentur (with Bundeskriminalamt data) (2026), Transparency Report as per Article 8 of the Terrorist Content Online Regulation and Monitoring Report as per Article 21(1) - Year under review 2025, Bundesnetzagentur, Germany, March 2026</t>
        </is>
      </c>
      <c r="H314" s="7" t="n">
        <v>2026</v>
      </c>
      <c r="I314" s="7" t="inlineStr">
        <is>
          <t>agency report</t>
        </is>
      </c>
      <c r="J314" s="7" t="inlineStr">
        <is>
          <t>administrative statistics on removal orders, removal requests, objections and Article 5 procedures</t>
        </is>
      </c>
      <c r="K314" s="7" t="inlineStr">
        <is>
          <t>removal orders issued and complied with, removal requests, compliance rates</t>
        </is>
      </c>
      <c r="L314" s="7" t="inlineStr">
        <is>
          <t>descriptive</t>
        </is>
      </c>
      <c r="M314" s="7" t="inlineStr">
        <is>
          <t>In 2025 the Bundeskriminalamt issued 245 removal orders (99.2% implemented, 237 fewer than in 2024) and 29,792 voluntary removal requests (93.2% implemented vs 87.4% in 2024).</t>
        </is>
      </c>
      <c r="N314" s="7" t="inlineStr">
        <is>
          <t>Germany's police used the regulation's binding one-hour removal orders a few hundred times in 2025 and platforms almost always complied, while far more content was taken down through voluntary requests.</t>
        </is>
      </c>
      <c r="O314" s="7" t="inlineStr">
        <is>
          <t>2025 (with 2024 comparison); Germany</t>
        </is>
      </c>
      <c r="P314" s="7" t="inlineStr">
        <is>
          <t>Official counts from the competent authority; outputs only, no measure of effect on terrorist content availability</t>
        </is>
      </c>
      <c r="Q314" s="7" t="inlineStr">
        <is>
          <t>National competent authority reporting on its own activity</t>
        </is>
      </c>
      <c r="R314" s="7" t="inlineStr">
        <is>
          <t>open</t>
        </is>
      </c>
      <c r="S314" s="7" t="inlineStr">
        <is>
          <t>full text read</t>
        </is>
      </c>
      <c r="T314" s="7" t="inlineStr">
        <is>
          <t>2026-10-10</t>
        </is>
      </c>
      <c r="U314" s="7" t="inlineStr">
        <is>
          <t>https://www.bundesnetzagentur.de/EN/Areas/Digitalisation/Internet/TerrorOnlIn/_DL/Transparenzbericht2025_eng.pdf?__blob=publicationFile</t>
        </is>
      </c>
      <c r="V314" s="7" t="inlineStr">
        <is>
          <t>https://www.bundesnetzagentur.de/EN/Areas/Digitalisation/Internet/TerrorOnlIn/_DL/Transparenzbericht2025_eng.pdf?__blob=publicationFile</t>
        </is>
      </c>
      <c r="W314" s="7" t="inlineStr"/>
    </row>
    <row r="315">
      <c r="A315" s="7" t="n">
        <v>51</v>
      </c>
      <c r="B315" s="7" t="inlineStr">
        <is>
          <t>Terrorist Content Online Regulation</t>
        </is>
      </c>
      <c r="C315" s="7" t="inlineStr">
        <is>
          <t>evidence</t>
        </is>
      </c>
      <c r="D315" s="7" t="inlineStr">
        <is>
          <t>official</t>
        </is>
      </c>
      <c r="E315" s="7" t="inlineStr">
        <is>
          <t>2026-10 broadened search</t>
        </is>
      </c>
      <c r="F315" s="7" t="inlineStr">
        <is>
          <t>wodc-2026-tcoevaluation</t>
        </is>
      </c>
      <c r="G315" s="7" t="inlineStr">
        <is>
          <t>WODC (Wetenschappelijk Onderzoek- en Datacentrum, Dutch Ministry of Justice and Security); external research team (Rotterdam) not named in summary (2026), Evaluation of Implementation Act on the Regulation on Terrorist Content Online - Final report (English summary), WODC evaluation report (28 July 2026)</t>
        </is>
      </c>
      <c r="H315" s="7" t="n">
        <v>2026</v>
      </c>
      <c r="I315" s="7" t="inlineStr">
        <is>
          <t>official evaluation (national)</t>
        </is>
      </c>
      <c r="J315" s="7" t="inlineStr">
        <is>
          <t>statutory ex-post evaluation: document review, 28 semi-structured interviews, workshops, case studies of Germany, Ireland and Sweden, plus removal-order statistics</t>
        </is>
      </c>
      <c r="K315" s="7" t="inlineStr">
        <is>
          <t>removal orders issued and complied with; over-removal; administrative burden; governance; effect on terrorist content online</t>
        </is>
      </c>
      <c r="L315" s="7" t="inlineStr">
        <is>
          <t>mixed</t>
        </is>
      </c>
      <c r="M315" s="7" t="inlineStr">
        <is>
          <t>About 330 removal orders were issued by the Dutch authority (ATKM) in 2024-2025, almost all complied with within the one-hour deadline (around 20% of all EU removal orders), with no fines, appeals or exposure decisions; but about three-quarters of flagged content falls outside scope and no effect on overall terrorist content can be shown.</t>
        </is>
      </c>
      <c r="N315" s="7" t="inlineStr">
        <is>
          <t>A Dutch government-commissioned evaluation found that when the Dutch authority orders a platform to remove terrorist content, it is almost always taken down within an hour and there is no sign of lawful content being removed by mistake. But it cannot show that the law has reduced terrorist content online overall, partly because there was no baseline and content moves to closed channels.</t>
        </is>
      </c>
      <c r="O315" s="7" t="inlineStr">
        <is>
          <t>Sept 2023 - June 2026; Netherlands (with comparisons to DE, IE, SE)</t>
        </is>
      </c>
      <c r="P315" s="7" t="inlineStr">
        <is>
          <t>Mixed-methods implementation evaluation; no baseline or counterfactual for impact; only the English summary was read.</t>
        </is>
      </c>
      <c r="Q315" s="7" t="inlineStr">
        <is>
          <t>Commissioned by the ministry responsible for the implementing act</t>
        </is>
      </c>
      <c r="R315" s="7" t="inlineStr">
        <is>
          <t>open</t>
        </is>
      </c>
      <c r="S315" s="7" t="inlineStr">
        <is>
          <t>abstract read</t>
        </is>
      </c>
      <c r="T315" s="7" t="inlineStr">
        <is>
          <t>2026-10-10</t>
        </is>
      </c>
      <c r="U315" s="7" t="inlineStr">
        <is>
          <t>https://app.1848.nl/static/pdf/40/64/4064e8402ba1a264320de07260c22570f412b958.pdf</t>
        </is>
      </c>
      <c r="V315" s="7" t="inlineStr">
        <is>
          <t>https://app.1848.nl/static/pdf/40/64/4064e8402ba1a264320de07260c22570f412b958.pdf</t>
        </is>
      </c>
      <c r="W315" s="7" t="inlineStr"/>
    </row>
    <row r="316">
      <c r="A316" s="7" t="n">
        <v>51</v>
      </c>
      <c r="B316" s="7" t="inlineStr">
        <is>
          <t>Terrorist Content Online Regulation</t>
        </is>
      </c>
      <c r="C316" s="7" t="inlineStr">
        <is>
          <t>evidence</t>
        </is>
      </c>
      <c r="D316" s="7" t="inlineStr">
        <is>
          <t>official</t>
        </is>
      </c>
      <c r="E316" s="7" t="inlineStr">
        <is>
          <t>2026-10 broadened search</t>
        </is>
      </c>
      <c r="F316" s="7" t="inlineStr">
        <is>
          <t>garda-2026-tcortransparency</t>
        </is>
      </c>
      <c r="G316" s="7" t="inlineStr">
        <is>
          <t>An Garda Síochána (2026), Terrorist Content Online Regulation Transparency Report 2025 (Article 8 transparency report and Article 21(1) monitoring report), An Garda Síochána report (year under review 2025, as of March 2026)</t>
        </is>
      </c>
      <c r="H316" s="7" t="n">
        <v>2026</v>
      </c>
      <c r="I316" s="7" t="inlineStr">
        <is>
          <t>agency report</t>
        </is>
      </c>
      <c r="J316" s="7" t="inlineStr">
        <is>
          <t>statutory statistical transparency report of the Irish competent authority</t>
        </is>
      </c>
      <c r="K316" s="7" t="inlineStr">
        <is>
          <t>removal orders issued, scrutinised and implemented</t>
        </is>
      </c>
      <c r="L316" s="7" t="inlineStr">
        <is>
          <t>descriptive</t>
        </is>
      </c>
      <c r="M316" s="7" t="inlineStr">
        <is>
          <t>Ireland's competent authority issued one removal order in 2025, and the content was taken down; no removal orders were scrutinised under Article 4.</t>
        </is>
      </c>
      <c r="N316" s="7" t="inlineStr">
        <is>
          <t>Ireland hosts the EU headquarters of many big platforms, yet its police issued only one order under the EU terrorist-content law in 2025, which was obeyed.</t>
        </is>
      </c>
      <c r="O316" s="7" t="inlineStr">
        <is>
          <t>2025; Ireland</t>
        </is>
      </c>
      <c r="P316" s="7" t="inlineStr">
        <is>
          <t>Bare counts only; shows very low use of removal orders by the authority in the main hosting jurisdiction.</t>
        </is>
      </c>
      <c r="Q316" s="7" t="inlineStr"/>
      <c r="R316" s="7" t="inlineStr">
        <is>
          <t>open</t>
        </is>
      </c>
      <c r="S316" s="7" t="inlineStr">
        <is>
          <t>full text read</t>
        </is>
      </c>
      <c r="T316" s="7" t="inlineStr">
        <is>
          <t>2026-10-10</t>
        </is>
      </c>
      <c r="U316" s="7" t="inlineStr">
        <is>
          <t>https://www.garda.ie/en/about-us/publications/general-reports/tcor-transparency-report-2025.pdf</t>
        </is>
      </c>
      <c r="V316" s="7" t="inlineStr">
        <is>
          <t>https://www.garda.ie/en/about-us/publications/general-reports/tcor-transparency-report-2025.pdf</t>
        </is>
      </c>
      <c r="W316" s="7" t="inlineStr"/>
    </row>
    <row r="317">
      <c r="A317" s="7" t="n">
        <v>50</v>
      </c>
      <c r="B317" s="7" t="inlineStr">
        <is>
          <t>European Cybersecurity Competence Centre</t>
        </is>
      </c>
      <c r="C317" s="7" t="inlineStr">
        <is>
          <t>ex-ante assessment</t>
        </is>
      </c>
      <c r="D317" s="7" t="inlineStr">
        <is>
          <t>official</t>
        </is>
      </c>
      <c r="E317" s="7" t="inlineStr">
        <is>
          <t>initial review</t>
        </is>
      </c>
      <c r="F317" s="7" t="inlineStr">
        <is>
          <t>ec-2018-eccc-ia</t>
        </is>
      </c>
      <c r="G317" s="7" t="inlineStr">
        <is>
          <t>European Commission (2018), Impact Assessment accompanying the proposal establishing the European Cybersecurity Industrial, Technology and Research Competence Centre and the Network of National Coordination Centres (executive summary SWD(2018) 404), SWD(2018) 403</t>
        </is>
      </c>
      <c r="H317" s="7" t="n">
        <v>2018</v>
      </c>
      <c r="I317" s="7" t="inlineStr">
        <is>
          <t>Commission impact assessment</t>
        </is>
      </c>
      <c r="J317" s="7" t="inlineStr">
        <is>
          <t>ex-ante (qualitative option comparison)</t>
        </is>
      </c>
      <c r="K317" s="7" t="inlineStr">
        <is>
          <t>industrial competitiveness; market share; R&amp;D uptake</t>
        </is>
      </c>
      <c r="L317" s="7" t="inlineStr">
        <is>
          <t>positive (forecast)</t>
        </is>
      </c>
      <c r="M317" s="7" t="inlineStr">
        <is>
          <t>Fragmented EU cybersecurity market dominated by non-EU firms; preferred option (Competence Centre plus network, Art. 173/187 TFEU) expected to help EU industry raise market share; target 25% global market share by 2027</t>
        </is>
      </c>
      <c r="N317" s="7" t="inlineStr">
        <is>
          <t>The Commission expected a new competence centre pooling EU and national money to strengthen Europe's cybersecurity industry, aiming for a 25% global market share by 2027.</t>
        </is>
      </c>
      <c r="O317" s="7" t="inlineStr">
        <is>
          <t>EU, forecast</t>
        </is>
      </c>
      <c r="P317" s="7" t="inlineStr">
        <is>
          <t>forecast; qualitative</t>
        </is>
      </c>
      <c r="Q317" s="7" t="inlineStr"/>
      <c r="R317" s="7" t="inlineStr">
        <is>
          <t>open</t>
        </is>
      </c>
      <c r="S317" s="7" t="inlineStr">
        <is>
          <t>full text skimmed</t>
        </is>
      </c>
      <c r="T317" s="7" t="inlineStr">
        <is>
          <t>2026-10-10</t>
        </is>
      </c>
      <c r="U317" s="7" t="inlineStr">
        <is>
          <t>https://eur-lex.europa.eu/legal-content/EN/TXT/?uri=CELEX:52018SC0403</t>
        </is>
      </c>
      <c r="V317" s="7" t="inlineStr"/>
      <c r="W317" s="7" t="inlineStr"/>
    </row>
    <row r="318">
      <c r="A318" s="7" t="n">
        <v>50</v>
      </c>
      <c r="B318" s="7" t="inlineStr">
        <is>
          <t>European Cybersecurity Competence Centre</t>
        </is>
      </c>
      <c r="C318" s="7" t="inlineStr">
        <is>
          <t>evidence</t>
        </is>
      </c>
      <c r="D318" s="7" t="inlineStr">
        <is>
          <t>official</t>
        </is>
      </c>
      <c r="E318" s="7" t="inlineStr">
        <is>
          <t>initial review</t>
        </is>
      </c>
      <c r="F318" s="7" t="inlineStr">
        <is>
          <t>ec-2025-dep-interim-cyber</t>
        </is>
      </c>
      <c r="G318" s="7" t="inlineStr">
        <is>
          <t>European Commission (2025), The Digital Europe Programme: Main findings of the interim evaluation (cybersecurity objective), COM(2025) 771 (SWD(2025) 420)</t>
        </is>
      </c>
      <c r="H318" s="7" t="n">
        <v>2025</v>
      </c>
      <c r="I318" s="7" t="inlineStr">
        <is>
          <t>Commission evaluation</t>
        </is>
      </c>
      <c r="J318" s="7" t="inlineStr">
        <is>
          <t>interim evaluation of the funding programme the ECCC implements</t>
        </is>
      </c>
      <c r="K318" s="7" t="inlineStr">
        <is>
          <t>outputs; infrastructure; network</t>
        </is>
      </c>
      <c r="L318" s="7" t="inlineStr">
        <is>
          <t>positive</t>
        </is>
      </c>
      <c r="M318" s="7" t="inlineStr">
        <is>
          <t>26 CyberHubs procured in line with targets; 27 national coordination centres; first 12 cybersecurity tools deployed with first users in health</t>
        </is>
      </c>
      <c r="N318" s="7" t="inlineStr">
        <is>
          <t>The Commission's review of Digital Europe reports that the cybersecurity infrastructure the Centre oversees has been bought on schedule, but says nothing yet about effects on Europe's cybersecurity industry.</t>
        </is>
      </c>
      <c r="O318" s="7" t="inlineStr">
        <is>
          <t>EU, 2021-2024</t>
        </is>
      </c>
      <c r="P318" s="7" t="inlineStr">
        <is>
          <t>self-evaluation; outputs only</t>
        </is>
      </c>
      <c r="Q318" s="7" t="inlineStr"/>
      <c r="R318" s="7" t="inlineStr">
        <is>
          <t>open</t>
        </is>
      </c>
      <c r="S318" s="7" t="inlineStr">
        <is>
          <t>full text read</t>
        </is>
      </c>
      <c r="T318" s="7" t="inlineStr">
        <is>
          <t>2026-10-10</t>
        </is>
      </c>
      <c r="U318" s="7" t="inlineStr">
        <is>
          <t>https://eur-lex.europa.eu/legal-content/EN/TXT/?uri=CELEX:52025DC0771</t>
        </is>
      </c>
      <c r="V318" s="7" t="inlineStr"/>
      <c r="W318" s="7" t="inlineStr">
        <is>
          <t>http://web.archive.org/web/20260120151444/https://eur-lex.europa.eu/legal-content/EN/TXT/?uri=CELEX:52025DC0771</t>
        </is>
      </c>
    </row>
    <row r="319">
      <c r="A319" s="7" t="n">
        <v>50</v>
      </c>
      <c r="B319" s="7" t="inlineStr">
        <is>
          <t>European Cybersecurity Competence Centre</t>
        </is>
      </c>
      <c r="C319" s="7" t="inlineStr">
        <is>
          <t>evidence</t>
        </is>
      </c>
      <c r="D319" s="7" t="inlineStr">
        <is>
          <t>official</t>
        </is>
      </c>
      <c r="E319" s="7" t="inlineStr">
        <is>
          <t>initial review</t>
        </is>
      </c>
      <c r="F319" s="7" t="inlineStr">
        <is>
          <t>eca-2025-ju-annual-2024</t>
        </is>
      </c>
      <c r="G319" s="7" t="inlineStr">
        <is>
          <t>European Court of Auditors (2025), Annual report on EU joint undertakings for the 2024 financial year, ECA annual report</t>
        </is>
      </c>
      <c r="H319" s="7" t="n">
        <v>2025</v>
      </c>
      <c r="I319" s="7" t="inlineStr">
        <is>
          <t>audit report</t>
        </is>
      </c>
      <c r="J319" s="7" t="inlineStr">
        <is>
          <t>financial and compliance audit</t>
        </is>
      </c>
      <c r="K319" s="7" t="inlineStr">
        <is>
          <t>governance; contributions; internal control</t>
        </is>
      </c>
      <c r="L319" s="7" t="inlineStr">
        <is>
          <t>mixed</t>
        </is>
      </c>
      <c r="M319" s="7" t="inlineStr">
        <is>
          <t>ECCC achieved financial autonomy only on 24 Sept 2024; did not disclose members' cumulative contributions or compare them with targets; internal control framework only partly implemented</t>
        </is>
      </c>
      <c r="N319" s="7" t="inlineStr">
        <is>
          <t>EU auditors found the Centre became independent from the Commission only in 2024 and cannot yet show how much Member States have contributed.</t>
        </is>
      </c>
      <c r="O319" s="7" t="inlineStr">
        <is>
          <t>EU, 2024</t>
        </is>
      </c>
      <c r="P319" s="7" t="inlineStr">
        <is>
          <t>audit</t>
        </is>
      </c>
      <c r="Q319" s="7" t="inlineStr"/>
      <c r="R319" s="7" t="inlineStr">
        <is>
          <t>open</t>
        </is>
      </c>
      <c r="S319" s="7" t="inlineStr">
        <is>
          <t>full text read (relevant sections)</t>
        </is>
      </c>
      <c r="T319" s="7" t="inlineStr">
        <is>
          <t>2026-10-10</t>
        </is>
      </c>
      <c r="U319" s="7" t="inlineStr">
        <is>
          <t>https://www.eca.europa.eu/ECAPublications/SAR-JUS-2024/SAR-JUS-2024_EN.pdf</t>
        </is>
      </c>
      <c r="V319" s="7" t="inlineStr">
        <is>
          <t>https://www.eca.europa.eu/ECAPublications/SAR-JUS-2024/SAR-JUS-2024_EN.pdf</t>
        </is>
      </c>
      <c r="W319" s="7" t="inlineStr"/>
    </row>
    <row r="320">
      <c r="A320" s="7" t="n">
        <v>50</v>
      </c>
      <c r="B320" s="7" t="inlineStr">
        <is>
          <t>European Cybersecurity Competence Centre</t>
        </is>
      </c>
      <c r="C320" s="7" t="inlineStr">
        <is>
          <t>evidence</t>
        </is>
      </c>
      <c r="D320" s="7" t="inlineStr">
        <is>
          <t>official</t>
        </is>
      </c>
      <c r="E320" s="7" t="inlineStr">
        <is>
          <t>2026-10 broadened search</t>
        </is>
      </c>
      <c r="F320" s="7" t="inlineStr">
        <is>
          <t>eccc-2026-caar-2025</t>
        </is>
      </c>
      <c r="G320" s="7" t="inlineStr">
        <is>
          <t>European Cybersecurity Industrial, Technology and Research Competence Centre (ECCC) (2026), Consolidated Annual Activity Report 2025 (Governing Board Decision No 2026/4), ECCC</t>
        </is>
      </c>
      <c r="H320" s="7" t="n">
        <v>2026</v>
      </c>
      <c r="I320" s="7" t="inlineStr">
        <is>
          <t>agency report</t>
        </is>
      </c>
      <c r="J320" s="7" t="inlineStr">
        <is>
          <t>descriptive statistics from the body's own monitoring (calls, proposals, grants, project portfolio, staffing, NCC network activity) plus a community needs survey (350 responses)</t>
        </is>
      </c>
      <c r="K320" s="7" t="inlineStr">
        <is>
          <t>call and grant throughput, project portfolio, NCC network operation, awareness among the cybersecurity community</t>
        </is>
      </c>
      <c r="L320" s="7" t="inlineStr">
        <is>
          <t>descriptive</t>
        </is>
      </c>
      <c r="M320" s="7" t="inlineStr">
        <is>
          <t>In its first year as an autonomous body the ECCC ran 165 ongoing Digital Europe projects by December 2025 (e.g. 32 of 172 proposals funded under a EUR 102.8 million deployment call); a 350-response community survey found 85% of respondents not fully aware of the National Coordination Centres' tasks.</t>
        </is>
      </c>
      <c r="N320" s="7" t="inlineStr">
        <is>
          <t>The EU's cybersecurity funding centre in Bucharest reports on its 2025 work: it is now running on its own, handles about 165 funded projects, and is building a network of national centres, but most people in the sector it surveyed do not know well what those national centres do.</t>
        </is>
      </c>
      <c r="O320" s="7" t="inlineStr">
        <is>
          <t>EU, 2025</t>
        </is>
      </c>
      <c r="P320" s="7" t="inlineStr">
        <is>
          <t>Self-reported activity report; inputs and outputs only, no impact measurement; survey results are preliminary.</t>
        </is>
      </c>
      <c r="Q320" s="7" t="inlineStr">
        <is>
          <t>The ECCC reporting on its own activity</t>
        </is>
      </c>
      <c r="R320" s="7" t="inlineStr">
        <is>
          <t>open</t>
        </is>
      </c>
      <c r="S320" s="7" t="inlineStr">
        <is>
          <t>full text read</t>
        </is>
      </c>
      <c r="T320" s="7" t="inlineStr">
        <is>
          <t>2026-10-10</t>
        </is>
      </c>
      <c r="U320" s="7" t="inlineStr">
        <is>
          <t>https://cybersecurity-centre.europa.eu/system/files/2026-06/ECCC%20GB%20Decision%20No2026_4%20CAAR%202025.pdf</t>
        </is>
      </c>
      <c r="V320" s="7" t="inlineStr">
        <is>
          <t>https://cybersecurity-centre.europa.eu/system/files/2026-06/ECCC%20GB%20Decision%20No2026_4%20CAAR%202025.pdf</t>
        </is>
      </c>
      <c r="W320" s="7" t="inlineStr"/>
    </row>
    <row r="321">
      <c r="A321" s="7" t="n">
        <v>47</v>
      </c>
      <c r="B321" s="7" t="inlineStr">
        <is>
          <t>Connecting Europe Facility</t>
        </is>
      </c>
      <c r="C321" s="7" t="inlineStr">
        <is>
          <t>ex-ante assessment</t>
        </is>
      </c>
      <c r="D321" s="7" t="inlineStr">
        <is>
          <t>official</t>
        </is>
      </c>
      <c r="E321" s="7" t="inlineStr">
        <is>
          <t>initial review</t>
        </is>
      </c>
      <c r="F321" s="7" t="inlineStr">
        <is>
          <t>ec-2018-cef-ia</t>
        </is>
      </c>
      <c r="G321" s="7" t="inlineStr">
        <is>
          <t>European Commission (2018), Impact Assessment accompanying the proposal for the Connecting Europe Facility 2021-2027 (executive summary SWD(2018) 313), SWD(2018) 312</t>
        </is>
      </c>
      <c r="H321" s="7" t="n">
        <v>2018</v>
      </c>
      <c r="I321" s="7" t="inlineStr">
        <is>
          <t>Commission impact assessment</t>
        </is>
      </c>
      <c r="J321" s="7" t="inlineStr">
        <is>
          <t>ex-ante (MFF programme IA; draws on mid-term evaluation of CEF 2014-2020)</t>
        </is>
      </c>
      <c r="K321" s="7" t="inlineStr">
        <is>
          <t>programme design; delivery options</t>
        </is>
      </c>
      <c r="L321" s="7" t="inlineStr">
        <is>
          <t>positive (forecast)</t>
        </is>
      </c>
      <c r="M321" s="7" t="inlineStr">
        <is>
          <t>Focused on structure, priorities and delivery of a continued programme; Regulatory Scrutiny Board asked for stronger monitoring and evaluation arrangements; no quantified impact forecast</t>
        </is>
      </c>
      <c r="N321" s="7" t="inlineStr">
        <is>
          <t>The Commission's assessment argued for continuing the Connecting Europe Facility with a broader digital and energy scope, but did not forecast measurable economic effects.</t>
        </is>
      </c>
      <c r="O321" s="7" t="inlineStr">
        <is>
          <t>EU, 2021-2027</t>
        </is>
      </c>
      <c r="P321" s="7" t="inlineStr">
        <is>
          <t>forecast; qualitative</t>
        </is>
      </c>
      <c r="Q321" s="7" t="inlineStr"/>
      <c r="R321" s="7" t="inlineStr">
        <is>
          <t>open</t>
        </is>
      </c>
      <c r="S321" s="7" t="inlineStr">
        <is>
          <t>full text read (executive summary)</t>
        </is>
      </c>
      <c r="T321" s="7" t="inlineStr">
        <is>
          <t>2026-10-10</t>
        </is>
      </c>
      <c r="U321" s="7" t="inlineStr">
        <is>
          <t>https://eur-lex.europa.eu/legal-content/EN/TXT/?uri=CELEX:52018SC0312</t>
        </is>
      </c>
      <c r="V321" s="7" t="inlineStr"/>
      <c r="W321" s="7" t="inlineStr">
        <is>
          <t>http://web.archive.org/web/20240816172818/https://eur-lex.europa.eu/legal-content/EN/TXT/?uri=celex%3A52018SC0312</t>
        </is>
      </c>
    </row>
    <row r="322">
      <c r="A322" s="7" t="n">
        <v>47</v>
      </c>
      <c r="B322" s="7" t="inlineStr">
        <is>
          <t>Connecting Europe Facility</t>
        </is>
      </c>
      <c r="C322" s="7" t="inlineStr">
        <is>
          <t>evidence</t>
        </is>
      </c>
      <c r="D322" s="7" t="inlineStr">
        <is>
          <t>official</t>
        </is>
      </c>
      <c r="E322" s="7" t="inlineStr">
        <is>
          <t>initial review</t>
        </is>
      </c>
      <c r="F322" s="7" t="inlineStr">
        <is>
          <t>ec-2025-cef-progress</t>
        </is>
      </c>
      <c r="G322" s="7" t="inlineStr">
        <is>
          <t>European Commission (2025), Progress report on the implementation of the 2021-2027 Connecting Europe Facility for the years 2021-2024, COM(2025) 516</t>
        </is>
      </c>
      <c r="H322" s="7" t="n">
        <v>2025</v>
      </c>
      <c r="I322" s="7" t="inlineStr">
        <is>
          <t>Commission implementation report</t>
        </is>
      </c>
      <c r="J322" s="7" t="inlineStr">
        <is>
          <t>progress report (monitoring data)</t>
        </is>
      </c>
      <c r="K322" s="7" t="inlineStr">
        <is>
          <t>commitments; projects; delays</t>
        </is>
      </c>
      <c r="L322" s="7" t="inlineStr">
        <is>
          <t>positive</t>
        </is>
      </c>
      <c r="M322" s="7" t="inlineStr">
        <is>
          <t>Transport calls oversubscribed up to ~3x and budget fully committed by 2025, but most projects in early stages (23 of 600+ finished); energy EUR 3.5bn awarded with some delays; digital 117 projects &gt;EUR 640m, start delayed, judged on track; interim evaluation ongoing</t>
        </is>
      </c>
      <c r="N322" s="7" t="inlineStr">
        <is>
          <t>The Commission's first progress report shows the money is being committed quickly - transport calls were nearly three times oversubscribed - but few projects are finished, so no results on traffic, energy flows or growth are available yet.</t>
        </is>
      </c>
      <c r="O322" s="7" t="inlineStr">
        <is>
          <t>EU, 2021-2024</t>
        </is>
      </c>
      <c r="P322" s="7" t="inlineStr">
        <is>
          <t>self-assessment; descriptive</t>
        </is>
      </c>
      <c r="Q322" s="7" t="inlineStr"/>
      <c r="R322" s="7" t="inlineStr">
        <is>
          <t>open</t>
        </is>
      </c>
      <c r="S322" s="7" t="inlineStr">
        <is>
          <t>full text read</t>
        </is>
      </c>
      <c r="T322" s="7" t="inlineStr">
        <is>
          <t>2026-10-10</t>
        </is>
      </c>
      <c r="U322" s="7" t="inlineStr">
        <is>
          <t>https://eur-lex.europa.eu/legal-content/EN/TXT/?uri=CELEX:52025DC0516</t>
        </is>
      </c>
      <c r="V322" s="7" t="inlineStr"/>
      <c r="W322" s="7" t="inlineStr">
        <is>
          <t>http://web.archive.org/web/20251119145236/https://eur-lex.europa.eu/legal-content/EN/TXT/?uri=CELEX%3A52025DC0516</t>
        </is>
      </c>
    </row>
    <row r="323">
      <c r="A323" s="7" t="n">
        <v>47</v>
      </c>
      <c r="B323" s="7" t="inlineStr">
        <is>
          <t>Connecting Europe Facility</t>
        </is>
      </c>
      <c r="C323" s="7" t="inlineStr">
        <is>
          <t>evidence</t>
        </is>
      </c>
      <c r="D323" s="7" t="inlineStr">
        <is>
          <t>official</t>
        </is>
      </c>
      <c r="E323" s="7" t="inlineStr">
        <is>
          <t>2026-10 broadened search</t>
        </is>
      </c>
      <c r="F323" s="7" t="inlineStr">
        <is>
          <t>eca-2026-transport-megaprojects</t>
        </is>
      </c>
      <c r="G323" s="7" t="inlineStr">
        <is>
          <t>European Court of Auditors (2026), Special report 02/2026: EU transport infrastructure - Further delays and some cost increases, but a reinforced governance framework is in place for the future (an update of ECA special report 10/2020), European Court of Auditors, Special Report 02/2026</t>
        </is>
      </c>
      <c r="H323" s="7" t="n">
        <v>2026</v>
      </c>
      <c r="I323" s="7" t="inlineStr">
        <is>
          <t>ECA special report</t>
        </is>
      </c>
      <c r="J323" s="7" t="inlineStr">
        <is>
          <t>audit follow-up of eight EU co-funded transport flagship infrastructures: inflation-adjusted cost re-estimation (2019 prices) and schedule tracking to November 2025, plus follow-up of 2020 recommendations</t>
        </is>
      </c>
      <c r="K323" s="7" t="inlineStr">
        <is>
          <t>cost overruns, delays, EU co-funding (largely CEF grants) for TEN-T megaprojects</t>
        </is>
      </c>
      <c r="L323" s="7" t="inlineStr">
        <is>
          <t>negative</t>
        </is>
      </c>
      <c r="M323" s="7" t="inlineStr">
        <is>
          <t>Real costs of the eight megaprojects rose a further 24% since 2020 (82% above original estimates), driven by Rail Baltica (+160%) and Lyon-Turin (+23%); they received €7.9 billion in additional EU grants since 2020, and the 2030 TEN-T core network deadline will not be met.</t>
        </is>
      </c>
      <c r="N323" s="7" t="inlineStr">
        <is>
          <t>The EU auditors checked eight big EU-funded transport projects again and found they are even later and more expensive than five years ago. Together they now cost almost twice the first estimates, and Europe's core transport network will not be finished by 2030.</t>
        </is>
      </c>
      <c r="O323" s="7" t="inlineStr">
        <is>
          <t>2020-November 2025; eight cross-border/national TEN-T projects (incl. Rail Baltica, Lyon-Turin, Brenner, Fehmarn Belt)</t>
        </is>
      </c>
      <c r="P323" s="7" t="inlineStr">
        <is>
          <t>Independent audit with transparent cost data; covers CEF-Transport co-funded projects rather than the CEF Regulation's own effect, and the projects predate CEF 2021-2027; descriptive, no counterfactual.</t>
        </is>
      </c>
      <c r="Q323" s="7" t="inlineStr"/>
      <c r="R323" s="7" t="inlineStr">
        <is>
          <t>open</t>
        </is>
      </c>
      <c r="S323" s="7" t="inlineStr">
        <is>
          <t>full text read</t>
        </is>
      </c>
      <c r="T323" s="7" t="inlineStr">
        <is>
          <t>2026-10-10</t>
        </is>
      </c>
      <c r="U323" s="7" t="inlineStr">
        <is>
          <t>https://www.eca.europa.eu/ECAPublications/SR-2026-02/SR-2026-02_EN.pdf</t>
        </is>
      </c>
      <c r="V323" s="7" t="inlineStr">
        <is>
          <t>https://www.eca.europa.eu/ECAPublications/SR-2026-02/SR-2026-02_EN.pdf</t>
        </is>
      </c>
      <c r="W323" s="7" t="inlineStr"/>
    </row>
    <row r="324">
      <c r="A324" s="7" t="n">
        <v>54</v>
      </c>
      <c r="B324" s="7" t="inlineStr">
        <is>
          <t>EuroHPC Joint Undertaking Regulation</t>
        </is>
      </c>
      <c r="C324" s="7" t="inlineStr">
        <is>
          <t>ex-ante assessment</t>
        </is>
      </c>
      <c r="D324" s="7" t="inlineStr">
        <is>
          <t>official</t>
        </is>
      </c>
      <c r="E324" s="7" t="inlineStr">
        <is>
          <t>initial review</t>
        </is>
      </c>
      <c r="F324" s="7" t="inlineStr">
        <is>
          <t>ec-2018-eurohpc-ia</t>
        </is>
      </c>
      <c r="G324" s="7" t="inlineStr">
        <is>
          <t>European Commission (2018), Impact Assessment accompanying the proposal for a Council Regulation on establishing the European High Performance Computing Joint Undertaking, SWD(2018) 6</t>
        </is>
      </c>
      <c r="H324" s="7" t="n">
        <v>2018</v>
      </c>
      <c r="I324" s="7" t="inlineStr">
        <is>
          <t>Commission impact assessment</t>
        </is>
      </c>
      <c r="J324" s="7" t="inlineStr">
        <is>
          <t>ex-ante (qualitative option comparison)</t>
        </is>
      </c>
      <c r="K324" s="7" t="inlineStr">
        <is>
          <t>HPC capacity; European supply; access</t>
        </is>
      </c>
      <c r="L324" s="7" t="inlineStr">
        <is>
          <t>positive (forecast)</t>
        </is>
      </c>
      <c r="M324" s="7" t="inlineStr">
        <is>
          <t>EU consumes about a third of world HPC resources but lags US, China and Japan; joint undertaking to pool EU and national money; cites goal of exascale systems around 2022 ranking among the world's top three; reused for the 2021 Regulation</t>
        </is>
      </c>
      <c r="N324" s="7" t="inlineStr">
        <is>
          <t>The Commission argued that only pooled EU and national money could buy world-class supercomputers, aiming for European exascale machines among the world's top three around 2022.</t>
        </is>
      </c>
      <c r="O324" s="7" t="inlineStr">
        <is>
          <t>EU, forecast</t>
        </is>
      </c>
      <c r="P324" s="7" t="inlineStr">
        <is>
          <t>forecast; qualitative</t>
        </is>
      </c>
      <c r="Q324" s="7" t="inlineStr"/>
      <c r="R324" s="7" t="inlineStr">
        <is>
          <t>open</t>
        </is>
      </c>
      <c r="S324" s="7" t="inlineStr">
        <is>
          <t>full text skimmed</t>
        </is>
      </c>
      <c r="T324" s="7" t="inlineStr">
        <is>
          <t>2026-10-10</t>
        </is>
      </c>
      <c r="U324" s="7" t="inlineStr">
        <is>
          <t>https://eur-lex.europa.eu/legal-content/EN/TXT/?uri=CELEX:52018SC0006</t>
        </is>
      </c>
      <c r="V324" s="7" t="inlineStr"/>
      <c r="W324" s="7" t="inlineStr"/>
    </row>
    <row r="325">
      <c r="A325" s="7" t="n">
        <v>54</v>
      </c>
      <c r="B325" s="7" t="inlineStr">
        <is>
          <t>EuroHPC Joint Undertaking Regulation</t>
        </is>
      </c>
      <c r="C325" s="7" t="inlineStr">
        <is>
          <t>evidence</t>
        </is>
      </c>
      <c r="D325" s="7" t="inlineStr">
        <is>
          <t>official</t>
        </is>
      </c>
      <c r="E325" s="7" t="inlineStr">
        <is>
          <t>initial review</t>
        </is>
      </c>
      <c r="F325" s="7" t="inlineStr">
        <is>
          <t>ec-2025-dep-interim-hpc</t>
        </is>
      </c>
      <c r="G325" s="7" t="inlineStr">
        <is>
          <t>European Commission (2025), Interim Evaluation of the Digital Europe Programme (HPC objective implemented by EuroHPC), SWD(2025) 420; COM(2025) 771</t>
        </is>
      </c>
      <c r="H325" s="7" t="n">
        <v>2025</v>
      </c>
      <c r="I325" s="7" t="inlineStr">
        <is>
          <t>Commission evaluation</t>
        </is>
      </c>
      <c r="J325" s="7" t="inlineStr">
        <is>
          <t>interim evaluation (monitoring data)</t>
        </is>
      </c>
      <c r="K325" s="7" t="inlineStr">
        <is>
          <t>procurements; rankings; AI Factories</t>
        </is>
      </c>
      <c r="L325" s="7" t="inlineStr">
        <is>
          <t>positive</t>
        </is>
      </c>
      <c r="M325" s="7" t="inlineStr">
        <is>
          <t>19 of 30 planned HPC procurements done (milestone met); JUPITER first EU exascale system, 4th on TOP500 and top of Green500; 19 AI Factories</t>
        </is>
      </c>
      <c r="N325" s="7" t="inlineStr">
        <is>
          <t>The Commission reports that EuroHPC has delivered Europe's first exascale supercomputer, ranked fourth in the world, a few years later than first hoped.</t>
        </is>
      </c>
      <c r="O325" s="7" t="inlineStr">
        <is>
          <t>EU, 2021-2025</t>
        </is>
      </c>
      <c r="P325" s="7" t="inlineStr">
        <is>
          <t>self-evaluation; outputs</t>
        </is>
      </c>
      <c r="Q325" s="7" t="inlineStr"/>
      <c r="R325" s="7" t="inlineStr">
        <is>
          <t>open</t>
        </is>
      </c>
      <c r="S325" s="7" t="inlineStr">
        <is>
          <t>full text read (relevant sections)</t>
        </is>
      </c>
      <c r="T325" s="7" t="inlineStr">
        <is>
          <t>2026-10-10</t>
        </is>
      </c>
      <c r="U325" s="7" t="inlineStr">
        <is>
          <t>https://eur-lex.europa.eu/legal-content/EN/TXT/?uri=CELEX:52025SC0420</t>
        </is>
      </c>
      <c r="V325" s="7" t="inlineStr"/>
      <c r="W325" s="7" t="inlineStr"/>
    </row>
    <row r="326">
      <c r="A326" s="7" t="n">
        <v>54</v>
      </c>
      <c r="B326" s="7" t="inlineStr">
        <is>
          <t>EuroHPC Joint Undertaking Regulation</t>
        </is>
      </c>
      <c r="C326" s="7" t="inlineStr">
        <is>
          <t>evidence</t>
        </is>
      </c>
      <c r="D326" s="7" t="inlineStr">
        <is>
          <t>official</t>
        </is>
      </c>
      <c r="E326" s="7" t="inlineStr">
        <is>
          <t>initial review</t>
        </is>
      </c>
      <c r="F326" s="7" t="inlineStr">
        <is>
          <t>eca-2025-ju-annual-2024-eurohpc</t>
        </is>
      </c>
      <c r="G326" s="7" t="inlineStr">
        <is>
          <t>European Court of Auditors (2025), Annual report on EU joint undertakings for the 2024 financial year, ECA annual report</t>
        </is>
      </c>
      <c r="H326" s="7" t="n">
        <v>2025</v>
      </c>
      <c r="I326" s="7" t="inlineStr">
        <is>
          <t>audit report</t>
        </is>
      </c>
      <c r="J326" s="7" t="inlineStr">
        <is>
          <t>financial and compliance audit</t>
        </is>
      </c>
      <c r="K326" s="7" t="inlineStr">
        <is>
          <t>private contributions; budget implementation; staffing</t>
        </is>
      </c>
      <c r="L326" s="7" t="inlineStr">
        <is>
          <t>negative</t>
        </is>
      </c>
      <c r="M326" s="7" t="inlineStr">
        <is>
          <t>EuroHPC private members contributed about EUR 19.8m against a EUR 420m minimum target (Horizon 2020/CEF1 period); risk of missing the significantly higher new target rated medium; low implementation of Digital Europe budget; recruitment objective not met</t>
        </is>
      </c>
      <c r="N326" s="7" t="inlineStr">
        <is>
          <t>EU auditors found industry partners have put in only about EUR 20m of the EUR 420m they were meant to contribute, and doubt the higher new target will be met.</t>
        </is>
      </c>
      <c r="O326" s="7" t="inlineStr">
        <is>
          <t>EU, 2024</t>
        </is>
      </c>
      <c r="P326" s="7" t="inlineStr">
        <is>
          <t>audit</t>
        </is>
      </c>
      <c r="Q326" s="7" t="inlineStr"/>
      <c r="R326" s="7" t="inlineStr">
        <is>
          <t>open</t>
        </is>
      </c>
      <c r="S326" s="7" t="inlineStr">
        <is>
          <t>full text read (relevant sections)</t>
        </is>
      </c>
      <c r="T326" s="7" t="inlineStr">
        <is>
          <t>2026-10-10</t>
        </is>
      </c>
      <c r="U326" s="7" t="inlineStr">
        <is>
          <t>https://www.eca.europa.eu/ECAPublications/SAR-JUS-2024/SAR-JUS-2024_EN.pdf</t>
        </is>
      </c>
      <c r="V326" s="7" t="inlineStr">
        <is>
          <t>https://www.eca.europa.eu/ECAPublications/SAR-JUS-2024/SAR-JUS-2024_EN.pdf</t>
        </is>
      </c>
      <c r="W326" s="7" t="inlineStr"/>
    </row>
    <row r="327">
      <c r="A327" s="7" t="n">
        <v>54</v>
      </c>
      <c r="B327" s="7" t="inlineStr">
        <is>
          <t>EuroHPC Joint Undertaking Regulation</t>
        </is>
      </c>
      <c r="C327" s="7" t="inlineStr">
        <is>
          <t>evidence</t>
        </is>
      </c>
      <c r="D327" s="7" t="inlineStr">
        <is>
          <t>official</t>
        </is>
      </c>
      <c r="E327" s="7" t="inlineStr">
        <is>
          <t>2026-10 broadened search</t>
        </is>
      </c>
      <c r="F327" s="7" t="inlineStr">
        <is>
          <t>ec-2025-horizon-eurohpc-annex16</t>
        </is>
      </c>
      <c r="G327" s="7" t="inlineStr">
        <is>
          <t>European Commission (DG RTD / DG CNECT) (2025), Interim Evaluation of the Horizon Europe Framework Programme (2021-2024), Annex 16: Evaluation of EuroHPC JU (SWD(2025) 110, Part 8/21), Commission Staff Working Document SWD(2025) 110 final, Part 8/21 (Council doc. 8526/25 ADD 8)</t>
        </is>
      </c>
      <c r="H327" s="7" t="n">
        <v>2025</v>
      </c>
      <c r="I327" s="7" t="inlineStr">
        <is>
          <t>Commission evaluation</t>
        </is>
      </c>
      <c r="J327" s="7" t="inlineStr">
        <is>
          <t>interim evaluation drawing on external support study, programme monitoring data, TOP500 statistics and stakeholder input; descriptive</t>
        </is>
      </c>
      <c r="K327" s="7" t="inlineStr">
        <is>
          <t>EU supercomputing capacity and global share, R&amp;I outputs, leverage of private funding, openness to users</t>
        </is>
      </c>
      <c r="L327" s="7" t="inlineStr">
        <is>
          <t>positive</t>
        </is>
      </c>
      <c r="M327" s="7" t="inlineStr">
        <is>
          <t>Since EuroHPC, the EU's share of global TOP500 supercomputing capacity rose from 12% to 20.8%, with three EuroHPC systems in the world top 10, though the evaluation says it is still too early to assess the impact of funded R&amp;I projects and the private leverage factor is low.</t>
        </is>
      </c>
      <c r="N327" s="7" t="inlineStr">
        <is>
          <t>The Commission's review of the EU supercomputing partnership finds that Europe now has a much bigger share of the world's top supercomputers than before. It says most research projects are still running, so their effects cannot yet be judged.</t>
        </is>
      </c>
      <c r="O327" s="7" t="inlineStr">
        <is>
          <t>2018/2021-2024; EU and participating states</t>
        </is>
      </c>
      <c r="P327" s="7" t="inlineStr">
        <is>
          <t>Descriptive self-evaluation with no counterfactual; attribution of capacity growth to the JU is asserted rather than tested; separate from the Digital Europe interim evaluation already listed.</t>
        </is>
      </c>
      <c r="Q327" s="7" t="inlineStr">
        <is>
          <t>European Commission evaluating its own partnership</t>
        </is>
      </c>
      <c r="R327" s="7" t="inlineStr">
        <is>
          <t>open</t>
        </is>
      </c>
      <c r="S327" s="7" t="inlineStr">
        <is>
          <t>full text read</t>
        </is>
      </c>
      <c r="T327" s="7" t="inlineStr">
        <is>
          <t>2026-10-10</t>
        </is>
      </c>
      <c r="U327" s="7" t="inlineStr">
        <is>
          <t>https://data.consilium.europa.eu/doc/document/ST-8526-2025-ADD-8/en/pdf</t>
        </is>
      </c>
      <c r="V327" s="7" t="inlineStr">
        <is>
          <t>https://data.consilium.europa.eu/doc/document/ST-8526-2025-ADD-8/en/pdf</t>
        </is>
      </c>
      <c r="W327" s="7" t="inlineStr"/>
    </row>
    <row r="328">
      <c r="A328" s="7" t="n">
        <v>54</v>
      </c>
      <c r="B328" s="7" t="inlineStr">
        <is>
          <t>EuroHPC Joint Undertaking Regulation</t>
        </is>
      </c>
      <c r="C328" s="7" t="inlineStr">
        <is>
          <t>evidence</t>
        </is>
      </c>
      <c r="D328" s="7" t="inlineStr">
        <is>
          <t>official</t>
        </is>
      </c>
      <c r="E328" s="7" t="inlineStr">
        <is>
          <t>2026-10 broadened search</t>
        </is>
      </c>
      <c r="F328" s="7" t="inlineStr">
        <is>
          <t>eurohpc-2026-caar2025</t>
        </is>
      </c>
      <c r="G328" s="7" t="inlineStr">
        <is>
          <t>EuroHPC Joint Undertaking (2026), EuroHPC JU Consolidated Annual Activity Report 2025, EuroHPC JU, key documents</t>
        </is>
      </c>
      <c r="H328" s="7" t="n">
        <v>2026</v>
      </c>
      <c r="I328" s="7" t="inlineStr">
        <is>
          <t>agency report</t>
        </is>
      </c>
      <c r="J328" s="7" t="inlineStr">
        <is>
          <t>annual monitoring report with KPI table and access-call statistics; descriptive</t>
        </is>
      </c>
      <c r="K328" s="7" t="inlineStr">
        <is>
          <t>compute resources awarded, proposals and approval rates, operational supercomputers and quantum computers, KPI status</t>
        </is>
      </c>
      <c r="L328" s="7" t="inlineStr">
        <is>
          <t>descriptive</t>
        </is>
      </c>
      <c r="M328" s="7" t="inlineStr">
        <is>
          <t>In 2025 EuroHPC ran 53 access cut-offs, received 1,603 proposals and awarded 1,301 (81% approval), allocating 54,998,115 node hours across its systems; it reports all JU-specific KPIs (e.g. operational supercomputers, projects accessing systems) as on target.</t>
        </is>
      </c>
      <c r="N328" s="7" t="inlineStr">
        <is>
          <t>The EU supercomputing body's own yearly report counts how much computing time it gave out in 2025 and to how many projects. It says it is meeting all of its own targets.</t>
        </is>
      </c>
      <c r="O328" s="7" t="inlineStr">
        <is>
          <t>2025; EU and EuroHPC participating states</t>
        </is>
      </c>
      <c r="P328" s="7" t="inlineStr">
        <is>
          <t>Self-reported output data, no outcome or counterfactual analysis; useful as activity monitoring under Regulation 2021/1173.</t>
        </is>
      </c>
      <c r="Q328" s="7" t="inlineStr">
        <is>
          <t>Reporting body is the Joint Undertaking itself</t>
        </is>
      </c>
      <c r="R328" s="7" t="inlineStr">
        <is>
          <t>open</t>
        </is>
      </c>
      <c r="S328" s="7" t="inlineStr">
        <is>
          <t>full text read</t>
        </is>
      </c>
      <c r="T328" s="7" t="inlineStr">
        <is>
          <t>2026-10-10</t>
        </is>
      </c>
      <c r="U328" s="7" t="inlineStr">
        <is>
          <t>https://www.eurohpc-ju.europa.eu/about/key-documents_en</t>
        </is>
      </c>
      <c r="V328" s="7" t="inlineStr">
        <is>
          <t>https://www.eurohpc-ju.europa.eu/document/download/146a4fd0-5d74-435b-95d5-4d3c746d6de7_en?filename=CAAR%202025%20FINAL.pdf</t>
        </is>
      </c>
      <c r="W328" s="7" t="inlineStr"/>
    </row>
    <row r="329">
      <c r="A329" s="7" t="n">
        <v>53</v>
      </c>
      <c r="B329" s="7" t="inlineStr">
        <is>
          <t>Temporary CSAM Derogation Regulation</t>
        </is>
      </c>
      <c r="C329" s="7" t="inlineStr">
        <is>
          <t>evidence</t>
        </is>
      </c>
      <c r="D329" s="7" t="inlineStr">
        <is>
          <t>official</t>
        </is>
      </c>
      <c r="E329" s="7" t="inlineStr">
        <is>
          <t>initial review</t>
        </is>
      </c>
      <c r="F329" s="7" t="inlineStr">
        <is>
          <t>ec-2023-csam-interim-report</t>
        </is>
      </c>
      <c r="G329" s="7" t="inlineStr">
        <is>
          <t>European Commission (2023), Report on the implementation of Regulation (EU) 2021/1232 (temporary derogation from the ePrivacy Directive to combat online child sexual abuse), COM(2023) 797</t>
        </is>
      </c>
      <c r="H329" s="7" t="n">
        <v>2023</v>
      </c>
      <c r="I329" s="7" t="inlineStr">
        <is>
          <t>Commission implementation report</t>
        </is>
      </c>
      <c r="J329" s="7" t="inlineStr">
        <is>
          <t>implementation report (provider and Member State statistics)</t>
        </is>
      </c>
      <c r="K329" s="7" t="inlineStr">
        <is>
          <t>reports; children identified; error rates; data quality</t>
        </is>
      </c>
      <c r="L329" s="7" t="inlineStr">
        <is>
          <t>mixed</t>
        </is>
      </c>
      <c r="M329" s="7" t="inlineStr">
        <is>
          <t>Member States reported for differing periods so EU-level totals of reports and identified child victims could not be calculated; large disparities between NCMEC and national figures</t>
        </is>
      </c>
      <c r="N329" s="7" t="inlineStr">
        <is>
          <t>The Commission's first report found national data too patchy to say how many abuse reports or rescued children the voluntary scanning produced.</t>
        </is>
      </c>
      <c r="O329" s="7" t="inlineStr">
        <is>
          <t>EU, 2021-2022</t>
        </is>
      </c>
      <c r="P329" s="7" t="inlineStr">
        <is>
          <t>descriptive; poor data</t>
        </is>
      </c>
      <c r="Q329" s="7" t="inlineStr"/>
      <c r="R329" s="7" t="inlineStr">
        <is>
          <t>open</t>
        </is>
      </c>
      <c r="S329" s="7" t="inlineStr">
        <is>
          <t>full text read (key sections)</t>
        </is>
      </c>
      <c r="T329" s="7" t="inlineStr">
        <is>
          <t>2026-10-10</t>
        </is>
      </c>
      <c r="U329" s="7" t="inlineStr">
        <is>
          <t>https://eur-lex.europa.eu/legal-content/EN/TXT/?uri=CELEX:52023DC0797</t>
        </is>
      </c>
      <c r="V329" s="7" t="inlineStr"/>
      <c r="W329" s="7" t="inlineStr"/>
    </row>
    <row r="330">
      <c r="A330" s="7" t="n">
        <v>53</v>
      </c>
      <c r="B330" s="7" t="inlineStr">
        <is>
          <t>Temporary CSAM Derogation Regulation</t>
        </is>
      </c>
      <c r="C330" s="7" t="inlineStr">
        <is>
          <t>evidence</t>
        </is>
      </c>
      <c r="D330" s="7" t="inlineStr">
        <is>
          <t>official</t>
        </is>
      </c>
      <c r="E330" s="7" t="inlineStr">
        <is>
          <t>initial review</t>
        </is>
      </c>
      <c r="F330" s="7" t="inlineStr">
        <is>
          <t>ec-2025-csam-interim-report</t>
        </is>
      </c>
      <c r="G330" s="7" t="inlineStr">
        <is>
          <t>European Commission (2025), Second report on the implementation of Regulation (EU) 2021/1232, COM(2025) 740</t>
        </is>
      </c>
      <c r="H330" s="7" t="n">
        <v>2025</v>
      </c>
      <c r="I330" s="7" t="inlineStr">
        <is>
          <t>Commission implementation report</t>
        </is>
      </c>
      <c r="J330" s="7" t="inlineStr">
        <is>
          <t>implementation report (provider and Member State statistics 2023-2024)</t>
        </is>
      </c>
      <c r="K330" s="7" t="inlineStr">
        <is>
          <t>reports; error rates; proportionality</t>
        </is>
      </c>
      <c r="L330" s="7" t="inlineStr">
        <is>
          <t>mixed</t>
        </is>
      </c>
      <c r="M330" s="7" t="inlineStr">
        <is>
          <t>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is>
      </c>
      <c r="N330" s="7" t="inlineStr">
        <is>
          <t>The second Commission report still cannot measure the law's effect reliably, but concludes voluntary scanning helps identify thousands of abused children; error rates reported by platforms are low but calculated inconsistently.</t>
        </is>
      </c>
      <c r="O330" s="7" t="inlineStr">
        <is>
          <t>EU, 2023-2024</t>
        </is>
      </c>
      <c r="P330" s="7" t="inlineStr">
        <is>
          <t>descriptive; poor data</t>
        </is>
      </c>
      <c r="Q330" s="7" t="inlineStr"/>
      <c r="R330" s="7" t="inlineStr">
        <is>
          <t>open</t>
        </is>
      </c>
      <c r="S330" s="7" t="inlineStr">
        <is>
          <t>full text read (key sections)</t>
        </is>
      </c>
      <c r="T330" s="7" t="inlineStr">
        <is>
          <t>2026-10-10</t>
        </is>
      </c>
      <c r="U330" s="7" t="inlineStr">
        <is>
          <t>https://eur-lex.europa.eu/legal-content/EN/TXT/?uri=CELEX:52025DC0740</t>
        </is>
      </c>
      <c r="V330" s="7" t="inlineStr"/>
      <c r="W330" s="7" t="inlineStr">
        <is>
          <t>http://web.archive.org/web/20260829151130/https://eur-lex.europa.eu/legal-content/EN/TXT/?uri=celex%3A52025DC0740</t>
        </is>
      </c>
    </row>
    <row r="331">
      <c r="A331" s="7" t="n">
        <v>53</v>
      </c>
      <c r="B331" s="7" t="inlineStr">
        <is>
          <t>Temporary CSAM Derogation Regulation</t>
        </is>
      </c>
      <c r="C331" s="7" t="inlineStr">
        <is>
          <t>evidence</t>
        </is>
      </c>
      <c r="D331" s="7" t="inlineStr">
        <is>
          <t>official</t>
        </is>
      </c>
      <c r="E331" s="7" t="inlineStr">
        <is>
          <t>initial review</t>
        </is>
      </c>
      <c r="F331" s="7" t="inlineStr">
        <is>
          <t>edps-2026-opinion-7</t>
        </is>
      </c>
      <c r="G331" s="7" t="inlineStr">
        <is>
          <t>European Data Protection Supervisor (2026), Opinion 7/2026 on the Proposal for a Regulation extending the application of Regulation (EU) 2021/1232, EDPS Opinion, 16 February 2026</t>
        </is>
      </c>
      <c r="H331" s="7" t="n">
        <v>2026</v>
      </c>
      <c r="I331" s="7" t="inlineStr">
        <is>
          <t>EU supervisory opinion</t>
        </is>
      </c>
      <c r="J331" s="7" t="inlineStr">
        <is>
          <t>legal opinion</t>
        </is>
      </c>
      <c r="K331" s="7" t="inlineStr">
        <is>
          <t>privacy; proportionality; safeguards</t>
        </is>
      </c>
      <c r="L331" s="7" t="inlineStr">
        <is>
          <t>negative (on safeguards)</t>
        </is>
      </c>
      <c r="M331" s="7" t="inlineStr">
        <is>
          <t>Recognises child protection as general-interest objective, but says the extension is the time to address key shortcomings of the interim regime and to ensure effective safeguards against general and indiscriminate scanning</t>
        </is>
      </c>
      <c r="N331" s="7" t="inlineStr">
        <is>
          <t>The EU's data protection watchdog accepts the aim but says the temporary scanning rules still lack safeguards against blanket monitoring of private messages.</t>
        </is>
      </c>
      <c r="O331" s="7" t="inlineStr">
        <is>
          <t>EU</t>
        </is>
      </c>
      <c r="P331" s="7" t="inlineStr">
        <is>
          <t>legal analysis</t>
        </is>
      </c>
      <c r="Q331" s="7" t="inlineStr"/>
      <c r="R331" s="7" t="inlineStr">
        <is>
          <t>open</t>
        </is>
      </c>
      <c r="S331" s="7" t="inlineStr">
        <is>
          <t>page summary via search</t>
        </is>
      </c>
      <c r="T331" s="7" t="inlineStr">
        <is>
          <t>2026-10-10</t>
        </is>
      </c>
      <c r="U331" s="7" t="inlineStr">
        <is>
          <t>https://www.edps.europa.eu/data-protection/our-work/publications/opinions/2026-02-16-edps-opinion-72026-regulation-extending-application-regulation-eu-20211232</t>
        </is>
      </c>
      <c r="V331" s="7" t="inlineStr"/>
      <c r="W331" s="7" t="inlineStr"/>
    </row>
    <row r="332">
      <c r="A332" s="7" t="n">
        <v>53</v>
      </c>
      <c r="B332" s="7" t="inlineStr">
        <is>
          <t>Temporary CSAM Derogation Regulation</t>
        </is>
      </c>
      <c r="C332" s="7" t="inlineStr">
        <is>
          <t>evidence</t>
        </is>
      </c>
      <c r="D332" s="7" t="inlineStr">
        <is>
          <t>think tank</t>
        </is>
      </c>
      <c r="E332" s="7" t="inlineStr">
        <is>
          <t>2026-10 broadened search</t>
        </is>
      </c>
      <c r="F332" s="7" t="inlineStr">
        <is>
          <t>ncmec-2022-eu-cybertipline</t>
        </is>
      </c>
      <c r="G332" s="7" t="inlineStr">
        <is>
          <t>National Center for Missing &amp; Exploited Children (NCMEC) (2022), European Union CyberTipline Data Snapshot (2020 vs 2021) and updates on the ePrivacy Directive, NCMEC 'Child Safety First' web page</t>
        </is>
      </c>
      <c r="H332" s="7" t="n">
        <v>2022</v>
      </c>
      <c r="I332" s="7" t="inlineStr">
        <is>
          <t>survey report</t>
        </is>
      </c>
      <c r="J332" s="7" t="inlineStr">
        <is>
          <t>before/after descriptive comparison of CyberTipline reports resolving to EU countries around the Dec 2020 ePrivacy (EECC) change and the Aug 2021 interim derogation</t>
        </is>
      </c>
      <c r="K332" s="7" t="inlineStr">
        <is>
          <t>number of CSAM reports and files referred to EU countries</t>
        </is>
      </c>
      <c r="L332" s="7" t="inlineStr">
        <is>
          <t>descriptive</t>
        </is>
      </c>
      <c r="M332" s="7" t="inlineStr">
        <is>
          <t>EU-related CyberTipline reports fell 47% (1,046,350 to 555,831) and files 58% between 2020 and 2021, while global reports rose 35%; NCMEC reported a 58% drop in the 18 weeks after 21 Dec 2020, before the derogation applied.</t>
        </is>
      </c>
      <c r="N332" s="7" t="inlineStr">
        <is>
          <t>When the legal basis for scanning private messages lapsed in late 2020, reports of child abuse material linked to the EU fell sharply, which advocates cite as evidence of what the temporary derogation preserves.</t>
        </is>
      </c>
      <c r="O332" s="7" t="inlineStr">
        <is>
          <t>EU, 2020-2021</t>
        </is>
      </c>
      <c r="P332" s="7" t="inlineStr">
        <is>
          <t>Simple before/after, confounded (e.g. Meta stopped Messenger scanning in the EU for most of 2021); mostly measures the gap before the Regulation applied, i.e. the counterfactual</t>
        </is>
      </c>
      <c r="Q332" s="7" t="inlineStr">
        <is>
          <t>Campaigning NGO (advocated adoption of the derogation)</t>
        </is>
      </c>
      <c r="R332" s="7" t="inlineStr">
        <is>
          <t>open</t>
        </is>
      </c>
      <c r="S332" s="7" t="inlineStr">
        <is>
          <t>full text read</t>
        </is>
      </c>
      <c r="T332" s="7" t="inlineStr">
        <is>
          <t>2026-10-10</t>
        </is>
      </c>
      <c r="U332" s="7" t="inlineStr">
        <is>
          <t>https://www.missingkids.org/childsafetyfirst</t>
        </is>
      </c>
      <c r="V332" s="7" t="inlineStr">
        <is>
          <t>https://www.missingkids.org/content/dam/missingkids/pdfs/pdf-thumbs/EU-2020v2021CyberTiplineData.pdf</t>
        </is>
      </c>
      <c r="W332" s="7" t="inlineStr"/>
    </row>
    <row r="333">
      <c r="A333" s="7" t="n">
        <v>53</v>
      </c>
      <c r="B333" s="7" t="inlineStr">
        <is>
          <t>Temporary CSAM Derogation Regulation</t>
        </is>
      </c>
      <c r="C333" s="7" t="inlineStr">
        <is>
          <t>evidence</t>
        </is>
      </c>
      <c r="D333" s="7" t="inlineStr">
        <is>
          <t>consultancy or industry</t>
        </is>
      </c>
      <c r="E333" s="7" t="inlineStr">
        <is>
          <t>2026-10 broadened search</t>
        </is>
      </c>
      <c r="F333" s="7" t="inlineStr">
        <is>
          <t>meta-2025-eu-csam-derogation-report</t>
        </is>
      </c>
      <c r="G333" s="7" t="inlineStr">
        <is>
          <t>Meta Platforms Ireland Ltd (2025), Processing under EU Regulation 2021/1232 (EU CSAM Derogation report 2025, covering 2024), Meta Transparency Center</t>
        </is>
      </c>
      <c r="H333" s="7" t="n">
        <v>2025</v>
      </c>
      <c r="I333" s="7" t="inlineStr">
        <is>
          <t>survey report</t>
        </is>
      </c>
      <c r="J333" s="7" t="inlineStr">
        <is>
          <t>provider transparency report required by Art. 3(1)(g)(vii): counts of detections, appeals and reversals for hash-matching on Messenger and Instagram Direct</t>
        </is>
      </c>
      <c r="K333" s="7" t="inlineStr">
        <is>
          <t>CSAM detections, user appeals, error (overturn) rate</t>
        </is>
      </c>
      <c r="L333" s="7" t="inlineStr">
        <is>
          <t>descriptive</t>
        </is>
      </c>
      <c r="M333" s="7" t="inlineStr">
        <is>
          <t>Meta actioned about 1.5 million pieces of CSAM media in EU-related private message threads in 2024; about 76.9 thousand were appealed and 1.8 thousand restored, an overturn rate of 0.12%.</t>
        </is>
      </c>
      <c r="N333" s="7" t="inlineStr">
        <is>
          <t>Meta says its automatic matching of known abuse images in private messages involving EU users flagged about 1.5 million items in 2024, and only about one in a thousand was later found to be a mistake.</t>
        </is>
      </c>
      <c r="O333" s="7" t="inlineStr">
        <is>
          <t>EU users of Messenger/Instagram Direct, 2024</t>
        </is>
      </c>
      <c r="P333" s="7" t="inlineStr">
        <is>
          <t>Self-reported by a firm subject to the act, not audited; overturn rate understates errors (only appealed cases)</t>
        </is>
      </c>
      <c r="Q333" s="7" t="inlineStr">
        <is>
          <t>Firm subject to the act</t>
        </is>
      </c>
      <c r="R333" s="7" t="inlineStr">
        <is>
          <t>open</t>
        </is>
      </c>
      <c r="S333" s="7" t="inlineStr">
        <is>
          <t>full text read</t>
        </is>
      </c>
      <c r="T333" s="7" t="inlineStr">
        <is>
          <t>2026-10-10</t>
        </is>
      </c>
      <c r="U333" s="7" t="inlineStr">
        <is>
          <t>https://transparency.meta.com/sr/eu-csam-derogation-report-2025/</t>
        </is>
      </c>
      <c r="V333" s="7" t="inlineStr"/>
      <c r="W333" s="7" t="inlineStr"/>
    </row>
    <row r="334">
      <c r="A334" s="7" t="n">
        <v>53</v>
      </c>
      <c r="B334" s="7" t="inlineStr">
        <is>
          <t>Temporary CSAM Derogation Regulation</t>
        </is>
      </c>
      <c r="C334" s="7" t="inlineStr">
        <is>
          <t>evidence</t>
        </is>
      </c>
      <c r="D334" s="7" t="inlineStr">
        <is>
          <t>think tank</t>
        </is>
      </c>
      <c r="E334" s="7" t="inlineStr">
        <is>
          <t>2026-10 broadened search</t>
        </is>
      </c>
      <c r="F334" s="7" t="inlineStr">
        <is>
          <t>edri-2024-epriv-derogation-submission</t>
        </is>
      </c>
      <c r="G334" s="7" t="inlineStr">
        <is>
          <t>European Digital Rights (EDRi) (2024), Submission to the European Commission's post-adoption consultation on Combating online child sexual abuse - amending temporary derogation from certain provisions of Directive 2002/58/EC, EDRi</t>
        </is>
      </c>
      <c r="H334" s="7" t="n">
        <v>2024</v>
      </c>
      <c r="I334" s="7" t="inlineStr">
        <is>
          <t>think tank policy brief</t>
        </is>
      </c>
      <c r="J334" s="7" t="inlineStr">
        <is>
          <t>structured critique of the Commission's 2023 implementation report and provider transparency data (re-analysis of reported error rates)</t>
        </is>
      </c>
      <c r="K334" s="7" t="inlineStr">
        <is>
          <t>evidence of necessity/effectiveness, false-positive rates of detection tools</t>
        </is>
      </c>
      <c r="L334" s="7" t="inlineStr">
        <is>
          <t>negative</t>
        </is>
      </c>
      <c r="M334" s="7" t="inlineStr">
        <is>
          <t>Using the only provider that reported actual error rates under the Regulation, EDRi shows LinkedIn's automated tools flagged 75 items of which only 31 were confirmed as CSAM in 2021, a 59% false-positive rate, versus the 99.9% accuracy cited by the Commission.</t>
        </is>
      </c>
      <c r="N334" s="7" t="inlineStr">
        <is>
          <t>A digital-rights network argues that the Commission's own report on the temporary scanning rules contains no solid evidence that scanning private messages has helped protect children, and that the little real data available shows many false alarms.</t>
        </is>
      </c>
      <c r="O334" s="7" t="inlineStr">
        <is>
          <t>EU, 2021-2023 reporting under Regulation 2021/1232</t>
        </is>
      </c>
      <c r="P334" s="7" t="inlineStr">
        <is>
          <t>Secondary analysis of official report data; very small sample for the error-rate figure; written by a campaigning organisation.</t>
        </is>
      </c>
      <c r="Q334" s="7" t="inlineStr">
        <is>
          <t>Campaigning digital-rights NGO network opposed to CSAM scanning of private communications</t>
        </is>
      </c>
      <c r="R334" s="7" t="inlineStr">
        <is>
          <t>open</t>
        </is>
      </c>
      <c r="S334" s="7" t="inlineStr">
        <is>
          <t>full text read</t>
        </is>
      </c>
      <c r="T334" s="7" t="inlineStr">
        <is>
          <t>2026-10-10</t>
        </is>
      </c>
      <c r="U334" s="7" t="inlineStr">
        <is>
          <t>https://edri.org/wp-content/uploads/2024/02/EDRi-submission-on-temporary-ePrivacy-derogation-extension-8-February-2024.pdf</t>
        </is>
      </c>
      <c r="V334" s="7" t="inlineStr">
        <is>
          <t>https://edri.org/wp-content/uploads/2024/02/EDRi-submission-on-temporary-ePrivacy-derogation-extension-8-February-2024.pdf</t>
        </is>
      </c>
      <c r="W334" s="7" t="inlineStr"/>
    </row>
    <row r="335">
      <c r="A335" s="7" t="n">
        <v>62</v>
      </c>
      <c r="B335" s="7" t="inlineStr">
        <is>
          <t>Joint Undertakings under Horizon Europe</t>
        </is>
      </c>
      <c r="C335" s="7" t="inlineStr">
        <is>
          <t>ex-ante assessment</t>
        </is>
      </c>
      <c r="D335" s="7" t="inlineStr">
        <is>
          <t>official</t>
        </is>
      </c>
      <c r="E335" s="7" t="inlineStr">
        <is>
          <t>initial review</t>
        </is>
      </c>
      <c r="F335" s="7" t="inlineStr">
        <is>
          <t>ec-2021-ju-ia</t>
        </is>
      </c>
      <c r="G335" s="7" t="inlineStr">
        <is>
          <t>European Commission (2021), Impact Assessment accompanying the proposal for a Council Regulation establishing the Joint Undertakings under Horizon Europe (executive summary SWD(2021) 38), SWD(2021) 37</t>
        </is>
      </c>
      <c r="H335" s="7" t="n">
        <v>2021</v>
      </c>
      <c r="I335" s="7" t="inlineStr">
        <is>
          <t>Commission impact assessment</t>
        </is>
      </c>
      <c r="J335" s="7" t="inlineStr">
        <is>
          <t>ex-ante (coordinated IA of 9 partnerships; option comparison)</t>
        </is>
      </c>
      <c r="K335" s="7" t="inlineStr">
        <is>
          <t>leverage; sector R&amp;I targets</t>
        </is>
      </c>
      <c r="L335" s="7" t="inlineStr">
        <is>
          <t>positive (forecast)</t>
        </is>
      </c>
      <c r="M335" s="7" t="inlineStr">
        <is>
          <t>Institutionalised partnerships preferred for each area; e.g. Key Digital Technologies expected leverage of 1:3 (EUR 1 EU, EUR 1 states, EUR 2 private) with SMEs at least one-third of participants; aviation and rail options with over 60% of costs covered by private partners</t>
        </is>
      </c>
      <c r="N335" s="7" t="inlineStr">
        <is>
          <t>The Commission argued that public-private joint undertakings would multiply EU research money with industry and national funds, e.g. three extra euros for every EU euro in chips research.</t>
        </is>
      </c>
      <c r="O335" s="7" t="inlineStr">
        <is>
          <t>EU, 2021-2031</t>
        </is>
      </c>
      <c r="P335" s="7" t="inlineStr">
        <is>
          <t>forecast; qualitative plus cost estimates</t>
        </is>
      </c>
      <c r="Q335" s="7" t="inlineStr"/>
      <c r="R335" s="7" t="inlineStr">
        <is>
          <t>open</t>
        </is>
      </c>
      <c r="S335" s="7" t="inlineStr">
        <is>
          <t>full text read (executive summary)</t>
        </is>
      </c>
      <c r="T335" s="7" t="inlineStr">
        <is>
          <t>2026-10-10</t>
        </is>
      </c>
      <c r="U335" s="7" t="inlineStr">
        <is>
          <t>https://eur-lex.europa.eu/legal-content/EN/TXT/?uri=CELEX:52021SC0038</t>
        </is>
      </c>
      <c r="V335" s="7" t="inlineStr"/>
      <c r="W335" s="7" t="inlineStr"/>
    </row>
    <row r="336">
      <c r="A336" s="7" t="n">
        <v>62</v>
      </c>
      <c r="B336" s="7" t="inlineStr">
        <is>
          <t>Joint Undertakings under Horizon Europe</t>
        </is>
      </c>
      <c r="C336" s="7" t="inlineStr">
        <is>
          <t>evidence</t>
        </is>
      </c>
      <c r="D336" s="7" t="inlineStr">
        <is>
          <t>official</t>
        </is>
      </c>
      <c r="E336" s="7" t="inlineStr">
        <is>
          <t>initial review</t>
        </is>
      </c>
      <c r="F336" s="7" t="inlineStr">
        <is>
          <t>ec-2025-horizon-interim-jus</t>
        </is>
      </c>
      <c r="G336" s="7" t="inlineStr">
        <is>
          <t>European Commission (2025), Interim Evaluation of the Horizon Europe Framework Programme 2021-2024 (incl. annexes on 19 institutionalised partnerships), SWD(2025) 110</t>
        </is>
      </c>
      <c r="H336" s="7" t="n">
        <v>2025</v>
      </c>
      <c r="I336" s="7" t="inlineStr">
        <is>
          <t>Commission evaluation</t>
        </is>
      </c>
      <c r="J336" s="7" t="inlineStr">
        <is>
          <t>interim evaluation (partnership evaluations, monitoring data)</t>
        </is>
      </c>
      <c r="K336" s="7" t="inlineStr">
        <is>
          <t>leverage; openness; innovation</t>
        </is>
      </c>
      <c r="L336" s="7" t="inlineStr">
        <is>
          <t>mixed</t>
        </is>
      </c>
      <c r="M336" s="7" t="inlineStr">
        <is>
          <t>JUs have highest direct leverage (0.8; EU covers 55% of eligible costs); older partnerships leverage much more than newer ones; impacts on knowledge and value-chain resilience, but only some JUs accelerated uptake of innovations; few newcomers; SMEs members in only three JUs</t>
        </is>
      </c>
      <c r="N336" s="7" t="inlineStr">
        <is>
          <t>The Commission's mid-term review finds the joint undertakings bring in co-funding and help strategic technologies, but few newcomers join and only some speed up market uptake.</t>
        </is>
      </c>
      <c r="O336" s="7" t="inlineStr">
        <is>
          <t>EU, 2021-2024</t>
        </is>
      </c>
      <c r="P336" s="7" t="inlineStr">
        <is>
          <t>self-evaluation; no counterfactual</t>
        </is>
      </c>
      <c r="Q336" s="7" t="inlineStr"/>
      <c r="R336" s="7" t="inlineStr">
        <is>
          <t>open</t>
        </is>
      </c>
      <c r="S336" s="7" t="inlineStr">
        <is>
          <t>full text read (relevant sections)</t>
        </is>
      </c>
      <c r="T336" s="7" t="inlineStr">
        <is>
          <t>2026-10-10</t>
        </is>
      </c>
      <c r="U336" s="7" t="inlineStr">
        <is>
          <t>https://eur-lex.europa.eu/legal-content/EN/TXT/?uri=CELEX:52025SC0110</t>
        </is>
      </c>
      <c r="V336" s="7" t="inlineStr"/>
      <c r="W336" s="7" t="inlineStr">
        <is>
          <t>http://web.archive.org/web/20260919202535/https://eur-lex.europa.eu/legal-content/EN/TXT/?uri=celex%3A52025SC0110</t>
        </is>
      </c>
    </row>
    <row r="337">
      <c r="A337" s="7" t="n">
        <v>62</v>
      </c>
      <c r="B337" s="7" t="inlineStr">
        <is>
          <t>Joint Undertakings under Horizon Europe</t>
        </is>
      </c>
      <c r="C337" s="7" t="inlineStr">
        <is>
          <t>evidence</t>
        </is>
      </c>
      <c r="D337" s="7" t="inlineStr">
        <is>
          <t>official</t>
        </is>
      </c>
      <c r="E337" s="7" t="inlineStr">
        <is>
          <t>initial review</t>
        </is>
      </c>
      <c r="F337" s="7" t="inlineStr">
        <is>
          <t>eca-2025-ju-annual-2024-jus</t>
        </is>
      </c>
      <c r="G337" s="7" t="inlineStr">
        <is>
          <t>European Court of Auditors (2025), Annual report on EU joint undertakings for the 2024 financial year, ECA annual report</t>
        </is>
      </c>
      <c r="H337" s="7" t="n">
        <v>2025</v>
      </c>
      <c r="I337" s="7" t="inlineStr">
        <is>
          <t>audit report</t>
        </is>
      </c>
      <c r="J337" s="7" t="inlineStr">
        <is>
          <t>financial and compliance audit</t>
        </is>
      </c>
      <c r="K337" s="7" t="inlineStr">
        <is>
          <t>leverage targets; contributions</t>
        </is>
      </c>
      <c r="L337" s="7" t="inlineStr">
        <is>
          <t>mixed</t>
        </is>
      </c>
      <c r="M337" s="7" t="inlineStr">
        <is>
          <t>Planned 2021-2027 leverage (123%) lower than 2014-2020 (158%); by end of Horizon 2020 period members met 96% of contribution targets on average but with shortfalls (SESAR 3, IHI, EuroHPC); Global Health EDCTP3 at 4% of contributing-partner target</t>
        </is>
      </c>
      <c r="N337" s="7" t="inlineStr">
        <is>
          <t>EU auditors find the joint undertakings' finances sound overall, but several are well short of the private or partner money they promised.</t>
        </is>
      </c>
      <c r="O337" s="7" t="inlineStr">
        <is>
          <t>EU, 2024</t>
        </is>
      </c>
      <c r="P337" s="7" t="inlineStr">
        <is>
          <t>audit</t>
        </is>
      </c>
      <c r="Q337" s="7" t="inlineStr"/>
      <c r="R337" s="7" t="inlineStr">
        <is>
          <t>open</t>
        </is>
      </c>
      <c r="S337" s="7" t="inlineStr">
        <is>
          <t>full text read (relevant sections)</t>
        </is>
      </c>
      <c r="T337" s="7" t="inlineStr">
        <is>
          <t>2026-10-10</t>
        </is>
      </c>
      <c r="U337" s="7" t="inlineStr">
        <is>
          <t>https://www.eca.europa.eu/ECAPublications/SAR-JUS-2024/SAR-JUS-2024_EN.pdf</t>
        </is>
      </c>
      <c r="V337" s="7" t="inlineStr">
        <is>
          <t>https://www.eca.europa.eu/ECAPublications/SAR-JUS-2024/SAR-JUS-2024_EN.pdf</t>
        </is>
      </c>
      <c r="W337" s="7" t="inlineStr"/>
    </row>
    <row r="338">
      <c r="A338" s="7" t="n">
        <v>62</v>
      </c>
      <c r="B338" s="7" t="inlineStr">
        <is>
          <t>Joint Undertakings under Horizon Europe</t>
        </is>
      </c>
      <c r="C338" s="7" t="inlineStr">
        <is>
          <t>evidence</t>
        </is>
      </c>
      <c r="D338" s="7" t="inlineStr">
        <is>
          <t>official</t>
        </is>
      </c>
      <c r="E338" s="7" t="inlineStr">
        <is>
          <t>2026-10 broadened search</t>
        </is>
      </c>
      <c r="F338" s="7" t="inlineStr">
        <is>
          <t>eca-2024-jus-fy2023</t>
        </is>
      </c>
      <c r="G338" s="7" t="inlineStr">
        <is>
          <t>European Court of Auditors (2024), Annual report on EU Joint Undertakings for the financial year 2023, European Court of Auditors, annual report on JUs (published 2024)</t>
        </is>
      </c>
      <c r="H338" s="7" t="n">
        <v>2024</v>
      </c>
      <c r="I338" s="7" t="inlineStr">
        <is>
          <t>ECA annual report</t>
        </is>
      </c>
      <c r="J338" s="7" t="inlineStr">
        <is>
          <t>annual financial and compliance audit of all JUs: substantive testing of grant payments, extrapolated error rates, and tracking of member contributions against founding-regulation targets</t>
        </is>
      </c>
      <c r="K338" s="7" t="inlineStr">
        <is>
          <t>JU budget execution, private members' in-kind contributions vs targets, error rates in grant payments</t>
        </is>
      </c>
      <c r="L338" s="7" t="inlineStr">
        <is>
          <t>mixed</t>
        </is>
      </c>
      <c r="M338" s="7" t="inlineStr">
        <is>
          <t>By end-2023 JUs had reached 94% of their Horizon 2020 member contribution targets overall but EuroHPC only 45%, with EuroHPC private members reporting just €18.4 million of in-kind contributions against a €420 million target; estimated average error rate for 2023 grant expenditure was just below the 2% materiality threshold.</t>
        </is>
      </c>
      <c r="N338" s="7" t="inlineStr">
        <is>
          <t>The EU auditors signed off the joint undertakings' 2023 accounts, but found that private industry partners in some of them, especially the supercomputing one, are paying in far less than promised. Mistakes in grant payments were close to the acceptable limit.</t>
        </is>
      </c>
      <c r="O338" s="7" t="inlineStr">
        <is>
          <t>Financial year 2023; EU (11 JUs incl. those set up under Regulation 2021/2085)</t>
        </is>
      </c>
      <c r="P338" s="7" t="inlineStr">
        <is>
          <t>Independent audit with hard financial data; focuses on legality, regularity and contribution targets rather than research outcomes; earlier edition of the FY2024 report already listed.</t>
        </is>
      </c>
      <c r="Q338" s="7" t="inlineStr"/>
      <c r="R338" s="7" t="inlineStr">
        <is>
          <t>open</t>
        </is>
      </c>
      <c r="S338" s="7" t="inlineStr">
        <is>
          <t>full text read</t>
        </is>
      </c>
      <c r="T338" s="7" t="inlineStr">
        <is>
          <t>2026-10-10</t>
        </is>
      </c>
      <c r="U338" s="7" t="inlineStr">
        <is>
          <t>https://eca.europa.eu/ECAPublications/SAR-JUS-2023/SAR-JUS-2023_EN.pdf</t>
        </is>
      </c>
      <c r="V338" s="7" t="inlineStr">
        <is>
          <t>https://eca.europa.eu/ECAPublications/SAR-JUS-2023/SAR-JUS-2023_EN.pdf</t>
        </is>
      </c>
      <c r="W338" s="7" t="inlineStr"/>
    </row>
    <row r="339">
      <c r="A339" s="7" t="n">
        <v>62</v>
      </c>
      <c r="B339" s="7" t="inlineStr">
        <is>
          <t>Joint Undertakings under Horizon Europe</t>
        </is>
      </c>
      <c r="C339" s="7" t="inlineStr">
        <is>
          <t>evidence</t>
        </is>
      </c>
      <c r="D339" s="7" t="inlineStr">
        <is>
          <t>official</t>
        </is>
      </c>
      <c r="E339" s="7" t="inlineStr">
        <is>
          <t>2026-10 broadened search</t>
        </is>
      </c>
      <c r="F339" s="7" t="inlineStr">
        <is>
          <t>ec-rtd-2024-bmr-partnerships</t>
        </is>
      </c>
      <c r="G339" s="7" t="inlineStr">
        <is>
          <t>European Commission, Directorate-General for Research and Innovation (Unit G4, Common Missions &amp; Partnerships Service) (2024), Performance of European Partnerships: Biennial Monitoring Report 2024 on partnerships in Horizon Europe, Publications Office of the EU, doi:10.2777/991766</t>
        </is>
      </c>
      <c r="H339" s="7" t="n">
        <v>2024</v>
      </c>
      <c r="I339" s="7" t="inlineStr">
        <is>
          <t>Commission evaluation</t>
        </is>
      </c>
      <c r="J339" s="7" t="inlineStr">
        <is>
          <t>monitoring report with descriptive statistics on 44 European Partnerships (incl. the Art. 187 JUs) from eCORDA grant data and partnerships' self-reported leverage and KPI data</t>
        </is>
      </c>
      <c r="K339" s="7" t="inlineStr">
        <is>
          <t>leverage of private/other funding, success rates, participation, KPIs of institutionalised partnerships</t>
        </is>
      </c>
      <c r="L339" s="7" t="inlineStr">
        <is>
          <t>mixed</t>
        </is>
      </c>
      <c r="M339" s="7" t="inlineStr">
        <is>
          <t>Institutionalised partnerships (JUs, excl. KICs) show total direct leverage of 1.44 euro per EU euro but indirect leverage of only 0.20, which the report says means JU outcomes do not yet trigger substantial follow-on investment.</t>
        </is>
      </c>
      <c r="N339" s="7" t="inlineStr">
        <is>
          <t>The Commission's own monitoring of its research partnerships finds that the industry-led joint undertakings bring in about 1.4 euros of partner money for every EU euro, but so far spark little further investment to take results to market.</t>
        </is>
      </c>
      <c r="O339" s="7" t="inlineStr">
        <is>
          <t>Horizon Europe 2021-2023 data; EU27 plus associated countries</t>
        </is>
      </c>
      <c r="P339" s="7" t="inlineStr">
        <is>
          <t>Rich administrative data but leverage figures are self-reported and early in programme life (report flags reliability caveats); Commission monitoring its own programme; descriptive.</t>
        </is>
      </c>
      <c r="Q339" s="7" t="inlineStr">
        <is>
          <t>Commission assessing its own programme</t>
        </is>
      </c>
      <c r="R339" s="7" t="inlineStr">
        <is>
          <t>open</t>
        </is>
      </c>
      <c r="S339" s="7" t="inlineStr">
        <is>
          <t>full text read</t>
        </is>
      </c>
      <c r="T339" s="7" t="inlineStr">
        <is>
          <t>2026-10-10</t>
        </is>
      </c>
      <c r="U339" s="7" t="inlineStr">
        <is>
          <t>https://www.ihi.europa.eu/sites/default/files/uploads/Documents/About/Reports/EurPartnerships_BMR_2024.pdf</t>
        </is>
      </c>
      <c r="V339" s="7" t="inlineStr">
        <is>
          <t>https://www.ihi.europa.eu/sites/default/files/uploads/Documents/About/Reports/EurPartnerships_BMR_2024.pdf</t>
        </is>
      </c>
      <c r="W339" s="7" t="inlineStr"/>
    </row>
    <row r="340">
      <c r="A340" s="7" t="n">
        <v>70</v>
      </c>
      <c r="B340" s="7" t="inlineStr">
        <is>
          <t>Digital Decade Policy Programme Decision</t>
        </is>
      </c>
      <c r="C340" s="7" t="inlineStr">
        <is>
          <t>evidence</t>
        </is>
      </c>
      <c r="D340" s="7" t="inlineStr">
        <is>
          <t>official</t>
        </is>
      </c>
      <c r="E340" s="7" t="inlineStr">
        <is>
          <t>initial review</t>
        </is>
      </c>
      <c r="F340" s="7" t="inlineStr">
        <is>
          <t>ec-2025-state-digital-decade</t>
        </is>
      </c>
      <c r="G340" s="7" t="inlineStr">
        <is>
          <t>European Commission (2025), State of the Digital Decade 2025: Keep building the EU's sovereignty and digital future, COM(2025) 290</t>
        </is>
      </c>
      <c r="H340" s="7" t="n">
        <v>2025</v>
      </c>
      <c r="I340" s="7" t="inlineStr">
        <is>
          <t>Commission monitoring report</t>
        </is>
      </c>
      <c r="J340" s="7" t="inlineStr">
        <is>
          <t>annual KPI monitoring against 2030 targets</t>
        </is>
      </c>
      <c r="K340" s="7" t="inlineStr">
        <is>
          <t>connectivity; skills; business digitalisation; public services</t>
        </is>
      </c>
      <c r="L340" s="7" t="inlineStr">
        <is>
          <t>mixed</t>
        </is>
      </c>
      <c r="M340" s="7" t="inlineStr">
        <is>
          <t>Uneven progress: edge nodes, e-health and basic 5G near targets; AI, cloud, data analytics, ICT specialists and basic skills 'deeply unsatisfactory'; FTTP 69%, VHCN 82%; national roadmaps worth EUR 288.6bn; 57% of 2024 recommendations addressed</t>
        </is>
      </c>
      <c r="N340" s="7" t="inlineStr">
        <is>
          <t>The Commission's own scorecard shows the EU on track for basic 5G and online services but far off its 2030 goals for AI use by firms, digital skills, fibre and chips.</t>
        </is>
      </c>
      <c r="O340" s="7" t="inlineStr">
        <is>
          <t>EU-27, 2024 data</t>
        </is>
      </c>
      <c r="P340" s="7" t="inlineStr">
        <is>
          <t>monitoring; descriptive</t>
        </is>
      </c>
      <c r="Q340" s="7" t="inlineStr"/>
      <c r="R340" s="7" t="inlineStr">
        <is>
          <t>open</t>
        </is>
      </c>
      <c r="S340" s="7" t="inlineStr">
        <is>
          <t>full text read (main report)</t>
        </is>
      </c>
      <c r="T340" s="7" t="inlineStr">
        <is>
          <t>2026-10-10</t>
        </is>
      </c>
      <c r="U340" s="7" t="inlineStr">
        <is>
          <t>https://eur-lex.europa.eu/legal-content/EN/TXT/?uri=CELEX:52025DC0290</t>
        </is>
      </c>
      <c r="V340" s="7" t="inlineStr">
        <is>
          <t>https://ec.europa.eu/newsroom/dae/redirection/document/116741</t>
        </is>
      </c>
      <c r="W340" s="7" t="inlineStr">
        <is>
          <t>http://web.archive.org/web/20260701092527/https://eur-lex.europa.eu/legal-content/EN/TXT/?uri=CELEX%3A52025DC0290</t>
        </is>
      </c>
    </row>
    <row r="341">
      <c r="A341" s="7" t="n">
        <v>70</v>
      </c>
      <c r="B341" s="7" t="inlineStr">
        <is>
          <t>Digital Decade Policy Programme Decision</t>
        </is>
      </c>
      <c r="C341" s="7" t="inlineStr">
        <is>
          <t>evidence</t>
        </is>
      </c>
      <c r="D341" s="7" t="inlineStr">
        <is>
          <t>official</t>
        </is>
      </c>
      <c r="E341" s="7" t="inlineStr">
        <is>
          <t>initial review</t>
        </is>
      </c>
      <c r="F341" s="7" t="inlineStr">
        <is>
          <t>ec-2026-state-digital-decade</t>
        </is>
      </c>
      <c r="G341" s="7" t="inlineStr">
        <is>
          <t>European Commission (2026), State of the Digital Decade 2026 report (news summary), Commission news, 17 June 2026</t>
        </is>
      </c>
      <c r="H341" s="7" t="n">
        <v>2026</v>
      </c>
      <c r="I341" s="7" t="inlineStr">
        <is>
          <t>Commission monitoring report</t>
        </is>
      </c>
      <c r="J341" s="7" t="inlineStr">
        <is>
          <t>annual KPI monitoring against 2030 targets</t>
        </is>
      </c>
      <c r="K341" s="7" t="inlineStr">
        <is>
          <t>connectivity; skills; business digitalisation</t>
        </is>
      </c>
      <c r="L341" s="7" t="inlineStr">
        <is>
          <t>mixed</t>
        </is>
      </c>
      <c r="M341" s="7" t="inlineStr">
        <is>
          <t>96.8% of households have basic 5G; fibre, semiconductors and computing capacity lag; more than 60% have basic digital skills; ICT specialist shortages persist; targets to be reviewed in 2027</t>
        </is>
      </c>
      <c r="N341" s="7" t="inlineStr">
        <is>
          <t>The 2026 scorecard shows more progress on mobile coverage and skills, but fibre, chips and business use of advanced technology still trail the 2030 goals; the targets will be reviewed in 2027.</t>
        </is>
      </c>
      <c r="O341" s="7" t="inlineStr">
        <is>
          <t>EU-27, 2025 data</t>
        </is>
      </c>
      <c r="P341" s="7" t="inlineStr">
        <is>
          <t>monitoring; descriptive</t>
        </is>
      </c>
      <c r="Q341" s="7" t="inlineStr"/>
      <c r="R341" s="7" t="inlineStr">
        <is>
          <t>open</t>
        </is>
      </c>
      <c r="S341" s="7" t="inlineStr">
        <is>
          <t>full text read (news page)</t>
        </is>
      </c>
      <c r="T341" s="7" t="inlineStr">
        <is>
          <t>2026-10-10</t>
        </is>
      </c>
      <c r="U341" s="7" t="inlineStr">
        <is>
          <t>https://commission.europa.eu/news-and-media/news/state-digital-decade-report-progress-made-gaps-remain-2026-06-17_en</t>
        </is>
      </c>
      <c r="V341" s="7" t="inlineStr"/>
      <c r="W341" s="7" t="inlineStr">
        <is>
          <t>http://web.archive.org/web/20260620124641/https://commission.europa.eu/news-and-media/news/state-digital-decade-report-progress-made-gaps-remain-2026-06-17_en</t>
        </is>
      </c>
    </row>
    <row r="342">
      <c r="A342" s="7" t="n">
        <v>70</v>
      </c>
      <c r="B342" s="7" t="inlineStr">
        <is>
          <t>Digital Decade Policy Programme Decision</t>
        </is>
      </c>
      <c r="C342" s="7" t="inlineStr">
        <is>
          <t>evidence</t>
        </is>
      </c>
      <c r="D342" s="7" t="inlineStr">
        <is>
          <t>think tank</t>
        </is>
      </c>
      <c r="E342" s="7" t="inlineStr">
        <is>
          <t>2026-10 broadened search</t>
        </is>
      </c>
      <c r="F342" s="7" t="inlineStr">
        <is>
          <t>torchio-2025-ddpp-effectiveness</t>
        </is>
      </c>
      <c r="G342" s="7" t="inlineStr">
        <is>
          <t>Giulia Torchio (2025), EUrope's digital transition: Assessing the effectiveness of the 2030 Digital Decade Policy Programme, REGROUP Focus Paper No. 2 (European Policy Centre; republished by CIDOB)</t>
        </is>
      </c>
      <c r="H342" s="7" t="n">
        <v>2025</v>
      </c>
      <c r="I342" s="7" t="inlineStr">
        <is>
          <t>think tank policy brief</t>
        </is>
      </c>
      <c r="J342" s="7" t="inlineStr">
        <is>
          <t>desk review of the 2023 and 2024 State of the Digital Decade reports and national roadmaps, with country cases (Finland, Belgium, Italy, Bulgaria) and expert discussions</t>
        </is>
      </c>
      <c r="K342" s="7" t="inlineStr">
        <is>
          <t>progress towards Digital Decade targets (skills, connectivity, business digitalisation, public services), funding, coherence</t>
        </is>
      </c>
      <c r="L342" s="7" t="inlineStr">
        <is>
          <t>negative</t>
        </is>
      </c>
      <c r="M342" s="7" t="inlineStr">
        <is>
          <t>Drawing on the Commission's own projections, the EU is off track on all Digital Decade targets: only 59% of people are projected to have basic digital skills by 2030 against an 80% target, and about 12 million ICT specialists against a 20 million goal.</t>
        </is>
      </c>
      <c r="N342" s="7" t="inlineStr">
        <is>
          <t>A Brussels think tank reviewed how the EU is doing against its 2030 digital goals. Using official progress reports, it concludes Europe is behind on every target and calls for more realistic goals, better funding and stronger accountability.</t>
        </is>
      </c>
      <c r="O342" s="7" t="inlineStr">
        <is>
          <t>EU-27, 2023 to 2024 data</t>
        </is>
      </c>
      <c r="P342" s="7" t="inlineStr">
        <is>
          <t>Secondary analysis of Commission monitoring data plus expert discussions; no new data or causal design.</t>
        </is>
      </c>
      <c r="Q342" s="7" t="inlineStr">
        <is>
          <t>Funded under the EU's Horizon Europe programme (REGROUP project)</t>
        </is>
      </c>
      <c r="R342" s="7" t="inlineStr">
        <is>
          <t>open</t>
        </is>
      </c>
      <c r="S342" s="7" t="inlineStr">
        <is>
          <t>full text read</t>
        </is>
      </c>
      <c r="T342" s="7" t="inlineStr">
        <is>
          <t>2026-10-10</t>
        </is>
      </c>
      <c r="U342" s="7" t="inlineStr">
        <is>
          <t>https://www.epc.eu/publication/EUropes-Digital-Transition-621560/</t>
        </is>
      </c>
      <c r="V342" s="7" t="inlineStr">
        <is>
          <t>https://www.cidob.org/sites/default/files/2025-02/REGROUP%20focus%20paper%20no.%202.pdf</t>
        </is>
      </c>
      <c r="W342" s="7" t="inlineStr"/>
    </row>
    <row r="343">
      <c r="A343" s="7" t="n">
        <v>61</v>
      </c>
      <c r="B343" s="7" t="inlineStr">
        <is>
          <t>NIS 2 Directive</t>
        </is>
      </c>
      <c r="C343" s="7" t="inlineStr">
        <is>
          <t>ex-ante assessment</t>
        </is>
      </c>
      <c r="D343" s="7" t="inlineStr">
        <is>
          <t>official</t>
        </is>
      </c>
      <c r="E343" s="7" t="inlineStr">
        <is>
          <t>initial review</t>
        </is>
      </c>
      <c r="F343" s="7" t="inlineStr">
        <is>
          <t>ec-2020-nis2-ia</t>
        </is>
      </c>
      <c r="G343" s="7" t="inlineStr">
        <is>
          <t>European Commission (2020), Impact Assessment accompanying the proposal for a Directive on measures for a high common level of cybersecurity across the Union (executive summary SWD(2020) 344), SWD(2020) 345</t>
        </is>
      </c>
      <c r="H343" s="7" t="n">
        <v>2020</v>
      </c>
      <c r="I343" s="7" t="inlineStr">
        <is>
          <t>Commission impact assessment</t>
        </is>
      </c>
      <c r="J343" s="7" t="inlineStr">
        <is>
          <t>ex-ante (economic modelling from support study)</t>
        </is>
      </c>
      <c r="K343" s="7" t="inlineStr">
        <is>
          <t>incident costs; ICT security spending; authorities' resources</t>
        </is>
      </c>
      <c r="L343" s="7" t="inlineStr">
        <is>
          <t>positive (forecast)</t>
        </is>
      </c>
      <c r="M343" s="7" t="inlineStr">
        <is>
          <t>Preferred option may cut the cost of cybersecurity incidents by EUR 11.3bn over ten years; entities in scope would need up to 22% more ICT security spending in the first years (12% for those already covered); authorities' resources up about 20-30%</t>
        </is>
      </c>
      <c r="N343" s="7" t="inlineStr">
        <is>
          <t>The Commission expected NIS 2 to cut the cost of cyber incidents by EUR 11.3 billion over ten years, while companies newly covered would raise security spending by up to 22%.</t>
        </is>
      </c>
      <c r="O343" s="7" t="inlineStr">
        <is>
          <t>EU, 10-year forecast</t>
        </is>
      </c>
      <c r="P343" s="7" t="inlineStr">
        <is>
          <t>forecast; IA notes lack of systematic data</t>
        </is>
      </c>
      <c r="Q343" s="7" t="inlineStr"/>
      <c r="R343" s="7" t="inlineStr">
        <is>
          <t>open</t>
        </is>
      </c>
      <c r="S343" s="7" t="inlineStr">
        <is>
          <t>full text read</t>
        </is>
      </c>
      <c r="T343" s="7" t="inlineStr">
        <is>
          <t>2026-10-10</t>
        </is>
      </c>
      <c r="U343" s="7" t="inlineStr">
        <is>
          <t>https://eur-lex.europa.eu/legal-content/EN/TXT/?uri=CELEX:52020SC0344</t>
        </is>
      </c>
      <c r="V343" s="7" t="inlineStr"/>
      <c r="W343" s="7" t="inlineStr">
        <is>
          <t>http://web.archive.org/web/20240705204139/https://eur-lex.europa.eu/legal-content/EN/TXT/?uri=celex%3A52020SC0344</t>
        </is>
      </c>
    </row>
    <row r="344">
      <c r="A344" s="7" t="n">
        <v>61</v>
      </c>
      <c r="B344" s="7" t="inlineStr">
        <is>
          <t>NIS 2 Directive</t>
        </is>
      </c>
      <c r="C344" s="7" t="inlineStr">
        <is>
          <t>evidence</t>
        </is>
      </c>
      <c r="D344" s="7" t="inlineStr">
        <is>
          <t>official</t>
        </is>
      </c>
      <c r="E344" s="7" t="inlineStr">
        <is>
          <t>initial review</t>
        </is>
      </c>
      <c r="F344" s="7" t="inlineStr">
        <is>
          <t>ec-2020-nis1-evaluation</t>
        </is>
      </c>
      <c r="G344" s="7" t="inlineStr">
        <is>
          <t>European Commission (2020), Evaluation of the functioning of the NIS Directive (Annex 5 of the NIS 2 impact assessment), SWD(2020) 345, Part 2</t>
        </is>
      </c>
      <c r="H344" s="7" t="n">
        <v>2020</v>
      </c>
      <c r="I344" s="7" t="inlineStr">
        <is>
          <t>Commission evaluation</t>
        </is>
      </c>
      <c r="J344" s="7" t="inlineStr">
        <is>
          <t>ex-post evaluation (desk research, surveys, country visits)</t>
        </is>
      </c>
      <c r="K344" s="7" t="inlineStr">
        <is>
          <t>scope; consistency; cooperation</t>
        </is>
      </c>
      <c r="L344" s="7" t="inlineStr">
        <is>
          <t>mixed</t>
        </is>
      </c>
      <c r="M344" s="7" t="inlineStr">
        <is>
          <t>NIS1 raised awareness and capabilities but scope was too narrow and national identification of operators very inconsistent; no data available to measure NIS1's actual impact on security spending; evaluation limited on effectiveness and efficiency by data gaps</t>
        </is>
      </c>
      <c r="N344" s="7" t="inlineStr">
        <is>
          <t>The Commission's review of the first NIS Directive found it changed mindsets but left large gaps between countries - e.g. major hospitals covered in one country but not another - and no data existed to measure its effect on spending.</t>
        </is>
      </c>
      <c r="O344" s="7" t="inlineStr">
        <is>
          <t>EU-27, 2018-2020</t>
        </is>
      </c>
      <c r="P344" s="7" t="inlineStr">
        <is>
          <t>qualitative; data gaps acknowledged</t>
        </is>
      </c>
      <c r="Q344" s="7" t="inlineStr"/>
      <c r="R344" s="7" t="inlineStr">
        <is>
          <t>open</t>
        </is>
      </c>
      <c r="S344" s="7" t="inlineStr">
        <is>
          <t>full text read</t>
        </is>
      </c>
      <c r="T344" s="7" t="inlineStr">
        <is>
          <t>2026-10-10</t>
        </is>
      </c>
      <c r="U344" s="7" t="inlineStr">
        <is>
          <t>https://eur-lex.europa.eu/legal-content/EN/TXT/?uri=CELEX:52020SC0345</t>
        </is>
      </c>
      <c r="V344" s="7" t="inlineStr"/>
      <c r="W344" s="7" t="inlineStr"/>
    </row>
    <row r="345">
      <c r="A345" s="7" t="n">
        <v>61</v>
      </c>
      <c r="B345" s="7" t="inlineStr">
        <is>
          <t>NIS 2 Directive</t>
        </is>
      </c>
      <c r="C345" s="7" t="inlineStr">
        <is>
          <t>evidence</t>
        </is>
      </c>
      <c r="D345" s="7" t="inlineStr">
        <is>
          <t>official</t>
        </is>
      </c>
      <c r="E345" s="7" t="inlineStr">
        <is>
          <t>initial review</t>
        </is>
      </c>
      <c r="F345" s="7" t="inlineStr">
        <is>
          <t>wavestone-icf-ceps-2021-nis-review</t>
        </is>
      </c>
      <c r="G345" s="7" t="inlineStr">
        <is>
          <t>Wavestone, ICF &amp; CEPS (Adami, Cole, Massacci, Polito, Pupillo et al.) for DG CONNECT (2021), Study to support the review of Directive (EU) 2016/1148 (NIS Directive), No. 2020-665, Publications Office of the EU, ISBN 978-92-76-31316-8</t>
        </is>
      </c>
      <c r="H345" s="7" t="n">
        <v>2021</v>
      </c>
      <c r="I345" s="7" t="inlineStr">
        <is>
          <t>Commission-contracted study</t>
        </is>
      </c>
      <c r="J345" s="7" t="inlineStr">
        <is>
          <t>retrospective evaluation + forward-looking support to IA; surveys of authorities and operators</t>
        </is>
      </c>
      <c r="K345" s="7" t="inlineStr">
        <is>
          <t>effectiveness; costs; scope</t>
        </is>
      </c>
      <c r="L345" s="7" t="inlineStr">
        <is>
          <t>mixed</t>
        </is>
      </c>
      <c r="M345" s="7" t="inlineStr">
        <is>
          <t>Support study behind the NIS1 evaluation and the IA's EUR 11.3bn benefit estimate; surveys covered 46 competent authorities, 49 operators of essential services and 9 digital service providers</t>
        </is>
      </c>
      <c r="N345" s="7" t="inlineStr">
        <is>
          <t>The contractor study that fed the Commission's review of the first NIS Directive and its cost-benefit model for NIS 2.</t>
        </is>
      </c>
      <c r="O345" s="7" t="inlineStr">
        <is>
          <t>EU, 2020</t>
        </is>
      </c>
      <c r="P345" s="7" t="inlineStr">
        <is>
          <t>contractor study; small survey samples</t>
        </is>
      </c>
      <c r="Q345" s="7" t="inlineStr">
        <is>
          <t>CEPS (co-author) hosts this metrics project</t>
        </is>
      </c>
      <c r="R345" s="7" t="inlineStr">
        <is>
          <t>open</t>
        </is>
      </c>
      <c r="S345" s="7" t="inlineStr">
        <is>
          <t>page summary via search</t>
        </is>
      </c>
      <c r="T345" s="7" t="inlineStr">
        <is>
          <t>2026-10-10</t>
        </is>
      </c>
      <c r="U345" s="7" t="inlineStr">
        <is>
          <t>https://op.europa.eu/en/publication-detail/-/publication/3b6ad641-d23c-11eb-ac72-01aa75ed71a1</t>
        </is>
      </c>
      <c r="V345" s="7" t="inlineStr"/>
      <c r="W345" s="7" t="inlineStr">
        <is>
          <t>http://web.archive.org/web/20241111142217/https://op.europa.eu/en/publication-detail/-/publication/3b6ad641-d23c-11eb-ac72-01aa75ed71a1</t>
        </is>
      </c>
    </row>
    <row r="346">
      <c r="A346" s="7" t="n">
        <v>61</v>
      </c>
      <c r="B346" s="7" t="inlineStr">
        <is>
          <t>NIS 2 Directive</t>
        </is>
      </c>
      <c r="C346" s="7" t="inlineStr">
        <is>
          <t>evidence</t>
        </is>
      </c>
      <c r="D346" s="7" t="inlineStr">
        <is>
          <t>official</t>
        </is>
      </c>
      <c r="E346" s="7" t="inlineStr">
        <is>
          <t>initial review</t>
        </is>
      </c>
      <c r="F346" s="7" t="inlineStr">
        <is>
          <t>enisa-2020-nis-investments</t>
        </is>
      </c>
      <c r="G346" s="7" t="inlineStr">
        <is>
          <t>ENISA (2020), NIS Investments (first edition), ENISA report, 11 Dec 2020</t>
        </is>
      </c>
      <c r="H346" s="7" t="n">
        <v>2020</v>
      </c>
      <c r="I346" s="7" t="inlineStr">
        <is>
          <t>agency report (survey)</t>
        </is>
      </c>
      <c r="J346" s="7" t="inlineStr">
        <is>
          <t>survey of 251 operators and digital service providers in FR, DE, IT, ES, PL</t>
        </is>
      </c>
      <c r="K346" s="7" t="inlineStr">
        <is>
          <t>perceived effect; security spending</t>
        </is>
      </c>
      <c r="L346" s="7" t="inlineStr">
        <is>
          <t>positive (self-reported)</t>
        </is>
      </c>
      <c r="M346" s="7" t="inlineStr">
        <is>
          <t>82% of respondents said the NIS Directive had a positive effect on their information security; EU organisations spend on average 41% less on information security than US counterparts</t>
        </is>
      </c>
      <c r="N346" s="7" t="inlineStr">
        <is>
          <t>In ENISA's first survey, 82% of operators said the first NIS Directive improved their security, though EU firms spent 41% less on security than US firms.</t>
        </is>
      </c>
      <c r="O346" s="7" t="inlineStr">
        <is>
          <t>5 Member States, 2019-20</t>
        </is>
      </c>
      <c r="P346" s="7" t="inlineStr">
        <is>
          <t>self-reported; no counterfactual</t>
        </is>
      </c>
      <c r="Q346" s="7" t="inlineStr"/>
      <c r="R346" s="7" t="inlineStr">
        <is>
          <t>open</t>
        </is>
      </c>
      <c r="S346" s="7" t="inlineStr">
        <is>
          <t>page summary via search</t>
        </is>
      </c>
      <c r="T346" s="7" t="inlineStr">
        <is>
          <t>2026-10-10</t>
        </is>
      </c>
      <c r="U346" s="7" t="inlineStr">
        <is>
          <t>https://www.enisa.europa.eu/news/enisa-news/nis-directive-has-positive-effect-though-study-finds-gaps-in-cybersecurity-investment-exist</t>
        </is>
      </c>
      <c r="V346" s="7" t="inlineStr"/>
      <c r="W346" s="7" t="inlineStr"/>
    </row>
    <row r="347">
      <c r="A347" s="7" t="n">
        <v>61</v>
      </c>
      <c r="B347" s="7" t="inlineStr">
        <is>
          <t>NIS 2 Directive</t>
        </is>
      </c>
      <c r="C347" s="7" t="inlineStr">
        <is>
          <t>evidence</t>
        </is>
      </c>
      <c r="D347" s="7" t="inlineStr">
        <is>
          <t>official</t>
        </is>
      </c>
      <c r="E347" s="7" t="inlineStr">
        <is>
          <t>initial review</t>
        </is>
      </c>
      <c r="F347" s="7" t="inlineStr">
        <is>
          <t>enisa-2024-nis-investments</t>
        </is>
      </c>
      <c r="G347" s="7" t="inlineStr">
        <is>
          <t>ENISA (2024), NIS Investments 2024, ENISA report, Nov 2024</t>
        </is>
      </c>
      <c r="H347" s="7" t="n">
        <v>2024</v>
      </c>
      <c r="I347" s="7" t="inlineStr">
        <is>
          <t>agency report (survey)</t>
        </is>
      </c>
      <c r="J347" s="7" t="inlineStr">
        <is>
          <t>survey of 1,350 organisations, 27 Member States; old-vs-new-sector comparison (descriptive)</t>
        </is>
      </c>
      <c r="K347" s="7" t="inlineStr">
        <is>
          <t>security spending; staffing; maturity</t>
        </is>
      </c>
      <c r="L347" s="7" t="inlineStr">
        <is>
          <t>mixed</t>
        </is>
      </c>
      <c r="M347" s="7" t="inlineStr">
        <is>
          <t>Organisations earmark 9.0% of IT investment for information security (+1.9 pp); 89% need more security staff for NIS2; 34% of SMEs cannot request the extra budget; sectors already under NIS1 report higher maturity (e.g. 6.8 vs 6.2 risk management) than newly covered sectors</t>
        </is>
      </c>
      <c r="N347" s="7" t="inlineStr">
        <is>
          <t>Pre-NIS 2 baseline: firms spend 9% of IT budgets on security, most expect NIS 2 to raise costs, and sectors already regulated under the first directive report better security than newcomers.</t>
        </is>
      </c>
      <c r="O347" s="7" t="inlineStr">
        <is>
          <t>EU-27, 2023-24</t>
        </is>
      </c>
      <c r="P347" s="7" t="inlineStr">
        <is>
          <t>descriptive; old-vs-new sector gap not causal</t>
        </is>
      </c>
      <c r="Q347" s="7" t="inlineStr"/>
      <c r="R347" s="7" t="inlineStr">
        <is>
          <t>open</t>
        </is>
      </c>
      <c r="S347" s="7" t="inlineStr">
        <is>
          <t>full text read</t>
        </is>
      </c>
      <c r="T347" s="7" t="inlineStr">
        <is>
          <t>2026-10-10</t>
        </is>
      </c>
      <c r="U347" s="7" t="inlineStr">
        <is>
          <t>https://www.enisa.europa.eu/publications/nis-investments-2024</t>
        </is>
      </c>
      <c r="V347" s="7" t="inlineStr">
        <is>
          <t>https://www.enisa.europa.eu/sites/default/files/2024-11/CSPA%20-%20NIS%20Investments%20-%202024_0.pdf</t>
        </is>
      </c>
      <c r="W347" s="7" t="inlineStr">
        <is>
          <t>http://web.archive.org/web/20261001031158/https://www.enisa.europa.eu/publications/nis-investments-2024</t>
        </is>
      </c>
    </row>
    <row r="348">
      <c r="A348" s="7" t="n">
        <v>61</v>
      </c>
      <c r="B348" s="7" t="inlineStr">
        <is>
          <t>NIS 2 Directive</t>
        </is>
      </c>
      <c r="C348" s="7" t="inlineStr">
        <is>
          <t>evidence</t>
        </is>
      </c>
      <c r="D348" s="7" t="inlineStr">
        <is>
          <t>official</t>
        </is>
      </c>
      <c r="E348" s="7" t="inlineStr">
        <is>
          <t>initial review</t>
        </is>
      </c>
      <c r="F348" s="7" t="inlineStr">
        <is>
          <t>enisa-2025-nis-investments</t>
        </is>
      </c>
      <c r="G348" s="7" t="inlineStr">
        <is>
          <t>ENISA (2025), NIS Investments 2025, ENISA report, Dec 2025</t>
        </is>
      </c>
      <c r="H348" s="7" t="n">
        <v>2025</v>
      </c>
      <c r="I348" s="7" t="inlineStr">
        <is>
          <t>agency report (survey)</t>
        </is>
      </c>
      <c r="J348" s="7" t="inlineStr">
        <is>
          <t>survey of 1,080 professionals (83% large firms)</t>
        </is>
      </c>
      <c r="K348" s="7" t="inlineStr">
        <is>
          <t>security spending; compliance drivers; patching; talent</t>
        </is>
      </c>
      <c r="L348" s="7" t="inlineStr">
        <is>
          <t>mixed</t>
        </is>
      </c>
      <c r="M348" s="7" t="inlineStr">
        <is>
          <t>Security spending stable at about 9% of IT budgets (median EUR 1.5m), shifting to technology and outsourcing; compliance is the main investment driver (70%); 28% take over three months to patch critical vulnerabilities; 30% did no assessment in 12 months</t>
        </is>
      </c>
      <c r="N348" s="7" t="inlineStr">
        <is>
          <t>In the first year of NIS 2, security budgets held at about 9% of IT spending, compliance drove most investment, but many firms still patch slowly.</t>
        </is>
      </c>
      <c r="O348" s="7" t="inlineStr">
        <is>
          <t>EU-27, 2024-25</t>
        </is>
      </c>
      <c r="P348" s="7" t="inlineStr">
        <is>
          <t>descriptive survey</t>
        </is>
      </c>
      <c r="Q348" s="7" t="inlineStr"/>
      <c r="R348" s="7" t="inlineStr">
        <is>
          <t>open</t>
        </is>
      </c>
      <c r="S348" s="7" t="inlineStr">
        <is>
          <t>full text read</t>
        </is>
      </c>
      <c r="T348" s="7" t="inlineStr">
        <is>
          <t>2026-10-10</t>
        </is>
      </c>
      <c r="U348" s="7" t="inlineStr">
        <is>
          <t>https://www.enisa.europa.eu/publications/nis-investments-2025</t>
        </is>
      </c>
      <c r="V348" s="7" t="inlineStr">
        <is>
          <t>https://www.enisa.europa.eu/sites/default/files/2026-02/NIS%20Investments%202025%20-%20Main%20report.pdf</t>
        </is>
      </c>
      <c r="W348" s="7" t="inlineStr">
        <is>
          <t>http://web.archive.org/web/20260806080039/https://www.enisa.europa.eu/publications/nis-investments-2025</t>
        </is>
      </c>
    </row>
    <row r="349">
      <c r="A349" s="7" t="n">
        <v>61</v>
      </c>
      <c r="B349" s="7" t="inlineStr">
        <is>
          <t>NIS 2 Directive</t>
        </is>
      </c>
      <c r="C349" s="7" t="inlineStr">
        <is>
          <t>evidence</t>
        </is>
      </c>
      <c r="D349" s="7" t="inlineStr">
        <is>
          <t>official</t>
        </is>
      </c>
      <c r="E349" s="7" t="inlineStr">
        <is>
          <t>initial review</t>
        </is>
      </c>
      <c r="F349" s="7" t="inlineStr">
        <is>
          <t>enisa-2024-state-of-cybersecurity</t>
        </is>
      </c>
      <c r="G349" s="7" t="inlineStr">
        <is>
          <t>ENISA with NIS Cooperation Group and European Commission (2024), 2024 Report on the State of Cybersecurity in the Union, ENISA report (NIS2 Art. 18), Dec 2024</t>
        </is>
      </c>
      <c r="H349" s="7" t="n">
        <v>2024</v>
      </c>
      <c r="I349" s="7" t="inlineStr">
        <is>
          <t>agency report</t>
        </is>
      </c>
      <c r="J349" s="7" t="inlineStr">
        <is>
          <t>descriptive assessment</t>
        </is>
      </c>
      <c r="K349" s="7" t="inlineStr">
        <is>
          <t>threat level; national capabilities</t>
        </is>
      </c>
      <c r="L349" s="7" t="inlineStr">
        <is>
          <t>n/a (baseline)</t>
        </is>
      </c>
      <c r="M349" s="7" t="inlineStr">
        <is>
          <t>First report under NIS2 Art. 18; finds a substantial threat level and broadly aligned national strategies; data collected while transposition ongoing, intended as baseline for later NIS2 assessments</t>
        </is>
      </c>
      <c r="N349" s="7" t="inlineStr">
        <is>
          <t>ENISA's first EU-wide state-of-cybersecurity report, intended as the baseline against which NIS 2 will be judged.</t>
        </is>
      </c>
      <c r="O349" s="7" t="inlineStr">
        <is>
          <t>EU, 2024</t>
        </is>
      </c>
      <c r="P349" s="7" t="inlineStr">
        <is>
          <t>descriptive</t>
        </is>
      </c>
      <c r="Q349" s="7" t="inlineStr"/>
      <c r="R349" s="7" t="inlineStr">
        <is>
          <t>open</t>
        </is>
      </c>
      <c r="S349" s="7" t="inlineStr">
        <is>
          <t>page summary via search</t>
        </is>
      </c>
      <c r="T349" s="7" t="inlineStr">
        <is>
          <t>2026-10-10</t>
        </is>
      </c>
      <c r="U349" s="7" t="inlineStr">
        <is>
          <t>https://www.enisa.europa.eu/publications/2024-report-on-the-state-of-the-cybersecurity-in-the-union</t>
        </is>
      </c>
      <c r="V349" s="7" t="inlineStr"/>
      <c r="W349" s="7" t="inlineStr"/>
    </row>
    <row r="350">
      <c r="A350" s="7" t="n">
        <v>61</v>
      </c>
      <c r="B350" s="7" t="inlineStr">
        <is>
          <t>NIS 2 Directive</t>
        </is>
      </c>
      <c r="C350" s="7" t="inlineStr">
        <is>
          <t>enforcement or case law</t>
        </is>
      </c>
      <c r="D350" s="7" t="inlineStr">
        <is>
          <t>official</t>
        </is>
      </c>
      <c r="E350" s="7" t="inlineStr">
        <is>
          <t>initial review</t>
        </is>
      </c>
      <c r="F350" s="7" t="inlineStr">
        <is>
          <t>ec-2026-nis2-referral</t>
        </is>
      </c>
      <c r="G350" s="7" t="inlineStr">
        <is>
          <t>European Commission (2026), Commission refers Ireland, Spain, France and the Netherlands to the Court of Justice for failing to transpose the rules on cybersecurity, Press release IP/26/1499, 8 July 2026</t>
        </is>
      </c>
      <c r="H350" s="7" t="n">
        <v>2026</v>
      </c>
      <c r="I350" s="7" t="inlineStr">
        <is>
          <t>Commission enforcement record</t>
        </is>
      </c>
      <c r="J350" s="7" t="inlineStr">
        <is>
          <t>enforcement record</t>
        </is>
      </c>
      <c r="K350" s="7" t="inlineStr">
        <is>
          <t>transposition</t>
        </is>
      </c>
      <c r="L350" s="7" t="inlineStr">
        <is>
          <t>n/a</t>
        </is>
      </c>
      <c r="M350" s="7" t="inlineStr">
        <is>
          <t>Deadline 17 Oct 2024; formal notices 28 Nov 2024, reasoned opinions 7 May 2025; four Member States referred with request for financial sanctions; targeted NIS2 amendments proposed 20 Jan 2026</t>
        </is>
      </c>
      <c r="N350" s="7" t="inlineStr">
        <is>
          <t>Nearly two years after the deadline, four countries had still not fully transposed NIS 2 and were taken to court.</t>
        </is>
      </c>
      <c r="O350" s="7" t="inlineStr">
        <is>
          <t>EU</t>
        </is>
      </c>
      <c r="P350" s="7" t="inlineStr">
        <is>
          <t>official record</t>
        </is>
      </c>
      <c r="Q350" s="7" t="inlineStr"/>
      <c r="R350" s="7" t="inlineStr">
        <is>
          <t>open</t>
        </is>
      </c>
      <c r="S350" s="7" t="inlineStr">
        <is>
          <t>full text read</t>
        </is>
      </c>
      <c r="T350" s="7" t="inlineStr">
        <is>
          <t>2026-10-10</t>
        </is>
      </c>
      <c r="U350" s="7" t="inlineStr">
        <is>
          <t>https://ec.europa.eu/commission/presscorner/detail/en/ip_26_1499</t>
        </is>
      </c>
      <c r="V350" s="7" t="inlineStr"/>
      <c r="W350" s="7" t="inlineStr">
        <is>
          <t>http://web.archive.org/web/20260811180832/https://ec.europa.eu/commission/presscorner/detail/en/ip_26_1499</t>
        </is>
      </c>
    </row>
    <row r="351">
      <c r="A351" s="7" t="n">
        <v>61</v>
      </c>
      <c r="B351" s="7" t="inlineStr">
        <is>
          <t>NIS 2 Directive</t>
        </is>
      </c>
      <c r="C351" s="7" t="inlineStr">
        <is>
          <t>evidence</t>
        </is>
      </c>
      <c r="D351" s="7" t="inlineStr">
        <is>
          <t>official</t>
        </is>
      </c>
      <c r="E351" s="7" t="inlineStr">
        <is>
          <t>2026-10 broadened search</t>
        </is>
      </c>
      <c r="F351" s="7" t="inlineStr">
        <is>
          <t>enisa-2025-nis360</t>
        </is>
      </c>
      <c r="G351" s="7" t="inlineStr">
        <is>
          <t>ENISA (European Union Agency for Cybersecurity) (2025), ENISA NIS360 - 2024, ENISA report (TLP GREEN), February 2025</t>
        </is>
      </c>
      <c r="H351" s="7" t="n">
        <v>2025</v>
      </c>
      <c r="I351" s="7" t="inlineStr">
        <is>
          <t>agency report</t>
        </is>
      </c>
      <c r="J351" s="7" t="inlineStr">
        <is>
          <t>composite maturity/criticality index for 22 NIS2 Annex I (sub)sectors built from an industry survey (93% large firms; same fieldwork as NIS Investments 2024), a survey of national authorities, ENISA incident data (CIRAS) and Eurostat indicators</t>
        </is>
      </c>
      <c r="K351" s="7" t="inlineStr">
        <is>
          <t>sector cybersecurity maturity and criticality; 'risk zone' sectors</t>
        </is>
      </c>
      <c r="L351" s="7" t="inlineStr">
        <is>
          <t>descriptive</t>
        </is>
      </c>
      <c r="M351" s="7" t="inlineStr">
        <is>
          <t>Electricity, telecoms and banking score highest on maturity and criticality, while ICT service management, space, public administrations, maritime, health and gas fall in a 'risk zone' where maturity lags criticality.</t>
        </is>
      </c>
      <c r="N351" s="7" t="inlineStr">
        <is>
          <t>ENISA's first sector-by-sector scorecard for the industries covered by NIS2. Long-regulated sectors like power, telecoms and banks are the best prepared; newly covered or weakly supervised sectors such as public administration, health and space are lagging.</t>
        </is>
      </c>
      <c r="O351" s="7" t="inlineStr">
        <is>
          <t>2024 survey data; EU27</t>
        </is>
      </c>
      <c r="P351" s="7" t="inlineStr">
        <is>
          <t>Baseline monitoring around the NIS2 transposition deadline; composite index with judgement-based weights, no counterfactual; industry data overlap with NIS Investments 2024</t>
        </is>
      </c>
      <c r="Q351" s="7" t="inlineStr">
        <is>
          <t>ENISA is the EU agency charged with supporting NIS2 implementation</t>
        </is>
      </c>
      <c r="R351" s="7" t="inlineStr">
        <is>
          <t>open</t>
        </is>
      </c>
      <c r="S351" s="7" t="inlineStr">
        <is>
          <t>full text read</t>
        </is>
      </c>
      <c r="T351" s="7" t="inlineStr">
        <is>
          <t>2026-10-10</t>
        </is>
      </c>
      <c r="U351" s="7" t="inlineStr">
        <is>
          <t>https://www.enisa.europa.eu/publications/enisa-nis360-2024</t>
        </is>
      </c>
      <c r="V351" s="7" t="inlineStr">
        <is>
          <t>https://www.enisa.europa.eu/sites/default/files/2025-03/ENISA%20-%20NIS360%20-%202024_0.pdf</t>
        </is>
      </c>
      <c r="W351" s="7" t="inlineStr"/>
    </row>
    <row r="352">
      <c r="A352" s="7" t="n">
        <v>61</v>
      </c>
      <c r="B352" s="7" t="inlineStr">
        <is>
          <t>NIS 2 Directive</t>
        </is>
      </c>
      <c r="C352" s="7" t="inlineStr">
        <is>
          <t>evidence</t>
        </is>
      </c>
      <c r="D352" s="7" t="inlineStr">
        <is>
          <t>official</t>
        </is>
      </c>
      <c r="E352" s="7" t="inlineStr">
        <is>
          <t>2026-10 broadened search</t>
        </is>
      </c>
      <c r="F352" s="7" t="inlineStr">
        <is>
          <t>enisa-2026-nis360</t>
        </is>
      </c>
      <c r="G352" s="7" t="inlineStr">
        <is>
          <t>ENISA (European Union Agency for Cybersecurity) (2026), ENISA NIS360 (third edition; press release 'NIS360: The bigger picture on maturity and criticality of NIS critical sectors'), ENISA report and press release, 28 May 2026</t>
        </is>
      </c>
      <c r="H352" s="7" t="n">
        <v>2026</v>
      </c>
      <c r="I352" s="7" t="inlineStr">
        <is>
          <t>agency report</t>
        </is>
      </c>
      <c r="J352" s="7" t="inlineStr">
        <is>
          <t>repeated composite maturity/criticality assessment of NIS2 Annex I sectors (entity surveys, national authority input, EU-level data), compared with the previous edition</t>
        </is>
      </c>
      <c r="K352" s="7" t="inlineStr">
        <is>
          <t>change in sector cybersecurity maturity; risk-zone membership</t>
        </is>
      </c>
      <c r="L352" s="7" t="inlineStr">
        <is>
          <t>positive</t>
        </is>
      </c>
      <c r="M352" s="7" t="inlineStr">
        <is>
          <t>Maturity improved across EU critical sectors since the previous edition: trust services, aviation and financial market infrastructures moved into the high-maturity band and gas, road, maritime and health improved within the moderate band, though health, railway, maritime, ICT service management, space, public administrations and water remain in the risk zone.</t>
        </is>
      </c>
      <c r="N352" s="7" t="inlineStr">
        <is>
          <t>ENISA's latest scorecard finds critical sectors are getting better at cybersecurity as NIS2 takes hold, with several moving up a band. ENISA links part of the improvement to the new legislation, but progress is uneven and many sectors are still behind.</t>
        </is>
      </c>
      <c r="O352" s="7" t="inlineStr">
        <is>
          <t>2025 data; EU27</t>
        </is>
      </c>
      <c r="P352" s="7" t="inlineStr">
        <is>
          <t>Before/after comparison of a composite index with no control group; ENISA attributes improvement partly to NIS2 but cannot separate it from threat trends; only press release read</t>
        </is>
      </c>
      <c r="Q352" s="7" t="inlineStr">
        <is>
          <t>ENISA is the EU agency charged with supporting NIS2 implementation</t>
        </is>
      </c>
      <c r="R352" s="7" t="inlineStr">
        <is>
          <t>open</t>
        </is>
      </c>
      <c r="S352" s="7" t="inlineStr">
        <is>
          <t>abstract read</t>
        </is>
      </c>
      <c r="T352" s="7" t="inlineStr">
        <is>
          <t>2026-10-10</t>
        </is>
      </c>
      <c r="U352" s="7" t="inlineStr">
        <is>
          <t>https://www.enisa.europa.eu/news/nis360-the-bigger-picture-on-maturity-and-criticality-of-nis-critical-sectors</t>
        </is>
      </c>
      <c r="V352" s="7" t="inlineStr"/>
      <c r="W352" s="7" t="inlineStr"/>
    </row>
    <row r="353">
      <c r="A353" s="7" t="n">
        <v>61</v>
      </c>
      <c r="B353" s="7" t="inlineStr">
        <is>
          <t>NIS 2 Directive</t>
        </is>
      </c>
      <c r="C353" s="7" t="inlineStr">
        <is>
          <t>evidence</t>
        </is>
      </c>
      <c r="D353" s="7" t="inlineStr">
        <is>
          <t>academic</t>
        </is>
      </c>
      <c r="E353" s="7" t="inlineStr">
        <is>
          <t>2026-10 broadened search</t>
        </is>
      </c>
      <c r="F353" s="7" t="inlineStr">
        <is>
          <t>zew-2026-nis2survey</t>
        </is>
      </c>
      <c r="G353" s="7" t="inlineStr">
        <is>
          <t>ZEW Mannheim (Daniel Erdsiek, Eliza Stenzhorn) (2026), Companies Suffered Damage from Cyberattacks and Are Sceptical About NIS-2 (ZEW Information Economy Report Q4 2025), ZEW press release / ZEW-Branchenreport Informationswirtschaft</t>
        </is>
      </c>
      <c r="H353" s="7" t="n">
        <v>2026</v>
      </c>
      <c r="I353" s="7" t="inlineStr">
        <is>
          <t>survey report</t>
        </is>
      </c>
      <c r="J353" s="7" t="inlineStr">
        <is>
          <t>representative business survey of about 1,100 German firms in the information economy and manufacturing (Dec 2025-Jan 2026), about 200 of which expect to be covered by NIS-2</t>
        </is>
      </c>
      <c r="K353" s="7" t="inlineStr">
        <is>
          <t>self-reported NIS-2 compliance; perceived burden; cyberattack damage</t>
        </is>
      </c>
      <c r="L353" s="7" t="inlineStr">
        <is>
          <t>mixed</t>
        </is>
      </c>
      <c r="M353" s="7" t="inlineStr">
        <is>
          <t>About 57% of firms that consider themselves affected by NIS-2 say they already comply with most rules and 17% do not (fully) comply; around half expect it to strengthen cybersecurity, but about 60% call the administrative burden too high and reporting too extensive.</t>
        </is>
      </c>
      <c r="N353" s="7" t="inlineStr">
        <is>
          <t>A large German survey run just after Germany's NIS-2 law came into force. Most affected firms say they mostly comply and half think it will help security, but most also say the paperwork and reporting are too heavy.</t>
        </is>
      </c>
      <c r="O353" s="7" t="inlineStr">
        <is>
          <t>Dec 2025-Jan 2026; Germany</t>
        </is>
      </c>
      <c r="P353" s="7" t="inlineStr">
        <is>
          <t>Representative survey but only ~200 affected firms; self-reported, one country, right after transposition; press release only</t>
        </is>
      </c>
      <c r="Q353" s="7" t="inlineStr"/>
      <c r="R353" s="7" t="inlineStr">
        <is>
          <t>open</t>
        </is>
      </c>
      <c r="S353" s="7" t="inlineStr">
        <is>
          <t>abstract read</t>
        </is>
      </c>
      <c r="T353" s="7" t="inlineStr">
        <is>
          <t>2026-10-10</t>
        </is>
      </c>
      <c r="U353" s="7" t="inlineStr">
        <is>
          <t>https://www.zew.de/PM10366-1</t>
        </is>
      </c>
      <c r="V353" s="7" t="inlineStr"/>
      <c r="W353" s="7" t="inlineStr"/>
    </row>
    <row r="354">
      <c r="A354" s="7" t="n">
        <v>61</v>
      </c>
      <c r="B354" s="7" t="inlineStr">
        <is>
          <t>NIS 2 Directive</t>
        </is>
      </c>
      <c r="C354" s="7" t="inlineStr">
        <is>
          <t>evidence</t>
        </is>
      </c>
      <c r="D354" s="7" t="inlineStr">
        <is>
          <t>official</t>
        </is>
      </c>
      <c r="E354" s="7" t="inlineStr">
        <is>
          <t>2026-10 broadened search</t>
        </is>
      </c>
      <c r="F354" s="7" t="inlineStr">
        <is>
          <t>enisa-2022-nisinvestments</t>
        </is>
      </c>
      <c r="G354" s="7" t="inlineStr">
        <is>
          <t>ENISA (European Union Agency for Cybersecurity) (2022), NIS Investments 2022, ENISA report, 23 November 2022</t>
        </is>
      </c>
      <c r="H354" s="7" t="n">
        <v>2022</v>
      </c>
      <c r="I354" s="7" t="inlineStr">
        <is>
          <t>agency report</t>
        </is>
      </c>
      <c r="J354" s="7" t="inlineStr">
        <is>
          <t>survey of 1,080 operators of essential services and digital service providers in all 27 Member States, year-on-year comparison, sector deep dives (energy, health), plus Gartner market data</t>
        </is>
      </c>
      <c r="K354" s="7" t="inlineStr">
        <is>
          <t>IT and information security budgets; influence of the (first) NIS Directive on investment</t>
        </is>
      </c>
      <c r="L354" s="7" t="inlineStr">
        <is>
          <t>descriptive</t>
        </is>
      </c>
      <c r="M354" s="7" t="inlineStr">
        <is>
          <t>Third edition surveying 1,080 OES/DSPs: absolute IT and information-security budgets and the share of IT budgets spent on security were significantly lower than the previous year, partly due to sample composition and COVID-19.</t>
        </is>
      </c>
      <c r="N354" s="7" t="inlineStr">
        <is>
          <t>ENISA's yearly survey of companies covered by the original NIS rules, tracking how much they spend on cybersecurity and how the law shapes that spending. It is part of the evidence base behind NIS2.</t>
        </is>
      </c>
      <c r="O354" s="7" t="inlineStr">
        <is>
          <t>2021-22; EU27</t>
        </is>
      </c>
      <c r="P354" s="7" t="inlineStr">
        <is>
          <t>Predecessor (NIS1) evidence that directly concerns NIS2's scope; self-reported, non-panel sample so year-on-year changes partly reflect composition</t>
        </is>
      </c>
      <c r="Q354" s="7" t="inlineStr">
        <is>
          <t>ENISA is the EU cybersecurity agency</t>
        </is>
      </c>
      <c r="R354" s="7" t="inlineStr">
        <is>
          <t>open</t>
        </is>
      </c>
      <c r="S354" s="7" t="inlineStr">
        <is>
          <t>abstract read</t>
        </is>
      </c>
      <c r="T354" s="7" t="inlineStr">
        <is>
          <t>2026-10-10</t>
        </is>
      </c>
      <c r="U354" s="7" t="inlineStr">
        <is>
          <t>https://www.enisa.europa.eu/publications/nis-investments-2022</t>
        </is>
      </c>
      <c r="V354" s="7" t="inlineStr"/>
      <c r="W354" s="7" t="inlineStr"/>
    </row>
    <row r="355">
      <c r="A355" s="7" t="n">
        <v>61</v>
      </c>
      <c r="B355" s="7" t="inlineStr">
        <is>
          <t>NIS 2 Directive</t>
        </is>
      </c>
      <c r="C355" s="7" t="inlineStr">
        <is>
          <t>evidence</t>
        </is>
      </c>
      <c r="D355" s="7" t="inlineStr">
        <is>
          <t>official</t>
        </is>
      </c>
      <c r="E355" s="7" t="inlineStr">
        <is>
          <t>2026-10 broadened search</t>
        </is>
      </c>
      <c r="F355" s="7" t="inlineStr">
        <is>
          <t>enisa-2023-nisinvestments</t>
        </is>
      </c>
      <c r="G355" s="7" t="inlineStr">
        <is>
          <t>ENISA (European Union Agency for Cybersecurity) (2023), NIS Investments Report 2023, ENISA report, 16 November 2023</t>
        </is>
      </c>
      <c r="H355" s="7" t="n">
        <v>2023</v>
      </c>
      <c r="I355" s="7" t="inlineStr">
        <is>
          <t>agency report</t>
        </is>
      </c>
      <c r="J355" s="7" t="inlineStr">
        <is>
          <t>survey of 1,080 operators of essential services and digital service providers across the EU27 (fourth edition)</t>
        </is>
      </c>
      <c r="K355" s="7" t="inlineStr">
        <is>
          <t>cybersecurity budgets and how the NIS Directive influenced investment</t>
        </is>
      </c>
      <c r="L355" s="7" t="inlineStr">
        <is>
          <t>descriptive</t>
        </is>
      </c>
      <c r="M355" s="7" t="inlineStr">
        <is>
          <t>Fourth edition presenting data from 1,080 OES/DSPs in all 27 Member States on how they invest their cybersecurity budgets and how the NIS Directive influenced this investment.</t>
        </is>
      </c>
      <c r="N355" s="7" t="inlineStr">
        <is>
          <t>The 2023 round of ENISA's survey of companies covered by the NIS rules, intended to show policymakers whether the EU cybersecurity framework is working, just before NIS2 had to be applied.</t>
        </is>
      </c>
      <c r="O355" s="7" t="inlineStr">
        <is>
          <t>2022-23; EU27</t>
        </is>
      </c>
      <c r="P355" s="7" t="inlineStr">
        <is>
          <t>Predecessor (NIS1) evidence and NIS2 baseline; self-reported survey, no counterfactual; landing page only</t>
        </is>
      </c>
      <c r="Q355" s="7" t="inlineStr">
        <is>
          <t>ENISA is the EU cybersecurity agency</t>
        </is>
      </c>
      <c r="R355" s="7" t="inlineStr">
        <is>
          <t>open</t>
        </is>
      </c>
      <c r="S355" s="7" t="inlineStr">
        <is>
          <t>abstract read</t>
        </is>
      </c>
      <c r="T355" s="7" t="inlineStr">
        <is>
          <t>2026-10-10</t>
        </is>
      </c>
      <c r="U355" s="7" t="inlineStr">
        <is>
          <t>https://www.enisa.europa.eu/publications/nis-investments-2023</t>
        </is>
      </c>
      <c r="V355" s="7" t="inlineStr"/>
      <c r="W355" s="7" t="inlineStr"/>
    </row>
    <row r="356">
      <c r="A356" s="7" t="n">
        <v>61</v>
      </c>
      <c r="B356" s="7" t="inlineStr">
        <is>
          <t>NIS 2 Directive</t>
        </is>
      </c>
      <c r="C356" s="7" t="inlineStr">
        <is>
          <t>evidence</t>
        </is>
      </c>
      <c r="D356" s="7" t="inlineStr">
        <is>
          <t>consultancy or industry</t>
        </is>
      </c>
      <c r="E356" s="7" t="inlineStr">
        <is>
          <t>2026-10 broadened search</t>
        </is>
      </c>
      <c r="F356" s="7" t="inlineStr">
        <is>
          <t>digitaleurope-2025-nis2-transposition</t>
        </is>
      </c>
      <c r="G356" s="7" t="inlineStr">
        <is>
          <t>DIGITALEUROPE (2025), NIS2 Transposition Overview (29 January 2025), DIGITALEUROPE publication</t>
        </is>
      </c>
      <c r="H356" s="7" t="n">
        <v>2025</v>
      </c>
      <c r="I356" s="7" t="inlineStr">
        <is>
          <t>survey report</t>
        </is>
      </c>
      <c r="J356" s="7" t="inlineStr">
        <is>
          <t>survey of national trade association members plus desk research on transposition status in 27 Member States</t>
        </is>
      </c>
      <c r="K356" s="7" t="inlineStr">
        <is>
          <t>transposition status; national divergences; companies in scope</t>
        </is>
      </c>
      <c r="L356" s="7" t="inlineStr">
        <is>
          <t>negative</t>
        </is>
      </c>
      <c r="M356" s="7" t="inlineStr">
        <is>
          <t>About three months after the October 2024 deadline only nine Member States had adopted NIS2 transposition laws (BE, HR, GR, HU, IT, LV, LT, RO, SK), with a 'real risk of fragmentation'.</t>
        </is>
      </c>
      <c r="N356" s="7" t="inlineStr">
        <is>
          <t>An industry body counted how many EU countries had written NIS2 into national law by early 2025 and found most had not.</t>
        </is>
      </c>
      <c r="O356" s="7" t="inlineStr">
        <is>
          <t>EU-27, status January 2025</t>
        </is>
      </c>
      <c r="P356" s="7" t="inlineStr">
        <is>
          <t>Snapshot of legal status, non-exhaustive; not a measure of security outcomes.</t>
        </is>
      </c>
      <c r="Q356" s="7" t="inlineStr">
        <is>
          <t>Trade association of digital industry (subject to NIS2)</t>
        </is>
      </c>
      <c r="R356" s="7" t="inlineStr">
        <is>
          <t>open</t>
        </is>
      </c>
      <c r="S356" s="7" t="inlineStr">
        <is>
          <t>full text read</t>
        </is>
      </c>
      <c r="T356" s="7" t="inlineStr">
        <is>
          <t>2026-10-10</t>
        </is>
      </c>
      <c r="U356" s="7" t="inlineStr">
        <is>
          <t>https://cdn.digitaleurope.org/uploads/2025/01/NIS2-implementation-January-2025-1.pdf</t>
        </is>
      </c>
      <c r="V356" s="7" t="inlineStr">
        <is>
          <t>https://cdn.digitaleurope.org/uploads/2025/01/NIS2-implementation-January-2025-1.pdf</t>
        </is>
      </c>
      <c r="W356" s="7" t="inlineStr"/>
    </row>
    <row r="357">
      <c r="A357" s="7" t="n">
        <v>61</v>
      </c>
      <c r="B357" s="7" t="inlineStr">
        <is>
          <t>NIS 2 Directive</t>
        </is>
      </c>
      <c r="C357" s="7" t="inlineStr">
        <is>
          <t>evidence</t>
        </is>
      </c>
      <c r="D357" s="7" t="inlineStr">
        <is>
          <t>consultancy or industry</t>
        </is>
      </c>
      <c r="E357" s="7" t="inlineStr">
        <is>
          <t>2026-10 broadened search</t>
        </is>
      </c>
      <c r="F357" s="7" t="inlineStr">
        <is>
          <t>ecso-2025-nis2-implementation</t>
        </is>
      </c>
      <c r="G357" s="7" t="inlineStr">
        <is>
          <t>European Cyber Security Organisation (ECSO), Working Group Cyber Threat Management (2025), White Paper: NIS2 Implementation: Challenges and Priorities, ECSO White Paper, January 2025</t>
        </is>
      </c>
      <c r="H357" s="7" t="n">
        <v>2025</v>
      </c>
      <c r="I357" s="7" t="inlineStr">
        <is>
          <t>survey report</t>
        </is>
      </c>
      <c r="J357" s="7" t="inlineStr">
        <is>
          <t>survey of 155 cybersecurity practitioners (mostly CISOs) in 23 countries, transposition comparison and sector case studies</t>
        </is>
      </c>
      <c r="K357" s="7" t="inlineStr">
        <is>
          <t>budget allocation, management engagement, implementation challenges</t>
        </is>
      </c>
      <c r="L357" s="7" t="inlineStr">
        <is>
          <t>descriptive</t>
        </is>
      </c>
      <c r="M357" s="7" t="inlineStr">
        <is>
          <t>Only about 28% of surveyed organisations had allocated dedicated budget for NIS2 implementation and 34% reported no management involvement.</t>
        </is>
      </c>
      <c r="N357" s="7" t="inlineStr">
        <is>
          <t>A survey of cybersecurity managers found most firms had not set aside money for NIS2 and a third had no board involvement yet.</t>
        </is>
      </c>
      <c r="O357" s="7" t="inlineStr">
        <is>
          <t>EU/Europe, late 2024</t>
        </is>
      </c>
      <c r="P357" s="7" t="inlineStr">
        <is>
          <t>Convenience sample of 155 respondents, mostly large firms; the paper gives both ~75% and 72% for 'no dedicated budget'.</t>
        </is>
      </c>
      <c r="Q357" s="7" t="inlineStr">
        <is>
          <t>Cybersecurity industry association (members sell compliance products/services)</t>
        </is>
      </c>
      <c r="R357" s="7" t="inlineStr">
        <is>
          <t>open</t>
        </is>
      </c>
      <c r="S357" s="7" t="inlineStr">
        <is>
          <t>full text read</t>
        </is>
      </c>
      <c r="T357" s="7" t="inlineStr">
        <is>
          <t>2026-10-10</t>
        </is>
      </c>
      <c r="U357" s="7" t="inlineStr">
        <is>
          <t>https://ecs-org.eu/publications/white-paper-nis2-implementation-challenges-and-priorities/</t>
        </is>
      </c>
      <c r="V357" s="7" t="inlineStr">
        <is>
          <t>https://ecs-org.eu/wp-content/uploads/2025/01/WG3-White-Paper-NIS2-FINAL-VERSION-2.pdf</t>
        </is>
      </c>
      <c r="W357" s="7" t="inlineStr"/>
    </row>
    <row r="358">
      <c r="A358" s="7" t="n">
        <v>61</v>
      </c>
      <c r="B358" s="7" t="inlineStr">
        <is>
          <t>NIS 2 Directive</t>
        </is>
      </c>
      <c r="C358" s="7" t="inlineStr">
        <is>
          <t>evidence</t>
        </is>
      </c>
      <c r="D358" s="7" t="inlineStr">
        <is>
          <t>consultancy or industry</t>
        </is>
      </c>
      <c r="E358" s="7" t="inlineStr">
        <is>
          <t>2026-10 broadened search</t>
        </is>
      </c>
      <c r="F358" s="7" t="inlineStr">
        <is>
          <t>cybersmart-2026-nis2-survey</t>
        </is>
      </c>
      <c r="G358" s="7" t="inlineStr">
        <is>
          <t>CyberSmart (2026), The CyberSmart NIS2 Survey: Key findings on EU &amp; UK readiness, CyberSmart report, April 2026</t>
        </is>
      </c>
      <c r="H358" s="7" t="n">
        <v>2026</v>
      </c>
      <c r="I358" s="7" t="inlineStr">
        <is>
          <t>survey report</t>
        </is>
      </c>
      <c r="J358" s="7" t="inlineStr">
        <is>
          <t>survey of 670 business leaders of in-scope smaller firms (50-249 employees), MSPs and UK firms trading with the EU in 9 countries</t>
        </is>
      </c>
      <c r="K358" s="7" t="inlineStr">
        <is>
          <t>self-reported compliance, barriers, spending</t>
        </is>
      </c>
      <c r="L358" s="7" t="inlineStr">
        <is>
          <t>negative</t>
        </is>
      </c>
      <c r="M358" s="7" t="inlineStr">
        <is>
          <t>Just 16% (108 of 670) of in-scope respondents were confident their organisation is fully compliant with NIS2; budget constraints and lack of guidance were the main barriers.</t>
        </is>
      </c>
      <c r="N358" s="7" t="inlineStr">
        <is>
          <t>A survey of medium-sized firms found only about one in six think they fully meet NIS2 rules, mostly blaming cost and unclear guidance.</t>
        </is>
      </c>
      <c r="O358" s="7" t="inlineStr">
        <is>
          <t>UK, PL, NL, IE, FR, DE, IT, DK, BE; late 2025</t>
        </is>
      </c>
      <c r="P358" s="7" t="inlineStr">
        <is>
          <t>Vendor survey with self-reported compliance; sample frame not random; includes UK firms.</t>
        </is>
      </c>
      <c r="Q358" s="7" t="inlineStr">
        <is>
          <t>Cybersecurity compliance vendor targeting MSPs</t>
        </is>
      </c>
      <c r="R358" s="7" t="inlineStr">
        <is>
          <t>open</t>
        </is>
      </c>
      <c r="S358" s="7" t="inlineStr">
        <is>
          <t>full text read</t>
        </is>
      </c>
      <c r="T358" s="7" t="inlineStr">
        <is>
          <t>2026-10-10</t>
        </is>
      </c>
      <c r="U358" s="7" t="inlineStr">
        <is>
          <t>https://cybersmart.co.uk/nis2-research-2026/</t>
        </is>
      </c>
      <c r="V358" s="7" t="inlineStr">
        <is>
          <t>https://cybersmart.co.uk/wp-content/uploads/2026/04/NIS2-Survey.pdf</t>
        </is>
      </c>
      <c r="W358" s="7" t="inlineStr"/>
    </row>
    <row r="359">
      <c r="A359" s="7" t="n">
        <v>61</v>
      </c>
      <c r="B359" s="7" t="inlineStr">
        <is>
          <t>NIS 2 Directive</t>
        </is>
      </c>
      <c r="C359" s="7" t="inlineStr">
        <is>
          <t>evidence</t>
        </is>
      </c>
      <c r="D359" s="7" t="inlineStr">
        <is>
          <t>consultancy or industry</t>
        </is>
      </c>
      <c r="E359" s="7" t="inlineStr">
        <is>
          <t>2026-10 broadened search</t>
        </is>
      </c>
      <c r="F359" s="7" t="inlineStr">
        <is>
          <t>idc-2026-nis2-infobrief</t>
        </is>
      </c>
      <c r="G359" s="7" t="inlineStr">
        <is>
          <t>Mark Child, Ralf Helkenberg (IDC), sponsored by Microsoft (2026), Preparing for NIS2 and Beyond: The Next Phase of Cyber Resilience in EMEA, IDC InfoBrief #EUR154204026, January 2026</t>
        </is>
      </c>
      <c r="H359" s="7" t="n">
        <v>2026</v>
      </c>
      <c r="I359" s="7" t="inlineStr">
        <is>
          <t>survey report</t>
        </is>
      </c>
      <c r="J359" s="7" t="inlineStr">
        <is>
          <t>two-wave survey (2024 and 2025) of 2,000 organisations with maturity-tier segmentation</t>
        </is>
      </c>
      <c r="K359" s="7" t="inlineStr">
        <is>
          <t>NIS2 readiness, board engagement, budgets, guidance from authorities</t>
        </is>
      </c>
      <c r="L359" s="7" t="inlineStr">
        <is>
          <t>positive</t>
        </is>
      </c>
      <c r="M359" s="7" t="inlineStr">
        <is>
          <t>17.5% of organisations say they are already NIS2-compliant and a further 67.4% expect to be within 12 months; the share in the bottom two maturity tiers fell between 2024 and 2025, though over 1 in 5 still lack clear guidance from national authorities.</t>
        </is>
      </c>
      <c r="N359" s="7" t="inlineStr">
        <is>
          <t>A large repeated survey finds European organisations got noticeably better prepared for NIS2 between 2024 and 2025, but few are fully compliant yet.</t>
        </is>
      </c>
      <c r="O359" s="7" t="inlineStr">
        <is>
          <t>EMEA/EU countries, 2024-2025</t>
        </is>
      </c>
      <c r="P359" s="7" t="inlineStr">
        <is>
          <t>Repeated cross-section, self-reported; vendor-sponsored.</t>
        </is>
      </c>
      <c r="Q359" s="7" t="inlineStr">
        <is>
          <t>Sponsored by Microsoft (security vendor)</t>
        </is>
      </c>
      <c r="R359" s="7" t="inlineStr">
        <is>
          <t>open</t>
        </is>
      </c>
      <c r="S359" s="7" t="inlineStr">
        <is>
          <t>full text read</t>
        </is>
      </c>
      <c r="T359" s="7" t="inlineStr">
        <is>
          <t>2026-10-10</t>
        </is>
      </c>
      <c r="U359" s="7" t="inlineStr">
        <is>
          <t>https://info.microsoft.com/rs/157-GQE-382/images/EN-CNTNT-Whitepaper-NIS2andBeyond-SRGCM15862.pdf</t>
        </is>
      </c>
      <c r="V359" s="7" t="inlineStr">
        <is>
          <t>https://info.microsoft.com/rs/157-GQE-382/images/EN-CNTNT-Whitepaper-NIS2andBeyond-SRGCM15862.pdf</t>
        </is>
      </c>
      <c r="W359" s="7" t="inlineStr"/>
    </row>
    <row r="360">
      <c r="A360" s="7" t="n">
        <v>63</v>
      </c>
      <c r="B360" s="7" t="inlineStr">
        <is>
          <t>Roaming Regulation</t>
        </is>
      </c>
      <c r="C360" s="7" t="inlineStr">
        <is>
          <t>ex-ante assessment</t>
        </is>
      </c>
      <c r="D360" s="7" t="inlineStr">
        <is>
          <t>official</t>
        </is>
      </c>
      <c r="E360" s="7" t="inlineStr">
        <is>
          <t>initial review</t>
        </is>
      </c>
      <c r="F360" s="7" t="inlineStr">
        <is>
          <t>ec-2021-roaming-ia</t>
        </is>
      </c>
      <c r="G360" s="7" t="inlineStr">
        <is>
          <t>European Commission (2021), Impact Assessment accompanying the Roaming Regulation recast (executive summary SWD(2021) 27), SWD(2021) 28</t>
        </is>
      </c>
      <c r="H360" s="7" t="n">
        <v>2021</v>
      </c>
      <c r="I360" s="7" t="inlineStr">
        <is>
          <t>Commission impact assessment</t>
        </is>
      </c>
      <c r="J360" s="7" t="inlineStr">
        <is>
          <t>ex-ante (sustainability model)</t>
        </is>
      </c>
      <c r="K360" s="7" t="inlineStr">
        <is>
          <t>operator margins; surcharges; quality of service</t>
        </is>
      </c>
      <c r="L360" s="7" t="inlineStr">
        <is>
          <t>positive (forecast)</t>
        </is>
      </c>
      <c r="M360" s="7" t="inlineStr">
        <is>
          <t>Lower wholesale caps reduce unsustainable negative roaming margins by 42% (2023) and 52% (2025) vs baseline; users at risk of surcharges cut by more than 40%; compliance costs under 6 person-days per operator per year; about 170 million roaming customers</t>
        </is>
      </c>
      <c r="N360" s="7" t="inlineStr">
        <is>
          <t>The Commission expected lower wholesale caps to keep roaming at home prices sustainable for operators and to cut the number of people facing surcharges by over 40%.</t>
        </is>
      </c>
      <c r="O360" s="7" t="inlineStr">
        <is>
          <t>EU/EEA, forecast</t>
        </is>
      </c>
      <c r="P360" s="7" t="inlineStr">
        <is>
          <t>forecast</t>
        </is>
      </c>
      <c r="Q360" s="7" t="inlineStr"/>
      <c r="R360" s="7" t="inlineStr">
        <is>
          <t>open</t>
        </is>
      </c>
      <c r="S360" s="7" t="inlineStr">
        <is>
          <t>full text read</t>
        </is>
      </c>
      <c r="T360" s="7" t="inlineStr">
        <is>
          <t>2026-10-10</t>
        </is>
      </c>
      <c r="U360" s="7" t="inlineStr">
        <is>
          <t>https://eur-lex.europa.eu/legal-content/EN/TXT/?uri=CELEX:52021SC0027</t>
        </is>
      </c>
      <c r="V360" s="7" t="inlineStr"/>
      <c r="W360" s="7" t="inlineStr"/>
    </row>
    <row r="361">
      <c r="A361" s="7" t="n">
        <v>63</v>
      </c>
      <c r="B361" s="7" t="inlineStr">
        <is>
          <t>Roaming Regulation</t>
        </is>
      </c>
      <c r="C361" s="7" t="inlineStr">
        <is>
          <t>evidence</t>
        </is>
      </c>
      <c r="D361" s="7" t="inlineStr">
        <is>
          <t>official</t>
        </is>
      </c>
      <c r="E361" s="7" t="inlineStr">
        <is>
          <t>initial review</t>
        </is>
      </c>
      <c r="F361" s="7" t="inlineStr">
        <is>
          <t>ec-2019-roaming-review</t>
        </is>
      </c>
      <c r="G361" s="7" t="inlineStr">
        <is>
          <t>European Commission (2019), Report on the review of the roaming market, COM(2019) 616</t>
        </is>
      </c>
      <c r="H361" s="7" t="n">
        <v>2019</v>
      </c>
      <c r="I361" s="7" t="inlineStr">
        <is>
          <t>Commission review</t>
        </is>
      </c>
      <c r="J361" s="7" t="inlineStr">
        <is>
          <t>descriptive (BEREC data)</t>
        </is>
      </c>
      <c r="K361" s="7" t="inlineStr">
        <is>
          <t>roaming traffic</t>
        </is>
      </c>
      <c r="L361" s="7" t="inlineStr">
        <is>
          <t>positive</t>
        </is>
      </c>
      <c r="M361" s="7" t="inlineStr">
        <is>
          <t>Summer 2018 roaming data use 12 times and voice 3 times summer 2016 levels; average roaming data use 440 MB/month vs 60 MB</t>
        </is>
      </c>
      <c r="N361" s="7" t="inlineStr">
        <is>
          <t>Two years after roaming charges ended, people used 12 times more mobile data when travelling in the EU.</t>
        </is>
      </c>
      <c r="O361" s="7" t="inlineStr">
        <is>
          <t>EU/EEA, 2016-19</t>
        </is>
      </c>
      <c r="P361" s="7" t="inlineStr">
        <is>
          <t>descriptive</t>
        </is>
      </c>
      <c r="Q361" s="7" t="inlineStr"/>
      <c r="R361" s="7" t="inlineStr">
        <is>
          <t>open</t>
        </is>
      </c>
      <c r="S361" s="7" t="inlineStr">
        <is>
          <t>full text read</t>
        </is>
      </c>
      <c r="T361" s="7" t="inlineStr">
        <is>
          <t>2026-10-10</t>
        </is>
      </c>
      <c r="U361" s="7" t="inlineStr">
        <is>
          <t>https://eur-lex.europa.eu/legal-content/EN/TXT/?uri=CELEX:52019DC0616</t>
        </is>
      </c>
      <c r="V361" s="7" t="inlineStr"/>
      <c r="W361" s="7" t="inlineStr"/>
    </row>
    <row r="362">
      <c r="A362" s="7" t="n">
        <v>63</v>
      </c>
      <c r="B362" s="7" t="inlineStr">
        <is>
          <t>Roaming Regulation</t>
        </is>
      </c>
      <c r="C362" s="7" t="inlineStr">
        <is>
          <t>evidence</t>
        </is>
      </c>
      <c r="D362" s="7" t="inlineStr">
        <is>
          <t>official</t>
        </is>
      </c>
      <c r="E362" s="7" t="inlineStr">
        <is>
          <t>initial review</t>
        </is>
      </c>
      <c r="F362" s="7" t="inlineStr">
        <is>
          <t>ec-2025-roaming-review</t>
        </is>
      </c>
      <c r="G362" s="7" t="inlineStr">
        <is>
          <t>European Commission (2025), Report on the review of the roaming market, COM(2025) 324 (with SWD(2025) 164)</t>
        </is>
      </c>
      <c r="H362" s="7" t="n">
        <v>2025</v>
      </c>
      <c r="I362" s="7" t="inlineStr">
        <is>
          <t>Commission review</t>
        </is>
      </c>
      <c r="J362" s="7" t="inlineStr">
        <is>
          <t>descriptive (BEREC data, Eurobarometer, QoS measurement study)</t>
        </is>
      </c>
      <c r="K362" s="7" t="inlineStr">
        <is>
          <t>traffic; wholesale prices; domestic prices; quality of service</t>
        </is>
      </c>
      <c r="L362" s="7" t="inlineStr">
        <is>
          <t>positive (with QoS gaps)</t>
        </is>
      </c>
      <c r="M362" s="7" t="inlineStr">
        <is>
          <t>RLAH fit for purpose; data roaming up 48-fold (Q3) since 2017; wholesale data prices EUR 0.7/GB in Q3 2024 (-50% vs 2021); no MNO derogations since 2022; domestic ARPU stable 2019-24; but 76% of roamers get slower download speeds than at home</t>
        </is>
      </c>
      <c r="N362" s="7" t="inlineStr">
        <is>
          <t>The Commission found roaming at home prices working well, with no sign of higher domestic bills, but most travellers still get slower mobile internet abroad than at home.</t>
        </is>
      </c>
      <c r="O362" s="7" t="inlineStr">
        <is>
          <t>EU/EEA, 2017-24</t>
        </is>
      </c>
      <c r="P362" s="7" t="inlineStr">
        <is>
          <t>descriptive</t>
        </is>
      </c>
      <c r="Q362" s="7" t="inlineStr"/>
      <c r="R362" s="7" t="inlineStr">
        <is>
          <t>open</t>
        </is>
      </c>
      <c r="S362" s="7" t="inlineStr">
        <is>
          <t>full text read</t>
        </is>
      </c>
      <c r="T362" s="7" t="inlineStr">
        <is>
          <t>2026-10-10</t>
        </is>
      </c>
      <c r="U362" s="7" t="inlineStr">
        <is>
          <t>https://eur-lex.europa.eu/legal-content/EN/TXT/?uri=CELEX:52025DC0324</t>
        </is>
      </c>
      <c r="V362" s="7" t="inlineStr"/>
      <c r="W362" s="7" t="inlineStr">
        <is>
          <t>http://web.archive.org/web/20260727101405/https://eur-lex.europa.eu/legal-content/EN/TXT/?uri=CELEX:52025DC0324</t>
        </is>
      </c>
    </row>
    <row r="363">
      <c r="A363" s="7" t="n">
        <v>63</v>
      </c>
      <c r="B363" s="7" t="inlineStr">
        <is>
          <t>Roaming Regulation</t>
        </is>
      </c>
      <c r="C363" s="7" t="inlineStr">
        <is>
          <t>evidence</t>
        </is>
      </c>
      <c r="D363" s="7" t="inlineStr">
        <is>
          <t>academic</t>
        </is>
      </c>
      <c r="E363" s="7" t="inlineStr">
        <is>
          <t>initial review</t>
        </is>
      </c>
      <c r="F363" s="7" t="inlineStr">
        <is>
          <t>quinn-godinho-peukert-2024-rlah</t>
        </is>
      </c>
      <c r="G363" s="7" t="inlineStr">
        <is>
          <t>Quinn, Godinho de Matos &amp; Peukert (2024), The Welfare Effects of Mobile Internet Access: Evidence from Roam-Like-at-Home, The Economic Journal 134(659)</t>
        </is>
      </c>
      <c r="H363" s="7" t="n">
        <v>2024</v>
      </c>
      <c r="I363" s="7" t="inlineStr">
        <is>
          <t>peer-reviewed</t>
        </is>
      </c>
      <c r="J363" s="7" t="inlineStr">
        <is>
          <t>demand/welfare estimation on individual-level mobile consumption data around the June 2017 reform</t>
        </is>
      </c>
      <c r="K363" s="7" t="inlineStr">
        <is>
          <t>consumer surplus; mobile data use</t>
        </is>
      </c>
      <c r="L363" s="7" t="inlineStr">
        <is>
          <t>positive</t>
        </is>
      </c>
      <c r="M363" s="7" t="inlineStr">
        <is>
          <t>Consumer surplus rose by about EUR 2.44 per user per travel day; around 40% of gains from new users (lower deadweight loss); effects differ by usage intensity and business vs leisure travel</t>
        </is>
      </c>
      <c r="N363" s="7" t="inlineStr">
        <is>
          <t>Ending roaming charges was worth about EUR 2.44 per traveller per day to consumers, partly because many people started using mobile internet abroad for the first time.</t>
        </is>
      </c>
      <c r="O363" s="7" t="inlineStr">
        <is>
          <t>EEA travellers, around 2017</t>
        </is>
      </c>
      <c r="P363" s="7" t="inlineStr">
        <is>
          <t>quasi-experimental; individual-level data from operator records</t>
        </is>
      </c>
      <c r="Q363" s="7" t="inlineStr"/>
      <c r="R363" s="7" t="inlineStr">
        <is>
          <t>paywalled</t>
        </is>
      </c>
      <c r="S363" s="7" t="inlineStr">
        <is>
          <t>abstract read</t>
        </is>
      </c>
      <c r="T363" s="7" t="inlineStr">
        <is>
          <t>2026-10-10</t>
        </is>
      </c>
      <c r="U363" s="7" t="inlineStr">
        <is>
          <t>https://doi.org/10.1093/ej/uead101</t>
        </is>
      </c>
      <c r="V363" s="7" t="inlineStr">
        <is>
          <t>https://www.cesifo.org/DocDL/cesifo1_wp9612.pdf</t>
        </is>
      </c>
      <c r="W363" s="7" t="inlineStr"/>
    </row>
    <row r="364">
      <c r="A364" s="7" t="n">
        <v>63</v>
      </c>
      <c r="B364" s="7" t="inlineStr">
        <is>
          <t>Roaming Regulation</t>
        </is>
      </c>
      <c r="C364" s="7" t="inlineStr">
        <is>
          <t>evidence</t>
        </is>
      </c>
      <c r="D364" s="7" t="inlineStr">
        <is>
          <t>academic</t>
        </is>
      </c>
      <c r="E364" s="7" t="inlineStr">
        <is>
          <t>initial review</t>
        </is>
      </c>
      <c r="F364" s="7" t="inlineStr">
        <is>
          <t>canzian-et-al-2025-price-caps</t>
        </is>
      </c>
      <c r="G364" s="7" t="inlineStr">
        <is>
          <t>Canzian, Mazzarella, Ronchail, Verboven &amp; Verzillo (2025), Evaluating the impact of price caps - Evidence from the European roam-like-at-home regulation, International Journal of Industrial Organization 103 (earlier CEPR DP16554, CESifo WP 9303)</t>
        </is>
      </c>
      <c r="H364" s="7" t="n">
        <v>2025</v>
      </c>
      <c r="I364" s="7" t="inlineStr">
        <is>
          <t>peer-reviewed</t>
        </is>
      </c>
      <c r="J364" s="7" t="inlineStr">
        <is>
          <t>difference-in-differences (rest-of-world roaming as control) plus welfare analysis</t>
        </is>
      </c>
      <c r="K364" s="7" t="inlineStr">
        <is>
          <t>roaming traffic; revenues; consumer surplus; profits</t>
        </is>
      </c>
      <c r="L364" s="7" t="inlineStr">
        <is>
          <t>positive</t>
        </is>
      </c>
      <c r="M364" s="7" t="inlineStr">
        <is>
          <t>Large but uneven effects on retail and wholesale traffic and revenues; consumer surplus gains large, mainly from data, and bigger in small open economies and countries with previously high prices; total welfare rises as consumer gains outweigh profit losses</t>
        </is>
      </c>
      <c r="N364" s="7" t="inlineStr">
        <is>
          <t>A study by JRC and university economists found ending roaming charges raised total welfare: consumers' gains, especially on data, far outweighed operators' lost profits.</t>
        </is>
      </c>
      <c r="O364" s="7" t="inlineStr">
        <is>
          <t>EEA vs rest of world, around 2017</t>
        </is>
      </c>
      <c r="P364" s="7" t="inlineStr">
        <is>
          <t>causal (DiD)</t>
        </is>
      </c>
      <c r="Q364" s="7" t="inlineStr"/>
      <c r="R364" s="7" t="inlineStr">
        <is>
          <t>paywalled</t>
        </is>
      </c>
      <c r="S364" s="7" t="inlineStr">
        <is>
          <t>abstract read</t>
        </is>
      </c>
      <c r="T364" s="7" t="inlineStr">
        <is>
          <t>2026-10-10</t>
        </is>
      </c>
      <c r="U364" s="7" t="inlineStr">
        <is>
          <t>https://doi.org/10.1016/j.ijindorg.2024.103115</t>
        </is>
      </c>
      <c r="V364" s="7" t="inlineStr">
        <is>
          <t>https://www.cesifo.org/DocDL/cesifo1_wp9303.pdf</t>
        </is>
      </c>
      <c r="W364" s="7" t="inlineStr"/>
    </row>
    <row r="365">
      <c r="A365" s="7" t="n">
        <v>63</v>
      </c>
      <c r="B365" s="7" t="inlineStr">
        <is>
          <t>Roaming Regulation</t>
        </is>
      </c>
      <c r="C365" s="7" t="inlineStr">
        <is>
          <t>evidence</t>
        </is>
      </c>
      <c r="D365" s="7" t="inlineStr">
        <is>
          <t>academic</t>
        </is>
      </c>
      <c r="E365" s="7" t="inlineStr">
        <is>
          <t>initial review</t>
        </is>
      </c>
      <c r="F365" s="7" t="inlineStr">
        <is>
          <t>grzybowski-munoz-2023-roaming</t>
        </is>
      </c>
      <c r="G365" s="7" t="inlineStr">
        <is>
          <t>Grzybowski &amp; Muñoz-Acevedo (2023), Impact of roaming regulation on revenues and prices of mobile operators in the EU, International Journal of Industrial Organization 89</t>
        </is>
      </c>
      <c r="H365" s="7" t="n">
        <v>2023</v>
      </c>
      <c r="I365" s="7" t="inlineStr">
        <is>
          <t>peer-reviewed</t>
        </is>
      </c>
      <c r="J365" s="7" t="inlineStr">
        <is>
          <t>difference-in-differences and hedonic price regressions (operator and plan-level data)</t>
        </is>
      </c>
      <c r="K365" s="7" t="inlineStr">
        <is>
          <t>operator ARPU; domestic tariffs</t>
        </is>
      </c>
      <c r="L365" s="7" t="inlineStr">
        <is>
          <t>mixed</t>
        </is>
      </c>
      <c r="M365" s="7" t="inlineStr">
        <is>
          <t>Roaming regulation decreased mobile operators' revenues per user but had no impact on tariffs in the latest phase (no domestic waterbed)</t>
        </is>
      </c>
      <c r="N365" s="7" t="inlineStr">
        <is>
          <t>Roaming rules cut operators' revenue per customer but did not push up domestic mobile prices.</t>
        </is>
      </c>
      <c r="O365" s="7" t="inlineStr">
        <is>
          <t>EU, 2010s</t>
        </is>
      </c>
      <c r="P365" s="7" t="inlineStr">
        <is>
          <t>causal (DiD)</t>
        </is>
      </c>
      <c r="Q365" s="7" t="inlineStr"/>
      <c r="R365" s="7" t="inlineStr">
        <is>
          <t>paywalled</t>
        </is>
      </c>
      <c r="S365" s="7" t="inlineStr">
        <is>
          <t>abstract read</t>
        </is>
      </c>
      <c r="T365" s="7" t="inlineStr">
        <is>
          <t>2026-10-10</t>
        </is>
      </c>
      <c r="U365" s="7" t="inlineStr">
        <is>
          <t>https://doi.org/10.1016/j.ijindorg.2023.102927</t>
        </is>
      </c>
      <c r="V365" s="7" t="inlineStr">
        <is>
          <t>https://www.cesifo.org/DocDL/cesifo1_wp9235.pdf</t>
        </is>
      </c>
      <c r="W365" s="7" t="inlineStr"/>
    </row>
    <row r="366">
      <c r="A366" s="7" t="n">
        <v>63</v>
      </c>
      <c r="B366" s="7" t="inlineStr">
        <is>
          <t>Roaming Regulation</t>
        </is>
      </c>
      <c r="C366" s="7" t="inlineStr">
        <is>
          <t>evidence</t>
        </is>
      </c>
      <c r="D366" s="7" t="inlineStr">
        <is>
          <t>academic</t>
        </is>
      </c>
      <c r="E366" s="7" t="inlineStr">
        <is>
          <t>initial review</t>
        </is>
      </c>
      <c r="F366" s="7" t="inlineStr">
        <is>
          <t>boto-garcia-santana-2026-tourism</t>
        </is>
      </c>
      <c r="G366" s="7" t="inlineStr">
        <is>
          <t>Boto-García &amp; Santana-Gallego (2026), Roam Like at Home: The Effect of Zero-Roaming Charges on Tourism Flows, SSRN working paper</t>
        </is>
      </c>
      <c r="H366" s="7" t="n">
        <v>2026</v>
      </c>
      <c r="I366" s="7" t="inlineStr">
        <is>
          <t>working paper</t>
        </is>
      </c>
      <c r="J366" s="7" t="inlineStr">
        <is>
          <t>structural gravity model with difference-in-differences (world tourist arrivals 2012-2019) plus survey microdata</t>
        </is>
      </c>
      <c r="K366" s="7" t="inlineStr">
        <is>
          <t>tourism flows</t>
        </is>
      </c>
      <c r="L366" s="7" t="inlineStr">
        <is>
          <t>positive</t>
        </is>
      </c>
      <c r="M366" s="7" t="inlineStr">
        <is>
          <t>Abolishing roaming charges significantly increased intra-EEA tourism flows, especially from higher-income origins and between distant country pairs; survey evidence shows more trips and more mobile internet use abroad</t>
        </is>
      </c>
      <c r="N366" s="7" t="inlineStr">
        <is>
          <t>A new working paper finds that ending roaming charges led to more tourist trips within Europe.</t>
        </is>
      </c>
      <c r="O366" s="7" t="inlineStr">
        <is>
          <t>EEA vs world, 2012-19</t>
        </is>
      </c>
      <c r="P366" s="7" t="inlineStr">
        <is>
          <t>causal (DiD); not peer-reviewed</t>
        </is>
      </c>
      <c r="Q366" s="7" t="inlineStr"/>
      <c r="R366" s="7" t="inlineStr">
        <is>
          <t>open</t>
        </is>
      </c>
      <c r="S366" s="7" t="inlineStr">
        <is>
          <t>abstract read</t>
        </is>
      </c>
      <c r="T366" s="7" t="inlineStr">
        <is>
          <t>2026-10-10</t>
        </is>
      </c>
      <c r="U366" s="7" t="inlineStr">
        <is>
          <t>https://doi.org/10.2139/ssrn.7076621</t>
        </is>
      </c>
      <c r="V366" s="7" t="inlineStr"/>
      <c r="W366" s="7" t="inlineStr"/>
    </row>
    <row r="367">
      <c r="A367" s="7" t="n">
        <v>63</v>
      </c>
      <c r="B367" s="7" t="inlineStr">
        <is>
          <t>Roaming Regulation</t>
        </is>
      </c>
      <c r="C367" s="7" t="inlineStr">
        <is>
          <t>evidence</t>
        </is>
      </c>
      <c r="D367" s="7" t="inlineStr">
        <is>
          <t>official</t>
        </is>
      </c>
      <c r="E367" s="7" t="inlineStr">
        <is>
          <t>2026-10 broadened search</t>
        </is>
      </c>
      <c r="F367" s="7" t="inlineStr">
        <is>
          <t>berec-2026-roaming-benchmark32</t>
        </is>
      </c>
      <c r="G367" s="7" t="inlineStr">
        <is>
          <t>BEREC (2026), 32nd BEREC International Roaming Benchmark Data and Monitoring Report (BoR (26) 28), BEREC reports</t>
        </is>
      </c>
      <c r="H367" s="7" t="n">
        <v>2026</v>
      </c>
      <c r="I367" s="7" t="inlineStr">
        <is>
          <t>agency report</t>
        </is>
      </c>
      <c r="J367" s="7" t="inlineStr">
        <is>
          <t>descriptive statistics from mandatory operator data collection (Art. 21(2) Roaming Regulation) plus NRA/operator questionnaires on fair use, transparency and QoS</t>
        </is>
      </c>
      <c r="K367" s="7" t="inlineStr">
        <is>
          <t>retail and wholesale roaming prices, roaming volumes, fair-use policy and transparency compliance</t>
        </is>
      </c>
      <c r="L367" s="7" t="inlineStr">
        <is>
          <t>descriptive</t>
        </is>
      </c>
      <c r="M367" s="7" t="inlineStr">
        <is>
          <t>EEA average wholesale data roaming price fell from EUR 0.67/GB (Q4 2024) to EUR 0.57/GB (Q3 2025), staying below the regulated caps (EUR 1.30/GB in Q3 2025 per the report's table); 91% of roaming providers inform users of regulated and alternative tariffs.</t>
        </is>
      </c>
      <c r="N367" s="7" t="inlineStr">
        <is>
          <t>The EU telecoms regulators' body tracks what operators charge each other and customers for roaming. Wholesale prices for mobile data abroad kept falling and stayed well under the legal maximums, and most operators meet the transparency rules.</t>
        </is>
      </c>
      <c r="O367" s="7" t="inlineStr">
        <is>
          <t>EU/EEA, Q4 2020 to Q3 2025 (focus Q4 2024 to Q3 2025)</t>
        </is>
      </c>
      <c r="P367" s="7" t="inlineStr">
        <is>
          <t>Official monitoring data, broad coverage; descriptive only, no counterfactual; BEREC notes data gaps from some operators.</t>
        </is>
      </c>
      <c r="Q367" s="7" t="inlineStr"/>
      <c r="R367" s="7" t="inlineStr">
        <is>
          <t>open</t>
        </is>
      </c>
      <c r="S367" s="7" t="inlineStr">
        <is>
          <t>full text read</t>
        </is>
      </c>
      <c r="T367" s="7" t="inlineStr">
        <is>
          <t>2026-10-10</t>
        </is>
      </c>
      <c r="U367" s="7" t="inlineStr">
        <is>
          <t>https://www.berec.europa.eu/en/all-documents/berec/reports/32nd-berec-international-roaming-benchmark-data-and-monitoring-report</t>
        </is>
      </c>
      <c r="V367" s="7" t="inlineStr">
        <is>
          <t>https://www.berec.europa.eu/system/files/2026-03/BoR%20%2826%29%2028_32nd%20BEREC%20Report%20on%20IR%20BMK%20Data%20and%20TACR_.pdf</t>
        </is>
      </c>
      <c r="W367" s="7" t="inlineStr"/>
    </row>
    <row r="368">
      <c r="A368" s="7" t="n">
        <v>63</v>
      </c>
      <c r="B368" s="7" t="inlineStr">
        <is>
          <t>Roaming Regulation</t>
        </is>
      </c>
      <c r="C368" s="7" t="inlineStr">
        <is>
          <t>evidence</t>
        </is>
      </c>
      <c r="D368" s="7" t="inlineStr">
        <is>
          <t>official</t>
        </is>
      </c>
      <c r="E368" s="7" t="inlineStr">
        <is>
          <t>2026-10 broadened search</t>
        </is>
      </c>
      <c r="F368" s="7" t="inlineStr">
        <is>
          <t>ec-2018-eurobarometer-endofroaming</t>
        </is>
      </c>
      <c r="G368" s="7" t="inlineStr">
        <is>
          <t>European Commission (DG CNECT), Flash Eurobarometer (2018), Eurobarometer survey report on the end of roaming, Flash Eurobarometer / Shaping Europe's digital future library</t>
        </is>
      </c>
      <c r="H368" s="7" t="n">
        <v>2018</v>
      </c>
      <c r="I368" s="7" t="inlineStr">
        <is>
          <t>survey report</t>
        </is>
      </c>
      <c r="J368" s="7" t="inlineStr">
        <is>
          <t>telephone survey of about 26,000 respondents aged 15+ in all 28 Member States</t>
        </is>
      </c>
      <c r="K368" s="7" t="inlineStr">
        <is>
          <t>awareness of roam-like-at-home, perceived benefit, mobile use while travelling in the EU</t>
        </is>
      </c>
      <c r="L368" s="7" t="inlineStr">
        <is>
          <t>positive</t>
        </is>
      </c>
      <c r="M368" s="7" t="inlineStr">
        <is>
          <t>69% of respondents believed the end of roaming charges would benefit them personally or someone close to them; awareness rose with travel after 15 June 2017.</t>
        </is>
      </c>
      <c r="N368" s="7" t="inlineStr">
        <is>
          <t>A large EU-wide phone survey a year after roaming charges were abolished found most people knew about the change and expected to benefit from it.</t>
        </is>
      </c>
      <c r="O368" s="7" t="inlineStr">
        <is>
          <t>EU28, travel after 15 June 2017; published July 2018</t>
        </is>
      </c>
      <c r="P368" s="7" t="inlineStr">
        <is>
          <t>Concerns the 2017 roam-like-at-home rules that the 2022 recast extends (predecessor provision); perceptions survey, no counterfactual; only landing page read.</t>
        </is>
      </c>
      <c r="Q368" s="7" t="inlineStr">
        <is>
          <t>European Commission (DG CNECT) assessing its own policy</t>
        </is>
      </c>
      <c r="R368" s="7" t="inlineStr">
        <is>
          <t>open</t>
        </is>
      </c>
      <c r="S368" s="7" t="inlineStr">
        <is>
          <t>abstract read</t>
        </is>
      </c>
      <c r="T368" s="7" t="inlineStr">
        <is>
          <t>2026-10-10</t>
        </is>
      </c>
      <c r="U368" s="7" t="inlineStr">
        <is>
          <t>https://digital-strategy.ec.europa.eu/en/library/eurobarometer-survey-report-end-roaming</t>
        </is>
      </c>
      <c r="V368" s="7" t="inlineStr"/>
      <c r="W368" s="7" t="inlineStr"/>
    </row>
    <row r="369">
      <c r="A369" s="7" t="n">
        <v>69</v>
      </c>
      <c r="B369" s="7" t="inlineStr">
        <is>
          <t>Vertical Block Exemption Regulation</t>
        </is>
      </c>
      <c r="C369" s="7" t="inlineStr">
        <is>
          <t>evidence</t>
        </is>
      </c>
      <c r="D369" s="7" t="inlineStr">
        <is>
          <t>official</t>
        </is>
      </c>
      <c r="E369" s="7" t="inlineStr">
        <is>
          <t>initial review</t>
        </is>
      </c>
      <c r="F369" s="7" t="inlineStr">
        <is>
          <t>ec-2020-vber-evaluation</t>
        </is>
      </c>
      <c r="G369" s="7" t="inlineStr">
        <is>
          <t>European Commission (2020), Evaluation of the Vertical Block Exemption Regulation and Vertical Guidelines (Staff Working Document), SWD(2020) 172</t>
        </is>
      </c>
      <c r="H369" s="7" t="n">
        <v>2020</v>
      </c>
      <c r="I369" s="7" t="inlineStr">
        <is>
          <t>Commission evaluation</t>
        </is>
      </c>
      <c r="J369" s="7" t="inlineStr">
        <is>
          <t>ex-post evaluation (external study, public consultation, case studies)</t>
        </is>
      </c>
      <c r="K369" s="7" t="inlineStr">
        <is>
          <t>legal certainty; compliance costs; online sales</t>
        </is>
      </c>
      <c r="L369" s="7" t="inlineStr">
        <is>
          <t>mixed</t>
        </is>
      </c>
      <c r="M369" s="7" t="inlineStr">
        <is>
          <t>2010 VBER useful and still relevant but not adapted to growth of online sales and platforms; some definitions unclear; diverging national interpretation; costs could not be quantified robustly due to lack of data</t>
        </is>
      </c>
      <c r="N369" s="7" t="inlineStr">
        <is>
          <t>The Commission's review of the 2010 rules found them still useful but outdated for e-commerce and online platforms, and could not put numbers on their costs or benefits.</t>
        </is>
      </c>
      <c r="O369" s="7" t="inlineStr">
        <is>
          <t>EU, 2010-2019</t>
        </is>
      </c>
      <c r="P369" s="7" t="inlineStr">
        <is>
          <t>self-evaluation; mostly qualitative</t>
        </is>
      </c>
      <c r="Q369" s="7" t="inlineStr"/>
      <c r="R369" s="7" t="inlineStr">
        <is>
          <t>open</t>
        </is>
      </c>
      <c r="S369" s="7" t="inlineStr">
        <is>
          <t>full text read (conclusions)</t>
        </is>
      </c>
      <c r="T369" s="7" t="inlineStr">
        <is>
          <t>2026-10-10</t>
        </is>
      </c>
      <c r="U369" s="7" t="inlineStr">
        <is>
          <t>https://eur-lex.europa.eu/legal-content/EN/TXT/?uri=CELEX:52020SC0172</t>
        </is>
      </c>
      <c r="V369" s="7" t="inlineStr"/>
      <c r="W369" s="7" t="inlineStr">
        <is>
          <t>http://web.archive.org/web/20260417022317/https://eur-lex.europa.eu/legal-content/EN/TXT/?uri=CELEX:52020SC0172</t>
        </is>
      </c>
    </row>
    <row r="370">
      <c r="A370" s="7" t="n">
        <v>69</v>
      </c>
      <c r="B370" s="7" t="inlineStr">
        <is>
          <t>Vertical Block Exemption Regulation</t>
        </is>
      </c>
      <c r="C370" s="7" t="inlineStr">
        <is>
          <t>ex-ante assessment</t>
        </is>
      </c>
      <c r="D370" s="7" t="inlineStr">
        <is>
          <t>official</t>
        </is>
      </c>
      <c r="E370" s="7" t="inlineStr">
        <is>
          <t>initial review</t>
        </is>
      </c>
      <c r="F370" s="7" t="inlineStr">
        <is>
          <t>ec-2022-vber-ia</t>
        </is>
      </c>
      <c r="G370" s="7" t="inlineStr">
        <is>
          <t>European Commission (2022), Impact assessment report accompanying the revised Vertical Block Exemption Regulation and Vertical Guidelines, Commission staff working document (May 2022)</t>
        </is>
      </c>
      <c r="H370" s="7" t="n">
        <v>2022</v>
      </c>
      <c r="I370" s="7" t="inlineStr">
        <is>
          <t>Commission impact assessment</t>
        </is>
      </c>
      <c r="J370" s="7" t="inlineStr">
        <is>
          <t>ex-ante</t>
        </is>
      </c>
      <c r="K370" s="7" t="inlineStr">
        <is>
          <t>legal certainty; online sales; parity clauses; dual distribution</t>
        </is>
      </c>
      <c r="L370" s="7" t="inlineStr">
        <is>
          <t>positive (forecast)</t>
        </is>
      </c>
      <c r="M370" s="7" t="inlineStr">
        <is>
          <t>Published with the revised rules (VBER adopted 10 May 2022, in force 1 June 2022; Guidelines 30 June 2022); SWD reference not confirmed</t>
        </is>
      </c>
      <c r="N370" s="7" t="inlineStr">
        <is>
          <t>The Commission's assessment underpinned changes to how the competition rules treat online sales, platforms and price-parity clauses.</t>
        </is>
      </c>
      <c r="O370" s="7" t="inlineStr">
        <is>
          <t>EU</t>
        </is>
      </c>
      <c r="P370" s="7" t="inlineStr">
        <is>
          <t>forecast</t>
        </is>
      </c>
      <c r="Q370" s="7" t="inlineStr"/>
      <c r="R370" s="7" t="inlineStr">
        <is>
          <t>open</t>
        </is>
      </c>
      <c r="S370" s="7" t="inlineStr">
        <is>
          <t>page summary via search</t>
        </is>
      </c>
      <c r="T370" s="7" t="inlineStr">
        <is>
          <t>2026-10-10</t>
        </is>
      </c>
      <c r="U370" s="7" t="inlineStr">
        <is>
          <t>https://competition-policy.ec.europa.eu/public-consultations/2018-vber_en</t>
        </is>
      </c>
      <c r="V370" s="7" t="inlineStr"/>
      <c r="W370" s="7" t="inlineStr">
        <is>
          <t>http://web.archive.org/web/20250419202236/https://competition-policy.ec.europa.eu/public-consultations/2018-vber_en</t>
        </is>
      </c>
    </row>
    <row r="371">
      <c r="A371" s="7" t="n">
        <v>69</v>
      </c>
      <c r="B371" s="7" t="inlineStr">
        <is>
          <t>Vertical Block Exemption Regulation</t>
        </is>
      </c>
      <c r="C371" s="7" t="inlineStr">
        <is>
          <t>evidence</t>
        </is>
      </c>
      <c r="D371" s="7" t="inlineStr">
        <is>
          <t>academic</t>
        </is>
      </c>
      <c r="E371" s="7" t="inlineStr">
        <is>
          <t>initial review</t>
        </is>
      </c>
      <c r="F371" s="7" t="inlineStr">
        <is>
          <t>hunold-et-al-2018</t>
        </is>
      </c>
      <c r="G371" s="7" t="inlineStr">
        <is>
          <t>Hunold, Kesler, Laitenberger &amp; Schlutter (2018), Evaluation of best price clauses in online hotel bookings, International Journal of Industrial Organization 61: 542-571</t>
        </is>
      </c>
      <c r="H371" s="7" t="n">
        <v>2018</v>
      </c>
      <c r="I371" s="7" t="inlineStr">
        <is>
          <t>peer-reviewed</t>
        </is>
      </c>
      <c r="J371" s="7" t="inlineStr">
        <is>
          <t>difference-in-differences (meta-search price data, ~30,000 hotels, several countries)</t>
        </is>
      </c>
      <c r="K371" s="7" t="inlineStr">
        <is>
          <t>availability; prices; channel competition</t>
        </is>
      </c>
      <c r="L371" s="7" t="inlineStr">
        <is>
          <t>positive (of banning parity clauses)</t>
        </is>
      </c>
      <c r="M371" s="7" t="inlineStr">
        <is>
          <t>After Booking.com's narrow parity clause was abolished in Germany, hotels offered rooms more often on Booking.com and more often promoted their direct channel; chain hotels' direct channel more often had the strictly lowest price</t>
        </is>
      </c>
      <c r="N371" s="7" t="inlineStr">
        <is>
          <t>A study of nearly 30,000 hotels found that when price-parity clauses were removed, hotels listed more rooms and more often undercut booking platforms on their own websites.</t>
        </is>
      </c>
      <c r="O371" s="7" t="inlineStr">
        <is>
          <t>Germany and other European countries, mid-2010s</t>
        </is>
      </c>
      <c r="P371" s="7" t="inlineStr">
        <is>
          <t>causal; predates 2022 VBER (background)</t>
        </is>
      </c>
      <c r="Q371" s="7" t="inlineStr"/>
      <c r="R371" s="7" t="inlineStr">
        <is>
          <t>paywalled</t>
        </is>
      </c>
      <c r="S371" s="7" t="inlineStr">
        <is>
          <t>abstract read</t>
        </is>
      </c>
      <c r="T371" s="7" t="inlineStr">
        <is>
          <t>2026-10-10</t>
        </is>
      </c>
      <c r="U371" s="7" t="inlineStr">
        <is>
          <t>https://doi.org/10.1016/j.ijindorg.2018.03.008</t>
        </is>
      </c>
      <c r="V371" s="7" t="inlineStr"/>
      <c r="W371" s="7" t="inlineStr"/>
    </row>
    <row r="372">
      <c r="A372" s="7" t="n">
        <v>69</v>
      </c>
      <c r="B372" s="7" t="inlineStr">
        <is>
          <t>Vertical Block Exemption Regulation</t>
        </is>
      </c>
      <c r="C372" s="7" t="inlineStr">
        <is>
          <t>evidence</t>
        </is>
      </c>
      <c r="D372" s="7" t="inlineStr">
        <is>
          <t>academic</t>
        </is>
      </c>
      <c r="E372" s="7" t="inlineStr">
        <is>
          <t>initial review</t>
        </is>
      </c>
      <c r="F372" s="7" t="inlineStr">
        <is>
          <t>mantovani-piga-reggiani-2021</t>
        </is>
      </c>
      <c r="G372" s="7" t="inlineStr">
        <is>
          <t>Mantovani, Piga &amp; Reggiani (2021), Online platform price parity clauses: Evidence from the EU Booking.com case, European Economic Review 131: 103625</t>
        </is>
      </c>
      <c r="H372" s="7" t="n">
        <v>2021</v>
      </c>
      <c r="I372" s="7" t="inlineStr">
        <is>
          <t>peer-reviewed</t>
        </is>
      </c>
      <c r="J372" s="7" t="inlineStr">
        <is>
          <t>difference-in-differences (posted Booking.com prices, France vs controls)</t>
        </is>
      </c>
      <c r="K372" s="7" t="inlineStr">
        <is>
          <t>prices</t>
        </is>
      </c>
      <c r="L372" s="7" t="inlineStr">
        <is>
          <t>mixed</t>
        </is>
      </c>
      <c r="M372" s="7" t="inlineStr">
        <is>
          <t>Removal of price parity clauses in France in 2015 led to significant price decreases in the short run but a more limited effect in the medium run; hotels with more complex structures cut prices more</t>
        </is>
      </c>
      <c r="N372" s="7" t="inlineStr">
        <is>
          <t>Hotel prices on Booking.com fell after France banned price-parity clauses, though the effect faded over time.</t>
        </is>
      </c>
      <c r="O372" s="7" t="inlineStr">
        <is>
          <t>France (2015 ban) vs comparison countries</t>
        </is>
      </c>
      <c r="P372" s="7" t="inlineStr">
        <is>
          <t>causal; predates 2022 VBER (background)</t>
        </is>
      </c>
      <c r="Q372" s="7" t="inlineStr"/>
      <c r="R372" s="7" t="inlineStr">
        <is>
          <t>paywalled</t>
        </is>
      </c>
      <c r="S372" s="7" t="inlineStr">
        <is>
          <t>page summary via search</t>
        </is>
      </c>
      <c r="T372" s="7" t="inlineStr">
        <is>
          <t>2026-10-10</t>
        </is>
      </c>
      <c r="U372" s="7" t="inlineStr">
        <is>
          <t>https://doi.org/10.1016/j.euroecorev.2020.103625</t>
        </is>
      </c>
      <c r="V372" s="7" t="inlineStr"/>
      <c r="W372" s="7" t="inlineStr"/>
    </row>
    <row r="373">
      <c r="A373" s="7" t="n">
        <v>69</v>
      </c>
      <c r="B373" s="7" t="inlineStr">
        <is>
          <t>Vertical Block Exemption Regulation</t>
        </is>
      </c>
      <c r="C373" s="7" t="inlineStr">
        <is>
          <t>evidence</t>
        </is>
      </c>
      <c r="D373" s="7" t="inlineStr">
        <is>
          <t>academic</t>
        </is>
      </c>
      <c r="E373" s="7" t="inlineStr">
        <is>
          <t>2026-10 broadened search</t>
        </is>
      </c>
      <c r="F373" s="7" t="inlineStr">
        <is>
          <t>ennis-2023-parity-hotels</t>
        </is>
      </c>
      <c r="G373" s="7" t="inlineStr">
        <is>
          <t>Sean Ennis, Marc Ivaldi, Vicente Lagos (2023), Price parity clauses for hotel room booking: Empirical evidence from regulatory change, Journal of Law &amp; Economics 66(2): 309-331</t>
        </is>
      </c>
      <c r="H373" s="7" t="n">
        <v>2023</v>
      </c>
      <c r="I373" s="7" t="inlineStr">
        <is>
          <t>peer-reviewed article</t>
        </is>
      </c>
      <c r="J373" s="7" t="inlineStr">
        <is>
          <t>difference-in-differences on hotel chain transaction data, exploiting EU narrowing of OTA parity clauses and French/German full bans, with non-EU comparison</t>
        </is>
      </c>
      <c r="K373" s="7" t="inlineStr">
        <is>
          <t>direct vs OTA room prices by hotel segment</t>
        </is>
      </c>
      <c r="L373" s="7" t="inlineStr">
        <is>
          <t>positive</t>
        </is>
      </c>
      <c r="M373" s="7" t="inlineStr">
        <is>
          <t>Restricting parity clauses made direct-channel hotel sales significantly cheaper than OTA sales for mid-level and luxury hotels (opposite for budget hotels), mainly from the move to narrow parity.</t>
        </is>
      </c>
      <c r="N373" s="7" t="inlineStr">
        <is>
          <t>After competition authorities limited booking platforms' 'best price' clauses, rooms booked directly with mid-range and luxury hotels became cheaper relative to platform prices.</t>
        </is>
      </c>
      <c r="O373" s="7" t="inlineStr">
        <is>
          <t>2013-2017; EU (esp. France, Germany) vs non-EU</t>
        </is>
      </c>
      <c r="P373" s="7" t="inlineStr">
        <is>
          <t>Natural experiments with external control; concerns predecessor enforcement that VBER 2022 codified (wide parity excluded from block exemption)</t>
        </is>
      </c>
      <c r="Q373" s="7" t="inlineStr"/>
      <c r="R373" s="7" t="inlineStr">
        <is>
          <t>paywalled</t>
        </is>
      </c>
      <c r="S373" s="7" t="inlineStr">
        <is>
          <t>abstract read</t>
        </is>
      </c>
      <c r="T373" s="7" t="inlineStr">
        <is>
          <t>2026-10-10</t>
        </is>
      </c>
      <c r="U373" s="7" t="inlineStr">
        <is>
          <t>https://ueaeprints.uea.ac.uk/id/eprint/91510</t>
        </is>
      </c>
      <c r="V373" s="7" t="inlineStr"/>
      <c r="W373" s="7" t="inlineStr"/>
    </row>
    <row r="374">
      <c r="A374" s="7" t="n">
        <v>69</v>
      </c>
      <c r="B374" s="7" t="inlineStr">
        <is>
          <t>Vertical Block Exemption Regulation</t>
        </is>
      </c>
      <c r="C374" s="7" t="inlineStr">
        <is>
          <t>evidence</t>
        </is>
      </c>
      <c r="D374" s="7" t="inlineStr">
        <is>
          <t>academic</t>
        </is>
      </c>
      <c r="E374" s="7" t="inlineStr">
        <is>
          <t>2026-10 broadened search</t>
        </is>
      </c>
      <c r="F374" s="7" t="inlineStr">
        <is>
          <t>klopack-2016-parity-hotels</t>
        </is>
      </c>
      <c r="G374" s="7" t="inlineStr">
        <is>
          <t>Ben Klopack, Nicola Pierri (2016), Vertical contracting and price parity agreements: evidence from hotels in Europe, Stanford University working paper</t>
        </is>
      </c>
      <c r="H374" s="7" t="n">
        <v>2016</v>
      </c>
      <c r="I374" s="7" t="inlineStr">
        <is>
          <t>academic working paper</t>
        </is>
      </c>
      <c r="J374" s="7" t="inlineStr">
        <is>
          <t>difference-in-differences exploiting 2014 German ban and 2015 Sweden/Italy/France actions on OTA price parity clauses</t>
        </is>
      </c>
      <c r="K374" s="7" t="inlineStr">
        <is>
          <t>hotel prices</t>
        </is>
      </c>
      <c r="L374" s="7" t="inlineStr">
        <is>
          <t>positive</t>
        </is>
      </c>
      <c r="M374" s="7" t="inlineStr">
        <is>
          <t>Regulatory actions against price parity clauses were associated with hotel price decreases of 9-15%, largest for lower-quality hotels.</t>
        </is>
      </c>
      <c r="N374" s="7" t="inlineStr">
        <is>
          <t>Hotel prices fell by roughly a tenth in countries where authorities stopped booking platforms from imposing 'best price' clauses.</t>
        </is>
      </c>
      <c r="O374" s="7" t="inlineStr">
        <is>
          <t>2014-2015; Germany, Sweden, Italy, France</t>
        </is>
      </c>
      <c r="P374" s="7" t="inlineStr">
        <is>
          <t>DiD on predecessor national interventions (not VBER 2022 itself); unpublished student working paper</t>
        </is>
      </c>
      <c r="Q374" s="7" t="inlineStr"/>
      <c r="R374" s="7" t="inlineStr">
        <is>
          <t>open</t>
        </is>
      </c>
      <c r="S374" s="7" t="inlineStr">
        <is>
          <t>abstract read</t>
        </is>
      </c>
      <c r="T374" s="7" t="inlineStr">
        <is>
          <t>2026-10-10</t>
        </is>
      </c>
      <c r="U374" s="7" t="inlineStr">
        <is>
          <t>https://web.stanford.edu/~bklopack/Vertical_Contracting_and_Price_Parity_Agreements.pdf</t>
        </is>
      </c>
      <c r="V374" s="7" t="inlineStr">
        <is>
          <t>https://web.stanford.edu/~bklopack/Vertical_Contracting_and_Price_Parity_Agreements.pdf</t>
        </is>
      </c>
      <c r="W374" s="7" t="inlineStr"/>
    </row>
    <row r="375">
      <c r="A375" s="7" t="n">
        <v>69</v>
      </c>
      <c r="B375" s="7" t="inlineStr">
        <is>
          <t>Vertical Block Exemption Regulation</t>
        </is>
      </c>
      <c r="C375" s="7" t="inlineStr">
        <is>
          <t>evidence</t>
        </is>
      </c>
      <c r="D375" s="7" t="inlineStr">
        <is>
          <t>official</t>
        </is>
      </c>
      <c r="E375" s="7" t="inlineStr">
        <is>
          <t>2026-10 broadened search</t>
        </is>
      </c>
      <c r="F375" s="7" t="inlineStr">
        <is>
          <t>ecn-2017-hotel-monitoring</t>
        </is>
      </c>
      <c r="G375" s="7" t="inlineStr">
        <is>
          <t>European Competition Network (Commission and 10 national competition authorities) (2017), Report on the monitoring exercise carried out in the online hotel booking sector by EU competition authorities in 2016, European Commission / ECN, April 2017 (press release by Autorité de la concurrence)</t>
        </is>
      </c>
      <c r="H375" s="7" t="n">
        <v>2017</v>
      </c>
      <c r="I375" s="7" t="inlineStr">
        <is>
          <t>agency report</t>
        </is>
      </c>
      <c r="J375" s="7" t="inlineStr">
        <is>
          <t>before/after comparison of OTA price differentiation plus survey of hotels in 10 Member States</t>
        </is>
      </c>
      <c r="K375" s="7" t="inlineStr">
        <is>
          <t>price differentiation across OTAs, hotel awareness of parity changes</t>
        </is>
      </c>
      <c r="L375" s="7" t="inlineStr">
        <is>
          <t>positive</t>
        </is>
      </c>
      <c r="M375" s="7" t="inlineStr">
        <is>
          <t>Moving from wide to narrow parity clauses led to increased price differentiation between OTAs in most countries; almost half of surveyed hotels were unaware of the changes (30% in France and Germany).</t>
        </is>
      </c>
      <c r="N375" s="7" t="inlineStr">
        <is>
          <t>Competition authorities found that after booking platforms dropped their broadest 'best price' clauses, hotels started charging different prices on different platforms, though many hotels did not know they could.</t>
        </is>
      </c>
      <c r="O375" s="7" t="inlineStr">
        <is>
          <t>2015-2016; 10 EU Member States</t>
        </is>
      </c>
      <c r="P375" s="7" t="inlineStr">
        <is>
          <t>Descriptive monitoring of predecessor enforcement; authorities evaluating own remedies</t>
        </is>
      </c>
      <c r="Q375" s="7" t="inlineStr">
        <is>
          <t>Competition authorities evaluating their own remedies</t>
        </is>
      </c>
      <c r="R375" s="7" t="inlineStr">
        <is>
          <t>open</t>
        </is>
      </c>
      <c r="S375" s="7" t="inlineStr">
        <is>
          <t>abstract read</t>
        </is>
      </c>
      <c r="T375" s="7" t="inlineStr">
        <is>
          <t>2026-10-10</t>
        </is>
      </c>
      <c r="U375" s="7" t="inlineStr">
        <is>
          <t>https://www.autoritedelaconcurrence.fr/en/communiques-de-presse/6-april-2017-online-hotel-booking-platforms</t>
        </is>
      </c>
      <c r="V375" s="7" t="inlineStr"/>
      <c r="W375" s="7" t="inlineStr"/>
    </row>
    <row r="376">
      <c r="A376" s="7" t="n">
        <v>69</v>
      </c>
      <c r="B376" s="7" t="inlineStr">
        <is>
          <t>Vertical Block Exemption Regulation</t>
        </is>
      </c>
      <c r="C376" s="7" t="inlineStr">
        <is>
          <t>evidence</t>
        </is>
      </c>
      <c r="D376" s="7" t="inlineStr">
        <is>
          <t>academic</t>
        </is>
      </c>
      <c r="E376" s="7" t="inlineStr">
        <is>
          <t>2026-10 broadened search</t>
        </is>
      </c>
      <c r="F376" s="7" t="inlineStr">
        <is>
          <t>ma-2022-price-parity-ban-hotels</t>
        </is>
      </c>
      <c r="G376" s="7" t="inlineStr">
        <is>
          <t>Peiyao Ma, Andrea Mantovani, Carlo Reggiani, Annette Broocks, Néstor Duch-Brown (2022), The Price Effects of Banning Price Parity Clauses in the EU: Evidence from International Hotel Groups, TSE Working Paper 1371 (Toulouse School of Economics)</t>
        </is>
      </c>
      <c r="H376" s="7" t="n">
        <v>2022</v>
      </c>
      <c r="I376" s="7" t="inlineStr">
        <is>
          <t>academic working paper</t>
        </is>
      </c>
      <c r="J376" s="7" t="inlineStr">
        <is>
          <t>quasi-experimental difference-in-differences on hotel room prices of three international hotel groups around the 2015 French ban (validated with Germany 2016 and Austria 2017 bans)</t>
        </is>
      </c>
      <c r="K376" s="7" t="inlineStr">
        <is>
          <t>hotel room prices</t>
        </is>
      </c>
      <c r="L376" s="7" t="inlineStr">
        <is>
          <t>no effect</t>
        </is>
      </c>
      <c r="M376" s="7" t="inlineStr">
        <is>
          <t>The full removal of price parity clauses in France in 2015 had a limited and non-significant effect on room prices, with similar results for Germany and Austria.</t>
        </is>
      </c>
      <c r="N376" s="7" t="inlineStr">
        <is>
          <t>Banning the contract terms that stopped hotels offering cheaper rooms outside booking platforms did not noticeably lower the prices consumers paid.</t>
        </is>
      </c>
      <c r="O376" s="7" t="inlineStr">
        <is>
          <t>France, Germany, Austria; around 2015-2017</t>
        </is>
      </c>
      <c r="P376" s="7" t="inlineStr">
        <is>
          <t>Predecessor evidence: national parity bans before VBER 2022 (which removed wide parity clauses from the block exemption); credible DiD but limited to three hotel groups; co-authors at the Commission's JRC.</t>
        </is>
      </c>
      <c r="Q376" s="7" t="inlineStr"/>
      <c r="R376" s="7" t="inlineStr">
        <is>
          <t>open</t>
        </is>
      </c>
      <c r="S376" s="7" t="inlineStr">
        <is>
          <t>abstract read</t>
        </is>
      </c>
      <c r="T376" s="7" t="inlineStr">
        <is>
          <t>2026-10-10</t>
        </is>
      </c>
      <c r="U376" s="7" t="inlineStr">
        <is>
          <t>https://publications.ut-capitole.fr/id/eprint/46352/1/wp_tse_1371.pdf</t>
        </is>
      </c>
      <c r="V376" s="7" t="inlineStr">
        <is>
          <t>https://publications.ut-capitole.fr/id/eprint/46352/1/wp_tse_1371.pdf</t>
        </is>
      </c>
      <c r="W376" s="7" t="inlineStr"/>
    </row>
    <row r="377">
      <c r="A377" s="7" t="n">
        <v>55</v>
      </c>
      <c r="B377" s="7" t="inlineStr">
        <is>
          <t>DLT Pilot Regime Regulation</t>
        </is>
      </c>
      <c r="C377" s="7" t="inlineStr">
        <is>
          <t>ex-ante assessment</t>
        </is>
      </c>
      <c r="D377" s="7" t="inlineStr">
        <is>
          <t>official</t>
        </is>
      </c>
      <c r="E377" s="7" t="inlineStr">
        <is>
          <t>initial review</t>
        </is>
      </c>
      <c r="F377" s="7" t="inlineStr">
        <is>
          <t>ec-2020-crypto-dlt-ia</t>
        </is>
      </c>
      <c r="G377" s="7" t="inlineStr">
        <is>
          <t>European Commission (2020), Impact Assessment accompanying the proposals on markets in crypto-assets and on a pilot regime for DLT market infrastructures (executive summary SWD(2020) 202), SWD(2020) 201</t>
        </is>
      </c>
      <c r="H377" s="7" t="n">
        <v>2020</v>
      </c>
      <c r="I377" s="7" t="inlineStr">
        <is>
          <t>Commission impact assessment</t>
        </is>
      </c>
      <c r="J377" s="7" t="inlineStr">
        <is>
          <t>ex-ante (option comparison)</t>
        </is>
      </c>
      <c r="K377" s="7" t="inlineStr">
        <is>
          <t>security token trading and settlement; competition; supervisory costs</t>
        </is>
      </c>
      <c r="L377" s="7" t="inlineStr">
        <is>
          <t>positive (forecast)</t>
        </is>
      </c>
      <c r="M377" s="7" t="inlineStr">
        <is>
          <t>Pilot regime preferred for security tokens: enables new DLT-based infrastructures to compete with legacy ones in the medium to long term; small compliance costs for venues; NCA costs EUR 150,000-250,000 per year</t>
        </is>
      </c>
      <c r="N377" s="7" t="inlineStr">
        <is>
          <t>The Commission expected a three-year sandbox for blockchain-based trading and settlement to let new entrants compete with existing stock exchanges and depositories at little cost.</t>
        </is>
      </c>
      <c r="O377" s="7" t="inlineStr">
        <is>
          <t>EU, forecast</t>
        </is>
      </c>
      <c r="P377" s="7" t="inlineStr">
        <is>
          <t>forecast; qualitative</t>
        </is>
      </c>
      <c r="Q377" s="7" t="inlineStr"/>
      <c r="R377" s="7" t="inlineStr">
        <is>
          <t>open</t>
        </is>
      </c>
      <c r="S377" s="7" t="inlineStr">
        <is>
          <t>full text read (executive summary)</t>
        </is>
      </c>
      <c r="T377" s="7" t="inlineStr">
        <is>
          <t>2026-10-10</t>
        </is>
      </c>
      <c r="U377" s="7" t="inlineStr">
        <is>
          <t>https://eur-lex.europa.eu/legal-content/EN/TXT/?uri=CELEX:52020SC0202</t>
        </is>
      </c>
      <c r="V377" s="7" t="inlineStr"/>
      <c r="W377" s="7" t="inlineStr">
        <is>
          <t>http://web.archive.org/web/20260322014319/https://eur-lex.europa.eu/legal-content/EN/TXT/?uri=celex%3A52020SC0202</t>
        </is>
      </c>
    </row>
    <row r="378">
      <c r="A378" s="7" t="n">
        <v>55</v>
      </c>
      <c r="B378" s="7" t="inlineStr">
        <is>
          <t>DLT Pilot Regime Regulation</t>
        </is>
      </c>
      <c r="C378" s="7" t="inlineStr">
        <is>
          <t>evidence</t>
        </is>
      </c>
      <c r="D378" s="7" t="inlineStr">
        <is>
          <t>official</t>
        </is>
      </c>
      <c r="E378" s="7" t="inlineStr">
        <is>
          <t>initial review</t>
        </is>
      </c>
      <c r="F378" s="7" t="inlineStr">
        <is>
          <t>esma-2025-dlt-review</t>
        </is>
      </c>
      <c r="G378" s="7" t="inlineStr">
        <is>
          <t>European Securities and Markets Authority (2025), ESMA Report on the Functioning and Review of the DLT Pilot Regime pursuant to Article 14 of Regulation (EU) 2022/858, ESMA75-117376770-460, 25 June 2025</t>
        </is>
      </c>
      <c r="H378" s="7" t="n">
        <v>2025</v>
      </c>
      <c r="I378" s="7" t="inlineStr">
        <is>
          <t>EU agency report</t>
        </is>
      </c>
      <c r="J378" s="7" t="inlineStr">
        <is>
          <t>review report (supervisory data to 31 May 2025)</t>
        </is>
      </c>
      <c r="K378" s="7" t="inlineStr">
        <is>
          <t>uptake; activity; thresholds; interoperability</t>
        </is>
      </c>
      <c r="L378" s="7" t="inlineStr">
        <is>
          <t>mixed</t>
        </is>
      </c>
      <c r="M378" s="7" t="inlineStr">
        <is>
          <t>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is>
      </c>
      <c r="N378" s="7" t="inlineStr">
        <is>
          <t>The EU securities regulator found that after two years only three blockchain market infrastructures had been licensed and trading was minimal, and recommended loosening the size caps.</t>
        </is>
      </c>
      <c r="O378" s="7" t="inlineStr">
        <is>
          <t>EU, Mar 2023-May 2025</t>
        </is>
      </c>
      <c r="P378" s="7" t="inlineStr">
        <is>
          <t>descriptive; supervisory data</t>
        </is>
      </c>
      <c r="Q378" s="7" t="inlineStr"/>
      <c r="R378" s="7" t="inlineStr">
        <is>
          <t>open</t>
        </is>
      </c>
      <c r="S378" s="7" t="inlineStr">
        <is>
          <t>full text read (executive summary)</t>
        </is>
      </c>
      <c r="T378" s="7" t="inlineStr">
        <is>
          <t>2026-10-10</t>
        </is>
      </c>
      <c r="U378" s="7" t="inlineStr">
        <is>
          <t>https://www.consob.it/documents/d/asset-library-1912910/esma75-117376770-460</t>
        </is>
      </c>
      <c r="V378" s="7" t="inlineStr">
        <is>
          <t>https://www.consob.it/documents/d/asset-library-1912910/esma75-117376770-460</t>
        </is>
      </c>
      <c r="W378" s="7" t="inlineStr"/>
    </row>
    <row r="379">
      <c r="A379" s="7" t="n">
        <v>55</v>
      </c>
      <c r="B379" s="7" t="inlineStr">
        <is>
          <t>DLT Pilot Regime Regulation</t>
        </is>
      </c>
      <c r="C379" s="7" t="inlineStr">
        <is>
          <t>ex-ante assessment</t>
        </is>
      </c>
      <c r="D379" s="7" t="inlineStr">
        <is>
          <t>official</t>
        </is>
      </c>
      <c r="E379" s="7" t="inlineStr">
        <is>
          <t>initial review</t>
        </is>
      </c>
      <c r="F379" s="7" t="inlineStr">
        <is>
          <t>ec-2025-misp-dlt</t>
        </is>
      </c>
      <c r="G379" s="7" t="inlineStr">
        <is>
          <t>European Commission (2025), Market integration and supervision package: proposal amending Regulation (EU) 2022/858 and others, with impact assessment, SWD(2025) 943 (procedure 2025/0381 COD), 4 December 2025</t>
        </is>
      </c>
      <c r="H379" s="7" t="n">
        <v>2025</v>
      </c>
      <c r="I379" s="7" t="inlineStr">
        <is>
          <t>Commission impact assessment</t>
        </is>
      </c>
      <c r="J379" s="7" t="inlineStr">
        <is>
          <t>ex-ante (review of pilot regime)</t>
        </is>
      </c>
      <c r="K379" s="7" t="inlineStr">
        <is>
          <t>thresholds; scope; permanence</t>
        </is>
      </c>
      <c r="L379" s="7" t="inlineStr">
        <is>
          <t>positive (forecast)</t>
        </is>
      </c>
      <c r="M379" s="7" t="inlineStr">
        <is>
          <t>Proposes making the regime permanent, removing product-specific limits and raising the aggregate market value cap from EUR 6bn (EUR 9bn transition trigger) to EUR 100bn (EUR 150bn), with a simplified tier capped at EUR 10bn; Commission says current thresholds constrained the framework</t>
        </is>
      </c>
      <c r="N379" s="7" t="inlineStr">
        <is>
          <t>Responding to the low take-up, the Commission proposed in December 2025 to make the pilot permanent and raise its size cap from EUR 6bn to EUR 100bn.</t>
        </is>
      </c>
      <c r="O379" s="7" t="inlineStr">
        <is>
          <t>EU, forecast</t>
        </is>
      </c>
      <c r="P379" s="7" t="inlineStr">
        <is>
          <t>forecast</t>
        </is>
      </c>
      <c r="Q379" s="7" t="inlineStr"/>
      <c r="R379" s="7" t="inlineStr">
        <is>
          <t>open</t>
        </is>
      </c>
      <c r="S379" s="7" t="inlineStr">
        <is>
          <t>page summary via search (figures checked against a Council working paper quoting the proposal)</t>
        </is>
      </c>
      <c r="T379" s="7" t="inlineStr">
        <is>
          <t>2026-10-10</t>
        </is>
      </c>
      <c r="U379" s="7" t="inlineStr">
        <is>
          <t>https://eur-lex.europa.eu/legal-content/EN/TXT/?uri=CELEX:52025SC0943</t>
        </is>
      </c>
      <c r="V379" s="7" t="inlineStr"/>
      <c r="W379" s="7" t="inlineStr">
        <is>
          <t>http://web.archive.org/web/20260225043623/https://eur-lex.europa.eu/legal-content/EN/TXT/?uri=CELEX:52025SC0943</t>
        </is>
      </c>
    </row>
    <row r="380">
      <c r="A380" s="7" t="n">
        <v>58</v>
      </c>
      <c r="B380" s="7" t="inlineStr">
        <is>
          <t>Data Governance Act</t>
        </is>
      </c>
      <c r="C380" s="7" t="inlineStr">
        <is>
          <t>ex-ante assessment</t>
        </is>
      </c>
      <c r="D380" s="7" t="inlineStr">
        <is>
          <t>official</t>
        </is>
      </c>
      <c r="E380" s="7" t="inlineStr">
        <is>
          <t>initial review</t>
        </is>
      </c>
      <c r="F380" s="7" t="inlineStr">
        <is>
          <t>ec-2020-dga-ia</t>
        </is>
      </c>
      <c r="G380" s="7" t="inlineStr">
        <is>
          <t>European Commission (2020), Impact assessment report accompanying the Data Governance Act proposal (executive summary SWD(2020) 296), SWD(2020) 295</t>
        </is>
      </c>
      <c r="H380" s="7" t="n">
        <v>2020</v>
      </c>
      <c r="I380" s="7" t="inlineStr">
        <is>
          <t>Commission impact assessment</t>
        </is>
      </c>
      <c r="J380" s="7" t="inlineStr">
        <is>
          <t>ex-ante</t>
        </is>
      </c>
      <c r="K380" s="7" t="inlineStr">
        <is>
          <t>data economy value; compliance costs; public-sector savings</t>
        </is>
      </c>
      <c r="L380" s="7" t="inlineStr">
        <is>
          <t>positive (forecast)</t>
        </is>
      </c>
      <c r="M380" s="7" t="inlineStr">
        <is>
          <t>Preferred package worth EUR 7.2-10.9bn to the EU data economy in 2028; labelling cost EUR 20,000-50,000 per intermediary; public-sector set-up EUR 10.6m per Member State with efficiency savings of about EUR 684m a year</t>
        </is>
      </c>
      <c r="N380" s="7" t="inlineStr">
        <is>
          <t>The Commission expected the DGA to add EUR 7-11 billion to the EU data economy by 2028 by building trust in data sharing.</t>
        </is>
      </c>
      <c r="O380" s="7" t="inlineStr">
        <is>
          <t>EU, forecast</t>
        </is>
      </c>
      <c r="P380" s="7" t="inlineStr">
        <is>
          <t>forecast</t>
        </is>
      </c>
      <c r="Q380" s="7" t="inlineStr"/>
      <c r="R380" s="7" t="inlineStr">
        <is>
          <t>open</t>
        </is>
      </c>
      <c r="S380" s="7" t="inlineStr">
        <is>
          <t>full text read (executive summary)</t>
        </is>
      </c>
      <c r="T380" s="7" t="inlineStr">
        <is>
          <t>2026-10-10</t>
        </is>
      </c>
      <c r="U380" s="7" t="inlineStr">
        <is>
          <t>https://eur-lex.europa.eu/legal-content/EN/TXT/?uri=CELEX:52020SC0296</t>
        </is>
      </c>
      <c r="V380" s="7" t="inlineStr"/>
      <c r="W380" s="7" t="inlineStr">
        <is>
          <t>http://web.archive.org/web/20240613060225/https://eur-lex.europa.eu/legal-content/EN/TXT/?uri=celex%3A52020SC0296</t>
        </is>
      </c>
    </row>
    <row r="381">
      <c r="A381" s="7" t="n">
        <v>58</v>
      </c>
      <c r="B381" s="7" t="inlineStr">
        <is>
          <t>Data Governance Act</t>
        </is>
      </c>
      <c r="C381" s="7" t="inlineStr">
        <is>
          <t>evidence</t>
        </is>
      </c>
      <c r="D381" s="7" t="inlineStr">
        <is>
          <t>academic</t>
        </is>
      </c>
      <c r="E381" s="7" t="inlineStr">
        <is>
          <t>initial review</t>
        </is>
      </c>
      <c r="F381" s="7" t="inlineStr">
        <is>
          <t>vonditfurth-lienemann-2022</t>
        </is>
      </c>
      <c r="G381" s="7" t="inlineStr">
        <is>
          <t>von Ditfurth &amp; Lienemann (2022), The Data Governance Act: Promoting or Restricting Data Intermediaries?, Competition and Regulation in Network Industries 23(4)</t>
        </is>
      </c>
      <c r="H381" s="7" t="n">
        <v>2022</v>
      </c>
      <c r="I381" s="7" t="inlineStr">
        <is>
          <t>peer-reviewed</t>
        </is>
      </c>
      <c r="J381" s="7" t="inlineStr">
        <is>
          <t>legal, policy and competition-economics analysis (ex-ante)</t>
        </is>
      </c>
      <c r="K381" s="7" t="inlineStr">
        <is>
          <t>market entry; competition among intermediaries</t>
        </is>
      </c>
      <c r="L381" s="7" t="inlineStr">
        <is>
          <t>negative/mixed (expected)</t>
        </is>
      </c>
      <c r="M381" s="7" t="inlineStr">
        <is>
          <t>Examines the DGA's prior-notification regime and conditions on data intermediaries (Art. 10-15) and asks whether they promote or restrict trustworthy, competitive data sharing; highlights risks that the conditions restrict intermediaries' business models</t>
        </is>
      </c>
      <c r="N381" s="7" t="inlineStr">
        <is>
          <t>Researchers warn that the DGA's strict conditions on data intermediaries may hold back the very services it aims to encourage.</t>
        </is>
      </c>
      <c r="O381" s="7" t="inlineStr">
        <is>
          <t>EU</t>
        </is>
      </c>
      <c r="P381" s="7" t="inlineStr">
        <is>
          <t>conceptual</t>
        </is>
      </c>
      <c r="Q381" s="7" t="inlineStr"/>
      <c r="R381" s="7" t="inlineStr">
        <is>
          <t>paywalled</t>
        </is>
      </c>
      <c r="S381" s="7" t="inlineStr">
        <is>
          <t>abstract read</t>
        </is>
      </c>
      <c r="T381" s="7" t="inlineStr">
        <is>
          <t>2026-10-10</t>
        </is>
      </c>
      <c r="U381" s="7" t="inlineStr">
        <is>
          <t>https://doi.org/10.1177/17835917221141324</t>
        </is>
      </c>
      <c r="V381" s="7" t="inlineStr"/>
      <c r="W381" s="7" t="inlineStr"/>
    </row>
    <row r="382">
      <c r="A382" s="7" t="n">
        <v>58</v>
      </c>
      <c r="B382" s="7" t="inlineStr">
        <is>
          <t>Data Governance Act</t>
        </is>
      </c>
      <c r="C382" s="7" t="inlineStr">
        <is>
          <t>evidence</t>
        </is>
      </c>
      <c r="D382" s="7" t="inlineStr">
        <is>
          <t>academic</t>
        </is>
      </c>
      <c r="E382" s="7" t="inlineStr">
        <is>
          <t>initial review</t>
        </is>
      </c>
      <c r="F382" s="7" t="inlineStr">
        <is>
          <t>carovano-finck-2023</t>
        </is>
      </c>
      <c r="G382" s="7" t="inlineStr">
        <is>
          <t>Carovano &amp; Finck (2023), Regulating data intermediaries: The impact of the Data Governance Act on the EU's data economy, Computer Law &amp; Security Review 50: 105830</t>
        </is>
      </c>
      <c r="H382" s="7" t="n">
        <v>2023</v>
      </c>
      <c r="I382" s="7" t="inlineStr">
        <is>
          <t>peer-reviewed</t>
        </is>
      </c>
      <c r="J382" s="7" t="inlineStr">
        <is>
          <t>legal analysis (ex-ante)</t>
        </is>
      </c>
      <c r="K382" s="7" t="inlineStr">
        <is>
          <t>viability of intermediaries; legal coherence</t>
        </is>
      </c>
      <c r="L382" s="7" t="inlineStr">
        <is>
          <t>negative (expected)</t>
        </is>
      </c>
      <c r="M382" s="7" t="inlineStr">
        <is>
          <t>DGA rests on questionable assumptions, imposes requirements not all intermediaries can meet and entrenches a form of intermediation that may be economically non-viable; inconsistencies with GDPR, Data Act and DMA; may hinder its own objectives</t>
        </is>
      </c>
      <c r="N382" s="7" t="inlineStr">
        <is>
          <t>Legal scholars argue the DGA's design could make data intermediaries commercially unviable and clashes with other EU data laws.</t>
        </is>
      </c>
      <c r="O382" s="7" t="inlineStr">
        <is>
          <t>EU</t>
        </is>
      </c>
      <c r="P382" s="7" t="inlineStr">
        <is>
          <t>conceptual</t>
        </is>
      </c>
      <c r="Q382" s="7" t="inlineStr"/>
      <c r="R382" s="7" t="inlineStr">
        <is>
          <t>paywalled (SSRN version open)</t>
        </is>
      </c>
      <c r="S382" s="7" t="inlineStr">
        <is>
          <t>abstract read</t>
        </is>
      </c>
      <c r="T382" s="7" t="inlineStr">
        <is>
          <t>2026-10-10</t>
        </is>
      </c>
      <c r="U382" s="7" t="inlineStr">
        <is>
          <t>https://doi.org/10.1016/j.clsr.2023.105830</t>
        </is>
      </c>
      <c r="V382" s="7" t="inlineStr">
        <is>
          <t>https://ssrn.com/abstract=4422263</t>
        </is>
      </c>
      <c r="W382" s="7" t="inlineStr"/>
    </row>
    <row r="383">
      <c r="A383" s="7" t="n">
        <v>58</v>
      </c>
      <c r="B383" s="7" t="inlineStr">
        <is>
          <t>Data Governance Act</t>
        </is>
      </c>
      <c r="C383" s="7" t="inlineStr">
        <is>
          <t>enforcement or case law</t>
        </is>
      </c>
      <c r="D383" s="7" t="inlineStr">
        <is>
          <t>official</t>
        </is>
      </c>
      <c r="E383" s="7" t="inlineStr">
        <is>
          <t>initial review</t>
        </is>
      </c>
      <c r="F383" s="7" t="inlineStr">
        <is>
          <t>ec-2024-dga-infringements</t>
        </is>
      </c>
      <c r="G383" s="7" t="inlineStr">
        <is>
          <t>European Commission (2024), Commission calls on 10 Member States to comply with the Data Governance Act, Press release, 16 December 2024</t>
        </is>
      </c>
      <c r="H383" s="7" t="n">
        <v>2024</v>
      </c>
      <c r="I383" s="7" t="inlineStr">
        <is>
          <t>Commission enforcement record</t>
        </is>
      </c>
      <c r="J383" s="7" t="inlineStr">
        <is>
          <t>infringement procedure</t>
        </is>
      </c>
      <c r="K383" s="7" t="inlineStr">
        <is>
          <t>implementation</t>
        </is>
      </c>
      <c r="L383" s="7" t="inlineStr">
        <is>
          <t>negative (slow implementation)</t>
        </is>
      </c>
      <c r="M383" s="7" t="inlineStr">
        <is>
          <t>Reasoned opinions to Czechia, Germany, Estonia, Greece, Cyprus, Luxembourg, Austria, Poland, Portugal and Slovenia for not designating or empowering DGA authorities, following letters of formal notice in 2024</t>
        </is>
      </c>
      <c r="N383" s="7" t="inlineStr">
        <is>
          <t>Over a year after the DGA applied, ten countries still had not set up the authorities needed to run it.</t>
        </is>
      </c>
      <c r="O383" s="7" t="inlineStr">
        <is>
          <t>EU, 2024</t>
        </is>
      </c>
      <c r="P383" s="7" t="inlineStr">
        <is>
          <t>administrative record</t>
        </is>
      </c>
      <c r="Q383" s="7" t="inlineStr"/>
      <c r="R383" s="7" t="inlineStr">
        <is>
          <t>open</t>
        </is>
      </c>
      <c r="S383" s="7" t="inlineStr">
        <is>
          <t>full text read</t>
        </is>
      </c>
      <c r="T383" s="7" t="inlineStr">
        <is>
          <t>2026-10-10</t>
        </is>
      </c>
      <c r="U383" s="7" t="inlineStr">
        <is>
          <t>https://digital-strategy.ec.europa.eu/en/news/commission-calls-10-member-states-comply-data-governance-act</t>
        </is>
      </c>
      <c r="V383" s="7" t="inlineStr"/>
      <c r="W383" s="7" t="inlineStr"/>
    </row>
    <row r="384">
      <c r="A384" s="7" t="n">
        <v>58</v>
      </c>
      <c r="B384" s="7" t="inlineStr">
        <is>
          <t>Data Governance Act</t>
        </is>
      </c>
      <c r="C384" s="7" t="inlineStr">
        <is>
          <t>evidence</t>
        </is>
      </c>
      <c r="D384" s="7" t="inlineStr">
        <is>
          <t>official</t>
        </is>
      </c>
      <c r="E384" s="7" t="inlineStr">
        <is>
          <t>initial review</t>
        </is>
      </c>
      <c r="F384" s="7" t="inlineStr">
        <is>
          <t>ec-2026-dga-registers</t>
        </is>
      </c>
      <c r="G384" s="7" t="inlineStr">
        <is>
          <t>European Commission (2026), EU registers of data intermediation services and of recognised data altruism organisations, Shaping Europe's digital future (pages updated July-August 2026)</t>
        </is>
      </c>
      <c r="H384" s="7" t="n">
        <v>2026</v>
      </c>
      <c r="I384" s="7" t="inlineStr">
        <is>
          <t>official register</t>
        </is>
      </c>
      <c r="J384" s="7" t="inlineStr">
        <is>
          <t>count of notified entities</t>
        </is>
      </c>
      <c r="K384" s="7" t="inlineStr">
        <is>
          <t>uptake</t>
        </is>
      </c>
      <c r="L384" s="7" t="inlineStr">
        <is>
          <t>low uptake</t>
        </is>
      </c>
      <c r="M384" s="7" t="inlineStr">
        <is>
          <t>38 data intermediation services notified in 10 Member States; 7 recognised data altruism organisations in 4 Member States</t>
        </is>
      </c>
      <c r="N384" s="7" t="inlineStr">
        <is>
          <t>Nearly three years after the DGA applied, 38 data intermediaries and 7 data altruism organisations had registered EU-wide.</t>
        </is>
      </c>
      <c r="O384" s="7" t="inlineStr">
        <is>
          <t>EU, to August 2026</t>
        </is>
      </c>
      <c r="P384" s="7" t="inlineStr">
        <is>
          <t>count only; no data on volumes shared</t>
        </is>
      </c>
      <c r="Q384" s="7" t="inlineStr"/>
      <c r="R384" s="7" t="inlineStr">
        <is>
          <t>open</t>
        </is>
      </c>
      <c r="S384" s="7" t="inlineStr">
        <is>
          <t>full text read</t>
        </is>
      </c>
      <c r="T384" s="7" t="inlineStr">
        <is>
          <t>2026-10-10</t>
        </is>
      </c>
      <c r="U384" s="7" t="inlineStr">
        <is>
          <t>https://digital-strategy.ec.europa.eu/en/policies/data-intermediary-services</t>
        </is>
      </c>
      <c r="V384" s="7" t="inlineStr">
        <is>
          <t>https://digital-strategy.ec.europa.eu/en/policies/data-altruism-organisations</t>
        </is>
      </c>
      <c r="W384" s="7" t="inlineStr">
        <is>
          <t>http://web.archive.org/web/20261007005451/https://digital-strategy.ec.europa.eu/en/policies/data-intermediary-services</t>
        </is>
      </c>
    </row>
    <row r="385">
      <c r="A385" s="7" t="n">
        <v>58</v>
      </c>
      <c r="B385" s="7" t="inlineStr">
        <is>
          <t>Data Governance Act</t>
        </is>
      </c>
      <c r="C385" s="7" t="inlineStr">
        <is>
          <t>evidence</t>
        </is>
      </c>
      <c r="D385" s="7" t="inlineStr">
        <is>
          <t>official</t>
        </is>
      </c>
      <c r="E385" s="7" t="inlineStr">
        <is>
          <t>initial review</t>
        </is>
      </c>
      <c r="F385" s="7" t="inlineStr">
        <is>
          <t>ec-2025-digital-omnibus-dga</t>
        </is>
      </c>
      <c r="G385" s="7" t="inlineStr">
        <is>
          <t>European Commission (2025), Proposal for a Digital Omnibus Regulation (repealing Regulation (EU) 2022/868), COM(2025) 837</t>
        </is>
      </c>
      <c r="H385" s="7" t="n">
        <v>2025</v>
      </c>
      <c r="I385" s="7" t="inlineStr">
        <is>
          <t>Commission legislative proposal</t>
        </is>
      </c>
      <c r="J385" s="7" t="inlineStr">
        <is>
          <t>policy assessment (internal analysis, consultation)</t>
        </is>
      </c>
      <c r="K385" s="7" t="inlineStr">
        <is>
          <t>regulatory burden; uptake</t>
        </is>
      </c>
      <c r="L385" s="7" t="inlineStr">
        <is>
          <t>n/a</t>
        </is>
      </c>
      <c r="M385" s="7" t="inlineStr">
        <is>
          <t>Proposes repealing the DGA and moving streamlined rules on data intermediation and data altruism into the Data Act; mandatory notification for intermediaries becomes a voluntary label 'for this market to grow'; reporting duties for altruism organisations dropped</t>
        </is>
      </c>
      <c r="N385" s="7" t="inlineStr">
        <is>
          <t>In November 2025 the Commission proposed scrapping the DGA as a separate law and making its intermediary rules voluntary, implicitly acknowledging weak uptake.</t>
        </is>
      </c>
      <c r="O385" s="7" t="inlineStr">
        <is>
          <t>EU</t>
        </is>
      </c>
      <c r="P385" s="7" t="inlineStr">
        <is>
          <t>proposal; not an evaluation</t>
        </is>
      </c>
      <c r="Q385" s="7" t="inlineStr"/>
      <c r="R385" s="7" t="inlineStr">
        <is>
          <t>open</t>
        </is>
      </c>
      <c r="S385" s="7" t="inlineStr">
        <is>
          <t>full text partly read</t>
        </is>
      </c>
      <c r="T385" s="7" t="inlineStr">
        <is>
          <t>2026-10-10</t>
        </is>
      </c>
      <c r="U385" s="7" t="inlineStr">
        <is>
          <t>https://eur-lex.europa.eu/legal-content/EN/TXT/?uri=CELEX:52025PC0837</t>
        </is>
      </c>
      <c r="V385" s="7" t="inlineStr"/>
      <c r="W385" s="7" t="inlineStr"/>
    </row>
    <row r="386">
      <c r="A386" s="7" t="n">
        <v>58</v>
      </c>
      <c r="B386" s="7" t="inlineStr">
        <is>
          <t>Data Governance Act</t>
        </is>
      </c>
      <c r="C386" s="7" t="inlineStr">
        <is>
          <t>evidence</t>
        </is>
      </c>
      <c r="D386" s="7" t="inlineStr">
        <is>
          <t>consultancy or industry</t>
        </is>
      </c>
      <c r="E386" s="7" t="inlineStr">
        <is>
          <t>2026-10 broadened search</t>
        </is>
      </c>
      <c r="F386" s="7" t="inlineStr">
        <is>
          <t>gardner-2025-dgaevaluation</t>
        </is>
      </c>
      <c r="G386" s="7" t="inlineStr">
        <is>
          <t>Gardner, H., Enzerink, S., Page, M., Brincat, A. (Capgemini); Tenge, E., Velcsov, T., Macchioni, M.S. (Spark Legal and Policy Consulting); Lechardoy, L., Spolverato, G. (Open Evidence) (2025), Study supporting the evaluation of the Free Flow of Non-Personal Data Regulation, Open Data Directive and Data Governance Act - Final Report, European Commission, DG CONNECT (Publications Office, published 12 January 2026)</t>
        </is>
      </c>
      <c r="H386" s="7" t="n">
        <v>2025</v>
      </c>
      <c r="I386" s="7" t="inlineStr">
        <is>
          <t>Commission evaluation support study</t>
        </is>
      </c>
      <c r="J386" s="7" t="inlineStr">
        <is>
          <t>ex-post evaluation: register analysis of notified data intermediation providers and data altruism organisations, surveys of national competent authorities, interviews with 9 providers, stakeholder surveys and focus groups, legal analysis</t>
        </is>
      </c>
      <c r="K386" s="7" t="inlineStr">
        <is>
          <t>uptake of data intermediation and data altruism; national implementation; burdens</t>
        </is>
      </c>
      <c r="L386" s="7" t="inlineStr">
        <is>
          <t>negative</t>
        </is>
      </c>
      <c r="M386" s="7" t="inlineStr">
        <is>
          <t>The DGA is at a 'nascent stage': by October/November 2025 only 27 data intermediation providers had registered in seven Member States (vs 100-150 expected; none in about three quarters of Member States) and only three recognised data altruism organisations existed.</t>
        </is>
      </c>
      <c r="N386" s="7" t="inlineStr">
        <is>
          <t>The Commission's contracted evaluation finds that very few businesses or non-profits have signed up to the new trusted data-sharing schemes the act created. Delayed national implementation and unclear benefits of registering hold uptake back.</t>
        </is>
      </c>
      <c r="O386" s="7" t="inlineStr">
        <is>
          <t>2023-2025; EU27</t>
        </is>
      </c>
      <c r="P386" s="7" t="inlineStr">
        <is>
          <t>Official ex-post evaluation; descriptive counts and stakeholder evidence, no counterfactual; small provider sample</t>
        </is>
      </c>
      <c r="Q386" s="7" t="inlineStr">
        <is>
          <t>Commissioned and steered by the Commission (evaluating its own act)</t>
        </is>
      </c>
      <c r="R386" s="7" t="inlineStr">
        <is>
          <t>open</t>
        </is>
      </c>
      <c r="S386" s="7" t="inlineStr">
        <is>
          <t>full text read</t>
        </is>
      </c>
      <c r="T386" s="7" t="inlineStr">
        <is>
          <t>2026-10-10</t>
        </is>
      </c>
      <c r="U386" s="7" t="inlineStr">
        <is>
          <t>https://op.europa.eu/en/publication-detail/-/publication/3a2a3e8b-edd1-11f0-8d3c-01aa75ed71a1/language-en</t>
        </is>
      </c>
      <c r="V386" s="7" t="inlineStr"/>
      <c r="W386" s="7" t="inlineStr"/>
    </row>
    <row r="387">
      <c r="A387" s="7" t="n">
        <v>58</v>
      </c>
      <c r="B387" s="7" t="inlineStr">
        <is>
          <t>Data Governance Act</t>
        </is>
      </c>
      <c r="C387" s="7" t="inlineStr">
        <is>
          <t>evidence</t>
        </is>
      </c>
      <c r="D387" s="7" t="inlineStr">
        <is>
          <t>official</t>
        </is>
      </c>
      <c r="E387" s="7" t="inlineStr">
        <is>
          <t>2026-10 broadened search</t>
        </is>
      </c>
      <c r="F387" s="7" t="inlineStr">
        <is>
          <t>acm-2025-dga-position</t>
        </is>
      </c>
      <c r="G387" s="7" t="inlineStr">
        <is>
          <t>Authority for Consumers and Markets (ACM, Netherlands) (2025), Position paper DGA, ACM, contribution to the 2025 DGA evaluation</t>
        </is>
      </c>
      <c r="H387" s="7" t="n">
        <v>2025</v>
      </c>
      <c r="I387" s="7" t="inlineStr">
        <is>
          <t>agency report</t>
        </is>
      </c>
      <c r="J387" s="7" t="inlineStr">
        <is>
          <t>structured qualitative assessment from the national competent authority's supervisory experience</t>
        </is>
      </c>
      <c r="K387" s="7" t="inlineStr">
        <is>
          <t>workability of data intermediation rules; burden on providers; cooperation between authorities</t>
        </is>
      </c>
      <c r="L387" s="7" t="inlineStr">
        <is>
          <t>negative</t>
        </is>
      </c>
      <c r="M387" s="7" t="inlineStr">
        <is>
          <t>National supervisor finds the DGA's requirements for data intermediation services (Art. 12 a, b, e) 'prohibitively strict' for a mostly start-up, subsidy-dependent market and the provider definition too broad and unclear.</t>
        </is>
      </c>
      <c r="N387" s="7" t="inlineStr">
        <is>
          <t>The Dutch regulator that applies the Data Governance Act says its rules for data-sharing intermediaries are too strict and unclear for the small, young firms in this market.</t>
        </is>
      </c>
      <c r="O387" s="7" t="inlineStr">
        <is>
          <t>Netherlands/EU, 2023-2025</t>
        </is>
      </c>
      <c r="P387" s="7" t="inlineStr">
        <is>
          <t>Qualitative supervisory assessment; no counts of registrations or quantitative outcomes.</t>
        </is>
      </c>
      <c r="Q387" s="7" t="inlineStr"/>
      <c r="R387" s="7" t="inlineStr">
        <is>
          <t>open</t>
        </is>
      </c>
      <c r="S387" s="7" t="inlineStr">
        <is>
          <t>full text read</t>
        </is>
      </c>
      <c r="T387" s="7" t="inlineStr">
        <is>
          <t>2026-10-10</t>
        </is>
      </c>
      <c r="U387" s="7" t="inlineStr">
        <is>
          <t>https://www.acm.nl/system/files/documents/position-paper-dga.pdf</t>
        </is>
      </c>
      <c r="V387" s="7" t="inlineStr">
        <is>
          <t>https://www.acm.nl/system/files/documents/position-paper-dga.pdf</t>
        </is>
      </c>
      <c r="W387" s="7" t="inlineStr"/>
    </row>
    <row r="388">
      <c r="A388" s="7" t="n">
        <v>59</v>
      </c>
      <c r="B388" s="7" t="inlineStr">
        <is>
          <t>Digital Markets Act</t>
        </is>
      </c>
      <c r="C388" s="7" t="inlineStr">
        <is>
          <t>ex-ante assessment</t>
        </is>
      </c>
      <c r="D388" s="7" t="inlineStr">
        <is>
          <t>official</t>
        </is>
      </c>
      <c r="E388" s="7" t="inlineStr">
        <is>
          <t>initial review</t>
        </is>
      </c>
      <c r="F388" s="7" t="inlineStr">
        <is>
          <t>ec-2020-dma-ia</t>
        </is>
      </c>
      <c r="G388" s="7" t="inlineStr">
        <is>
          <t>European Commission (2020), Impact Assessment Report accompanying the DMA proposal, SWD(2020) 363; Executive summary SWD(2020) 364</t>
        </is>
      </c>
      <c r="H388" s="7" t="n">
        <v>2020</v>
      </c>
      <c r="I388" s="7" t="inlineStr">
        <is>
          <t>Commission impact assessment</t>
        </is>
      </c>
      <c r="J388" s="7" t="inlineStr">
        <is>
          <t>ex-ante assessment / modelling</t>
        </is>
      </c>
      <c r="K388" s="7" t="inlineStr">
        <is>
          <t>consumer welfare; compliance costs; SMEs</t>
        </is>
      </c>
      <c r="L388" s="7" t="inlineStr">
        <is>
          <t>positive (forecast)</t>
        </is>
      </c>
      <c r="M388" s="7" t="inlineStr">
        <is>
          <t>Consumer surplus +EUR 13bn/yr; compliance costs for gatekeepers not quantified; SMEs expected to benefit</t>
        </is>
      </c>
      <c r="N388" s="7" t="inlineStr">
        <is>
          <t>The Commission forecast that the DMA would raise consumer surplus by about EUR 13 billion a year, but did not estimate compliance costs for gatekeepers.</t>
        </is>
      </c>
      <c r="O388" s="7" t="inlineStr">
        <is>
          <t>EU, forecast</t>
        </is>
      </c>
      <c r="P388" s="7" t="inlineStr">
        <is>
          <t>forecast; no compliance-cost figure</t>
        </is>
      </c>
      <c r="Q388" s="7" t="inlineStr"/>
      <c r="R388" s="7" t="inlineStr">
        <is>
          <t>open</t>
        </is>
      </c>
      <c r="S388" s="7" t="inlineStr">
        <is>
          <t>full text read</t>
        </is>
      </c>
      <c r="T388" s="7" t="inlineStr">
        <is>
          <t>2026-10-10</t>
        </is>
      </c>
      <c r="U388" s="7" t="inlineStr">
        <is>
          <t>https://eur-lex.europa.eu/legal-content/EN/TXT/?uri=CELEX:52020SC0364</t>
        </is>
      </c>
      <c r="V388" s="7" t="inlineStr"/>
      <c r="W388" s="7" t="inlineStr">
        <is>
          <t>http://web.archive.org/web/20250615204207/https://eur-lex.europa.eu/legal-content/EN/TXT/?uri=CELEX:52020SC0364</t>
        </is>
      </c>
    </row>
    <row r="389">
      <c r="A389" s="7" t="n">
        <v>59</v>
      </c>
      <c r="B389" s="7" t="inlineStr">
        <is>
          <t>Digital Markets Act</t>
        </is>
      </c>
      <c r="C389" s="7" t="inlineStr">
        <is>
          <t>evidence</t>
        </is>
      </c>
      <c r="D389" s="7" t="inlineStr">
        <is>
          <t>official</t>
        </is>
      </c>
      <c r="E389" s="7" t="inlineStr">
        <is>
          <t>initial review</t>
        </is>
      </c>
      <c r="F389" s="7" t="inlineStr">
        <is>
          <t>ec-2026-dma-review</t>
        </is>
      </c>
      <c r="G389" s="7" t="inlineStr">
        <is>
          <t>European Commission (2026), Staff Working Document accompanying the Report on the Review of the DMA, SWD(2026) 123, 28 April 2026</t>
        </is>
      </c>
      <c r="H389" s="7" t="n">
        <v>2026</v>
      </c>
      <c r="I389" s="7" t="inlineStr">
        <is>
          <t>Commission evaluation</t>
        </is>
      </c>
      <c r="J389" s="7" t="inlineStr">
        <is>
          <t>qualitative review using compliance data, compliance reports and consultation</t>
        </is>
      </c>
      <c r="K389" s="7" t="inlineStr">
        <is>
          <t>conduct change; user choice; entry of alternative providers</t>
        </is>
      </c>
      <c r="L389" s="7" t="inlineStr">
        <is>
          <t>positive (early, qualitative)</t>
        </is>
      </c>
      <c r="M389" s="7" t="inlineStr">
        <is>
          <t>DMA 'has already created positive impacts' but 'has not yet achieved its full potential'; no legislative changes proposed; most impacts 'not yet fully observable'</t>
        </is>
      </c>
      <c r="N389" s="7" t="inlineStr">
        <is>
          <t>The Commission finds that the DMA has started to change how gatekeepers behave and to open their ecosystems, but says most effects cannot yet be measured and proposes no legislative changes.</t>
        </is>
      </c>
      <c r="O389" s="7" t="inlineStr">
        <is>
          <t>EU, 2023-2025</t>
        </is>
      </c>
      <c r="P389" s="7" t="inlineStr">
        <is>
          <t>self-evaluation; no quantified outcome indicators</t>
        </is>
      </c>
      <c r="Q389" s="7" t="inlineStr"/>
      <c r="R389" s="7" t="inlineStr">
        <is>
          <t>open</t>
        </is>
      </c>
      <c r="S389" s="7" t="inlineStr">
        <is>
          <t>full text read</t>
        </is>
      </c>
      <c r="T389" s="7" t="inlineStr">
        <is>
          <t>2026-10-10</t>
        </is>
      </c>
      <c r="U389" s="7" t="inlineStr">
        <is>
          <t>https://eur-lex.europa.eu/legal-content/EN/TXT/?uri=CELEX:52026SC0123</t>
        </is>
      </c>
      <c r="V389" s="7" t="inlineStr"/>
      <c r="W389" s="7" t="inlineStr">
        <is>
          <t>http://web.archive.org/web/20261002180620/https://eur-lex.europa.eu/legal-content/EN/TXT/?uri=celex%3A52026SC0123</t>
        </is>
      </c>
    </row>
    <row r="390">
      <c r="A390" s="7" t="n">
        <v>59</v>
      </c>
      <c r="B390" s="7" t="inlineStr">
        <is>
          <t>Digital Markets Act</t>
        </is>
      </c>
      <c r="C390" s="7" t="inlineStr">
        <is>
          <t>enforcement or case law</t>
        </is>
      </c>
      <c r="D390" s="7" t="inlineStr">
        <is>
          <t>official</t>
        </is>
      </c>
      <c r="E390" s="7" t="inlineStr">
        <is>
          <t>initial review</t>
        </is>
      </c>
      <c r="F390" s="7" t="inlineStr">
        <is>
          <t>ec-2025-apple-meta-fines</t>
        </is>
      </c>
      <c r="G390" s="7" t="inlineStr">
        <is>
          <t>European Commission (2025), press release: Commission finds Apple and Meta in breach of the DMA, 23 April 2025</t>
        </is>
      </c>
      <c r="H390" s="7" t="n">
        <v>2025</v>
      </c>
      <c r="I390" s="7" t="inlineStr">
        <is>
          <t>Commission enforcement</t>
        </is>
      </c>
      <c r="J390" s="7" t="inlineStr">
        <is>
          <t>enforcement record</t>
        </is>
      </c>
      <c r="K390" s="7" t="inlineStr">
        <is>
          <t>sanctions</t>
        </is>
      </c>
      <c r="L390" s="7" t="inlineStr">
        <is>
          <t>n/a</t>
        </is>
      </c>
      <c r="M390" s="7" t="inlineStr">
        <is>
          <t>Apple EUR 500m, Meta EUR 200m</t>
        </is>
      </c>
      <c r="N390" s="7" t="inlineStr">
        <is>
          <t>First DMA fines: EUR 500 million for Apple (anti-steering in the App Store) and EUR 200 million for Meta (pay-or-consent).</t>
        </is>
      </c>
      <c r="O390" s="7" t="inlineStr">
        <is>
          <t>EU</t>
        </is>
      </c>
      <c r="P390" s="7" t="inlineStr">
        <is>
          <t>primary source</t>
        </is>
      </c>
      <c r="Q390" s="7" t="inlineStr"/>
      <c r="R390" s="7" t="inlineStr">
        <is>
          <t>open</t>
        </is>
      </c>
      <c r="S390" s="7" t="inlineStr">
        <is>
          <t>page read</t>
        </is>
      </c>
      <c r="T390" s="7" t="inlineStr">
        <is>
          <t>2026-10-10</t>
        </is>
      </c>
      <c r="U390" s="7" t="inlineStr">
        <is>
          <t>https://digital-strategy.ec.europa.eu/en/news/commission-finds-apple-and-meta-breach-digital-markets-act</t>
        </is>
      </c>
      <c r="V390" s="7" t="inlineStr"/>
      <c r="W390" s="7" t="inlineStr">
        <is>
          <t>http://web.archive.org/web/20260928170608/https://digital-strategy.ec.europa.eu/en/news/commission-finds-apple-and-meta-breach-digital-markets-act</t>
        </is>
      </c>
    </row>
    <row r="391">
      <c r="A391" s="7" t="n">
        <v>59</v>
      </c>
      <c r="B391" s="7" t="inlineStr">
        <is>
          <t>Digital Markets Act</t>
        </is>
      </c>
      <c r="C391" s="7" t="inlineStr">
        <is>
          <t>enforcement or case law</t>
        </is>
      </c>
      <c r="D391" s="7" t="inlineStr">
        <is>
          <t>official</t>
        </is>
      </c>
      <c r="E391" s="7" t="inlineStr">
        <is>
          <t>initial review</t>
        </is>
      </c>
      <c r="F391" s="7" t="inlineStr">
        <is>
          <t>ec-2026-google-fines</t>
        </is>
      </c>
      <c r="G391" s="7" t="inlineStr">
        <is>
          <t>European Commission (2026), press release: Commission fines Google EUR 890 million for breaches of the DMA, 23 July 2026</t>
        </is>
      </c>
      <c r="H391" s="7" t="n">
        <v>2026</v>
      </c>
      <c r="I391" s="7" t="inlineStr">
        <is>
          <t>Commission enforcement</t>
        </is>
      </c>
      <c r="J391" s="7" t="inlineStr">
        <is>
          <t>enforcement record</t>
        </is>
      </c>
      <c r="K391" s="7" t="inlineStr">
        <is>
          <t>sanctions</t>
        </is>
      </c>
      <c r="L391" s="7" t="inlineStr">
        <is>
          <t>n/a</t>
        </is>
      </c>
      <c r="M391" s="7" t="inlineStr">
        <is>
          <t>EUR 460m (search self-preferencing, Art 6(5)) and EUR 430m (Google Play anti-steering, Art 5(4))</t>
        </is>
      </c>
      <c r="N391" s="7" t="inlineStr">
        <is>
          <t>Google fined EUR 460 million for favouring its own services in search results and EUR 430 million for restricting app developers from steering users to cheaper offers outside Google Play.</t>
        </is>
      </c>
      <c r="O391" s="7" t="inlineStr">
        <is>
          <t>EU</t>
        </is>
      </c>
      <c r="P391" s="7" t="inlineStr">
        <is>
          <t>primary source</t>
        </is>
      </c>
      <c r="Q391" s="7" t="inlineStr"/>
      <c r="R391" s="7" t="inlineStr">
        <is>
          <t>open</t>
        </is>
      </c>
      <c r="S391" s="7" t="inlineStr">
        <is>
          <t>page read</t>
        </is>
      </c>
      <c r="T391" s="7" t="inlineStr">
        <is>
          <t>2026-10-10</t>
        </is>
      </c>
      <c r="U391" s="7" t="inlineStr">
        <is>
          <t>https://digital-strategy.ec.europa.eu/en/news/commission-fines-google-eu890-million-breaches-digital-markets-act</t>
        </is>
      </c>
      <c r="V391" s="7" t="inlineStr"/>
      <c r="W391" s="7" t="inlineStr">
        <is>
          <t>http://web.archive.org/web/20260919064216/https://digital-strategy.ec.europa.eu/en/news/commission-fines-google-eu890-million-breaches-digital-markets-act</t>
        </is>
      </c>
    </row>
    <row r="392">
      <c r="A392" s="7" t="n">
        <v>59</v>
      </c>
      <c r="B392" s="7" t="inlineStr">
        <is>
          <t>Digital Markets Act</t>
        </is>
      </c>
      <c r="C392" s="7" t="inlineStr">
        <is>
          <t>evidence</t>
        </is>
      </c>
      <c r="D392" s="7" t="inlineStr">
        <is>
          <t>academic</t>
        </is>
      </c>
      <c r="E392" s="7" t="inlineStr">
        <is>
          <t>initial review</t>
        </is>
      </c>
      <c r="F392" s="7" t="inlineStr">
        <is>
          <t>akesson-2026-choice-screens</t>
        </is>
      </c>
      <c r="G392" s="7" t="inlineStr">
        <is>
          <t>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is>
      </c>
      <c r="H392" s="7" t="n">
        <v>2026</v>
      </c>
      <c r="I392" s="7" t="inlineStr">
        <is>
          <t>working paper</t>
        </is>
      </c>
      <c r="J392" s="7" t="inlineStr">
        <is>
          <t>causal: difference-in-differences</t>
        </is>
      </c>
      <c r="K392" s="7" t="inlineStr">
        <is>
          <t>user switching; market shares (browsers)</t>
        </is>
      </c>
      <c r="L392" s="7" t="inlineStr">
        <is>
          <t>positive (more switching away from defaults)</t>
        </is>
      </c>
      <c r="M392" s="7" t="inlineStr">
        <is>
          <t>From month 15, Firefox usage +91% on iOS and +13% on Android vs no-mandate counterfactual; Safari declined on iOS with gains concentrated in Chrome</t>
        </is>
      </c>
      <c r="N392" s="7" t="inlineStr">
        <is>
          <t>Browser choice screens required by the DMA substantially increased use of rival browsers: Firefox usage rose 91% on iPhones and 13% on Android compared with what would otherwise have happened.</t>
        </is>
      </c>
      <c r="O392" s="7" t="inlineStr">
        <is>
          <t>EU vs non-EU, 2024-2025</t>
        </is>
      </c>
      <c r="P392" s="7" t="inlineStr">
        <is>
          <t>strong design (difference-in-differences); not peer-reviewed; two authors are Mozilla employees and Mozilla provided the data (Firefox is an affected rival)</t>
        </is>
      </c>
      <c r="Q392" s="7" t="inlineStr">
        <is>
          <t>Two authors are Mozilla employees; Mozilla provided the data</t>
        </is>
      </c>
      <c r="R392" s="7" t="inlineStr">
        <is>
          <t>abstract only</t>
        </is>
      </c>
      <c r="S392" s="7" t="inlineStr">
        <is>
          <t>abstract read</t>
        </is>
      </c>
      <c r="T392" s="7" t="inlineStr">
        <is>
          <t>2026-10-10</t>
        </is>
      </c>
      <c r="U392" s="7" t="inlineStr">
        <is>
          <t>https://www.nber.org/papers/w35112</t>
        </is>
      </c>
      <c r="V392" s="7" t="inlineStr">
        <is>
          <t>https://www.nber.org/system/files/working_papers/w35112/w35112.pdf</t>
        </is>
      </c>
      <c r="W392" s="7" t="inlineStr">
        <is>
          <t>http://web.archive.org/web/20260920031758/https://www.nber.org/papers/w35112</t>
        </is>
      </c>
    </row>
    <row r="393">
      <c r="A393" s="7" t="n">
        <v>59</v>
      </c>
      <c r="B393" s="7" t="inlineStr">
        <is>
          <t>Digital Markets Act</t>
        </is>
      </c>
      <c r="C393" s="7" t="inlineStr">
        <is>
          <t>evidence</t>
        </is>
      </c>
      <c r="D393" s="7" t="inlineStr">
        <is>
          <t>academic</t>
        </is>
      </c>
      <c r="E393" s="7" t="inlineStr">
        <is>
          <t>initial review</t>
        </is>
      </c>
      <c r="F393" s="7" t="inlineStr">
        <is>
          <t>pape-rossi-2026-maps</t>
        </is>
      </c>
      <c r="G393" s="7" t="inlineStr">
        <is>
          <t>Pape, L. &amp; Rossi, M. (2026), research on the DMA's self-preferencing ban and Google Maps; summarised in ProMarket, 18 May 2026</t>
        </is>
      </c>
      <c r="H393" s="7" t="n">
        <v>2026</v>
      </c>
      <c r="I393" s="7" t="inlineStr">
        <is>
          <t>working paper (summary)</t>
        </is>
      </c>
      <c r="J393" s="7" t="inlineStr">
        <is>
          <t>causal: difference-in-differences (search volumes, web traffic)</t>
        </is>
      </c>
      <c r="K393" s="7" t="inlineStr">
        <is>
          <t>user switching; competition (map services)</t>
        </is>
      </c>
      <c r="L393" s="7" t="inlineStr">
        <is>
          <t>null for rivals; small negative for user experience</t>
        </is>
      </c>
      <c r="M393" s="7" t="inlineStr">
        <is>
          <t>Searches for 'google maps' +21% in EU vs non-EU; no robust gain for Bing Maps, Mappy, OpenStreetMap; total Google Maps desktop traffic unchanged; visit duration -5%, bounce rate +16%</t>
        </is>
      </c>
      <c r="N393" s="7" t="inlineStr">
        <is>
          <t>When Google removed the direct link to Google Maps from EU search results, users simply searched for "google maps" instead; rival map services gained no meaningful traffic.</t>
        </is>
      </c>
      <c r="O393" s="7" t="inlineStr">
        <is>
          <t>EU vs European non-EU, 2024</t>
        </is>
      </c>
      <c r="P393" s="7" t="inlineStr">
        <is>
          <t>strong design; one remedy only</t>
        </is>
      </c>
      <c r="Q393" s="7" t="inlineStr"/>
      <c r="R393" s="7" t="inlineStr">
        <is>
          <t>open (summary)</t>
        </is>
      </c>
      <c r="S393" s="7" t="inlineStr">
        <is>
          <t>summary article read</t>
        </is>
      </c>
      <c r="T393" s="7" t="inlineStr">
        <is>
          <t>2026-10-10</t>
        </is>
      </c>
      <c r="U393" s="7" t="inlineStr">
        <is>
          <t>https://www.promarket.org/2026/05/18/the-dmas-google-maps-experiment-shows-that-competition-is-not-one-click-away/</t>
        </is>
      </c>
      <c r="V393" s="7" t="inlineStr"/>
      <c r="W393" s="7" t="inlineStr"/>
    </row>
    <row r="394">
      <c r="A394" s="7" t="n">
        <v>59</v>
      </c>
      <c r="B394" s="7" t="inlineStr">
        <is>
          <t>Digital Markets Act</t>
        </is>
      </c>
      <c r="C394" s="7" t="inlineStr">
        <is>
          <t>evidence</t>
        </is>
      </c>
      <c r="D394" s="7" t="inlineStr">
        <is>
          <t>academic</t>
        </is>
      </c>
      <c r="E394" s="7" t="inlineStr">
        <is>
          <t>initial review</t>
        </is>
      </c>
      <c r="F394" s="7" t="inlineStr">
        <is>
          <t>yang-2025-entry-investment</t>
        </is>
      </c>
      <c r="G394" s="7" t="inlineStr">
        <is>
          <t>Yang, J. (2025), Unintended effects of Digital Market Act on new entry and investment, Digital Policy, Regulation and Governance, doi:10.1108/DPRG-03-2025-0080</t>
        </is>
      </c>
      <c r="H394" s="7" t="n">
        <v>2025</v>
      </c>
      <c r="I394" s="7" t="inlineStr">
        <is>
          <t>peer-reviewed</t>
        </is>
      </c>
      <c r="J394" s="7" t="inlineStr">
        <is>
          <t>causal: difference-in-differences (1,034 start-up and investment records, 27 EU countries, 2020-2024)</t>
        </is>
      </c>
      <c r="K394" s="7" t="inlineStr">
        <is>
          <t>firm entry; venture investment</t>
        </is>
      </c>
      <c r="L394" s="7" t="inlineStr">
        <is>
          <t>negative</t>
        </is>
      </c>
      <c r="M394" s="7" t="inlineStr">
        <is>
          <t>DMA negatively affected new entry and investment in DMA-related industries</t>
        </is>
      </c>
      <c r="N394" s="7" t="inlineStr">
        <is>
          <t>Using start-up and investment records from 27 EU countries, the study finds fewer new entrants and less investment in industries affected by the DMA.</t>
        </is>
      </c>
      <c r="O394" s="7" t="inlineStr">
        <is>
          <t>EU-27, 2020-2024</t>
        </is>
      </c>
      <c r="P394" s="7" t="inlineStr">
        <is>
          <t>small sample; short post-period; abstract only</t>
        </is>
      </c>
      <c r="Q394" s="7" t="inlineStr"/>
      <c r="R394" s="7" t="inlineStr">
        <is>
          <t>paywalled (abstract open)</t>
        </is>
      </c>
      <c r="S394" s="7" t="inlineStr">
        <is>
          <t>abstract read (Crossref)</t>
        </is>
      </c>
      <c r="T394" s="7" t="inlineStr">
        <is>
          <t>2026-10-10</t>
        </is>
      </c>
      <c r="U394" s="7" t="inlineStr">
        <is>
          <t>https://doi.org/10.1108/DPRG-03-2025-0080</t>
        </is>
      </c>
      <c r="V394" s="7" t="inlineStr"/>
      <c r="W394" s="7" t="inlineStr"/>
    </row>
    <row r="395">
      <c r="A395" s="7" t="n">
        <v>59</v>
      </c>
      <c r="B395" s="7" t="inlineStr">
        <is>
          <t>Digital Markets Act</t>
        </is>
      </c>
      <c r="C395" s="7" t="inlineStr">
        <is>
          <t>evidence</t>
        </is>
      </c>
      <c r="D395" s="7" t="inlineStr">
        <is>
          <t>academic</t>
        </is>
      </c>
      <c r="E395" s="7" t="inlineStr">
        <is>
          <t>initial review</t>
        </is>
      </c>
      <c r="F395" s="7" t="inlineStr">
        <is>
          <t>decarolis-li-paternollo-defaults</t>
        </is>
      </c>
      <c r="G395" s="7" t="inlineStr">
        <is>
          <t>Decarolis, F., Li, M. &amp; Paternollo, F. A., Competition and Defaults in Online Search (working paper, Bocconi)</t>
        </is>
      </c>
      <c r="H395" s="7" t="n">
        <v>2025</v>
      </c>
      <c r="I395" s="7" t="inlineStr">
        <is>
          <t>working paper</t>
        </is>
      </c>
      <c r="J395" s="7" t="inlineStr">
        <is>
          <t>causal: event studies of default interventions (EEA, Russia, Turkey)</t>
        </is>
      </c>
      <c r="K395" s="7" t="inlineStr">
        <is>
          <t>market shares (search engines)</t>
        </is>
      </c>
      <c r="L395" s="7" t="inlineStr">
        <is>
          <t>positive (default changes reduce Google share)</t>
        </is>
      </c>
      <c r="M395" s="7" t="inlineStr">
        <is>
          <t>Changes to default settings reduced Google's market share in all three cases; DMA-specific estimate not verified</t>
        </is>
      </c>
      <c r="N395" s="7" t="inlineStr">
        <is>
          <t>Across the EEA, Russia and Turkey, changes to default search settings reduced Google's market share; the DMA-specific effect has not been separately confirmed here.</t>
        </is>
      </c>
      <c r="O395" s="7" t="inlineStr">
        <is>
          <t>EEA, Russia, Turkey</t>
        </is>
      </c>
      <c r="P395" s="7" t="inlineStr">
        <is>
          <t>abstract only; DMA-specific effect not confirmed</t>
        </is>
      </c>
      <c r="Q395" s="7" t="inlineStr"/>
      <c r="R395" s="7" t="inlineStr">
        <is>
          <t>open</t>
        </is>
      </c>
      <c r="S395" s="7" t="inlineStr">
        <is>
          <t>abstract seen via search</t>
        </is>
      </c>
      <c r="T395" s="7" t="inlineStr">
        <is>
          <t>2026-10-10</t>
        </is>
      </c>
      <c r="U395" s="7" t="inlineStr">
        <is>
          <t>https://www.tse-fr.eu/sites/default/files/TSE/documents/conf/2022/Yale/decarolis.pdf</t>
        </is>
      </c>
      <c r="V395" s="7" t="inlineStr"/>
      <c r="W395" s="7" t="inlineStr">
        <is>
          <t>http://web.archive.org/web/20240330211131/https://www.tse-fr.eu/sites/default/files/TSE/documents/conf/2022/Yale/decarolis.pdf</t>
        </is>
      </c>
    </row>
    <row r="396">
      <c r="A396" s="7" t="n">
        <v>59</v>
      </c>
      <c r="B396" s="7" t="inlineStr">
        <is>
          <t>Digital Markets Act</t>
        </is>
      </c>
      <c r="C396" s="7" t="inlineStr">
        <is>
          <t>evidence</t>
        </is>
      </c>
      <c r="D396" s="7" t="inlineStr">
        <is>
          <t>other</t>
        </is>
      </c>
      <c r="E396" s="7" t="inlineStr">
        <is>
          <t>initial review</t>
        </is>
      </c>
      <c r="F396" s="7" t="inlineStr">
        <is>
          <t>jrc-2021-expert-panel</t>
        </is>
      </c>
      <c r="G396" s="7" t="inlineStr">
        <is>
          <t>Cabral, L., Haucap, J., Parker, G., Petropoulos, G., Valletti, T. &amp; Van Alstyne, M. (2021), The EU Digital Markets Act: A Report from a Panel of Economic Experts, JRC</t>
        </is>
      </c>
      <c r="H396" s="7" t="n">
        <v>2021</v>
      </c>
      <c r="I396" s="7" t="inlineStr">
        <is>
          <t>policy (JRC)</t>
        </is>
      </c>
      <c r="J396" s="7" t="inlineStr">
        <is>
          <t>expert assessment (ex-ante)</t>
        </is>
      </c>
      <c r="K396" s="7" t="inlineStr">
        <is>
          <t>innovation; competition</t>
        </is>
      </c>
      <c r="L396" s="7" t="inlineStr">
        <is>
          <t>mixed (forecast)</t>
        </is>
      </c>
      <c r="M396" s="7" t="inlineStr">
        <is>
          <t>Supports intervention but warns legal uncertainty could chill innovation</t>
        </is>
      </c>
      <c r="N396" s="7" t="inlineStr">
        <is>
          <t>Before adoption, a panel of economists supported intervention but warned that legal uncertainty could discourage innovation.</t>
        </is>
      </c>
      <c r="O396" s="7" t="inlineStr">
        <is>
          <t>EU, ex-ante</t>
        </is>
      </c>
      <c r="P396" s="7" t="inlineStr">
        <is>
          <t>ex-ante expert opinion</t>
        </is>
      </c>
      <c r="Q396" s="7" t="inlineStr"/>
      <c r="R396" s="7" t="inlineStr">
        <is>
          <t>open</t>
        </is>
      </c>
      <c r="S396" s="7" t="inlineStr">
        <is>
          <t>seen via search</t>
        </is>
      </c>
      <c r="T396" s="7" t="inlineStr">
        <is>
          <t>2026-10-10</t>
        </is>
      </c>
      <c r="U396" s="7" t="inlineStr">
        <is>
          <t>https://ide.mit.edu/wp-content/uploads/2021/02/jrc122910_external_study_report_-_the_eu_digital_markets_act.pdf</t>
        </is>
      </c>
      <c r="V396" s="7" t="inlineStr"/>
      <c r="W396" s="7" t="inlineStr">
        <is>
          <t>http://web.archive.org/web/20260622103357/https://ide.mit.edu/wp-content/uploads/2021/02/jrc122910_external_study_report_-_the_eu_digital_markets_act.pdf</t>
        </is>
      </c>
    </row>
    <row r="397">
      <c r="A397" s="7" t="n">
        <v>59</v>
      </c>
      <c r="B397" s="7" t="inlineStr">
        <is>
          <t>Digital Markets Act</t>
        </is>
      </c>
      <c r="C397" s="7" t="inlineStr">
        <is>
          <t>evidence</t>
        </is>
      </c>
      <c r="D397" s="7" t="inlineStr">
        <is>
          <t>consultancy or industry</t>
        </is>
      </c>
      <c r="E397" s="7" t="inlineStr">
        <is>
          <t>initial review</t>
        </is>
      </c>
      <c r="F397" s="7" t="inlineStr">
        <is>
          <t>oxera-2021-innovation</t>
        </is>
      </c>
      <c r="G397" s="7" t="inlineStr">
        <is>
          <t>Oxera (2021), The Digital Markets Act and incentives to innovate: behavioural experiment (prepared for Amazon)</t>
        </is>
      </c>
      <c r="H397" s="7" t="n">
        <v>2021</v>
      </c>
      <c r="I397" s="7" t="inlineStr">
        <is>
          <t>industry-funded</t>
        </is>
      </c>
      <c r="J397" s="7" t="inlineStr">
        <is>
          <t>lab experiment (ex-ante)</t>
        </is>
      </c>
      <c r="K397" s="7" t="inlineStr">
        <is>
          <t>innovation</t>
        </is>
      </c>
      <c r="L397" s="7" t="inlineStr">
        <is>
          <t>negative (forecast)</t>
        </is>
      </c>
      <c r="M397" s="7" t="inlineStr">
        <is>
          <t>Interventions of this type likely to reduce total innovation in high digital-intensity industries</t>
        </is>
      </c>
      <c r="N397" s="7" t="inlineStr">
        <is>
          <t>An experiment commissioned by Amazon suggests rules of this kind would reduce innovation in highly digital industries.</t>
        </is>
      </c>
      <c r="O397" s="7" t="inlineStr">
        <is>
          <t>experimental</t>
        </is>
      </c>
      <c r="P397" s="7" t="inlineStr">
        <is>
          <t>funded by a gatekeeper; ex-ante</t>
        </is>
      </c>
      <c r="Q397" s="7" t="inlineStr">
        <is>
          <t>Commissioned by Amazon, a designated gatekeeper</t>
        </is>
      </c>
      <c r="R397" s="7" t="inlineStr">
        <is>
          <t>open</t>
        </is>
      </c>
      <c r="S397" s="7" t="inlineStr">
        <is>
          <t>seen via search</t>
        </is>
      </c>
      <c r="T397" s="7" t="inlineStr">
        <is>
          <t>2026-10-10</t>
        </is>
      </c>
      <c r="U397" s="7" t="inlineStr">
        <is>
          <t>https://www.oxera.com/wp-content/uploads/2021/05/The-Digital-Markets-Act-and-incentives-to-innovate_final.pdf</t>
        </is>
      </c>
      <c r="V397" s="7" t="inlineStr"/>
      <c r="W397" s="7" t="inlineStr"/>
    </row>
    <row r="398">
      <c r="A398" s="7" t="n">
        <v>59</v>
      </c>
      <c r="B398" s="7" t="inlineStr">
        <is>
          <t>Digital Markets Act</t>
        </is>
      </c>
      <c r="C398" s="7" t="inlineStr">
        <is>
          <t>evidence</t>
        </is>
      </c>
      <c r="D398" s="7" t="inlineStr">
        <is>
          <t>other</t>
        </is>
      </c>
      <c r="E398" s="7" t="inlineStr">
        <is>
          <t>initial review</t>
        </is>
      </c>
      <c r="F398" s="7" t="inlineStr">
        <is>
          <t>cerre-2025-dma-evaluation</t>
        </is>
      </c>
      <c r="G398" s="7" t="inlineStr">
        <is>
          <t>CERRE (2025), Evaluating the DMA (DMA Implementation Forum), March 2025</t>
        </is>
      </c>
      <c r="H398" s="7" t="n">
        <v>2025</v>
      </c>
      <c r="I398" s="7" t="inlineStr">
        <is>
          <t>policy (CERRE)</t>
        </is>
      </c>
      <c r="J398" s="7" t="inlineStr">
        <is>
          <t>evaluation framework</t>
        </is>
      </c>
      <c r="K398" s="7" t="inlineStr">
        <is>
          <t>evaluation design</t>
        </is>
      </c>
      <c r="L398" s="7" t="inlineStr">
        <is>
          <t>n/a</t>
        </is>
      </c>
      <c r="M398" s="7" t="inlineStr">
        <is>
          <t>Proposes effectiveness, efficiency and consistency dimensions and indicators for the Article 53 review; first year shows gains for users and complexity for firms and regulators</t>
        </is>
      </c>
      <c r="N398" s="7" t="inlineStr">
        <is>
          <t>Sets out how the DMA should be evaluated (effectiveness, efficiency, consistency) and which indicators to use; notes early gains for users and complexity for firms and regulators.</t>
        </is>
      </c>
      <c r="O398" s="7" t="inlineStr">
        <is>
          <t>EU</t>
        </is>
      </c>
      <c r="P398" s="7" t="inlineStr">
        <is>
          <t>methodological, not impact evidence</t>
        </is>
      </c>
      <c r="Q398" s="7" t="inlineStr"/>
      <c r="R398" s="7" t="inlineStr">
        <is>
          <t>open</t>
        </is>
      </c>
      <c r="S398" s="7" t="inlineStr">
        <is>
          <t>full text partly read</t>
        </is>
      </c>
      <c r="T398" s="7" t="inlineStr">
        <is>
          <t>2026-10-10</t>
        </is>
      </c>
      <c r="U398" s="7" t="inlineStr">
        <is>
          <t>https://cerre.eu/wp-content/uploads/2025/03/DMA-Evaluation_FINAL.pdf</t>
        </is>
      </c>
      <c r="V398" s="7" t="inlineStr"/>
      <c r="W398" s="7" t="inlineStr">
        <is>
          <t>http://web.archive.org/web/20260211002559/https://cerre.eu/wp-content/uploads/2025/03/DMA-Evaluation_FINAL.pdf</t>
        </is>
      </c>
    </row>
    <row r="399">
      <c r="A399" s="7" t="n">
        <v>59</v>
      </c>
      <c r="B399" s="7" t="inlineStr">
        <is>
          <t>Digital Markets Act</t>
        </is>
      </c>
      <c r="C399" s="7" t="inlineStr">
        <is>
          <t>evidence</t>
        </is>
      </c>
      <c r="D399" s="7" t="inlineStr">
        <is>
          <t>academic</t>
        </is>
      </c>
      <c r="E399" s="7" t="inlineStr">
        <is>
          <t>initial review</t>
        </is>
      </c>
      <c r="F399" s="7" t="inlineStr">
        <is>
          <t>madio-manenti-motta-2026-tying</t>
        </is>
      </c>
      <c r="G399" s="7" t="inlineStr">
        <is>
          <t>Madio, L., Manenti, F. M. &amp; Motta, M. (2026), Platform Tying and its Effects, CEPR Discussion Paper 21771 (version of 21 July 2026)</t>
        </is>
      </c>
      <c r="H399" s="7" t="n">
        <v>2026</v>
      </c>
      <c r="I399" s="7" t="inlineStr">
        <is>
          <t>working paper</t>
        </is>
      </c>
      <c r="J399" s="7" t="inlineStr">
        <is>
          <t>theory (two-sided market model with simulations)</t>
        </is>
      </c>
      <c r="K399" s="7" t="inlineStr">
        <is>
          <t>consumer surplus; welfare; competition (self-preferencing remedies)</t>
        </is>
      </c>
      <c r="L399" s="7" t="inlineStr">
        <is>
          <t>supports DMA design (theory)</t>
        </is>
      </c>
      <c r="M399" s="7" t="inlineStr">
        <is>
          <t>Tying a gatekeeper's own service can harm consumers who never use the gatekeeper, by shrinking rivals' seller base; demotion of rivals is always welfare-reducing in their simulations; a common-access rule of the DMA type removes the harm and remains profitable for the platform</t>
        </is>
      </c>
      <c r="N399" s="7" t="inlineStr">
        <is>
          <t>A theory paper showing why favouring a platform's own services can hurt even consumers who reach rivals directly, and that the DMA's equal-access approach removes this harm while remaining profitable for the platform. It does not measure the DMA's actual effects.</t>
        </is>
      </c>
      <c r="O399" s="7" t="inlineStr">
        <is>
          <t>theory</t>
        </is>
      </c>
      <c r="P399" s="7" t="inlineStr">
        <is>
          <t>theory, not impact evidence; presented at "The Economics of the DMA" workshop (Brussels, 2025) and to DG Competition</t>
        </is>
      </c>
      <c r="Q399" s="7" t="inlineStr"/>
      <c r="R399" s="7" t="inlineStr">
        <is>
          <t>open</t>
        </is>
      </c>
      <c r="S399" s="7" t="inlineStr">
        <is>
          <t>full text read</t>
        </is>
      </c>
      <c r="T399" s="7" t="inlineStr">
        <is>
          <t>2026-10-10</t>
        </is>
      </c>
      <c r="U399" s="7" t="inlineStr">
        <is>
          <t>https://www.dropbox.com/scl/fi/mti6y93fgwpj2n55mz9uf/3M__Platform_Tying_and_its_effects-21July2026.pdf?rlkey=fgdxhc9hzw1pnrros19ce71kt&amp;dl=0</t>
        </is>
      </c>
      <c r="V399" s="7" t="inlineStr">
        <is>
          <t>https://www.dropbox.com/scl/fi/mti6y93fgwpj2n55mz9uf/3M__Platform_Tying_and_its_effects-21July2026.pdf?rlkey=fgdxhc9hzw1pnrros19ce71kt&amp;dl=1</t>
        </is>
      </c>
      <c r="W399" s="7" t="inlineStr"/>
    </row>
    <row r="400">
      <c r="A400" s="7" t="n">
        <v>59</v>
      </c>
      <c r="B400" s="7" t="inlineStr">
        <is>
          <t>Digital Markets Act</t>
        </is>
      </c>
      <c r="C400" s="7" t="inlineStr">
        <is>
          <t>evidence</t>
        </is>
      </c>
      <c r="D400" s="7" t="inlineStr">
        <is>
          <t>academic</t>
        </is>
      </c>
      <c r="E400" s="7" t="inlineStr">
        <is>
          <t>initial review</t>
        </is>
      </c>
      <c r="F400" s="7" t="inlineStr">
        <is>
          <t>waldfogel-2024-amazon</t>
        </is>
      </c>
      <c r="G400" s="7" t="inlineStr">
        <is>
          <t>Waldfogel, J. (2024), Amazon Self-preferencing in the Shadow of the Digital Markets Act, NBER Working Paper 32299</t>
        </is>
      </c>
      <c r="H400" s="7" t="n">
        <v>2024</v>
      </c>
      <c r="I400" s="7" t="inlineStr">
        <is>
          <t>working paper</t>
        </is>
      </c>
      <c r="J400" s="7" t="inlineStr">
        <is>
          <t>causal-leaning: before/after gatekeeper designation, compared with 142 other brands (8m+ search results, 22 Amazon domains)</t>
        </is>
      </c>
      <c r="K400" s="7" t="inlineStr">
        <is>
          <t>self-preferencing (search ranking)</t>
        </is>
      </c>
      <c r="L400" s="7" t="inlineStr">
        <is>
          <t>positive (less self-preferencing)</t>
        </is>
      </c>
      <c r="M400" s="7" t="inlineStr">
        <is>
          <t>Amazon's own products ranked about 30 positions better than comparable products; shortly after Amazon's designation as gatekeeper (Sept 2023) the advantage fell to about 20 positions, with no change for other brands; the change appeared in Europe and elsewhere</t>
        </is>
      </c>
      <c r="N400" s="7" t="inlineStr">
        <is>
          <t>Using over 8 million Amazon search results, the study finds Amazon's ranking advantage for its own products fell by about a third soon after the EU designated it a gatekeeper - and the change also showed up outside the EU.</t>
        </is>
      </c>
      <c r="O400" s="7" t="inlineStr">
        <is>
          <t>22 Amazon domains (US, Europe, other), 2023-2024</t>
        </is>
      </c>
      <c r="P400" s="7" t="inlineStr">
        <is>
          <t>strong data; not peer-reviewed; designation-timing comparison, no formal control market (change was global)</t>
        </is>
      </c>
      <c r="Q400" s="7" t="inlineStr"/>
      <c r="R400" s="7" t="inlineStr">
        <is>
          <t>abstract only</t>
        </is>
      </c>
      <c r="S400" s="7" t="inlineStr">
        <is>
          <t>abstract read</t>
        </is>
      </c>
      <c r="T400" s="7" t="inlineStr">
        <is>
          <t>2026-10-10</t>
        </is>
      </c>
      <c r="U400" s="7" t="inlineStr">
        <is>
          <t>https://www.nber.org/papers/w32299</t>
        </is>
      </c>
      <c r="V400" s="7" t="inlineStr">
        <is>
          <t>https://www.nber.org/system/files/working_papers/w32299/w32299.pdf</t>
        </is>
      </c>
      <c r="W400" s="7" t="inlineStr">
        <is>
          <t>http://web.archive.org/web/20260731120857/https://www.nber.org/papers/w32299</t>
        </is>
      </c>
    </row>
    <row r="401">
      <c r="A401" s="7" t="n">
        <v>59</v>
      </c>
      <c r="B401" s="7" t="inlineStr">
        <is>
          <t>Digital Markets Act</t>
        </is>
      </c>
      <c r="C401" s="7" t="inlineStr">
        <is>
          <t>evidence</t>
        </is>
      </c>
      <c r="D401" s="7" t="inlineStr">
        <is>
          <t>academic</t>
        </is>
      </c>
      <c r="E401" s="7" t="inlineStr">
        <is>
          <t>initial review</t>
        </is>
      </c>
      <c r="F401" s="7" t="inlineStr">
        <is>
          <t>farronato-fradkin-mackay-2023</t>
        </is>
      </c>
      <c r="G401" s="7" t="inlineStr">
        <is>
          <t>Farronato, C., Fradkin, A. &amp; MacKay, A. (2023), Self-Preferencing at Amazon: Evidence from Search Rankings, AEA Papers and Proceedings 113: 239-243 (NBER w30894)</t>
        </is>
      </c>
      <c r="H401" s="7" t="n">
        <v>2023</v>
      </c>
      <c r="I401" s="7" t="inlineStr">
        <is>
          <t>peer-reviewed</t>
        </is>
      </c>
      <c r="J401" s="7" t="inlineStr">
        <is>
          <t>descriptive/econometric (pre-DMA baseline)</t>
        </is>
      </c>
      <c r="K401" s="7" t="inlineStr">
        <is>
          <t>self-preferencing (search ranking)</t>
        </is>
      </c>
      <c r="L401" s="7" t="inlineStr">
        <is>
          <t>context (pre-DMA)</t>
        </is>
      </c>
      <c r="M401" s="7" t="inlineStr">
        <is>
          <t>Documents that Amazon-branded products rank higher in Amazon search than observably similar products (pre-DMA baseline for the self-preferencing ban)</t>
        </is>
      </c>
      <c r="N401" s="7" t="inlineStr">
        <is>
          <t>Pre-DMA evidence that Amazon ranks its own-brand products higher in search results than similar products - the kind of conduct the DMA's self-preferencing ban targets.</t>
        </is>
      </c>
      <c r="O401" s="7" t="inlineStr">
        <is>
          <t>Amazon US, pre-DMA</t>
        </is>
      </c>
      <c r="P401" s="7" t="inlineStr">
        <is>
          <t>context, not a DMA effect</t>
        </is>
      </c>
      <c r="Q401" s="7" t="inlineStr"/>
      <c r="R401" s="7" t="inlineStr">
        <is>
          <t>paywalled (NBER version open)</t>
        </is>
      </c>
      <c r="S401" s="7" t="inlineStr">
        <is>
          <t>cited by Madio-Manenti-Motta; title/DOI checked (Crossref)</t>
        </is>
      </c>
      <c r="T401" s="7" t="inlineStr">
        <is>
          <t>2026-10-10</t>
        </is>
      </c>
      <c r="U401" s="7" t="inlineStr">
        <is>
          <t>https://doi.org/10.1257/pandp.20231068</t>
        </is>
      </c>
      <c r="V401" s="7" t="inlineStr"/>
      <c r="W401" s="7" t="inlineStr"/>
    </row>
    <row r="402">
      <c r="A402" s="7" t="n">
        <v>59</v>
      </c>
      <c r="B402" s="7" t="inlineStr">
        <is>
          <t>Digital Markets Act</t>
        </is>
      </c>
      <c r="C402" s="7" t="inlineStr">
        <is>
          <t>evidence</t>
        </is>
      </c>
      <c r="D402" s="7" t="inlineStr">
        <is>
          <t>academic</t>
        </is>
      </c>
      <c r="E402" s="7" t="inlineStr">
        <is>
          <t>initial review</t>
        </is>
      </c>
      <c r="F402" s="7" t="inlineStr">
        <is>
          <t>motta-2023-self-preferencing</t>
        </is>
      </c>
      <c r="G402" s="7" t="inlineStr">
        <is>
          <t>Motta, M. (2023), Self-preferencing and foreclosure in digital markets: Theories of harm for abuse cases, International Journal of Industrial Organization 90: 102974</t>
        </is>
      </c>
      <c r="H402" s="7" t="n">
        <v>2023</v>
      </c>
      <c r="I402" s="7" t="inlineStr">
        <is>
          <t>peer-reviewed</t>
        </is>
      </c>
      <c r="J402" s="7" t="inlineStr">
        <is>
          <t>theory</t>
        </is>
      </c>
      <c r="K402" s="7" t="inlineStr">
        <is>
          <t>competition (self-preferencing theories of harm)</t>
        </is>
      </c>
      <c r="L402" s="7" t="inlineStr">
        <is>
          <t>context (theory)</t>
        </is>
      </c>
      <c r="M402" s="7" t="inlineStr">
        <is>
          <t>Sets out when self-preferencing by platforms can foreclose rivals and harm consumers; underpins the rationale for ex ante self-preferencing rules</t>
        </is>
      </c>
      <c r="N402" s="7" t="inlineStr">
        <is>
          <t>Explains the economic mechanisms by which a platform favouring its own products can exclude rivals - the theory behind the DMA's self-preferencing ban.</t>
        </is>
      </c>
      <c r="O402" s="7" t="inlineStr">
        <is>
          <t>theory</t>
        </is>
      </c>
      <c r="P402" s="7" t="inlineStr">
        <is>
          <t>theory, not impact evidence</t>
        </is>
      </c>
      <c r="Q402" s="7" t="inlineStr"/>
      <c r="R402" s="7" t="inlineStr">
        <is>
          <t>paywalled (CEPR DP17730 version)</t>
        </is>
      </c>
      <c r="S402" s="7" t="inlineStr">
        <is>
          <t>cited by Madio-Manenti-Motta; listed on author homepage</t>
        </is>
      </c>
      <c r="T402" s="7" t="inlineStr">
        <is>
          <t>2026-10-10</t>
        </is>
      </c>
      <c r="U402" s="7" t="inlineStr">
        <is>
          <t>https://doi.org/10.1016/j.ijindorg.2023.102974</t>
        </is>
      </c>
      <c r="V402" s="7" t="inlineStr"/>
      <c r="W402" s="7" t="inlineStr"/>
    </row>
    <row r="403">
      <c r="A403" s="7" t="n">
        <v>59</v>
      </c>
      <c r="B403" s="7" t="inlineStr">
        <is>
          <t>Digital Markets Act</t>
        </is>
      </c>
      <c r="C403" s="7" t="inlineStr">
        <is>
          <t>evidence</t>
        </is>
      </c>
      <c r="D403" s="7" t="inlineStr">
        <is>
          <t>official</t>
        </is>
      </c>
      <c r="E403" s="7" t="inlineStr">
        <is>
          <t>initial review</t>
        </is>
      </c>
      <c r="F403" s="7" t="inlineStr">
        <is>
          <t>motta-peitz-2020-expert-report</t>
        </is>
      </c>
      <c r="G403" s="7" t="inlineStr">
        <is>
          <t>Motta, M. &amp; Peitz, M. (2020), Intervention triggers and underlying theories of harm: expert advice for the Impact Assessment of a New Competition Tool, report for DG Competition</t>
        </is>
      </c>
      <c r="H403" s="7" t="n">
        <v>2020</v>
      </c>
      <c r="I403" s="7" t="inlineStr">
        <is>
          <t>policy (expert report for the Commission)</t>
        </is>
      </c>
      <c r="J403" s="7" t="inlineStr">
        <is>
          <t>expert assessment (ex-ante)</t>
        </is>
      </c>
      <c r="K403" s="7" t="inlineStr">
        <is>
          <t>competition</t>
        </is>
      </c>
      <c r="L403" s="7" t="inlineStr">
        <is>
          <t>context (ex-ante)</t>
        </is>
      </c>
      <c r="M403" s="7" t="inlineStr">
        <is>
          <t>One of the expert reports the Commission commissioned for the New Competition Tool / DMA impact assessment, on structural competition problems and theories of harm</t>
        </is>
      </c>
      <c r="N403" s="7" t="inlineStr">
        <is>
          <t>An expert report commissioned by the Commission that fed into the impact assessment behind the DMA, setting out when intervention in digital markets is justified.</t>
        </is>
      </c>
      <c r="O403" s="7" t="inlineStr">
        <is>
          <t>EU, ex-ante</t>
        </is>
      </c>
      <c r="P403" s="7" t="inlineStr">
        <is>
          <t>ex-ante expert opinion; cited in SWD(2020) 363 part 2</t>
        </is>
      </c>
      <c r="Q403" s="7" t="inlineStr"/>
      <c r="R403" s="7" t="inlineStr">
        <is>
          <t>open (via impact assessment annex)</t>
        </is>
      </c>
      <c r="S403" s="7" t="inlineStr">
        <is>
          <t>citation seen in impact assessment (search result); report text not read</t>
        </is>
      </c>
      <c r="T403" s="7" t="inlineStr">
        <is>
          <t>2026-10-10</t>
        </is>
      </c>
      <c r="U403" s="7" t="inlineStr">
        <is>
          <t>https://competition-policy.ec.europa.eu/system/files/2021-09/DMA_impact_assessment_part2.pdf</t>
        </is>
      </c>
      <c r="V403" s="7" t="inlineStr"/>
      <c r="W403" s="7" t="inlineStr"/>
    </row>
    <row r="404">
      <c r="A404" s="7" t="n">
        <v>59</v>
      </c>
      <c r="B404" s="7" t="inlineStr">
        <is>
          <t>Digital Markets Act</t>
        </is>
      </c>
      <c r="C404" s="7" t="inlineStr">
        <is>
          <t>evidence</t>
        </is>
      </c>
      <c r="D404" s="7" t="inlineStr">
        <is>
          <t>academic</t>
        </is>
      </c>
      <c r="E404" s="7" t="inlineStr">
        <is>
          <t>2026-10 broadened search</t>
        </is>
      </c>
      <c r="F404" s="7" t="inlineStr">
        <is>
          <t>vasquezduque-2025-choicescreens</t>
        </is>
      </c>
      <c r="G404" s="7" t="inlineStr">
        <is>
          <t>Omar Vasquez Duque (2025), The Magical Number 2 (Minus Two): An Empirical Analysis on the Efficacy of Choice Screens to Increase Competition in Digital Markets, Working paper (draft 2025-07-17), NYU School of Law; presented at KGI Digital Competition Conference 2026</t>
        </is>
      </c>
      <c r="H404" s="7" t="n">
        <v>2025</v>
      </c>
      <c r="I404" s="7" t="inlineStr">
        <is>
          <t>academic working paper</t>
        </is>
      </c>
      <c r="J404" s="7" t="inlineStr">
        <is>
          <t>matrix completion (causal panel estimator, related to synthetic control/DiD) on monthly StatCounter country panel, EU countries vs non-EU high-income donor pool, 2017-early 2025, bootstrap CIs</t>
        </is>
      </c>
      <c r="K404" s="7" t="inlineStr">
        <is>
          <t>Google Search mobile market share; Chrome mobile browser share</t>
        </is>
      </c>
      <c r="L404" s="7" t="inlineStr">
        <is>
          <t>mixed</t>
        </is>
      </c>
      <c r="M404" s="7" t="inlineStr">
        <is>
          <t>DMA choice screens lowered Google's EU mobile search share by about 0.56 points (95% CI -0.71 to -0.39) and Chrome's share by about 1.80 points (95% CI -2.20 to -1.41).</t>
        </is>
      </c>
      <c r="N404" s="7" t="inlineStr">
        <is>
          <t>After the DMA forced phones in the EU to show choice screens, Google's and Chrome's market shares fell, but only by about half a point and two points. The author concludes choice screens barely dent dominant positions.</t>
        </is>
      </c>
      <c r="O404" s="7" t="inlineStr">
        <is>
          <t>2017-early 2025; EU member states vs non-EU high-income countries</t>
        </is>
      </c>
      <c r="P404" s="7" t="inlineStr">
        <is>
          <t>Causal panel design with explicit counterfactual; StatCounter page-view data is a noisy proxy; single-author draft, not peer reviewed.</t>
        </is>
      </c>
      <c r="Q404" s="7" t="inlineStr"/>
      <c r="R404" s="7" t="inlineStr">
        <is>
          <t>open</t>
        </is>
      </c>
      <c r="S404" s="7" t="inlineStr">
        <is>
          <t>full text read</t>
        </is>
      </c>
      <c r="T404" s="7" t="inlineStr">
        <is>
          <t>2026-10-10</t>
        </is>
      </c>
      <c r="U404" s="7" t="inlineStr">
        <is>
          <t>https://kgi.georgetown.edu/wp-content/uploads/2026/01/The-Magical-Number-2-Minus-Two_Vasqez-Duque_3.pdf</t>
        </is>
      </c>
      <c r="V404" s="7" t="inlineStr">
        <is>
          <t>https://kgi.georgetown.edu/wp-content/uploads/2026/01/The-Magical-Number-2-Minus-Two_Vasqez-Duque_3.pdf</t>
        </is>
      </c>
      <c r="W404" s="7" t="inlineStr"/>
    </row>
    <row r="405">
      <c r="A405" s="7" t="n">
        <v>59</v>
      </c>
      <c r="B405" s="7" t="inlineStr">
        <is>
          <t>Digital Markets Act</t>
        </is>
      </c>
      <c r="C405" s="7" t="inlineStr">
        <is>
          <t>evidence</t>
        </is>
      </c>
      <c r="D405" s="7" t="inlineStr">
        <is>
          <t>academic</t>
        </is>
      </c>
      <c r="E405" s="7" t="inlineStr">
        <is>
          <t>2026-10 broadened search</t>
        </is>
      </c>
      <c r="F405" s="7" t="inlineStr">
        <is>
          <t>calzada-2026-serp-airtravel</t>
        </is>
      </c>
      <c r="G405" s="7" t="inlineStr">
        <is>
          <t>Joan Calzada, Néstor Duch-Brown, Xavier Fageda, Nicandro Quirós (2026), Who benefits from Google's SERP? The impact of the DMA on the Air Travel Market, Working paper (Universitat de Barcelona / JRC), January 2026; presented at KGI Digital Competition Conference 2026</t>
        </is>
      </c>
      <c r="H405" s="7" t="n">
        <v>2026</v>
      </c>
      <c r="I405" s="7" t="inlineStr">
        <is>
          <t>academic working paper</t>
        </is>
      </c>
      <c r="J405" s="7" t="inlineStr">
        <is>
          <t>difference-in-differences on domain-level Similarweb traffic data, four EU countries vs UK and US controls, Nov 2023-Dec 2024</t>
        </is>
      </c>
      <c r="K405" s="7" t="inlineStr">
        <is>
          <t>organic search, direct and referral web traffic to airline and flight comparison websites</t>
        </is>
      </c>
      <c r="L405" s="7" t="inlineStr">
        <is>
          <t>positive</t>
        </is>
      </c>
      <c r="M405" s="7" t="inlineStr">
        <is>
          <t>Google's DMA-driven search page redesign raised organic search traffic to low-cost airlines by 14-28% on desktop and 8-22% on mobile, and to smaller flight comparison sites by up to 28.9%, with no significant change for Skyscanner or Booking.com.</t>
        </is>
      </c>
      <c r="N405" s="7" t="inlineStr">
        <is>
          <t>When Google removed its own Google Flights box from EU search results to comply with the DMA, more people clicked through to smaller airlines and smaller flight comparison sites. Big airlines and big comparison sites saw little change.</t>
        </is>
      </c>
      <c r="O405" s="7" t="inlineStr">
        <is>
          <t>Nov 2023-Dec 2024; four EU countries vs UK and US</t>
        </is>
      </c>
      <c r="P405" s="7" t="inlineStr">
        <is>
          <t>Credible DiD with pre-trend checks; Similarweb traffic estimates are modelled; one sector; one co-author at the Commission's JRC.</t>
        </is>
      </c>
      <c r="Q405" s="7" t="inlineStr">
        <is>
          <t>One co-author is employed by the European Commission (JRC)</t>
        </is>
      </c>
      <c r="R405" s="7" t="inlineStr">
        <is>
          <t>open</t>
        </is>
      </c>
      <c r="S405" s="7" t="inlineStr">
        <is>
          <t>full text read</t>
        </is>
      </c>
      <c r="T405" s="7" t="inlineStr">
        <is>
          <t>2026-10-10</t>
        </is>
      </c>
      <c r="U405" s="7" t="inlineStr">
        <is>
          <t>https://kgi.georgetown.edu/wp-content/uploads/2026/01/Who-benefits-from-Googles-SERP__Calzada-Duch-Brown-Fageda-Quiros_23.pdf</t>
        </is>
      </c>
      <c r="V405" s="7" t="inlineStr">
        <is>
          <t>https://kgi.georgetown.edu/wp-content/uploads/2026/01/Who-benefits-from-Googles-SERP__Calzada-Duch-Brown-Fageda-Quiros_23.pdf</t>
        </is>
      </c>
      <c r="W405" s="7" t="inlineStr"/>
    </row>
    <row r="406">
      <c r="A406" s="7" t="n">
        <v>59</v>
      </c>
      <c r="B406" s="7" t="inlineStr">
        <is>
          <t>Digital Markets Act</t>
        </is>
      </c>
      <c r="C406" s="7" t="inlineStr">
        <is>
          <t>evidence</t>
        </is>
      </c>
      <c r="D406" s="7" t="inlineStr">
        <is>
          <t>academic</t>
        </is>
      </c>
      <c r="E406" s="7" t="inlineStr">
        <is>
          <t>2026-10 broadened search</t>
        </is>
      </c>
      <c r="F406" s="7" t="inlineStr">
        <is>
          <t>verlooy-2025-eventstudy</t>
        </is>
      </c>
      <c r="G406" s="7" t="inlineStr">
        <is>
          <t>Victorine Verlooy, Monty Lukas Meier, Vincent Heimburg, Maximilian Schreieck (2025), The Impact of the EU's Digital Markets Act: An Event Study, ECIS 2025 Proceedings (European Conference on Information Systems), paper ECIS2025-1916</t>
        </is>
      </c>
      <c r="H406" s="7" t="n">
        <v>2025</v>
      </c>
      <c r="I406" s="7" t="inlineStr">
        <is>
          <t>conference paper</t>
        </is>
      </c>
      <c r="J406" s="7" t="inlineStr">
        <is>
          <t>event study of gatekeeper stock returns around DMA announcement and implementation events</t>
        </is>
      </c>
      <c r="K406" s="7" t="inlineStr">
        <is>
          <t>investor reactions (abnormal stock returns of gatekeepers)</t>
        </is>
      </c>
      <c r="L406" s="7" t="inlineStr">
        <is>
          <t>mixed</t>
        </is>
      </c>
      <c r="M406" s="7" t="inlineStr">
        <is>
          <t>Gatekeeper stocks reacted positively to DMA regulatory announcements, but this optimism faded during the implementation stage (abstract gives no magnitudes).</t>
        </is>
      </c>
      <c r="N406" s="7" t="inlineStr">
        <is>
          <t>Investors initially reacted well to news about the DMA, perhaps expecting more competition and value, but that reaction faded once the rules had to be put into practice.</t>
        </is>
      </c>
      <c r="O406" s="7" t="inlineStr">
        <is>
          <t>DMA announcement to implementation (approx. 2020-2024); listed gatekeeper firms</t>
        </is>
      </c>
      <c r="P406" s="7" t="inlineStr">
        <is>
          <t>Standard event-study design; small number of firms and events; abstract only, magnitudes not seen.</t>
        </is>
      </c>
      <c r="Q406" s="7" t="inlineStr"/>
      <c r="R406" s="7" t="inlineStr">
        <is>
          <t>open</t>
        </is>
      </c>
      <c r="S406" s="7" t="inlineStr">
        <is>
          <t>abstract read</t>
        </is>
      </c>
      <c r="T406" s="7" t="inlineStr">
        <is>
          <t>2026-10-10</t>
        </is>
      </c>
      <c r="U406" s="7" t="inlineStr">
        <is>
          <t>https://aisel.aisnet.org/ecis2025/conf_theme/conf_theme/2</t>
        </is>
      </c>
      <c r="V406" s="7" t="inlineStr"/>
      <c r="W406" s="7" t="inlineStr"/>
    </row>
    <row r="407">
      <c r="A407" s="7" t="n">
        <v>59</v>
      </c>
      <c r="B407" s="7" t="inlineStr">
        <is>
          <t>Digital Markets Act</t>
        </is>
      </c>
      <c r="C407" s="7" t="inlineStr">
        <is>
          <t>evidence</t>
        </is>
      </c>
      <c r="D407" s="7" t="inlineStr">
        <is>
          <t>think tank</t>
        </is>
      </c>
      <c r="E407" s="7" t="inlineStr">
        <is>
          <t>2026-10 broadened search</t>
        </is>
      </c>
      <c r="F407" s="7" t="inlineStr">
        <is>
          <t>bauer-2025-ecipe-consumers</t>
        </is>
      </c>
      <c r="G407" s="7" t="inlineStr">
        <is>
          <t>Matthias Bauer, Dyuti Pandya (ECIPE) (2025), What About Us? Consumer Response to the Digital Markets Act, ECIPE Occasional Paper, October 2025</t>
        </is>
      </c>
      <c r="H407" s="7" t="n">
        <v>2025</v>
      </c>
      <c r="I407" s="7" t="inlineStr">
        <is>
          <t>think tank report</t>
        </is>
      </c>
      <c r="J407" s="7" t="inlineStr">
        <is>
          <t>survey of 3,500 consumers (500 each in 7 Central and Eastern European countries), Ipsos online panel, July 2025, quota sampled; descriptive statistics</t>
        </is>
      </c>
      <c r="K407" s="7" t="inlineStr">
        <is>
          <t>consumer-reported friction, privacy concern, platform usage, DMA awareness</t>
        </is>
      </c>
      <c r="L407" s="7" t="inlineStr">
        <is>
          <t>negative</t>
        </is>
      </c>
      <c r="M407" s="7" t="inlineStr">
        <is>
          <t>39% of respondents report needing more steps for tasks that used to be simple, about one-third find online services less seamless since DMA changes, and 80% are unfamiliar with the DMA.</t>
        </is>
      </c>
      <c r="N407" s="7" t="inlineStr">
        <is>
          <t>A survey of consumers in seven Central and Eastern European countries found many people say online services became more cumbersome after DMA changes, while most still rely on Google and Meta and few know the law exists.</t>
        </is>
      </c>
      <c r="O407" s="7" t="inlineStr">
        <is>
          <t>July 2025; Slovakia, Czechia, Hungary, Slovenia, Croatia, Latvia, Lithuania</t>
        </is>
      </c>
      <c r="P407" s="7" t="inlineStr">
        <is>
          <t>Self-reported perceptions, no counterfactual; attribution to the DMA rests on respondents; authors recommend repealing the DMA.</t>
        </is>
      </c>
      <c r="Q407" s="7" t="inlineStr">
        <is>
          <t>Survey commissioned by EPPP; ECIPE states support from industry partners; authors advocate repeal or reform of the DMA</t>
        </is>
      </c>
      <c r="R407" s="7" t="inlineStr">
        <is>
          <t>open</t>
        </is>
      </c>
      <c r="S407" s="7" t="inlineStr">
        <is>
          <t>abstract read</t>
        </is>
      </c>
      <c r="T407" s="7" t="inlineStr">
        <is>
          <t>2026-10-10</t>
        </is>
      </c>
      <c r="U407" s="7" t="inlineStr">
        <is>
          <t>https://ecipe.org/publications/consumer-response-to-the-digital-markets-act/</t>
        </is>
      </c>
      <c r="V407" s="7" t="inlineStr"/>
      <c r="W407" s="7" t="inlineStr"/>
    </row>
    <row r="408">
      <c r="A408" s="7" t="n">
        <v>59</v>
      </c>
      <c r="B408" s="7" t="inlineStr">
        <is>
          <t>Digital Markets Act</t>
        </is>
      </c>
      <c r="C408" s="7" t="inlineStr">
        <is>
          <t>evidence</t>
        </is>
      </c>
      <c r="D408" s="7" t="inlineStr">
        <is>
          <t>consultancy or industry</t>
        </is>
      </c>
      <c r="E408" s="7" t="inlineStr">
        <is>
          <t>2026-10 broadened search</t>
        </is>
      </c>
      <c r="F408" s="7" t="inlineStr">
        <is>
          <t>nextrade-2025-consumersurvey</t>
        </is>
      </c>
      <c r="G408" s="7" t="inlineStr">
        <is>
          <t>Nextrade Group (for CCIA Europe) (2025), Impact of the Digital Markets Act (DMA) on consumers across the European Union: Results from a survey with 5,000 consumers, Nextrade Group report, September 2025</t>
        </is>
      </c>
      <c r="H408" s="7" t="n">
        <v>2025</v>
      </c>
      <c r="I408" s="7" t="inlineStr">
        <is>
          <t>survey report</t>
        </is>
      </c>
      <c r="J408" s="7" t="inlineStr">
        <is>
          <t>online survey of 5,000 consumers in 20 EU member states, 28 April-15 May 2025; descriptive statistics</t>
        </is>
      </c>
      <c r="K408" s="7" t="inlineStr">
        <is>
          <t>consumer-reported search time, service quality, personalisation, willingness to pay for pre-DMA services</t>
        </is>
      </c>
      <c r="L408" s="7" t="inlineStr">
        <is>
          <t>negative</t>
        </is>
      </c>
      <c r="M408" s="7" t="inlineStr">
        <is>
          <t>Two-thirds of respondents say they now have to search longer than before the DMA; 35% report worse map services and 42% of frequent travellers say flight and hotel results are less helpful.</t>
        </is>
      </c>
      <c r="N408" s="7" t="inlineStr">
        <is>
          <t>An industry-commissioned survey of 5,000 Europeans found most say finding things online got slower and less convenient after the DMA, and many would like the old services back.</t>
        </is>
      </c>
      <c r="O408" s="7" t="inlineStr">
        <is>
          <t>April-May 2025; 20 EU member states</t>
        </is>
      </c>
      <c r="P408" s="7" t="inlineStr">
        <is>
          <t>Recall-based perceptions without counterfactual; question framing attributes changes to the DMA; commissioned by an industry body.</t>
        </is>
      </c>
      <c r="Q408" s="7" t="inlineStr">
        <is>
          <t>Commissioned by CCIA Europe (trade association whose members include gatekeepers)</t>
        </is>
      </c>
      <c r="R408" s="7" t="inlineStr">
        <is>
          <t>open</t>
        </is>
      </c>
      <c r="S408" s="7" t="inlineStr">
        <is>
          <t>abstract read</t>
        </is>
      </c>
      <c r="T408" s="7" t="inlineStr">
        <is>
          <t>2026-10-10</t>
        </is>
      </c>
      <c r="U408" s="7" t="inlineStr">
        <is>
          <t>https://www.nextradegroupllc.com/impact-of-the-dma-on-eu-consumers</t>
        </is>
      </c>
      <c r="V408" s="7" t="inlineStr">
        <is>
          <t>https://www.nextradegroupllc.com/_files/ugd/478c1a_9d7c98475ce8404188d2f8dbb1c9d2ff.pdf</t>
        </is>
      </c>
      <c r="W408" s="7" t="inlineStr"/>
    </row>
    <row r="409">
      <c r="A409" s="7" t="n">
        <v>59</v>
      </c>
      <c r="B409" s="7" t="inlineStr">
        <is>
          <t>Digital Markets Act</t>
        </is>
      </c>
      <c r="C409" s="7" t="inlineStr">
        <is>
          <t>evidence</t>
        </is>
      </c>
      <c r="D409" s="7" t="inlineStr">
        <is>
          <t>consultancy or industry</t>
        </is>
      </c>
      <c r="E409" s="7" t="inlineStr">
        <is>
          <t>2026-10 broadened search</t>
        </is>
      </c>
      <c r="F409" s="7" t="inlineStr">
        <is>
          <t>choi-2025-appprices</t>
        </is>
      </c>
      <c r="G409" s="7" t="inlineStr">
        <is>
          <t>Jane Choi (Analysis Group) (2025), What Happens to App Prices when Developers Pay Lower Commission Fees? Evidence from the European Union, Analysis Group study, November 2025 (hosted by Apple)</t>
        </is>
      </c>
      <c r="H409" s="7" t="n">
        <v>2025</v>
      </c>
      <c r="I409" s="7" t="inlineStr">
        <is>
          <t>consultancy report</t>
        </is>
      </c>
      <c r="J409" s="7" t="inlineStr">
        <is>
          <t>before-after comparison of prices 90 days before and after enrolment in Apple's DMA alternative business terms, ~21,000 apps/in-app purchases, 41m+ transactions; no control group</t>
        </is>
      </c>
      <c r="K409" s="7" t="inlineStr">
        <is>
          <t>App Store prices; pass-through of commission cuts; distribution of savings</t>
        </is>
      </c>
      <c r="L409" s="7" t="inlineStr">
        <is>
          <t>no effect</t>
        </is>
      </c>
      <c r="M409" s="7" t="inlineStr">
        <is>
          <t>Despite commission rates falling about 10 percentage points, developers kept prices the same or raised them on 91% of products; more than 86% of the EUR 20.1m in savings went to non-EU developers.</t>
        </is>
      </c>
      <c r="N409" s="7" t="inlineStr">
        <is>
          <t>When Apple cut its fees for EU apps under the DMA, app makers mostly did not lower prices for users; they kept the savings, and most of the money went to developers outside the EU.</t>
        </is>
      </c>
      <c r="O409" s="7" t="inlineStr">
        <is>
          <t>March-September 2024 enrolment cohorts; EU App Store storefronts</t>
        </is>
      </c>
      <c r="P409" s="7" t="inlineStr">
        <is>
          <t>Descriptive before-after design without control group; Apple data; does not cover alternative marketplaces.</t>
        </is>
      </c>
      <c r="Q409" s="7" t="inlineStr">
        <is>
          <t>Funded by Apple, a designated gatekeeper</t>
        </is>
      </c>
      <c r="R409" s="7" t="inlineStr">
        <is>
          <t>open</t>
        </is>
      </c>
      <c r="S409" s="7" t="inlineStr">
        <is>
          <t>abstract read</t>
        </is>
      </c>
      <c r="T409" s="7" t="inlineStr">
        <is>
          <t>2026-10-10</t>
        </is>
      </c>
      <c r="U409" s="7" t="inlineStr">
        <is>
          <t>https://developer.apple.com/download/files/DMA-Study-Nov-2025.pdf</t>
        </is>
      </c>
      <c r="V409" s="7" t="inlineStr">
        <is>
          <t>https://developer.apple.com/download/files/DMA-Study-Nov-2025.pdf</t>
        </is>
      </c>
      <c r="W409" s="7" t="inlineStr"/>
    </row>
    <row r="410">
      <c r="A410" s="7" t="n">
        <v>59</v>
      </c>
      <c r="B410" s="7" t="inlineStr">
        <is>
          <t>Digital Markets Act</t>
        </is>
      </c>
      <c r="C410" s="7" t="inlineStr">
        <is>
          <t>evidence</t>
        </is>
      </c>
      <c r="D410" s="7" t="inlineStr">
        <is>
          <t>think tank</t>
        </is>
      </c>
      <c r="E410" s="7" t="inlineStr">
        <is>
          <t>2026-10 broadened search</t>
        </is>
      </c>
      <c r="F410" s="7" t="inlineStr">
        <is>
          <t>auer-2026-icle-sevenclaims</t>
        </is>
      </c>
      <c r="G410" s="7" t="inlineStr">
        <is>
          <t>Dirk Auer (ICLE) (2026), The Commission's Seven Claims, Tested, International Center for Law &amp; Economics</t>
        </is>
      </c>
      <c r="H410" s="7" t="n">
        <v>2026</v>
      </c>
      <c r="I410" s="7" t="inlineStr">
        <is>
          <t>think tank report</t>
        </is>
      </c>
      <c r="J410" s="7" t="inlineStr">
        <is>
          <t>structured qualitative assessment of the seven core claims in the Commission's April 2026 DMA review, against published evidence</t>
        </is>
      </c>
      <c r="K410" s="7" t="inlineStr">
        <is>
          <t>contestability, consumer welfare, user data control, legal certainty</t>
        </is>
      </c>
      <c r="L410" s="7" t="inlineStr">
        <is>
          <t>negative</t>
        </is>
      </c>
      <c r="M410" s="7" t="inlineStr">
        <is>
          <t>Argues the Commission's evidence of DMA success (e.g. 250% more Aloha browser users, Firefox iOS users doubling in Germany and France) is vendor-reported input counts without a counterfactual, and that net consumer-welfare effects are mixed and for several provisions likely negative.</t>
        </is>
      </c>
      <c r="N410" s="7" t="inlineStr">
        <is>
          <t>A critical think-tank scorecard of the Commission's own DMA review: it says the Commission counts activity (new app stores, more browser downloads) rather than real benefits to users and ignores costs.</t>
        </is>
      </c>
      <c r="O410" s="7" t="inlineStr">
        <is>
          <t>2024-2026; EU</t>
        </is>
      </c>
      <c r="P410" s="7" t="inlineStr">
        <is>
          <t>Structured critique, no new data; relies on selected secondary studies; strongly critical prior position.</t>
        </is>
      </c>
      <c r="Q410" s="7" t="inlineStr">
        <is>
          <t>ICLE is a long-standing DMA critic and receives funding from technology companies</t>
        </is>
      </c>
      <c r="R410" s="7" t="inlineStr">
        <is>
          <t>open</t>
        </is>
      </c>
      <c r="S410" s="7" t="inlineStr">
        <is>
          <t>abstract read</t>
        </is>
      </c>
      <c r="T410" s="7" t="inlineStr">
        <is>
          <t>2026-10-10</t>
        </is>
      </c>
      <c r="U410" s="7" t="inlineStr">
        <is>
          <t>https://laweconcenter.org/resources/the-commissions-seven-claims-tested/</t>
        </is>
      </c>
      <c r="V410" s="7" t="inlineStr"/>
      <c r="W410" s="7" t="inlineStr"/>
    </row>
    <row r="411">
      <c r="A411" s="7" t="n">
        <v>59</v>
      </c>
      <c r="B411" s="7" t="inlineStr">
        <is>
          <t>Digital Markets Act</t>
        </is>
      </c>
      <c r="C411" s="7" t="inlineStr">
        <is>
          <t>evidence</t>
        </is>
      </c>
      <c r="D411" s="7" t="inlineStr">
        <is>
          <t>consultancy or industry</t>
        </is>
      </c>
      <c r="E411" s="7" t="inlineStr">
        <is>
          <t>2026-10 broadened search</t>
        </is>
      </c>
      <c r="F411" s="7" t="inlineStr">
        <is>
          <t>mirai-2024-hotelads</t>
        </is>
      </c>
      <c r="G411" s="7" t="inlineStr">
        <is>
          <t>Javier Delgado (Mirai) (2024), DMA implementation sinks 30% of clicks and bookings on Google Hotel Ads, Mirai blog, May 2024</t>
        </is>
      </c>
      <c r="H411" s="7" t="n">
        <v>2024</v>
      </c>
      <c r="I411" s="7" t="inlineStr">
        <is>
          <t>industry analysis</t>
        </is>
      </c>
      <c r="J411" s="7" t="inlineStr">
        <is>
          <t>comparison of Google Hotel Ads click volumes for 3,450 hotels in DMA vs non-DMA markets, 1 Jan-22 Apr 2024 (difference-style comparison, no formal model)</t>
        </is>
      </c>
      <c r="K411" s="7" t="inlineStr">
        <is>
          <t>Google Hotel Ads clicks and direct hotel bookings</t>
        </is>
      </c>
      <c r="L411" s="7" t="inlineStr">
        <is>
          <t>negative</t>
        </is>
      </c>
      <c r="M411" s="7" t="inlineStr">
        <is>
          <t>Google Hotel Ads clicks fell about 30% in DMA-affected markets relative to non-DMA markets in the three months after Google's DMA changes.</t>
        </is>
      </c>
      <c r="N411" s="7" t="inlineStr">
        <is>
          <t>A hotel booking-technology firm found that after Google changed EU search results for the DMA, hotels got about 30% fewer clicks from Google's hotel ads compared with markets outside the EU.</t>
        </is>
      </c>
      <c r="O411" s="7" t="inlineStr">
        <is>
          <t>Jan-Apr 2024; EU vs non-EU markets, 3,450 client hotels</t>
        </is>
      </c>
      <c r="P411" s="7" t="inlineStr">
        <is>
          <t>Simple treated-vs-control comparison on a vendor's client base; short window; no statistical testing reported.</t>
        </is>
      </c>
      <c r="Q411" s="7" t="inlineStr">
        <is>
          <t>Mirai sells hotel direct-booking and metasearch services</t>
        </is>
      </c>
      <c r="R411" s="7" t="inlineStr">
        <is>
          <t>open</t>
        </is>
      </c>
      <c r="S411" s="7" t="inlineStr">
        <is>
          <t>abstract read</t>
        </is>
      </c>
      <c r="T411" s="7" t="inlineStr">
        <is>
          <t>2026-10-10</t>
        </is>
      </c>
      <c r="U411" s="7" t="inlineStr">
        <is>
          <t>https://www.mirai.com/blog/dma-implementation-sinks-30-of-clicks-and-bookings-on-google-hotel-ads/</t>
        </is>
      </c>
      <c r="V411" s="7" t="inlineStr"/>
      <c r="W411" s="7" t="inlineStr"/>
    </row>
    <row r="412">
      <c r="A412" s="7" t="n">
        <v>59</v>
      </c>
      <c r="B412" s="7" t="inlineStr">
        <is>
          <t>Digital Markets Act</t>
        </is>
      </c>
      <c r="C412" s="7" t="inlineStr">
        <is>
          <t>evidence</t>
        </is>
      </c>
      <c r="D412" s="7" t="inlineStr">
        <is>
          <t>consultancy or industry</t>
        </is>
      </c>
      <c r="E412" s="7" t="inlineStr">
        <is>
          <t>2026-10 broadened search</t>
        </is>
      </c>
      <c r="F412" s="7" t="inlineStr">
        <is>
          <t>mirai-2024-directbookings</t>
        </is>
      </c>
      <c r="G412" s="7" t="inlineStr">
        <is>
          <t>Pablo Delgado (Mirai) (2024), DMA impact on hotels: 0.8% loss of direct reservations, Mirai blog, October 2024</t>
        </is>
      </c>
      <c r="H412" s="7" t="n">
        <v>2024</v>
      </c>
      <c r="I412" s="7" t="inlineStr">
        <is>
          <t>industry analysis</t>
        </is>
      </c>
      <c r="J412" s="7" t="inlineStr">
        <is>
          <t>before-after comparison (8 months either side of 19 Jan 2024) of Google Analytics 4 booking attribution for 3,000+ hotels, EU vs non-EU</t>
        </is>
      </c>
      <c r="K412" s="7" t="inlineStr">
        <is>
          <t>share of direct hotel bookings by source (Google Hotels, Ads, organic, metasearch)</t>
        </is>
      </c>
      <c r="L412" s="7" t="inlineStr">
        <is>
          <t>negative</t>
        </is>
      </c>
      <c r="M412" s="7" t="inlineStr">
        <is>
          <t>Google Hotels' share of EU hotels' direct bookings fell from 13.4% to 8.9%; after partial recapture via other channels, the net loss of direct reservations was about 0.8%.</t>
        </is>
      </c>
      <c r="N412" s="7" t="inlineStr">
        <is>
          <t>Using booking data from over 3,000 hotels, the firm found the DMA changes cut bookings coming via Google's hotel box, but hotels won most of this back through other Google channels, for a net loss of under 1% of direct bookings.</t>
        </is>
      </c>
      <c r="O412" s="7" t="inlineStr">
        <is>
          <t>May 2023-Sept 2024; EU vs non-EU markets</t>
        </is>
      </c>
      <c r="P412" s="7" t="inlineStr">
        <is>
          <t>Descriptive share comparison on vendor client base; attribution-model dependent; no statistical inference.</t>
        </is>
      </c>
      <c r="Q412" s="7" t="inlineStr">
        <is>
          <t>Mirai sells hotel direct-booking and metasearch services</t>
        </is>
      </c>
      <c r="R412" s="7" t="inlineStr">
        <is>
          <t>open</t>
        </is>
      </c>
      <c r="S412" s="7" t="inlineStr">
        <is>
          <t>abstract read</t>
        </is>
      </c>
      <c r="T412" s="7" t="inlineStr">
        <is>
          <t>2026-10-10</t>
        </is>
      </c>
      <c r="U412" s="7" t="inlineStr">
        <is>
          <t>https://www.mirai.com/blog/dma-impact-on-hotels-0-8-loss-of-direct-reservations/</t>
        </is>
      </c>
      <c r="V412" s="7" t="inlineStr"/>
      <c r="W412" s="7" t="inlineStr"/>
    </row>
    <row r="413">
      <c r="A413" s="7" t="n">
        <v>59</v>
      </c>
      <c r="B413" s="7" t="inlineStr">
        <is>
          <t>Digital Markets Act</t>
        </is>
      </c>
      <c r="C413" s="7" t="inlineStr">
        <is>
          <t>evidence</t>
        </is>
      </c>
      <c r="D413" s="7" t="inlineStr">
        <is>
          <t>think tank</t>
        </is>
      </c>
      <c r="E413" s="7" t="inlineStr">
        <is>
          <t>2026-10 broadened search</t>
        </is>
      </c>
      <c r="F413" s="7" t="inlineStr">
        <is>
          <t>beuc-2025-dma-first-bloom</t>
        </is>
      </c>
      <c r="G413" s="7" t="inlineStr">
        <is>
          <t>BEUC (The European Consumer Organisation) (2025), First bloom: increased consumer choice after eighteen months of the DMA, BEUC report BEUC-X-2025-101</t>
        </is>
      </c>
      <c r="H413" s="7" t="n">
        <v>2025</v>
      </c>
      <c r="I413" s="7" t="inlineStr">
        <is>
          <t>think tank report</t>
        </is>
      </c>
      <c r="J413" s="7" t="inlineStr">
        <is>
          <t>structured qualitative assessment of compliance changes and open non-compliance issues (submission to the Commission's DMA review consultation)</t>
        </is>
      </c>
      <c r="K413" s="7" t="inlineStr">
        <is>
          <t>consumer choice (browser choice screen, default apps, NFC payments, account creation); enforcement gaps</t>
        </is>
      </c>
      <c r="L413" s="7" t="inlineStr">
        <is>
          <t>positive</t>
        </is>
      </c>
      <c r="M413" s="7" t="inlineStr">
        <is>
          <t>Identifies four concrete consumer benefits after 18 months (iOS browser choice screen, default-app choice on iOS, contactless payments without Apple Pay, Google account without Gmail) while listing ongoing suspected non-compliance.</t>
        </is>
      </c>
      <c r="N413" s="7" t="inlineStr">
        <is>
          <t>Europe's consumer federation says the DMA has already given people more choice on their phones and Google accounts, but that enforcement against the big platforms must get tougher.</t>
        </is>
      </c>
      <c r="O413" s="7" t="inlineStr">
        <is>
          <t>EU, March 2024 - autumn 2025</t>
        </is>
      </c>
      <c r="P413" s="7" t="inlineStr">
        <is>
          <t>Qualitative stocktake without quantitative outcome data; author campaigns for strong DMA enforcement.</t>
        </is>
      </c>
      <c r="Q413" s="7" t="inlineStr">
        <is>
          <t>Campaigning consumer organisation (pro-enforcement); EU co-funded</t>
        </is>
      </c>
      <c r="R413" s="7" t="inlineStr">
        <is>
          <t>open</t>
        </is>
      </c>
      <c r="S413" s="7" t="inlineStr">
        <is>
          <t>full text read</t>
        </is>
      </c>
      <c r="T413" s="7" t="inlineStr">
        <is>
          <t>2026-10-10</t>
        </is>
      </c>
      <c r="U413" s="7" t="inlineStr">
        <is>
          <t>https://www.beuc.eu/reports/first-bloom-increased-consumer-choice-after-eighteen-months-dma</t>
        </is>
      </c>
      <c r="V413" s="7" t="inlineStr">
        <is>
          <t>https://www.beuc.eu/sites/default/files/publications/BEUC-X-2025-101_Increased_consumer_choice_after_eighteen_months_of_the_DMA.pdf</t>
        </is>
      </c>
      <c r="W413" s="7" t="inlineStr"/>
    </row>
    <row r="414">
      <c r="A414" s="7" t="n">
        <v>59</v>
      </c>
      <c r="B414" s="7" t="inlineStr">
        <is>
          <t>Digital Markets Act</t>
        </is>
      </c>
      <c r="C414" s="7" t="inlineStr">
        <is>
          <t>evidence</t>
        </is>
      </c>
      <c r="D414" s="7" t="inlineStr">
        <is>
          <t>think tank</t>
        </is>
      </c>
      <c r="E414" s="7" t="inlineStr">
        <is>
          <t>2026-10 broadened search</t>
        </is>
      </c>
      <c r="F414" s="7" t="inlineStr">
        <is>
          <t>feasey-2026-cerre-dma-impact</t>
        </is>
      </c>
      <c r="G414" s="7" t="inlineStr">
        <is>
          <t>Richard Feasey, Giorgio Monti, Alexandre de Streel (CERRE) (2026), Assessing and Improving the DMA's Impact (Issue Paper, DMA@2: Towards Stronger Governance and Evaluation?), CERRE Issue Paper, February 2026</t>
        </is>
      </c>
      <c r="H414" s="7" t="n">
        <v>2026</v>
      </c>
      <c r="I414" s="7" t="inlineStr">
        <is>
          <t>think tank report</t>
        </is>
      </c>
      <c r="J414" s="7" t="inlineStr">
        <is>
          <t>review of available evidence (compliance reports, Commission annual reports, ad hoc studies) plus interviews with gatekeepers and business users; proposes evaluation framework</t>
        </is>
      </c>
      <c r="K414" s="7" t="inlineStr">
        <is>
          <t>quality of evidence on DMA impact; evaluation framework and output indicators</t>
        </is>
      </c>
      <c r="L414" s="7" t="inlineStr">
        <is>
          <t>descriptive</t>
        </is>
      </c>
      <c r="M414" s="7" t="inlineStr">
        <is>
          <t>Concludes that gatekeeper compliance reports, Commission annual reports and ad hoc studies to date 'do not provide a good basis for understanding the impact of the DMA' and urges mandatory gatekeeper data reporting.</t>
        </is>
      </c>
      <c r="N414" s="7" t="inlineStr">
        <is>
          <t>Brussels think tank finds there is still too little data to say what the DMA has achieved, and proposes the Commission force gatekeepers to collect and report the data needed.</t>
        </is>
      </c>
      <c r="O414" s="7" t="inlineStr">
        <is>
          <t>EU, 2023-early 2026</t>
        </is>
      </c>
      <c r="P414" s="7" t="inlineStr">
        <is>
          <t>Mainly an evaluation-design paper with interview input; no new quantitative estimates.</t>
        </is>
      </c>
      <c r="Q414" s="7" t="inlineStr">
        <is>
          <t>Project supported by CERRE members including Amazon, Apple, Google, DuckDuckGo, Mozilla, Qualcomm and regulators (ACM, Arcep, EETT)</t>
        </is>
      </c>
      <c r="R414" s="7" t="inlineStr">
        <is>
          <t>open</t>
        </is>
      </c>
      <c r="S414" s="7" t="inlineStr">
        <is>
          <t>abstract read</t>
        </is>
      </c>
      <c r="T414" s="7" t="inlineStr">
        <is>
          <t>2026-10-10</t>
        </is>
      </c>
      <c r="U414" s="7" t="inlineStr">
        <is>
          <t>https://cerre.eu/publications/dma2-towards-stronger-governance-and-evaluation/</t>
        </is>
      </c>
      <c r="V414" s="7" t="inlineStr">
        <is>
          <t>https://cerre.eu/wp-content/uploads/2026/02/CERRE_Assessing-and-Improving-DMA-Impact.pdf</t>
        </is>
      </c>
      <c r="W414" s="7" t="inlineStr"/>
    </row>
    <row r="415">
      <c r="A415" s="7" t="n">
        <v>59</v>
      </c>
      <c r="B415" s="7" t="inlineStr">
        <is>
          <t>Digital Markets Act</t>
        </is>
      </c>
      <c r="C415" s="7" t="inlineStr">
        <is>
          <t>evidence</t>
        </is>
      </c>
      <c r="D415" s="7" t="inlineStr">
        <is>
          <t>think tank</t>
        </is>
      </c>
      <c r="E415" s="7" t="inlineStr">
        <is>
          <t>2026-10 broadened search</t>
        </is>
      </c>
      <c r="F415" s="7" t="inlineStr">
        <is>
          <t>scottmorton-2026-tobin-dma-review</t>
        </is>
      </c>
      <c r="G415" s="7" t="inlineStr">
        <is>
          <t>Fiona Scott Morton, Alissa Cooper, Jacques Crémer, Amelia Fletcher, Paul Heidhues, Giorgio Monti, Rupprecht Podszun, Alexandre de Streel, Tracy Xu (2026), Comments on the First Review of the Digital Markets Act, Yale Tobin Center for Economic Policy, February 2026</t>
        </is>
      </c>
      <c r="H415" s="7" t="n">
        <v>2026</v>
      </c>
      <c r="I415" s="7" t="inlineStr">
        <is>
          <t>think tank policy brief</t>
        </is>
      </c>
      <c r="J415" s="7" t="inlineStr">
        <is>
          <t>structured expert assessment of the state of DMA enforcement and compliance as of end-2025, with list of enforcement actions and their results</t>
        </is>
      </c>
      <c r="K415" s="7" t="inlineStr">
        <is>
          <t>enforcement actions and outcomes; compliance challenges; recommendations</t>
        </is>
      </c>
      <c r="L415" s="7" t="inlineStr">
        <is>
          <t>mixed</t>
        </is>
      </c>
      <c r="M415" s="7" t="inlineStr">
        <is>
          <t>Reviews DMA enforcement actions and results to end-2025 and notes a broadly shared assessment that compliance reports alone are insufficient, recommending changes for the 2026 review.</t>
        </is>
      </c>
      <c r="N415" s="7" t="inlineStr">
        <is>
          <t>A group of economists and lawyers takes stock of what DMA enforcement has achieved by the end of 2025 and lists where it falls short.</t>
        </is>
      </c>
      <c r="O415" s="7" t="inlineStr">
        <is>
          <t>EU, 2023-2025</t>
        </is>
      </c>
      <c r="P415" s="7" t="inlineStr">
        <is>
          <t>Expert synthesis by a university policy centre; descriptive, no causal estimates; several authors also wrote other DMA pieces.</t>
        </is>
      </c>
      <c r="Q415" s="7" t="inlineStr">
        <is>
          <t>Authors include prominent advocates of digital platform regulation</t>
        </is>
      </c>
      <c r="R415" s="7" t="inlineStr">
        <is>
          <t>open</t>
        </is>
      </c>
      <c r="S415" s="7" t="inlineStr">
        <is>
          <t>full text read</t>
        </is>
      </c>
      <c r="T415" s="7" t="inlineStr">
        <is>
          <t>2026-10-10</t>
        </is>
      </c>
      <c r="U415" s="7" t="inlineStr">
        <is>
          <t>https://tobin.yale.edu/research/comments-first-review-digital-markets-act</t>
        </is>
      </c>
      <c r="V415" s="7" t="inlineStr">
        <is>
          <t>https://tobin.yale.edu/sites/default/files/2026-02/Comments%20on%20the%20First%20Review%20of%20the%20Digital%20Markets%20Act.pdf</t>
        </is>
      </c>
      <c r="W415" s="7" t="inlineStr"/>
    </row>
    <row r="416">
      <c r="A416" s="7" t="n">
        <v>59</v>
      </c>
      <c r="B416" s="7" t="inlineStr">
        <is>
          <t>Digital Markets Act</t>
        </is>
      </c>
      <c r="C416" s="7" t="inlineStr">
        <is>
          <t>evidence</t>
        </is>
      </c>
      <c r="D416" s="7" t="inlineStr">
        <is>
          <t>academic</t>
        </is>
      </c>
      <c r="E416" s="7" t="inlineStr">
        <is>
          <t>2026-10 broadened search</t>
        </is>
      </c>
      <c r="F416" s="7" t="inlineStr">
        <is>
          <t>petr-2026-dma-first-years</t>
        </is>
      </c>
      <c r="G416" s="7" t="inlineStr">
        <is>
          <t>Michal Petr (2026), The Digital Markets Act: What Have We Learned after the First Years of Its Application?, Białostockie Studia Prawnicze 31(1): 155-177</t>
        </is>
      </c>
      <c r="H416" s="7" t="n">
        <v>2026</v>
      </c>
      <c r="I416" s="7" t="inlineStr">
        <is>
          <t>peer-reviewed article</t>
        </is>
      </c>
      <c r="J416" s="7" t="inlineStr">
        <is>
          <t>legal-qualitative review of Commission practice, case law and observable market effects</t>
        </is>
      </c>
      <c r="K416" s="7" t="inlineStr">
        <is>
          <t>clarity of DMA concepts; practical impact; consumer digital rights</t>
        </is>
      </c>
      <c r="L416" s="7" t="inlineStr">
        <is>
          <t>descriptive</t>
        </is>
      </c>
      <c r="M416" s="7" t="inlineStr">
        <is>
          <t>Asks whether the DMA has had measurable market effects and evaluates its practical impact in the light of Commission practice and case law (abstract does not report numbers).</t>
        </is>
      </c>
      <c r="N416" s="7" t="inlineStr">
        <is>
          <t>A Czech law professor reviews the first years of the DMA to see whether it has changed markets and improved consumers' digital rights.</t>
        </is>
      </c>
      <c r="O416" s="7" t="inlineStr">
        <is>
          <t>EU, 2023-2025</t>
        </is>
      </c>
      <c r="P416" s="7" t="inlineStr">
        <is>
          <t>Mostly legal analysis with qualitative impact discussion; low weight as empirical evidence.</t>
        </is>
      </c>
      <c r="Q416" s="7" t="inlineStr"/>
      <c r="R416" s="7" t="inlineStr">
        <is>
          <t>open</t>
        </is>
      </c>
      <c r="S416" s="7" t="inlineStr">
        <is>
          <t>abstract read</t>
        </is>
      </c>
      <c r="T416" s="7" t="inlineStr">
        <is>
          <t>2026-10-10</t>
        </is>
      </c>
      <c r="U416" s="7" t="inlineStr">
        <is>
          <t>https://doi.org/10.15290/bsp.2026.31.01.09</t>
        </is>
      </c>
      <c r="V416" s="7" t="inlineStr"/>
      <c r="W416" s="7" t="inlineStr"/>
    </row>
    <row r="417">
      <c r="A417" s="7" t="n">
        <v>60</v>
      </c>
      <c r="B417" s="7" t="inlineStr">
        <is>
          <t>Digital Services Act</t>
        </is>
      </c>
      <c r="C417" s="7" t="inlineStr">
        <is>
          <t>ex-ante assessment</t>
        </is>
      </c>
      <c r="D417" s="7" t="inlineStr">
        <is>
          <t>official</t>
        </is>
      </c>
      <c r="E417" s="7" t="inlineStr">
        <is>
          <t>initial review</t>
        </is>
      </c>
      <c r="F417" s="7" t="inlineStr">
        <is>
          <t>ec-2020-dsa-ia</t>
        </is>
      </c>
      <c r="G417" s="7" t="inlineStr">
        <is>
          <t>European Commission (2020), Impact Assessment accompanying the DSA proposal (executive summary SWD(2020) 349), SWD(2020) 348</t>
        </is>
      </c>
      <c r="H417" s="7" t="n">
        <v>2020</v>
      </c>
      <c r="I417" s="7" t="inlineStr">
        <is>
          <t>Commission impact assessment</t>
        </is>
      </c>
      <c r="J417" s="7" t="inlineStr">
        <is>
          <t>ex-ante</t>
        </is>
      </c>
      <c r="K417" s="7" t="inlineStr">
        <is>
          <t>cross-border trade; compliance costs</t>
        </is>
      </c>
      <c r="L417" s="7" t="inlineStr">
        <is>
          <t>positive (forecast)</t>
        </is>
      </c>
      <c r="M417" s="7" t="inlineStr">
        <is>
          <t>Cross-border digital trade expected to rise 1-1.8%; direct costs proportionate to size and reach; less legal fragmentation</t>
        </is>
      </c>
      <c r="N417" s="7" t="inlineStr">
        <is>
          <t>The Commission expected the DSA to raise cross-border digital trade by 1-1.8% by replacing diverging national rules.</t>
        </is>
      </c>
      <c r="O417" s="7" t="inlineStr">
        <is>
          <t>EU, forecast</t>
        </is>
      </c>
      <c r="P417" s="7" t="inlineStr">
        <is>
          <t>forecast</t>
        </is>
      </c>
      <c r="Q417" s="7" t="inlineStr"/>
      <c r="R417" s="7" t="inlineStr">
        <is>
          <t>open</t>
        </is>
      </c>
      <c r="S417" s="7" t="inlineStr">
        <is>
          <t>full text read</t>
        </is>
      </c>
      <c r="T417" s="7" t="inlineStr">
        <is>
          <t>2026-10-10</t>
        </is>
      </c>
      <c r="U417" s="7" t="inlineStr">
        <is>
          <t>https://eur-lex.europa.eu/legal-content/EN/TXT/?uri=CELEX:52020SC0349</t>
        </is>
      </c>
      <c r="V417" s="7" t="inlineStr"/>
      <c r="W417" s="7" t="inlineStr">
        <is>
          <t>http://web.archive.org/web/20240527030044/https://eur-lex.europa.eu/legal-content/EN/TXT/?uri=celex%3A52020SC0349</t>
        </is>
      </c>
    </row>
    <row r="418">
      <c r="A418" s="7" t="n">
        <v>60</v>
      </c>
      <c r="B418" s="7" t="inlineStr">
        <is>
          <t>Digital Services Act</t>
        </is>
      </c>
      <c r="C418" s="7" t="inlineStr">
        <is>
          <t>enforcement or case law</t>
        </is>
      </c>
      <c r="D418" s="7" t="inlineStr">
        <is>
          <t>official</t>
        </is>
      </c>
      <c r="E418" s="7" t="inlineStr">
        <is>
          <t>initial review</t>
        </is>
      </c>
      <c r="F418" s="7" t="inlineStr">
        <is>
          <t>ec-2025-x-dsa-fine</t>
        </is>
      </c>
      <c r="G418" s="7" t="inlineStr">
        <is>
          <t>European Commission (2025), First DSA non-compliance decision: X fined EUR 120 million, Decision of 5 December 2025 (as reported by eucrim)</t>
        </is>
      </c>
      <c r="H418" s="7" t="n">
        <v>2025</v>
      </c>
      <c r="I418" s="7" t="inlineStr">
        <is>
          <t>Commission enforcement (secondary report)</t>
        </is>
      </c>
      <c r="J418" s="7" t="inlineStr">
        <is>
          <t>enforcement record</t>
        </is>
      </c>
      <c r="K418" s="7" t="inlineStr">
        <is>
          <t>sanctions</t>
        </is>
      </c>
      <c r="L418" s="7" t="inlineStr">
        <is>
          <t>n/a</t>
        </is>
      </c>
      <c r="M418" s="7" t="inlineStr">
        <is>
          <t>EUR 120m for deceptive 'blue checkmark' verification, inadequate advertising repository and refusing researchers access to public data</t>
        </is>
      </c>
      <c r="N418" s="7" t="inlineStr">
        <is>
          <t>The first DSA fine: EUR 120 million against X for misleading verification badges, an incomplete ad library and blocking researchers.</t>
        </is>
      </c>
      <c r="O418" s="7" t="inlineStr">
        <is>
          <t>EU</t>
        </is>
      </c>
      <c r="P418" s="7" t="inlineStr">
        <is>
          <t>secondary report of Commission decision</t>
        </is>
      </c>
      <c r="Q418" s="7" t="inlineStr"/>
      <c r="R418" s="7" t="inlineStr">
        <is>
          <t>open</t>
        </is>
      </c>
      <c r="S418" s="7" t="inlineStr">
        <is>
          <t>page summary via search</t>
        </is>
      </c>
      <c r="T418" s="7" t="inlineStr">
        <is>
          <t>2026-10-10</t>
        </is>
      </c>
      <c r="U418" s="7" t="inlineStr">
        <is>
          <t>https://eucrim.eu/news/eu-fines-x-120-million-in-first-dsa-non-compliance-decision/</t>
        </is>
      </c>
      <c r="V418" s="7" t="inlineStr"/>
      <c r="W418" s="7" t="inlineStr"/>
    </row>
    <row r="419">
      <c r="A419" s="7" t="n">
        <v>60</v>
      </c>
      <c r="B419" s="7" t="inlineStr">
        <is>
          <t>Digital Services Act</t>
        </is>
      </c>
      <c r="C419" s="7" t="inlineStr">
        <is>
          <t>evidence</t>
        </is>
      </c>
      <c r="D419" s="7" t="inlineStr">
        <is>
          <t>academic</t>
        </is>
      </c>
      <c r="E419" s="7" t="inlineStr">
        <is>
          <t>initial review</t>
        </is>
      </c>
      <c r="F419" s="7" t="inlineStr">
        <is>
          <t>kaushal-et-al-2024</t>
        </is>
      </c>
      <c r="G419" s="7" t="inlineStr">
        <is>
          <t>Kaushal, van de Kerkhof, Goanta, Spanakis &amp; Iamnitchi (2024), Automated Transparency: A Legal and Empirical Analysis of the Digital Services Act Transparency Database, ACM FAccT 2024 (arXiv 2404.02894)</t>
        </is>
      </c>
      <c r="H419" s="7" t="n">
        <v>2024</v>
      </c>
      <c r="I419" s="7" t="inlineStr">
        <is>
          <t>peer-reviewed (conference)</t>
        </is>
      </c>
      <c r="J419" s="7" t="inlineStr">
        <is>
          <t>descriptive (sample of 131m statements of reasons, Nov 2023)</t>
        </is>
      </c>
      <c r="K419" s="7" t="inlineStr">
        <is>
          <t>transparency; content moderation</t>
        </is>
      </c>
      <c r="L419" s="7" t="inlineStr">
        <is>
          <t>mixed</t>
        </is>
      </c>
      <c r="M419" s="7" t="inlineStr">
        <is>
          <t>Some transparency gains, but compliance problematic because the database lets platforms exercise wide discretion; terms-of-service grounds dominate over illegal content</t>
        </is>
      </c>
      <c r="N419" s="7" t="inlineStr">
        <is>
          <t>The DSA's public database of moderation decisions adds some transparency, but platforms report so inconsistently that it is hard to rely on.</t>
        </is>
      </c>
      <c r="O419" s="7" t="inlineStr">
        <is>
          <t>EU, Nov 2023</t>
        </is>
      </c>
      <c r="P419" s="7" t="inlineStr">
        <is>
          <t>descriptive; early period</t>
        </is>
      </c>
      <c r="Q419" s="7" t="inlineStr"/>
      <c r="R419" s="7" t="inlineStr">
        <is>
          <t>open</t>
        </is>
      </c>
      <c r="S419" s="7" t="inlineStr">
        <is>
          <t>abstract read</t>
        </is>
      </c>
      <c r="T419" s="7" t="inlineStr">
        <is>
          <t>2026-10-10</t>
        </is>
      </c>
      <c r="U419" s="7" t="inlineStr">
        <is>
          <t>https://arxiv.org/abs/2404.02894</t>
        </is>
      </c>
      <c r="V419" s="7" t="inlineStr">
        <is>
          <t>https://arxiv.org/pdf/2404.02894</t>
        </is>
      </c>
      <c r="W419" s="7" t="inlineStr">
        <is>
          <t>http://web.archive.org/web/20260810112321/https://arxiv.org/abs/2404.02894</t>
        </is>
      </c>
    </row>
    <row r="420">
      <c r="A420" s="7" t="n">
        <v>60</v>
      </c>
      <c r="B420" s="7" t="inlineStr">
        <is>
          <t>Digital Services Act</t>
        </is>
      </c>
      <c r="C420" s="7" t="inlineStr">
        <is>
          <t>evidence</t>
        </is>
      </c>
      <c r="D420" s="7" t="inlineStr">
        <is>
          <t>academic</t>
        </is>
      </c>
      <c r="E420" s="7" t="inlineStr">
        <is>
          <t>initial review</t>
        </is>
      </c>
      <c r="F420" s="7" t="inlineStr">
        <is>
          <t>trujillo-fagni-cresci-2023</t>
        </is>
      </c>
      <c r="G420" s="7" t="inlineStr">
        <is>
          <t>Trujillo, Fagni &amp; Cresci (2023), The DSA Transparency Database: Auditing Self-reported Moderation Actions by Social Media, arXiv 2312.10269</t>
        </is>
      </c>
      <c r="H420" s="7" t="n">
        <v>2023</v>
      </c>
      <c r="I420" s="7" t="inlineStr">
        <is>
          <t>working paper</t>
        </is>
      </c>
      <c r="J420" s="7" t="inlineStr">
        <is>
          <t>descriptive (all 353m records from 8 largest platforms, first 100 days)</t>
        </is>
      </c>
      <c r="K420" s="7" t="inlineStr">
        <is>
          <t>transparency; content moderation</t>
        </is>
      </c>
      <c r="L420" s="7" t="inlineStr">
        <is>
          <t>mixed</t>
        </is>
      </c>
      <c r="M420" s="7" t="inlineStr">
        <is>
          <t>Platforms adhered only in part to the database's structure; structure partly inadequate; large cross-platform differences; database contents inconsistent with platforms' own transparency reports</t>
        </is>
      </c>
      <c r="N420" s="7" t="inlineStr">
        <is>
          <t>An audit of 353 million moderation records found the big platforms only partly comply with the DSA database and that their submissions contradict their own reports.</t>
        </is>
      </c>
      <c r="O420" s="7" t="inlineStr">
        <is>
          <t>EU, Sept-Dec 2023</t>
        </is>
      </c>
      <c r="P420" s="7" t="inlineStr">
        <is>
          <t>descriptive</t>
        </is>
      </c>
      <c r="Q420" s="7" t="inlineStr"/>
      <c r="R420" s="7" t="inlineStr">
        <is>
          <t>open</t>
        </is>
      </c>
      <c r="S420" s="7" t="inlineStr">
        <is>
          <t>abstract read</t>
        </is>
      </c>
      <c r="T420" s="7" t="inlineStr">
        <is>
          <t>2026-10-10</t>
        </is>
      </c>
      <c r="U420" s="7" t="inlineStr">
        <is>
          <t>https://arxiv.org/abs/2312.10269</t>
        </is>
      </c>
      <c r="V420" s="7" t="inlineStr">
        <is>
          <t>https://arxiv.org/pdf/2312.10269</t>
        </is>
      </c>
      <c r="W420" s="7" t="inlineStr"/>
    </row>
    <row r="421">
      <c r="A421" s="7" t="n">
        <v>60</v>
      </c>
      <c r="B421" s="7" t="inlineStr">
        <is>
          <t>Digital Services Act</t>
        </is>
      </c>
      <c r="C421" s="7" t="inlineStr">
        <is>
          <t>evidence</t>
        </is>
      </c>
      <c r="D421" s="7" t="inlineStr">
        <is>
          <t>academic</t>
        </is>
      </c>
      <c r="E421" s="7" t="inlineStr">
        <is>
          <t>2026-10 broadened search</t>
        </is>
      </c>
      <c r="F421" s="7" t="inlineStr">
        <is>
          <t>drolsbach-2023-dsatdb</t>
        </is>
      </c>
      <c r="G421" s="7" t="inlineStr">
        <is>
          <t>Chiara Drolsbach, Nicolas Pröllochs (2023), Content Moderation on Social Media in the EU: Insights From the DSA Transparency Database, arXiv:2312.04431 (cs.SI)</t>
        </is>
      </c>
      <c r="H421" s="7" t="n">
        <v>2023</v>
      </c>
      <c r="I421" s="7" t="inlineStr">
        <is>
          <t>academic working paper</t>
        </is>
      </c>
      <c r="J421" s="7" t="inlineStr">
        <is>
          <t>descriptive analysis of 156 million Statements of Reasons in the DSA Transparency Database over two months</t>
        </is>
      </c>
      <c r="K421" s="7" t="inlineStr">
        <is>
          <t>frequency, grounds, automation and type of moderation decisions by platform</t>
        </is>
      </c>
      <c r="L421" s="7" t="inlineStr">
        <is>
          <t>descriptive</t>
        </is>
      </c>
      <c r="M421" s="7" t="inlineStr">
        <is>
          <t>TikTok made more than 350 times more moderation decisions per user than X/Twitter; most decisions were automated, while X reported relying solely on manual methods.</t>
        </is>
      </c>
      <c r="N421" s="7" t="inlineStr">
        <is>
          <t>Using the EU's new database of platform moderation decisions, the authors found platforms report in very different ways, which suggests the DSA is being applied unevenly.</t>
        </is>
      </c>
      <c r="O421" s="7" t="inlineStr">
        <is>
          <t>Sept-Nov 2023; EU, eight very large social media platforms</t>
        </is>
      </c>
      <c r="P421" s="7" t="inlineStr">
        <is>
          <t>Large-scale measurement of self-reported data; early window; no causal design.</t>
        </is>
      </c>
      <c r="Q421" s="7" t="inlineStr"/>
      <c r="R421" s="7" t="inlineStr">
        <is>
          <t>open</t>
        </is>
      </c>
      <c r="S421" s="7" t="inlineStr">
        <is>
          <t>abstract read</t>
        </is>
      </c>
      <c r="T421" s="7" t="inlineStr">
        <is>
          <t>2026-10-10</t>
        </is>
      </c>
      <c r="U421" s="7" t="inlineStr">
        <is>
          <t>https://arxiv.org/abs/2312.04431</t>
        </is>
      </c>
      <c r="V421" s="7" t="inlineStr">
        <is>
          <t>https://arxiv.org/pdf/2312.04431</t>
        </is>
      </c>
      <c r="W421" s="7" t="inlineStr"/>
    </row>
    <row r="422">
      <c r="A422" s="7" t="n">
        <v>60</v>
      </c>
      <c r="B422" s="7" t="inlineStr">
        <is>
          <t>Digital Services Act</t>
        </is>
      </c>
      <c r="C422" s="7" t="inlineStr">
        <is>
          <t>evidence</t>
        </is>
      </c>
      <c r="D422" s="7" t="inlineStr">
        <is>
          <t>academic</t>
        </is>
      </c>
      <c r="E422" s="7" t="inlineStr">
        <is>
          <t>2026-10 broadened search</t>
        </is>
      </c>
      <c r="F422" s="7" t="inlineStr">
        <is>
          <t>dergacheva-2023-oneday</t>
        </is>
      </c>
      <c r="G422" s="7" t="inlineStr">
        <is>
          <t>Daria Dergacheva, Vasilisa Kuznetsova, Rebecca Scharlach, Christian Katzenbach (2023), One Day in Content Moderation: Analyzing 24 h of Social Media Platforms' Content Decisions through the DSA Transparency Database, Lab Platform Governance, Media and Technology (ZeMKI), University of Bremen, technical report</t>
        </is>
      </c>
      <c r="H422" s="7" t="n">
        <v>2023</v>
      </c>
      <c r="I422" s="7" t="inlineStr">
        <is>
          <t>academic working paper</t>
        </is>
      </c>
      <c r="J422" s="7" t="inlineStr">
        <is>
          <t>descriptive analysis of one day of Statements of Reasons from eight VLOP social media platforms in the DSA Transparency Database</t>
        </is>
      </c>
      <c r="K422" s="7" t="inlineStr">
        <is>
          <t>volume, automation and categories of moderation decisions</t>
        </is>
      </c>
      <c r="L422" s="7" t="inlineStr">
        <is>
          <t>descriptive</t>
        </is>
      </c>
      <c r="M422" s="7" t="inlineStr">
        <is>
          <t>The eight platforms reported over 2 million moderation decisions in one day, about 68% automated, while X declared no automated decisions at all.</t>
        </is>
      </c>
      <c r="N422" s="7" t="inlineStr">
        <is>
          <t>A snapshot of one day of data that big platforms must send to the EU shows millions of moderation decisions, mostly automated, and big inconsistencies between how platforms describe them.</t>
        </is>
      </c>
      <c r="O422" s="7" t="inlineStr">
        <is>
          <t>One day in autumn 2023 (with checks on 4 and 10 Oct); EU</t>
        </is>
      </c>
      <c r="P422" s="7" t="inlineStr">
        <is>
          <t>One-day snapshot, descriptive; useful early compliance evidence only.</t>
        </is>
      </c>
      <c r="Q422" s="7" t="inlineStr"/>
      <c r="R422" s="7" t="inlineStr">
        <is>
          <t>open</t>
        </is>
      </c>
      <c r="S422" s="7" t="inlineStr">
        <is>
          <t>abstract read</t>
        </is>
      </c>
      <c r="T422" s="7" t="inlineStr">
        <is>
          <t>2026-10-10</t>
        </is>
      </c>
      <c r="U422" s="7" t="inlineStr">
        <is>
          <t>https://platform-governance.org/2023/one-day-in-content-moderation-by-social-media-platforms-in-the-eu/</t>
        </is>
      </c>
      <c r="V422" s="7" t="inlineStr"/>
      <c r="W422" s="7" t="inlineStr"/>
    </row>
    <row r="423">
      <c r="A423" s="7" t="n">
        <v>60</v>
      </c>
      <c r="B423" s="7" t="inlineStr">
        <is>
          <t>Digital Services Act</t>
        </is>
      </c>
      <c r="C423" s="7" t="inlineStr">
        <is>
          <t>evidence</t>
        </is>
      </c>
      <c r="D423" s="7" t="inlineStr">
        <is>
          <t>academic</t>
        </is>
      </c>
      <c r="E423" s="7" t="inlineStr">
        <is>
          <t>2026-10 broadened search</t>
        </is>
      </c>
      <c r="F423" s="7" t="inlineStr">
        <is>
          <t>tessa-2026-electionaudit</t>
        </is>
      </c>
      <c r="G423" s="7" t="inlineStr">
        <is>
          <t>Benedetta Tessa, Gautam Kishore Shahi, Amaury Trujillo, Stefano Cresci (2026), When Transparency Falls Short: Auditing Platform Moderation During a High-Stakes Election, EPJ Data Science (2026), doi:10.1140/epjds/s13688-026-00704-8; arXiv:2604.19285 (earlier version arXiv:2504.06976)</t>
        </is>
      </c>
      <c r="H423" s="7" t="n">
        <v>2026</v>
      </c>
      <c r="I423" s="7" t="inlineStr">
        <is>
          <t>peer-reviewed article</t>
        </is>
      </c>
      <c r="J423" s="7" t="inlineStr">
        <is>
          <t>time-series analysis of 1.58 billion self-reported moderation actions in the DSA Transparency Database by eight largest platforms over eight months around the 2024 European Parliament elections</t>
        </is>
      </c>
      <c r="K423" s="7" t="inlineStr">
        <is>
          <t>changes in moderation volume and strategy around elections; data quality</t>
        </is>
      </c>
      <c r="L423" s="7" t="inlineStr">
        <is>
          <t>no effect</t>
        </is>
      </c>
      <c r="M423" s="7" t="inlineStr">
        <is>
          <t>Across 1.58 billion moderation actions, platforms' self-reported enforcement patterns did not change significantly around the 2024 European Parliament elections, and transparency gaps persisted a year after the database launched.</t>
        </is>
      </c>
      <c r="N423" s="7" t="inlineStr">
        <is>
          <t>Platforms did not visibly change how they moderated content around the 2024 EU elections, according to the data they must report under the DSA, and that data still has big gaps.</t>
        </is>
      </c>
      <c r="O423" s="7" t="inlineStr">
        <is>
          <t>Eight months around June 2024; EU</t>
        </is>
      </c>
      <c r="P423" s="7" t="inlineStr">
        <is>
          <t>Large-scale interrupted-time-series style measurement; relies on self-reported data whose structure may hide changes.</t>
        </is>
      </c>
      <c r="Q423" s="7" t="inlineStr"/>
      <c r="R423" s="7" t="inlineStr">
        <is>
          <t>open</t>
        </is>
      </c>
      <c r="S423" s="7" t="inlineStr">
        <is>
          <t>abstract read</t>
        </is>
      </c>
      <c r="T423" s="7" t="inlineStr">
        <is>
          <t>2026-10-10</t>
        </is>
      </c>
      <c r="U423" s="7" t="inlineStr">
        <is>
          <t>https://arxiv.org/abs/2604.19285</t>
        </is>
      </c>
      <c r="V423" s="7" t="inlineStr">
        <is>
          <t>https://arxiv.org/pdf/2604.19285</t>
        </is>
      </c>
      <c r="W423" s="7" t="inlineStr"/>
    </row>
    <row r="424">
      <c r="A424" s="7" t="n">
        <v>60</v>
      </c>
      <c r="B424" s="7" t="inlineStr">
        <is>
          <t>Digital Services Act</t>
        </is>
      </c>
      <c r="C424" s="7" t="inlineStr">
        <is>
          <t>evidence</t>
        </is>
      </c>
      <c r="D424" s="7" t="inlineStr">
        <is>
          <t>academic</t>
        </is>
      </c>
      <c r="E424" s="7" t="inlineStr">
        <is>
          <t>2026-10 broadened search</t>
        </is>
      </c>
      <c r="F424" s="7" t="inlineStr">
        <is>
          <t>trujillo-2026-harmonization</t>
        </is>
      </c>
      <c r="G424" s="7" t="inlineStr">
        <is>
          <t>Amaury Trujillo, Benedetta Tessa, Stefano Cresci (2026), Disarranged Harmonization of Transparency Reporting by Social Media Platforms Under the Digital Services Act, arXiv:2605.17655</t>
        </is>
      </c>
      <c r="H424" s="7" t="n">
        <v>2026</v>
      </c>
      <c r="I424" s="7" t="inlineStr">
        <is>
          <t>academic working paper</t>
        </is>
      </c>
      <c r="J424" s="7" t="inlineStr">
        <is>
          <t>large-scale quantitative data-quality analysis of transparency reports and database submissions of the eight largest platforms after the Commission's harmonised reporting templates, plus structured comparison</t>
        </is>
      </c>
      <c r="K424" s="7" t="inlineStr">
        <is>
          <t>compliance and data quality of DSA transparency reporting (formatting, timeliness, consistency, completeness)</t>
        </is>
      </c>
      <c r="L424" s="7" t="inlineStr">
        <is>
          <t>negative</t>
        </is>
      </c>
      <c r="M424" s="7" t="inlineStr">
        <is>
          <t>After the Commission's harmonisation rules, all eight platforms still showed problems in data formatting, timeliness, consistency and completeness, and some submitted contradictory information across reporting channels.</t>
        </is>
      </c>
      <c r="N424" s="7" t="inlineStr">
        <is>
          <t>Even after the EU standardised how platforms must report their moderation, the reports remain messy, late or inconsistent, making them hard to check.</t>
        </is>
      </c>
      <c r="O424" s="7" t="inlineStr">
        <is>
          <t>2025-2026; EU, eight largest social media platforms</t>
        </is>
      </c>
      <c r="P424" s="7" t="inlineStr">
        <is>
          <t>Systematic measurement of compliance; no causal design; preprint.</t>
        </is>
      </c>
      <c r="Q424" s="7" t="inlineStr"/>
      <c r="R424" s="7" t="inlineStr">
        <is>
          <t>open</t>
        </is>
      </c>
      <c r="S424" s="7" t="inlineStr">
        <is>
          <t>abstract read</t>
        </is>
      </c>
      <c r="T424" s="7" t="inlineStr">
        <is>
          <t>2026-10-10</t>
        </is>
      </c>
      <c r="U424" s="7" t="inlineStr">
        <is>
          <t>https://arxiv.org/abs/2605.17655</t>
        </is>
      </c>
      <c r="V424" s="7" t="inlineStr">
        <is>
          <t>https://arxiv.org/pdf/2605.17655</t>
        </is>
      </c>
      <c r="W424" s="7" t="inlineStr"/>
    </row>
    <row r="425">
      <c r="A425" s="7" t="n">
        <v>60</v>
      </c>
      <c r="B425" s="7" t="inlineStr">
        <is>
          <t>Digital Services Act</t>
        </is>
      </c>
      <c r="C425" s="7" t="inlineStr">
        <is>
          <t>evidence</t>
        </is>
      </c>
      <c r="D425" s="7" t="inlineStr">
        <is>
          <t>academic</t>
        </is>
      </c>
      <c r="E425" s="7" t="inlineStr">
        <is>
          <t>2026-10 broadened search</t>
        </is>
      </c>
      <c r="F425" s="7" t="inlineStr">
        <is>
          <t>sekwenz-2025-instagram</t>
        </is>
      </c>
      <c r="G425" s="7" t="inlineStr">
        <is>
          <t>Marie-Therese Sekwenz, Ben Wagner, Hans De Bruijn (2025), From Reports to Reality: Testing Consistency in Instagram's Digital Services Act Compliance Data, ACM Journal on Responsible Computing (doi:10.1145/3821526); arXiv:2507.01787</t>
        </is>
      </c>
      <c r="H425" s="7" t="n">
        <v>2025</v>
      </c>
      <c r="I425" s="7" t="inlineStr">
        <is>
          <t>peer-reviewed article</t>
        </is>
      </c>
      <c r="J425" s="7" t="inlineStr">
        <is>
          <t>multi-level consistency analysis of Instagram's DSA compliance data (transparency reports, database, other disclosures); case study</t>
        </is>
      </c>
      <c r="K425" s="7" t="inlineStr">
        <is>
          <t>consistency of DSA compliance reporting</t>
        </is>
      </c>
      <c r="L425" s="7" t="inlineStr">
        <is>
          <t>descriptive</t>
        </is>
      </c>
      <c r="M425" s="7" t="inlineStr">
        <is>
          <t>A multi-level consistency framework applied to Instagram's DSA reporting can detect potential compliance failures across interconnected reporting channels (abstract gives no headline numbers).</t>
        </is>
      </c>
      <c r="N425" s="7" t="inlineStr">
        <is>
          <t>By cross-checking the different reports Instagram must publish under the DSA, the authors show inconsistencies that can flag possible compliance failures.</t>
        </is>
      </c>
      <c r="O425" s="7" t="inlineStr">
        <is>
          <t>2023-2024; EU, Instagram</t>
        </is>
      </c>
      <c r="P425" s="7" t="inlineStr">
        <is>
          <t>Single-platform case study; method-focused; abstract lacks quantitative results.</t>
        </is>
      </c>
      <c r="Q425" s="7" t="inlineStr"/>
      <c r="R425" s="7" t="inlineStr">
        <is>
          <t>open</t>
        </is>
      </c>
      <c r="S425" s="7" t="inlineStr">
        <is>
          <t>abstract read</t>
        </is>
      </c>
      <c r="T425" s="7" t="inlineStr">
        <is>
          <t>2026-10-10</t>
        </is>
      </c>
      <c r="U425" s="7" t="inlineStr">
        <is>
          <t>https://arxiv.org/abs/2507.01787</t>
        </is>
      </c>
      <c r="V425" s="7" t="inlineStr">
        <is>
          <t>https://arxiv.org/pdf/2507.01787</t>
        </is>
      </c>
      <c r="W425" s="7" t="inlineStr"/>
    </row>
    <row r="426">
      <c r="A426" s="7" t="n">
        <v>60</v>
      </c>
      <c r="B426" s="7" t="inlineStr">
        <is>
          <t>Digital Services Act</t>
        </is>
      </c>
      <c r="C426" s="7" t="inlineStr">
        <is>
          <t>evidence</t>
        </is>
      </c>
      <c r="D426" s="7" t="inlineStr">
        <is>
          <t>academic</t>
        </is>
      </c>
      <c r="E426" s="7" t="inlineStr">
        <is>
          <t>2026-10 broadened search</t>
        </is>
      </c>
      <c r="F426" s="7" t="inlineStr">
        <is>
          <t>mutu-2026-tiktokminors</t>
        </is>
      </c>
      <c r="G426" s="7" t="inlineStr">
        <is>
          <t>Adriana Mutu, L. Pătraș (2026), TikTok, child safety, and the Digital Services Act: An empirical analysis of online harm mitigation, Communications (De Gruyter), 2026, doi:10.1515/commun-2025-0120</t>
        </is>
      </c>
      <c r="H426" s="7" t="n">
        <v>2026</v>
      </c>
      <c r="I426" s="7" t="inlineStr">
        <is>
          <t>peer-reviewed article</t>
        </is>
      </c>
      <c r="J426" s="7" t="inlineStr">
        <is>
          <t>descriptive and cross-tabulation analysis of 11.6 million TikTok Statements of Reasons from the DSA Transparency Database at four time points in 2024-2025</t>
        </is>
      </c>
      <c r="K426" s="7" t="inlineStr">
        <is>
          <t>TikTok moderation actions for protection of minors</t>
        </is>
      </c>
      <c r="L426" s="7" t="inlineStr">
        <is>
          <t>descriptive</t>
        </is>
      </c>
      <c r="M426" s="7" t="inlineStr">
        <is>
          <t>Across 11.6 million TikTok moderation records, content flagged under 'Protection of Minors' is a significant share of moderation activity.</t>
        </is>
      </c>
      <c r="N426" s="7" t="inlineStr">
        <is>
          <t>TikTok's own DSA reports show that a large part of what it removes or restricts is flagged as harmful to children.</t>
        </is>
      </c>
      <c r="O426" s="7" t="inlineStr">
        <is>
          <t>Four snapshots 2024-2025; EU, TikTok</t>
        </is>
      </c>
      <c r="P426" s="7" t="inlineStr">
        <is>
          <t>Descriptive, single platform, self-reported data; abstract seen via Semantic Scholar metadata.</t>
        </is>
      </c>
      <c r="Q426" s="7" t="inlineStr"/>
      <c r="R426" s="7" t="inlineStr">
        <is>
          <t>paywalled</t>
        </is>
      </c>
      <c r="S426" s="7" t="inlineStr">
        <is>
          <t>abstract read</t>
        </is>
      </c>
      <c r="T426" s="7" t="inlineStr">
        <is>
          <t>2026-10-10</t>
        </is>
      </c>
      <c r="U426" s="7" t="inlineStr">
        <is>
          <t>https://doi.org/10.1515/commun-2025-0120</t>
        </is>
      </c>
      <c r="V426" s="7" t="inlineStr"/>
      <c r="W426" s="7" t="inlineStr"/>
    </row>
    <row r="427">
      <c r="A427" s="7" t="n">
        <v>60</v>
      </c>
      <c r="B427" s="7" t="inlineStr">
        <is>
          <t>Digital Services Act</t>
        </is>
      </c>
      <c r="C427" s="7" t="inlineStr">
        <is>
          <t>evidence</t>
        </is>
      </c>
      <c r="D427" s="7" t="inlineStr">
        <is>
          <t>academic</t>
        </is>
      </c>
      <c r="E427" s="7" t="inlineStr">
        <is>
          <t>2026-10 broadened search</t>
        </is>
      </c>
      <c r="F427" s="7" t="inlineStr">
        <is>
          <t>tonneau-2026-languages</t>
        </is>
      </c>
      <c r="G427" s="7" t="inlineStr">
        <is>
          <t>Manuel Tonneau, Diyi Liu, Ryan McGrady, Kevin Zheng, Ralph Schroeder, Ethan Zuckerman, Scott A. Hale (2026), Language Disparities in Moderation Workforce Allocation by Social Media Platforms, ACM Conference on Fairness, Accountability and Transparency (FAccT 2026), doi:10.1145/3805689.3806484</t>
        </is>
      </c>
      <c r="H427" s="7" t="n">
        <v>2026</v>
      </c>
      <c r="I427" s="7" t="inlineStr">
        <is>
          <t>conference paper</t>
        </is>
      </c>
      <c r="J427" s="7" t="inlineStr">
        <is>
          <t>cross-platform audit of human moderator staffing by language using DSA-mandated transparency report disclosures, six platforms, relative to content volume</t>
        </is>
      </c>
      <c r="K427" s="7" t="inlineStr">
        <is>
          <t>moderator coverage and workload by EU language</t>
        </is>
      </c>
      <c r="L427" s="7" t="inlineStr">
        <is>
          <t>descriptive</t>
        </is>
      </c>
      <c r="M427" s="7" t="inlineStr">
        <is>
          <t>DSA disclosures reveal large cross-language disparities: millions of EU users on smaller platforms such as X post in languages with no dedicated human moderators, and per-moderator daily decision volumes differ by more than an order of magnitude across languages.</t>
        </is>
      </c>
      <c r="N427" s="7" t="inlineStr">
        <is>
          <t>Using staffing data platforms must publish under the DSA, the study finds content in some languages gets far less human moderation than English, leaving some users less protected.</t>
        </is>
      </c>
      <c r="O427" s="7" t="inlineStr">
        <is>
          <t>2023-2025 DSA transparency reports; EU, six major platforms</t>
        </is>
      </c>
      <c r="P427" s="7" t="inlineStr">
        <is>
          <t>Novel use of DSA transparency data; descriptive; depends on accuracy of self-reported staffing numbers.</t>
        </is>
      </c>
      <c r="Q427" s="7" t="inlineStr"/>
      <c r="R427" s="7" t="inlineStr">
        <is>
          <t>paywalled</t>
        </is>
      </c>
      <c r="S427" s="7" t="inlineStr">
        <is>
          <t>abstract read</t>
        </is>
      </c>
      <c r="T427" s="7" t="inlineStr">
        <is>
          <t>2026-10-10</t>
        </is>
      </c>
      <c r="U427" s="7" t="inlineStr">
        <is>
          <t>https://doi.org/10.1145/3805689.3806484</t>
        </is>
      </c>
      <c r="V427" s="7" t="inlineStr"/>
      <c r="W427" s="7" t="inlineStr"/>
    </row>
    <row r="428">
      <c r="A428" s="7" t="n">
        <v>60</v>
      </c>
      <c r="B428" s="7" t="inlineStr">
        <is>
          <t>Digital Services Act</t>
        </is>
      </c>
      <c r="C428" s="7" t="inlineStr">
        <is>
          <t>evidence</t>
        </is>
      </c>
      <c r="D428" s="7" t="inlineStr">
        <is>
          <t>think tank</t>
        </is>
      </c>
      <c r="E428" s="7" t="inlineStr">
        <is>
          <t>2026-10 broadened search</t>
        </is>
      </c>
      <c r="F428" s="7" t="inlineStr">
        <is>
          <t>bouchaud-2024-no-embargo-meta-ads</t>
        </is>
      </c>
      <c r="G428" s="7" t="inlineStr">
        <is>
          <t>Paul Bouchaud, Marc Faddoul, Raziye Buse Çetin (AI Forensics) (2024), No Embargo in Sight: Meta lets pro-Russia propaganda ads flood the EU, AI Forensics</t>
        </is>
      </c>
      <c r="H428" s="7" t="n">
        <v>2024</v>
      </c>
      <c r="I428" s="7" t="inlineStr">
        <is>
          <t>think tank report</t>
        </is>
      </c>
      <c r="J428" s="7" t="inlineStr">
        <is>
          <t>measurement study using Meta's DSA Art. 39 ad repository: language-model classifier (AUC 0.95, 3,000+ hand-labelled ads) applied to 30 million ads in 16 EU countries, plus manual annotation of 100 moderated and 100 declared ads per country</t>
        </is>
      </c>
      <c r="K428" s="7" t="inlineStr">
        <is>
          <t>share of political ads undeclared, moderation recall and precision, reach of coordinated scam/propaganda networks</t>
        </is>
      </c>
      <c r="L428" s="7" t="inlineStr">
        <is>
          <t>negative</t>
        </is>
      </c>
      <c r="M428" s="7" t="inlineStr">
        <is>
          <t>An estimated 66% of political ads on Meta in 16 EU countries were not declared as such and Meta moderated under 5% of them (22.8% in Ireland vs 3.9% in Hungary), while a pro-Russian network of 3,800+ pages reached over 38 million accounts in Aug 2023 to Mar 2024.</t>
        </is>
      </c>
      <c r="N428" s="7" t="inlineStr">
        <is>
          <t>Researchers used the ad archive the DSA forces Meta to publish and found that most political ads slip through without being labelled or checked, letting propaganda and scam campaigns reach tens of millions of Europeans.</t>
        </is>
      </c>
      <c r="O428" s="7" t="inlineStr">
        <is>
          <t>16 EU Member States, Aug 2023 to Feb 2024</t>
        </is>
      </c>
      <c r="P428" s="7" t="inlineStr">
        <is>
          <t>Large-scale measurement with validated classifier; conservative estimates; NGO report not peer reviewed; enabled by DSA transparency rather than measuring a causal DSA effect.</t>
        </is>
      </c>
      <c r="Q428" s="7" t="inlineStr">
        <is>
          <t>Platform-accountability NGO that advocates DSA enforcement against VLOPs</t>
        </is>
      </c>
      <c r="R428" s="7" t="inlineStr">
        <is>
          <t>open</t>
        </is>
      </c>
      <c r="S428" s="7" t="inlineStr">
        <is>
          <t>full text read</t>
        </is>
      </c>
      <c r="T428" s="7" t="inlineStr">
        <is>
          <t>2026-10-10</t>
        </is>
      </c>
      <c r="U428" s="7" t="inlineStr">
        <is>
          <t>https://aiforensics.org/uploads/No_Embargo_in_Sight_AI_Forensics_Report.pdf</t>
        </is>
      </c>
      <c r="V428" s="7" t="inlineStr">
        <is>
          <t>https://aiforensics.org/uploads/No_Embargo_in_Sight_AI_Forensics_Report.pdf</t>
        </is>
      </c>
      <c r="W428" s="7" t="inlineStr"/>
    </row>
    <row r="429">
      <c r="A429" s="7" t="n">
        <v>60</v>
      </c>
      <c r="B429" s="7" t="inlineStr">
        <is>
          <t>Digital Services Act</t>
        </is>
      </c>
      <c r="C429" s="7" t="inlineStr">
        <is>
          <t>evidence</t>
        </is>
      </c>
      <c r="D429" s="7" t="inlineStr">
        <is>
          <t>think tank</t>
        </is>
      </c>
      <c r="E429" s="7" t="inlineStr">
        <is>
          <t>2026-10 broadened search</t>
        </is>
      </c>
      <c r="F429" s="7" t="inlineStr">
        <is>
          <t>mozilla-checkfirst-2024-ad-repositories</t>
        </is>
      </c>
      <c r="G429" s="7" t="inlineStr">
        <is>
          <t>Mozilla Foundation and CheckFirst (2024), Full Disclosure: Stress testing tech platforms' ad repositories, Mozilla Foundation</t>
        </is>
      </c>
      <c r="H429" s="7" t="n">
        <v>2024</v>
      </c>
      <c r="I429" s="7" t="inlineStr">
        <is>
          <t>think tank report</t>
        </is>
      </c>
      <c r="J429" s="7" t="inlineStr">
        <is>
          <t>compliance audit of 12 VLOP/VLOSE ad repositories (web interfaces and APIs) against DSA Art. 39(1-2) and 20+ criteria, with stress and usability testing, Dec 2023 to Jan 2024</t>
        </is>
      </c>
      <c r="K429" s="7" t="inlineStr">
        <is>
          <t>completeness, data fields, accessibility and usability of DSA-mandated ad repositories</t>
        </is>
      </c>
      <c r="L429" s="7" t="inlineStr">
        <is>
          <t>negative</t>
        </is>
      </c>
      <c r="M429" s="7" t="inlineStr">
        <is>
          <t>None of the 12 platforms tested (incl. AliExpress, Apple, Bing, Booking, Google, LinkedIn, Meta, Pinterest, Snapchat, TikTok, X, Zalando) offered a fully functional ad repository; AliExpress had no API and X provided only a CSV file.</t>
        </is>
      </c>
      <c r="N429" s="7" t="inlineStr">
        <is>
          <t>An independent test of the public ad archives that the DSA requires big platforms to publish found every one of them incomplete, buggy or hard to use, limiting outside scrutiny of advertising ahead of the 2024 EU elections.</t>
        </is>
      </c>
      <c r="O429" s="7" t="inlineStr">
        <is>
          <t>EU, Dec 2023 to Jan 2024</t>
        </is>
      </c>
      <c r="P429" s="7" t="inlineStr">
        <is>
          <t>Structured audit with explicit criteria; snapshot in time; qualitative scoring by advocacy organisations.</t>
        </is>
      </c>
      <c r="Q429" s="7" t="inlineStr">
        <is>
          <t>Mozilla Foundation campaigns for platform transparency (its subsidiary Mozilla Corporation competes with some audited firms)</t>
        </is>
      </c>
      <c r="R429" s="7" t="inlineStr">
        <is>
          <t>open</t>
        </is>
      </c>
      <c r="S429" s="7" t="inlineStr">
        <is>
          <t>full text read</t>
        </is>
      </c>
      <c r="T429" s="7" t="inlineStr">
        <is>
          <t>2026-10-10</t>
        </is>
      </c>
      <c r="U429" s="7" t="inlineStr">
        <is>
          <t>https://foundation.mozilla.org/documents/363/Full_Disclosure_Stress_Testing_Tech_Platforms_Ad_Repositories_3FepU2u.pdf</t>
        </is>
      </c>
      <c r="V429" s="7" t="inlineStr">
        <is>
          <t>https://foundation.mozilla.org/documents/363/Full_Disclosure_Stress_Testing_Tech_Platforms_Ad_Repositories_3FepU2u.pdf</t>
        </is>
      </c>
      <c r="W429" s="7" t="inlineStr"/>
    </row>
    <row r="430">
      <c r="A430" s="7" t="n">
        <v>60</v>
      </c>
      <c r="B430" s="7" t="inlineStr">
        <is>
          <t>Digital Services Act</t>
        </is>
      </c>
      <c r="C430" s="7" t="inlineStr">
        <is>
          <t>evidence</t>
        </is>
      </c>
      <c r="D430" s="7" t="inlineStr">
        <is>
          <t>think tank</t>
        </is>
      </c>
      <c r="E430" s="7" t="inlineStr">
        <is>
          <t>2026-10 broadened search</t>
        </is>
      </c>
      <c r="F430" s="7" t="inlineStr">
        <is>
          <t>globalwitness-2024-tiktok-election-ads</t>
        </is>
      </c>
      <c r="G430" s="7" t="inlineStr">
        <is>
          <t>Global Witness (2024), Ticked off: TikTok approves EU elections disinformation ads for publication in Ireland, Global Witness</t>
        </is>
      </c>
      <c r="H430" s="7" t="n">
        <v>2024</v>
      </c>
      <c r="I430" s="7" t="inlineStr">
        <is>
          <t>think tank report</t>
        </is>
      </c>
      <c r="J430" s="7" t="inlineStr">
        <is>
          <t>audit experiment: 16 election-disinformation video ads submitted to each of TikTok, YouTube and X targeting Ireland (May 2024), withdrawn before publication</t>
        </is>
      </c>
      <c r="K430" s="7" t="inlineStr">
        <is>
          <t>ad-review approval of election disinformation</t>
        </is>
      </c>
      <c r="L430" s="7" t="inlineStr">
        <is>
          <t>mixed</t>
        </is>
      </c>
      <c r="M430" s="7" t="inlineStr">
        <is>
          <t>TikTok approved 16 of 16 (100%) election-disinformation ads, YouTube approved 2 of 16, and X blocked all and suspended the account.</t>
        </is>
      </c>
      <c r="N430" s="7" t="inlineStr">
        <is>
          <t>A campaign group tested whether platforms would accept fake election ads before the 2024 European elections, which the DSA requires them to guard against; TikTok approved every one.</t>
        </is>
      </c>
      <c r="O430" s="7" t="inlineStr">
        <is>
          <t>Ireland, May 2024</t>
        </is>
      </c>
      <c r="P430" s="7" t="inlineStr">
        <is>
          <t>Simple controlled audit with very small sample; one country and one moment; campaigning NGO.</t>
        </is>
      </c>
      <c r="Q430" s="7" t="inlineStr">
        <is>
          <t>Campaigning NGO that filed a DSA complaint against TikTok</t>
        </is>
      </c>
      <c r="R430" s="7" t="inlineStr">
        <is>
          <t>open</t>
        </is>
      </c>
      <c r="S430" s="7" t="inlineStr">
        <is>
          <t>abstract read</t>
        </is>
      </c>
      <c r="T430" s="7" t="inlineStr">
        <is>
          <t>2026-10-10</t>
        </is>
      </c>
      <c r="U430" s="7" t="inlineStr">
        <is>
          <t>https://globalwitness.org/en/campaigns/digital-threats/ticked-off-tiktok-approves-eu-elections-disinformation-ads-for-publication-in-ireland/</t>
        </is>
      </c>
      <c r="V430" s="7" t="inlineStr"/>
      <c r="W430" s="7" t="inlineStr"/>
    </row>
    <row r="431">
      <c r="A431" s="7" t="n">
        <v>60</v>
      </c>
      <c r="B431" s="7" t="inlineStr">
        <is>
          <t>Digital Services Act</t>
        </is>
      </c>
      <c r="C431" s="7" t="inlineStr">
        <is>
          <t>evidence</t>
        </is>
      </c>
      <c r="D431" s="7" t="inlineStr">
        <is>
          <t>think tank</t>
        </is>
      </c>
      <c r="E431" s="7" t="inlineStr">
        <is>
          <t>2026-10 broadened search</t>
        </is>
      </c>
      <c r="F431" s="7" t="inlineStr">
        <is>
          <t>jaursch-2024-dsa-data-access</t>
        </is>
      </c>
      <c r="G431" s="7" t="inlineStr">
        <is>
          <t>Julian Jaursch, Jakob Ohme, Ulrike Klinger (2024), Joint paper by the Weizenbaum Institute, European University Viadrina and SNV on data access for researchers under the DSA, Weizenbaum Institute / Stiftung Neue Verantwortung (interface)</t>
        </is>
      </c>
      <c r="H431" s="7" t="n">
        <v>2024</v>
      </c>
      <c r="I431" s="7" t="inlineStr">
        <is>
          <t>think tank policy brief</t>
        </is>
      </c>
      <c r="J431" s="7" t="inlineStr">
        <is>
          <t>analysis of early Article 40(12) data-access requests based on researcher conversations and voluntary reports to the DSA40 Data Access Tracker</t>
        </is>
      </c>
      <c r="K431" s="7" t="inlineStr">
        <is>
          <t>researchers' experiences with VLOP data-access applications (process, response times, rejections)</t>
        </is>
      </c>
      <c r="L431" s="7" t="inlineStr">
        <is>
          <t>negative</t>
        </is>
      </c>
      <c r="M431" s="7" t="inlineStr">
        <is>
          <t>Early experience with DSA Article 40(12) shows researchers from academia and civil society still face significant hurdles in obtaining publicly accessible VLOP data, despite some platforms' steps toward compliance.</t>
        </is>
      </c>
      <c r="N431" s="7" t="inlineStr">
        <is>
          <t>Policy researchers collected early reports from scientists trying to use the DSA's new right to platform data and found the process slow, uneven and often blocked.</t>
        </is>
      </c>
      <c r="O431" s="7" t="inlineStr">
        <is>
          <t>EU, 2023 to early 2024</t>
        </is>
      </c>
      <c r="P431" s="7" t="inlineStr">
        <is>
          <t>Structured assessment from a self-selected tracker sample; landing page only, numbers not verified.</t>
        </is>
      </c>
      <c r="Q431" s="7" t="inlineStr"/>
      <c r="R431" s="7" t="inlineStr">
        <is>
          <t>open</t>
        </is>
      </c>
      <c r="S431" s="7" t="inlineStr">
        <is>
          <t>abstract read</t>
        </is>
      </c>
      <c r="T431" s="7" t="inlineStr">
        <is>
          <t>2026-10-10</t>
        </is>
      </c>
      <c r="U431" s="7" t="inlineStr">
        <is>
          <t>https://interface-eu.org/publications/joint-paper-weizenbaum-institute-european-university-viadrina-and-snv-data-access</t>
        </is>
      </c>
      <c r="V431" s="7" t="inlineStr"/>
      <c r="W431" s="7" t="inlineStr"/>
    </row>
    <row r="432">
      <c r="A432" s="7" t="n">
        <v>60</v>
      </c>
      <c r="B432" s="7" t="inlineStr">
        <is>
          <t>Digital Services Act</t>
        </is>
      </c>
      <c r="C432" s="7" t="inlineStr">
        <is>
          <t>evidence</t>
        </is>
      </c>
      <c r="D432" s="7" t="inlineStr">
        <is>
          <t>consultancy or industry</t>
        </is>
      </c>
      <c r="E432" s="7" t="inlineStr">
        <is>
          <t>2026-10 broadened search</t>
        </is>
      </c>
      <c r="F432" s="7" t="inlineStr">
        <is>
          <t>eder-2026-dsa-ods-state-of-play</t>
        </is>
      </c>
      <c r="G432" s="7" t="inlineStr">
        <is>
          <t>Niklas Eder, Agata Russo (User Rights); Agne Kaarlep, Laura Zurdo, Toshali Sengupta (Tremau) (2026), State of Play of DSA Dispute Settlement: Meaningful Redress, Uneven Results, DSA Observatory (IViR, University of Amsterdam)</t>
        </is>
      </c>
      <c r="H432" s="7" t="n">
        <v>2026</v>
      </c>
      <c r="I432" s="7" t="inlineStr">
        <is>
          <t>practitioner analysis</t>
        </is>
      </c>
      <c r="J432" s="7" t="inlineStr">
        <is>
          <t>descriptive comparison of 2025 transparency reports of five certified Article 21 out-of-court dispute settlement bodies</t>
        </is>
      </c>
      <c r="K432" s="7" t="inlineStr">
        <is>
          <t>dispute volumes, share of platform decisions overturned, platform implementation of ODS decisions</t>
        </is>
      </c>
      <c r="L432" s="7" t="inlineStr">
        <is>
          <t>mixed</t>
        </is>
      </c>
      <c r="M432" s="7" t="inlineStr">
        <is>
          <t>In User Rights' 2025 data, 84.4% of concluded proceedings found the platform's original decision unjustified, and effective implementation of outcomes was about 90% at TikTok but around 13% at Meta.</t>
        </is>
      </c>
      <c r="N432" s="7" t="inlineStr">
        <is>
          <t>Data from the new independent bodies that settle content-moderation disputes under the DSA show users usually win, but whether platforms follow the rulings varies hugely, with Meta rarely complying.</t>
        </is>
      </c>
      <c r="O432" s="7" t="inlineStr">
        <is>
          <t>EU, 2024 to 2025</t>
        </is>
      </c>
      <c r="P432" s="7" t="inlineStr">
        <is>
          <t>Descriptive synthesis of self-reported ODS data; different reporting periods across bodies; authors run an ODS body and a trust-and-safety consultancy.</t>
        </is>
      </c>
      <c r="Q432" s="7" t="inlineStr">
        <is>
          <t>Authors from User Rights (a certified ODS body) and Tremau (DSA compliance vendor)</t>
        </is>
      </c>
      <c r="R432" s="7" t="inlineStr">
        <is>
          <t>open</t>
        </is>
      </c>
      <c r="S432" s="7" t="inlineStr">
        <is>
          <t>full text read</t>
        </is>
      </c>
      <c r="T432" s="7" t="inlineStr">
        <is>
          <t>2026-10-10</t>
        </is>
      </c>
      <c r="U432" s="7" t="inlineStr">
        <is>
          <t>https://dsa-observatory.eu/2026/06/08/state-of-play-of-dsa-dispute-settlement-meaningful-redress-uneven-results/</t>
        </is>
      </c>
      <c r="V432" s="7" t="inlineStr"/>
      <c r="W432" s="7" t="inlineStr"/>
    </row>
    <row r="433">
      <c r="A433" s="7" t="n">
        <v>60</v>
      </c>
      <c r="B433" s="7" t="inlineStr">
        <is>
          <t>Digital Services Act</t>
        </is>
      </c>
      <c r="C433" s="7" t="inlineStr">
        <is>
          <t>evidence</t>
        </is>
      </c>
      <c r="D433" s="7" t="inlineStr">
        <is>
          <t>official</t>
        </is>
      </c>
      <c r="E433" s="7" t="inlineStr">
        <is>
          <t>2026-10 broadened search</t>
        </is>
      </c>
      <c r="F433" s="7" t="inlineStr">
        <is>
          <t>eboard-2026-second-systemic-risk-report</t>
        </is>
      </c>
      <c r="G433" s="7" t="inlineStr">
        <is>
          <t>European Board for Digital Services and European Commission (2026), Second report on systemic risks on very large online platforms and search engines under the Digital Services Act (Article 35(2) DSA), European Commission, Shaping Europe's digital future</t>
        </is>
      </c>
      <c r="H433" s="7" t="n">
        <v>2026</v>
      </c>
      <c r="I433" s="7" t="inlineStr">
        <is>
          <t>agency report</t>
        </is>
      </c>
      <c r="J433" s="7" t="inlineStr">
        <is>
          <t>structured qualitative mapping of systemic risks and mitigation measures reported by or observed on VLOPs/VLOSEs (risk assessments, audits, stakeholder input), 17 Feb 2025 to 16 Feb 2026</t>
        </is>
      </c>
      <c r="K433" s="7" t="inlineStr">
        <is>
          <t>prominent systemic risks and platforms' mitigation measures</t>
        </is>
      </c>
      <c r="L433" s="7" t="inlineStr">
        <is>
          <t>descriptive</t>
        </is>
      </c>
      <c r="M433" s="7" t="inlineStr">
        <is>
          <t>The second annual Article 35(2) report identifies risks to minors (grooming, harmful content, addictive design, AI-generated sexual content) as most prominent and declines to label any platform mitigation measure as 'best practice'.</t>
        </is>
      </c>
      <c r="N433" s="7" t="inlineStr">
        <is>
          <t>The EU's annual overview of risks on the biggest platforms says protecting children is the top concern and that the DSA's risk-management system is still at an early stage.</t>
        </is>
      </c>
      <c r="O433" s="7" t="inlineStr">
        <is>
          <t>EU, Feb 2025 to Feb 2026</t>
        </is>
      </c>
      <c r="P433" s="7" t="inlineStr">
        <is>
          <t>Official structured assessment, largely qualitative; regulator assessing its own regime; landing page and secondary summary (eucrim) read.</t>
        </is>
      </c>
      <c r="Q433" s="7" t="inlineStr">
        <is>
          <t>Commission and Board assessing the regime they enforce</t>
        </is>
      </c>
      <c r="R433" s="7" t="inlineStr">
        <is>
          <t>open</t>
        </is>
      </c>
      <c r="S433" s="7" t="inlineStr">
        <is>
          <t>abstract read</t>
        </is>
      </c>
      <c r="T433" s="7" t="inlineStr">
        <is>
          <t>2026-10-10</t>
        </is>
      </c>
      <c r="U433" s="7" t="inlineStr">
        <is>
          <t>https://digital-strategy.ec.europa.eu/en/library/second-report-systemic-risks-very-large-online-platforms-and-search-engines-under-digital-services</t>
        </is>
      </c>
      <c r="V433" s="7" t="inlineStr"/>
      <c r="W433" s="7" t="inlineStr"/>
    </row>
    <row r="434">
      <c r="A434" s="7" t="n">
        <v>57</v>
      </c>
      <c r="B434" s="7" t="inlineStr">
        <is>
          <t>Digital Operational Resilience Act (DORA)</t>
        </is>
      </c>
      <c r="C434" s="7" t="inlineStr">
        <is>
          <t>ex-ante assessment</t>
        </is>
      </c>
      <c r="D434" s="7" t="inlineStr">
        <is>
          <t>official</t>
        </is>
      </c>
      <c r="E434" s="7" t="inlineStr">
        <is>
          <t>initial review</t>
        </is>
      </c>
      <c r="F434" s="7" t="inlineStr">
        <is>
          <t>ec-2020-dora-ia</t>
        </is>
      </c>
      <c r="G434" s="7" t="inlineStr">
        <is>
          <t>European Commission (2020), Impact Assessment accompanying the proposal for a Regulation on digital operational resilience for the financial sector (executive summary SWD(2020) 199), SWD(2020) 198</t>
        </is>
      </c>
      <c r="H434" s="7" t="n">
        <v>2020</v>
      </c>
      <c r="I434" s="7" t="inlineStr">
        <is>
          <t>Commission impact assessment</t>
        </is>
      </c>
      <c r="J434" s="7" t="inlineStr">
        <is>
          <t>ex-ante</t>
        </is>
      </c>
      <c r="K434" s="7" t="inlineStr">
        <is>
          <t>incident costs; reporting burden; testing costs</t>
        </is>
      </c>
      <c r="L434" s="7" t="inlineStr">
        <is>
          <t>positive (forecast)</t>
        </is>
      </c>
      <c r="M434" s="7" t="inlineStr">
        <is>
          <t>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is>
      </c>
      <c r="N434" s="7" t="inlineStr">
        <is>
          <t>The Commission expected DORA to curb ICT incidents that may cost EU finance EUR 2-27 billion a year and to save the biggest banks up to EUR 100 million a year in duplicate reporting.</t>
        </is>
      </c>
      <c r="O434" s="7" t="inlineStr">
        <is>
          <t>EU, forecast</t>
        </is>
      </c>
      <c r="P434" s="7" t="inlineStr">
        <is>
          <t>forecast; benefits not monetised</t>
        </is>
      </c>
      <c r="Q434" s="7" t="inlineStr"/>
      <c r="R434" s="7" t="inlineStr">
        <is>
          <t>open</t>
        </is>
      </c>
      <c r="S434" s="7" t="inlineStr">
        <is>
          <t>full text read</t>
        </is>
      </c>
      <c r="T434" s="7" t="inlineStr">
        <is>
          <t>2026-10-10</t>
        </is>
      </c>
      <c r="U434" s="7" t="inlineStr">
        <is>
          <t>https://eur-lex.europa.eu/legal-content/EN/TXT/?uri=CELEX:52020SC0199</t>
        </is>
      </c>
      <c r="V434" s="7" t="inlineStr"/>
      <c r="W434" s="7" t="inlineStr"/>
    </row>
    <row r="435">
      <c r="A435" s="7" t="n">
        <v>57</v>
      </c>
      <c r="B435" s="7" t="inlineStr">
        <is>
          <t>Digital Operational Resilience Act (DORA)</t>
        </is>
      </c>
      <c r="C435" s="7" t="inlineStr">
        <is>
          <t>evidence</t>
        </is>
      </c>
      <c r="D435" s="7" t="inlineStr">
        <is>
          <t>official</t>
        </is>
      </c>
      <c r="E435" s="7" t="inlineStr">
        <is>
          <t>initial review</t>
        </is>
      </c>
      <c r="F435" s="7" t="inlineStr">
        <is>
          <t>esas-2024-dora-dry-run</t>
        </is>
      </c>
      <c r="G435" s="7" t="inlineStr">
        <is>
          <t>EBA, EIOPA &amp; ESMA (Joint Committee) (2024), DORA dry run exercise on reporting of registers of information - summary report, ESA 2024 35, 17 Dec 2024</t>
        </is>
      </c>
      <c r="H435" s="7" t="n">
        <v>2024</v>
      </c>
      <c r="I435" s="7" t="inlineStr">
        <is>
          <t>agency report</t>
        </is>
      </c>
      <c r="J435" s="7" t="inlineStr">
        <is>
          <t>administrative data (voluntary dry run)</t>
        </is>
      </c>
      <c r="K435" s="7" t="inlineStr">
        <is>
          <t>data quality of third-party registers</t>
        </is>
      </c>
      <c r="L435" s="7" t="inlineStr">
        <is>
          <t>n/a (baseline)</t>
        </is>
      </c>
      <c r="M435" s="7" t="inlineStr">
        <is>
          <t>1,039 financial entities participated; of 947 registers analysed only 6.5% passed all 116 data-quality checks; missing mandatory information made up 86% of errors</t>
        </is>
      </c>
      <c r="N435" s="7" t="inlineStr">
        <is>
          <t>In a 2024 test run, only 6.5% of financial firms' registers of their IT suppliers passed all quality checks, showing how little firms knew about their dependencies.</t>
        </is>
      </c>
      <c r="O435" s="7" t="inlineStr">
        <is>
          <t>EU, 2024</t>
        </is>
      </c>
      <c r="P435" s="7" t="inlineStr">
        <is>
          <t>best-efforts exercise</t>
        </is>
      </c>
      <c r="Q435" s="7" t="inlineStr"/>
      <c r="R435" s="7" t="inlineStr">
        <is>
          <t>open</t>
        </is>
      </c>
      <c r="S435" s="7" t="inlineStr">
        <is>
          <t>full text read</t>
        </is>
      </c>
      <c r="T435" s="7" t="inlineStr">
        <is>
          <t>2026-10-10</t>
        </is>
      </c>
      <c r="U435" s="7" t="inlineStr">
        <is>
          <t>https://eba.europa.eu/sites/default/files/2024-12/c1454b59-15cc-445e-be14-966e3338cedc/ESA%202024%2035%20DORA%20Dry%20Run%20exercise%20summary%20report%20for%20publication.pdf</t>
        </is>
      </c>
      <c r="V435" s="7" t="inlineStr"/>
      <c r="W435" s="7" t="inlineStr">
        <is>
          <t>http://web.archive.org/web/20251122234947/https://www.eba.europa.eu/sites/default/files/2024-12/c1454b59-15cc-445e-be14-966e3338cedc/ESA%202024%2035%20DORA%20Dry%20Run%20exercise%20summary%20report%20for%20publication.pdf</t>
        </is>
      </c>
    </row>
    <row r="436">
      <c r="A436" s="7" t="n">
        <v>57</v>
      </c>
      <c r="B436" s="7" t="inlineStr">
        <is>
          <t>Digital Operational Resilience Act (DORA)</t>
        </is>
      </c>
      <c r="C436" s="7" t="inlineStr">
        <is>
          <t>enforcement or case law</t>
        </is>
      </c>
      <c r="D436" s="7" t="inlineStr">
        <is>
          <t>official</t>
        </is>
      </c>
      <c r="E436" s="7" t="inlineStr">
        <is>
          <t>initial review</t>
        </is>
      </c>
      <c r="F436" s="7" t="inlineStr">
        <is>
          <t>esas-2025-ctpp-list</t>
        </is>
      </c>
      <c r="G436" s="7" t="inlineStr">
        <is>
          <t>EBA, EIOPA &amp; ESMA (2025), List of designated critical ICT third-party service providers under DORA, ESAs publication, 18 Nov 2025</t>
        </is>
      </c>
      <c r="H436" s="7" t="n">
        <v>2025</v>
      </c>
      <c r="I436" s="7" t="inlineStr">
        <is>
          <t>agency decision</t>
        </is>
      </c>
      <c r="J436" s="7" t="inlineStr">
        <is>
          <t>administrative record</t>
        </is>
      </c>
      <c r="K436" s="7" t="inlineStr">
        <is>
          <t>third-party oversight</t>
        </is>
      </c>
      <c r="L436" s="7" t="inlineStr">
        <is>
          <t>n/a</t>
        </is>
      </c>
      <c r="M436" s="7" t="inlineStr">
        <is>
          <t>19 providers designated as critical (Accenture, AWS, Bloomberg, Capgemini, Colt, Deutsche Telekom, Equinix, FIS, Google Cloud, IBM, InterXion, Kyndryl, LSEG Data, Microsoft, NTT DATA, Oracle, Orange, SAP, TCS) based on registers of information</t>
        </is>
      </c>
      <c r="N436" s="7" t="inlineStr">
        <is>
          <t>In November 2025 EU regulators put 19 tech suppliers to banks and insurers - including the big cloud providers - under direct oversight.</t>
        </is>
      </c>
      <c r="O436" s="7" t="inlineStr">
        <is>
          <t>EU, 2025</t>
        </is>
      </c>
      <c r="P436" s="7" t="inlineStr">
        <is>
          <t>official record</t>
        </is>
      </c>
      <c r="Q436" s="7" t="inlineStr"/>
      <c r="R436" s="7" t="inlineStr">
        <is>
          <t>open</t>
        </is>
      </c>
      <c r="S436" s="7" t="inlineStr">
        <is>
          <t>full text read</t>
        </is>
      </c>
      <c r="T436" s="7" t="inlineStr">
        <is>
          <t>2026-10-10</t>
        </is>
      </c>
      <c r="U436" s="7" t="inlineStr">
        <is>
          <t>https://www.eiopa.europa.eu/european-supervisory-authorities-designate-critical-ict-third-party-providers-under-digital-2025-11-18_en</t>
        </is>
      </c>
      <c r="V436" s="7" t="inlineStr"/>
      <c r="W436" s="7" t="inlineStr">
        <is>
          <t>http://web.archive.org/web/20260510102504/https://www.eiopa.europa.eu/european-supervisory-authorities-designate-critical-ict-third-party-providers-under-digital-2025-11-18_en</t>
        </is>
      </c>
    </row>
    <row r="437">
      <c r="A437" s="7" t="n">
        <v>57</v>
      </c>
      <c r="B437" s="7" t="inlineStr">
        <is>
          <t>Digital Operational Resilience Act (DORA)</t>
        </is>
      </c>
      <c r="C437" s="7" t="inlineStr">
        <is>
          <t>evidence</t>
        </is>
      </c>
      <c r="D437" s="7" t="inlineStr">
        <is>
          <t>official</t>
        </is>
      </c>
      <c r="E437" s="7" t="inlineStr">
        <is>
          <t>initial review</t>
        </is>
      </c>
      <c r="F437" s="7" t="inlineStr">
        <is>
          <t>enisa-2024-nis-investments-dora</t>
        </is>
      </c>
      <c r="G437" s="7" t="inlineStr">
        <is>
          <t>ENISA (2024), NIS Investments 2024 (section on readiness for DORA and other legislation), ENISA report, Nov 2024</t>
        </is>
      </c>
      <c r="H437" s="7" t="n">
        <v>2024</v>
      </c>
      <c r="I437" s="7" t="inlineStr">
        <is>
          <t>agency report (survey)</t>
        </is>
      </c>
      <c r="J437" s="7" t="inlineStr">
        <is>
          <t>survey of 1,350 organisations</t>
        </is>
      </c>
      <c r="K437" s="7" t="inlineStr">
        <is>
          <t>staffing needs for compliance</t>
        </is>
      </c>
      <c r="L437" s="7" t="inlineStr">
        <is>
          <t>n/a</t>
        </is>
      </c>
      <c r="M437" s="7" t="inlineStr">
        <is>
          <t>84% of surveyed organisations will need additional cybersecurity staff to comply with DORA (89% for NIS2, 85% for CRA)</t>
        </is>
      </c>
      <c r="N437" s="7" t="inlineStr">
        <is>
          <t>Most organisations surveyed by ENISA said DORA will require them to hire more security staff.</t>
        </is>
      </c>
      <c r="O437" s="7" t="inlineStr">
        <is>
          <t>EU-27, 2024</t>
        </is>
      </c>
      <c r="P437" s="7" t="inlineStr">
        <is>
          <t>self-reported; not limited to financial entities</t>
        </is>
      </c>
      <c r="Q437" s="7" t="inlineStr"/>
      <c r="R437" s="7" t="inlineStr">
        <is>
          <t>open</t>
        </is>
      </c>
      <c r="S437" s="7" t="inlineStr">
        <is>
          <t>full text read</t>
        </is>
      </c>
      <c r="T437" s="7" t="inlineStr">
        <is>
          <t>2026-10-10</t>
        </is>
      </c>
      <c r="U437" s="7" t="inlineStr">
        <is>
          <t>https://www.enisa.europa.eu/publications/nis-investments-2024</t>
        </is>
      </c>
      <c r="V437" s="7" t="inlineStr"/>
      <c r="W437" s="7" t="inlineStr">
        <is>
          <t>http://web.archive.org/web/20261001031158/https://www.enisa.europa.eu/publications/nis-investments-2024</t>
        </is>
      </c>
    </row>
    <row r="438">
      <c r="A438" s="7" t="n">
        <v>57</v>
      </c>
      <c r="B438" s="7" t="inlineStr">
        <is>
          <t>Digital Operational Resilience Act (DORA)</t>
        </is>
      </c>
      <c r="C438" s="7" t="inlineStr">
        <is>
          <t>evidence</t>
        </is>
      </c>
      <c r="D438" s="7" t="inlineStr">
        <is>
          <t>consultancy or industry</t>
        </is>
      </c>
      <c r="E438" s="7" t="inlineStr">
        <is>
          <t>initial review</t>
        </is>
      </c>
      <c r="F438" s="7" t="inlineStr">
        <is>
          <t>rubrik-2025-dora-costs</t>
        </is>
      </c>
      <c r="G438" s="7" t="inlineStr">
        <is>
          <t>Rubrik Zero Labs (reported by Infosecurity Magazine) (2025), DORA Compliance Costs Soar Past EUR 1m for Many UK and EU Businesses, Infosecurity Magazine, 16 Jan 2025</t>
        </is>
      </c>
      <c r="H438" s="7" t="n">
        <v>2025</v>
      </c>
      <c r="I438" s="7" t="inlineStr">
        <is>
          <t>industry survey</t>
        </is>
      </c>
      <c r="J438" s="7" t="inlineStr">
        <is>
          <t>survey of 350 CISOs (UK and EU)</t>
        </is>
      </c>
      <c r="K438" s="7" t="inlineStr">
        <is>
          <t>compliance costs</t>
        </is>
      </c>
      <c r="L438" s="7" t="inlineStr">
        <is>
          <t>negative (cost)</t>
        </is>
      </c>
      <c r="M438" s="7" t="inlineStr">
        <is>
          <t>38% of EU (47% of UK) CISOs said their organisation spent over EUR 1m on DORA/PRA compliance in 24 months; 30% of EU respondents EUR 501k-1m</t>
        </is>
      </c>
      <c r="N438" s="7" t="inlineStr">
        <is>
          <t>A vendor survey found more than a third of EU financial security chiefs had spent over EUR 1 million preparing for DORA.</t>
        </is>
      </c>
      <c r="O438" s="7" t="inlineStr">
        <is>
          <t>UK and EU, 2023-24</t>
        </is>
      </c>
      <c r="P438" s="7" t="inlineStr">
        <is>
          <t>vendor survey; mixes DORA with UK rules</t>
        </is>
      </c>
      <c r="Q438" s="7" t="inlineStr">
        <is>
          <t>Rubrik sells data-resilience software marketed for DORA compliance</t>
        </is>
      </c>
      <c r="R438" s="7" t="inlineStr">
        <is>
          <t>open</t>
        </is>
      </c>
      <c r="S438" s="7" t="inlineStr">
        <is>
          <t>page summary via search</t>
        </is>
      </c>
      <c r="T438" s="7" t="inlineStr">
        <is>
          <t>2026-10-10</t>
        </is>
      </c>
      <c r="U438" s="7" t="inlineStr">
        <is>
          <t>https://www.infosecurity-magazine.com/news/dora-compliance-costs-soar/</t>
        </is>
      </c>
      <c r="V438" s="7" t="inlineStr"/>
      <c r="W438" s="7" t="inlineStr">
        <is>
          <t>http://web.archive.org/web/20260722070138/https://www.infosecurity-magazine.com/news/dora-compliance-costs-soar/</t>
        </is>
      </c>
    </row>
    <row r="439">
      <c r="A439" s="7" t="n">
        <v>57</v>
      </c>
      <c r="B439" s="7" t="inlineStr">
        <is>
          <t>Digital Operational Resilience Act (DORA)</t>
        </is>
      </c>
      <c r="C439" s="7" t="inlineStr">
        <is>
          <t>evidence</t>
        </is>
      </c>
      <c r="D439" s="7" t="inlineStr">
        <is>
          <t>consultancy or industry</t>
        </is>
      </c>
      <c r="E439" s="7" t="inlineStr">
        <is>
          <t>initial review</t>
        </is>
      </c>
      <c r="F439" s="7" t="inlineStr">
        <is>
          <t>veeam-censuswide-2025-dora</t>
        </is>
      </c>
      <c r="G439" s="7" t="inlineStr">
        <is>
          <t>Censuswide for Veeam Software (reported by Help Net Security) (2025), Six months into DORA, most financial firms are still not ready, Help Net Security, 25 July 2025</t>
        </is>
      </c>
      <c r="H439" s="7" t="n">
        <v>2025</v>
      </c>
      <c r="I439" s="7" t="inlineStr">
        <is>
          <t>industry survey</t>
        </is>
      </c>
      <c r="J439" s="7" t="inlineStr">
        <is>
          <t>survey of senior IT decision-makers in UK, FR, DE, NL</t>
        </is>
      </c>
      <c r="K439" s="7" t="inlineStr">
        <is>
          <t>readiness; costs</t>
        </is>
      </c>
      <c r="L439" s="7" t="inlineStr">
        <is>
          <t>mixed</t>
        </is>
      </c>
      <c r="M439" s="7" t="inlineStr">
        <is>
          <t>96% say their data resilience is not where it needs to be; 37% face higher costs passed on by ICT vendors; 22% see digital regulation as a barrier to innovation or competition; about a quarter had not implemented incident reporting or resilience testing</t>
        </is>
      </c>
      <c r="N439" s="7" t="inlineStr">
        <is>
          <t>Six months after DORA applied, a vendor survey found most financial firms still felt unprepared, and over a third faced higher prices from IT suppliers.</t>
        </is>
      </c>
      <c r="O439" s="7" t="inlineStr">
        <is>
          <t>4 countries, 2025</t>
        </is>
      </c>
      <c r="P439" s="7" t="inlineStr">
        <is>
          <t>vendor survey; sample size not stated</t>
        </is>
      </c>
      <c r="Q439" s="7" t="inlineStr">
        <is>
          <t>Veeam sells backup/resilience software</t>
        </is>
      </c>
      <c r="R439" s="7" t="inlineStr">
        <is>
          <t>open</t>
        </is>
      </c>
      <c r="S439" s="7" t="inlineStr">
        <is>
          <t>page summary via search</t>
        </is>
      </c>
      <c r="T439" s="7" t="inlineStr">
        <is>
          <t>2026-10-10</t>
        </is>
      </c>
      <c r="U439" s="7" t="inlineStr">
        <is>
          <t>https://www.helpnetsecurity.com/2025/07/25/dora-compliance-challenges-financial-firms/</t>
        </is>
      </c>
      <c r="V439" s="7" t="inlineStr"/>
      <c r="W439" s="7" t="inlineStr">
        <is>
          <t>http://web.archive.org/web/20260616055036/https://www.helpnetsecurity.com/2025/07/25/dora-compliance-challenges-financial-firms/</t>
        </is>
      </c>
    </row>
    <row r="440">
      <c r="A440" s="7" t="n">
        <v>57</v>
      </c>
      <c r="B440" s="7" t="inlineStr">
        <is>
          <t>Digital Operational Resilience Act (DORA)</t>
        </is>
      </c>
      <c r="C440" s="7" t="inlineStr">
        <is>
          <t>evidence</t>
        </is>
      </c>
      <c r="D440" s="7" t="inlineStr">
        <is>
          <t>official</t>
        </is>
      </c>
      <c r="E440" s="7" t="inlineStr">
        <is>
          <t>2026-10 broadened search</t>
        </is>
      </c>
      <c r="F440" s="7" t="inlineStr">
        <is>
          <t>esas-2026-major-ict-incidents</t>
        </is>
      </c>
      <c r="G440" s="7" t="inlineStr">
        <is>
          <t>EBA, EIOPA &amp; ESMA (Joint Committee of the ESAs) (2026), 2025 Report on major ICT-related incidents (JC 2026 16), Joint-ESA report under Article 22 of DORA</t>
        </is>
      </c>
      <c r="H440" s="7" t="n">
        <v>2026</v>
      </c>
      <c r="I440" s="7" t="inlineStr">
        <is>
          <t>agency report</t>
        </is>
      </c>
      <c r="J440" s="7" t="inlineStr">
        <is>
          <t>descriptive statistics on all major ICT incident reports filed under DORA in 2025</t>
        </is>
      </c>
      <c r="K440" s="7" t="inlineStr">
        <is>
          <t>number, type, root cause, cross-border reach and impact of major ICT incidents</t>
        </is>
      </c>
      <c r="L440" s="7" t="inlineStr">
        <is>
          <t>descriptive</t>
        </is>
      </c>
      <c r="M440" s="7" t="inlineStr">
        <is>
          <t>Financial entities reported 3,383 major ICT incidents in 2025 (0.18 per entity), mostly in credit and payments; about one third had cross-border impact, almost one third originated from third parties, and two thirds caused no or minor client disruption.</t>
        </is>
      </c>
      <c r="N440" s="7" t="inlineStr">
        <is>
          <t>The first year of DORA's incident reporting shows thousands of serious IT incidents in EU finance, mostly at banks and payment firms, often caused by outside IT suppliers, though most had little effect on customers.</t>
        </is>
      </c>
      <c r="O440" s="7" t="inlineStr">
        <is>
          <t>EU/EEA financial sector, 2025</t>
        </is>
      </c>
      <c r="P440" s="7" t="inlineStr">
        <is>
          <t>Census of mandatory reports but first year, divergent reporting practices, ~15% of incidents excluded for missing final reports; no pre-DORA baseline</t>
        </is>
      </c>
      <c r="Q440" s="7" t="inlineStr"/>
      <c r="R440" s="7" t="inlineStr">
        <is>
          <t>open</t>
        </is>
      </c>
      <c r="S440" s="7" t="inlineStr">
        <is>
          <t>full text read</t>
        </is>
      </c>
      <c r="T440" s="7" t="inlineStr">
        <is>
          <t>2026-10-10</t>
        </is>
      </c>
      <c r="U440" s="7" t="inlineStr">
        <is>
          <t>https://www.esma.europa.eu/sites/default/files/2026-06/JC_2026_16_ESAs_2025_report_on_major_ICT-related_incidents.pdf</t>
        </is>
      </c>
      <c r="V440" s="7" t="inlineStr">
        <is>
          <t>https://www.esma.europa.eu/sites/default/files/2026-06/JC_2026_16_ESAs_2025_report_on_major_ICT-related_incidents.pdf</t>
        </is>
      </c>
      <c r="W440" s="7" t="inlineStr"/>
    </row>
    <row r="441">
      <c r="A441" s="7" t="n">
        <v>57</v>
      </c>
      <c r="B441" s="7" t="inlineStr">
        <is>
          <t>Digital Operational Resilience Act (DORA)</t>
        </is>
      </c>
      <c r="C441" s="7" t="inlineStr">
        <is>
          <t>evidence</t>
        </is>
      </c>
      <c r="D441" s="7" t="inlineStr">
        <is>
          <t>consultancy or industry</t>
        </is>
      </c>
      <c r="E441" s="7" t="inlineStr">
        <is>
          <t>2026-10 broadened search</t>
        </is>
      </c>
      <c r="F441" s="7" t="inlineStr">
        <is>
          <t>deloitte-2025-dora-survey</t>
        </is>
      </c>
      <c r="G441" s="7" t="inlineStr">
        <is>
          <t>Deloitte Luxembourg (2025), DORA European Survey - 2025 edition, Deloitte survey report (landing page)</t>
        </is>
      </c>
      <c r="H441" s="7" t="n">
        <v>2025</v>
      </c>
      <c r="I441" s="7" t="inlineStr">
        <is>
          <t>survey report</t>
        </is>
      </c>
      <c r="J441" s="7" t="inlineStr">
        <is>
          <t>survey of financial entities (CISOs, CROs, DORA programme managers) in 28 countries, early 2025; sample size not stated on landing page</t>
        </is>
      </c>
      <c r="K441" s="7" t="inlineStr">
        <is>
          <t>self-assessed compliance by DORA pillar, expected compliance spending, hardest tasks</t>
        </is>
      </c>
      <c r="L441" s="7" t="inlineStr">
        <is>
          <t>descriptive</t>
        </is>
      </c>
      <c r="M441" s="7" t="inlineStr">
        <is>
          <t>Only 25% of entities felt compliant on ICT risk management and 8% on resilience testing and third-party risk; 64% plan to spend EUR 2-5 million on DORA compliance and 46% find the register of information the hardest task.</t>
        </is>
      </c>
      <c r="N441" s="7" t="inlineStr">
        <is>
          <t>Just after DORA started applying, most financial firms surveyed said they were not yet fully compliant and expected to spend several million euros each to get there.</t>
        </is>
      </c>
      <c r="O441" s="7" t="inlineStr">
        <is>
          <t>Europe (28 countries), early 2025</t>
        </is>
      </c>
      <c r="P441" s="7" t="inlineStr">
        <is>
          <t>Self-reported, sample size and selection unknown; full report gated behind registration</t>
        </is>
      </c>
      <c r="Q441" s="7" t="inlineStr">
        <is>
          <t>Consultancy selling DORA compliance services</t>
        </is>
      </c>
      <c r="R441" s="7" t="inlineStr">
        <is>
          <t>open</t>
        </is>
      </c>
      <c r="S441" s="7" t="inlineStr">
        <is>
          <t>abstract read</t>
        </is>
      </c>
      <c r="T441" s="7" t="inlineStr">
        <is>
          <t>2026-10-10</t>
        </is>
      </c>
      <c r="U441" s="7" t="inlineStr">
        <is>
          <t>https://www.deloitte.com/lu/en/services/consulting/research/dora-european-survey.html</t>
        </is>
      </c>
      <c r="V441" s="7" t="inlineStr"/>
      <c r="W441" s="7" t="inlineStr"/>
    </row>
    <row r="442">
      <c r="A442" s="7" t="n">
        <v>57</v>
      </c>
      <c r="B442" s="7" t="inlineStr">
        <is>
          <t>Digital Operational Resilience Act (DORA)</t>
        </is>
      </c>
      <c r="C442" s="7" t="inlineStr">
        <is>
          <t>evidence</t>
        </is>
      </c>
      <c r="D442" s="7" t="inlineStr">
        <is>
          <t>consultancy or industry</t>
        </is>
      </c>
      <c r="E442" s="7" t="inlineStr">
        <is>
          <t>2026-10 broadened search</t>
        </is>
      </c>
      <c r="F442" s="7" t="inlineStr">
        <is>
          <t>mckinsey-2024-dora-readiness</t>
        </is>
      </c>
      <c r="G442" s="7" t="inlineStr">
        <is>
          <t>McKinsey &amp; Company (2024), Europe's new resilience regime: The race to get ready for DORA, McKinsey Risk &amp; Resilience Insights (28 June 2024)</t>
        </is>
      </c>
      <c r="H442" s="7" t="n">
        <v>2024</v>
      </c>
      <c r="I442" s="7" t="inlineStr">
        <is>
          <t>survey report</t>
        </is>
      </c>
      <c r="J442" s="7" t="inlineStr">
        <is>
          <t>survey of major European financial institutions and critical ICT third-party providers (as of April 2024); sample size not stated</t>
        </is>
      </c>
      <c r="K442" s="7" t="inlineStr">
        <is>
          <t>implementation progress, staffing, expected run costs, confidence in meeting deadline</t>
        </is>
      </c>
      <c r="L442" s="7" t="inlineStr">
        <is>
          <t>descriptive</t>
        </is>
      </c>
      <c r="M442" s="7" t="inlineStr">
        <is>
          <t>Only about a third of financial institutions were confident of meeting all DORA requirements by January 2025, and 70% said continued compliance would permanently raise technology run costs.</t>
        </is>
      </c>
      <c r="N442" s="7" t="inlineStr">
        <is>
          <t>Six months before DORA applied, most large financial firms had started preparing, but only one in three expected to be fully ready on time and most expected lasting extra IT costs.</t>
        </is>
      </c>
      <c r="O442" s="7" t="inlineStr">
        <is>
          <t>Europe, April 2024 (pre-application)</t>
        </is>
      </c>
      <c r="P442" s="7" t="inlineStr">
        <is>
          <t>Pre-application readiness survey, unknown sample, self-reported; early-implementation evidence only</t>
        </is>
      </c>
      <c r="Q442" s="7" t="inlineStr">
        <is>
          <t>Consultancy selling DORA implementation services</t>
        </is>
      </c>
      <c r="R442" s="7" t="inlineStr">
        <is>
          <t>open</t>
        </is>
      </c>
      <c r="S442" s="7" t="inlineStr">
        <is>
          <t>full text read</t>
        </is>
      </c>
      <c r="T442" s="7" t="inlineStr">
        <is>
          <t>2026-10-10</t>
        </is>
      </c>
      <c r="U442" s="7" t="inlineStr">
        <is>
          <t>https://www.mckinsey.de/capabilities/risk-and-resilience/our-insights/europes-new-resilience-regime-the-race-to-get-ready-for-dora</t>
        </is>
      </c>
      <c r="V442" s="7" t="inlineStr"/>
      <c r="W442" s="7" t="inlineStr"/>
    </row>
    <row r="443">
      <c r="A443" s="7" t="n">
        <v>57</v>
      </c>
      <c r="B443" s="7" t="inlineStr">
        <is>
          <t>Digital Operational Resilience Act (DORA)</t>
        </is>
      </c>
      <c r="C443" s="7" t="inlineStr">
        <is>
          <t>evidence</t>
        </is>
      </c>
      <c r="D443" s="7" t="inlineStr">
        <is>
          <t>official</t>
        </is>
      </c>
      <c r="E443" s="7" t="inlineStr">
        <is>
          <t>2026-10 broadened search</t>
        </is>
      </c>
      <c r="F443" s="7" t="inlineStr">
        <is>
          <t>afm-dnb-2025-digitaldependence</t>
        </is>
      </c>
      <c r="G443" s="7" t="inlineStr">
        <is>
          <t>Dutch Authority for the Financial Markets (AFM) and De Nederlandsche Bank (DNB) (2025), Digital dependence of the financial sector, AFM and DNB joint report (20 October 2025)</t>
        </is>
      </c>
      <c r="H443" s="7" t="n">
        <v>2025</v>
      </c>
      <c r="I443" s="7" t="inlineStr">
        <is>
          <t>agency report</t>
        </is>
      </c>
      <c r="J443" s="7" t="inlineStr">
        <is>
          <t>supervisory assessment based on interviews with banks, insurers, payment providers, asset managers and ICT vendors, plus desk analysis</t>
        </is>
      </c>
      <c r="K443" s="7" t="inlineStr">
        <is>
          <t>concentration on non-EU ICT providers; unintended effects of DORA on ICT supplier market; adequacy of DORA oversight</t>
        </is>
      </c>
      <c r="L443" s="7" t="inlineStr">
        <is>
          <t>mixed</t>
        </is>
      </c>
      <c r="M443" s="7" t="inlineStr">
        <is>
          <t>Interviewed institutions report that smaller ICT suppliers are withdrawing from the financial sector because they cannot or will not comply with DORA and that DORA encourages using fewer providers, raising concentration; the supervisors judge DORA's critical-provider oversight insufficient for geopolitical risks while noting it prompted firms to demand uptime guarantees, exit options and audit rights.</t>
        </is>
      </c>
      <c r="N443" s="7" t="inlineStr">
        <is>
          <t>The Dutch financial supervisors found that banks and insurers rely heavily on a few US cloud companies. Firms told them that the new EU resilience rules have pushed some small IT suppliers out of the sector and led firms to use fewer suppliers, which could make the concentration problem worse.</t>
        </is>
      </c>
      <c r="O443" s="7" t="inlineStr">
        <is>
          <t>2025; Netherlands</t>
        </is>
      </c>
      <c r="P443" s="7" t="inlineStr">
        <is>
          <t>Qualitative, interview-based (number of interviews not stated); early evidence less than a year after DORA applied; supervisors are DORA competent authorities.</t>
        </is>
      </c>
      <c r="Q443" s="7" t="inlineStr">
        <is>
          <t>Supervisors responsible for applying DORA</t>
        </is>
      </c>
      <c r="R443" s="7" t="inlineStr">
        <is>
          <t>open</t>
        </is>
      </c>
      <c r="S443" s="7" t="inlineStr">
        <is>
          <t>full text read</t>
        </is>
      </c>
      <c r="T443" s="7" t="inlineStr">
        <is>
          <t>2026-10-10</t>
        </is>
      </c>
      <c r="U443" s="7" t="inlineStr">
        <is>
          <t>https://www.afm.nl/en/sector/actueel/2025/okt/pb-digitale-autonomie</t>
        </is>
      </c>
      <c r="V443" s="7" t="inlineStr">
        <is>
          <t>https://www.afm.nl/~/profmedia/files/rapporten/2025/digital-dependence-of-the-financial-sector.pdf</t>
        </is>
      </c>
      <c r="W443" s="7" t="inlineStr"/>
    </row>
    <row r="444">
      <c r="A444" s="7" t="n">
        <v>66</v>
      </c>
      <c r="B444" s="7" t="inlineStr">
        <is>
          <t>Foreign Subsidies Regulation</t>
        </is>
      </c>
      <c r="C444" s="7" t="inlineStr">
        <is>
          <t>ex-ante assessment</t>
        </is>
      </c>
      <c r="D444" s="7" t="inlineStr">
        <is>
          <t>official</t>
        </is>
      </c>
      <c r="E444" s="7" t="inlineStr">
        <is>
          <t>initial review</t>
        </is>
      </c>
      <c r="F444" s="7" t="inlineStr">
        <is>
          <t>ec-2021-fsr-ia</t>
        </is>
      </c>
      <c r="G444" s="7" t="inlineStr">
        <is>
          <t>European Commission (2021), Impact Assessment accompanying the proposal for a Regulation on foreign subsidies distorting the internal market (executive summary SWD(2021) 100), SWD(2021) 99</t>
        </is>
      </c>
      <c r="H444" s="7" t="n">
        <v>2021</v>
      </c>
      <c r="I444" s="7" t="inlineStr">
        <is>
          <t>Commission impact assessment</t>
        </is>
      </c>
      <c r="J444" s="7" t="inlineStr">
        <is>
          <t>ex-ante</t>
        </is>
      </c>
      <c r="K444" s="7" t="inlineStr">
        <is>
          <t>level playing field; compliance costs; FDI</t>
        </is>
      </c>
      <c r="L444" s="7" t="inlineStr">
        <is>
          <t>positive (forecast)</t>
        </is>
      </c>
      <c r="M444" s="7" t="inlineStr">
        <is>
          <t>New instrument with notification for large mergers and tenders; low burden for SMEs; possible short-term drop in FDI offset by fairer competition</t>
        </is>
      </c>
      <c r="N444" s="7" t="inlineStr">
        <is>
          <t>The Commission expected the new tool to restore fair competition with foreign-subsidised firms at modest cost, while warning that foreign investment might dip at first.</t>
        </is>
      </c>
      <c r="O444" s="7" t="inlineStr">
        <is>
          <t>EU, forecast</t>
        </is>
      </c>
      <c r="P444" s="7" t="inlineStr">
        <is>
          <t>forecast; few quantified impacts</t>
        </is>
      </c>
      <c r="Q444" s="7" t="inlineStr"/>
      <c r="R444" s="7" t="inlineStr">
        <is>
          <t>open</t>
        </is>
      </c>
      <c r="S444" s="7" t="inlineStr">
        <is>
          <t>full text read</t>
        </is>
      </c>
      <c r="T444" s="7" t="inlineStr">
        <is>
          <t>2026-10-10</t>
        </is>
      </c>
      <c r="U444" s="7" t="inlineStr">
        <is>
          <t>https://eur-lex.europa.eu/legal-content/EN/TXT/?uri=CELEX:52021SC0100</t>
        </is>
      </c>
      <c r="V444" s="7" t="inlineStr"/>
      <c r="W444" s="7" t="inlineStr"/>
    </row>
    <row r="445">
      <c r="A445" s="7" t="n">
        <v>66</v>
      </c>
      <c r="B445" s="7" t="inlineStr">
        <is>
          <t>Foreign Subsidies Regulation</t>
        </is>
      </c>
      <c r="C445" s="7" t="inlineStr">
        <is>
          <t>evidence</t>
        </is>
      </c>
      <c r="D445" s="7" t="inlineStr">
        <is>
          <t>official</t>
        </is>
      </c>
      <c r="E445" s="7" t="inlineStr">
        <is>
          <t>initial review</t>
        </is>
      </c>
      <c r="F445" s="7" t="inlineStr">
        <is>
          <t>ec-2026-fsr-review</t>
        </is>
      </c>
      <c r="G445" s="7" t="inlineStr">
        <is>
          <t>European Commission (2026), Report on the implementation and enforcement of Regulation (EU) 2022/2560 (first review, with SWD(2026) 183), COM(2026) 368</t>
        </is>
      </c>
      <c r="H445" s="7" t="n">
        <v>2026</v>
      </c>
      <c r="I445" s="7" t="inlineStr">
        <is>
          <t>Commission review report</t>
        </is>
      </c>
      <c r="J445" s="7" t="inlineStr">
        <is>
          <t>implementation review (case statistics, consultation, call for evidence)</t>
        </is>
      </c>
      <c r="K445" s="7" t="inlineStr">
        <is>
          <t>enforcement activity; administrative burden</t>
        </is>
      </c>
      <c r="L445" s="7" t="inlineStr">
        <is>
          <t>positive (self-assessment)</t>
        </is>
      </c>
      <c r="M445" s="7" t="inlineStr">
        <is>
          <t>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is>
      </c>
      <c r="N445" s="7" t="inlineStr">
        <is>
          <t>The Commission's first review says the regime works and has deterred some subsidised bidders, but handles far more filings than expected and firms complain of heavy paperwork.</t>
        </is>
      </c>
      <c r="O445" s="7" t="inlineStr">
        <is>
          <t>EU, Oct 2023-May 2026</t>
        </is>
      </c>
      <c r="P445" s="7" t="inlineStr">
        <is>
          <t>self-assessment; no counterfactual</t>
        </is>
      </c>
      <c r="Q445" s="7" t="inlineStr"/>
      <c r="R445" s="7" t="inlineStr">
        <is>
          <t>open</t>
        </is>
      </c>
      <c r="S445" s="7" t="inlineStr">
        <is>
          <t>full text read</t>
        </is>
      </c>
      <c r="T445" s="7" t="inlineStr">
        <is>
          <t>2026-10-10</t>
        </is>
      </c>
      <c r="U445" s="7" t="inlineStr">
        <is>
          <t>https://eur-lex.europa.eu/legal-content/EN/TXT/?uri=CELEX:52026DC0368</t>
        </is>
      </c>
      <c r="V445" s="7" t="inlineStr"/>
      <c r="W445" s="7" t="inlineStr"/>
    </row>
    <row r="446">
      <c r="A446" s="7" t="n">
        <v>75</v>
      </c>
      <c r="B446" s="7" t="inlineStr">
        <is>
          <t>Union Secure Connectivity Programme</t>
        </is>
      </c>
      <c r="C446" s="7" t="inlineStr">
        <is>
          <t>ex-ante assessment</t>
        </is>
      </c>
      <c r="D446" s="7" t="inlineStr">
        <is>
          <t>official</t>
        </is>
      </c>
      <c r="E446" s="7" t="inlineStr">
        <is>
          <t>initial review</t>
        </is>
      </c>
      <c r="F446" s="7" t="inlineStr">
        <is>
          <t>ec-2022-iris2-ia</t>
        </is>
      </c>
      <c r="G446" s="7" t="inlineStr">
        <is>
          <t>European Commission (2022), Impact Assessment accompanying the proposal establishing the Union Secure Connectivity Programme 2023-2027 (executive summary SWD(2022) 31), SWD(2022) 30</t>
        </is>
      </c>
      <c r="H446" s="7" t="n">
        <v>2022</v>
      </c>
      <c r="I446" s="7" t="inlineStr">
        <is>
          <t>Commission impact assessment</t>
        </is>
      </c>
      <c r="J446" s="7" t="inlineStr">
        <is>
          <t>ex-ante</t>
        </is>
      </c>
      <c r="K446" s="7" t="inlineStr">
        <is>
          <t>cost; security of supply; space industry competitiveness</t>
        </is>
      </c>
      <c r="L446" s="7" t="inlineStr">
        <is>
          <t>positive (forecast)</t>
        </is>
      </c>
      <c r="M446" s="7" t="inlineStr">
        <is>
          <t>Public-private concession preferred; rough total infrastructure cost EUR 6bn (EUR 4bn public, EUR 2bn private); initial services 2024-25, full operational capability 2027; jobs and value added in the space industry (not quantified in summary)</t>
        </is>
      </c>
      <c r="N446" s="7" t="inlineStr">
        <is>
          <t>The Commission expected a EUR 6 billion public-private satellite network giving governments secure links by 2027 and boosting Europe's space industry.</t>
        </is>
      </c>
      <c r="O446" s="7" t="inlineStr">
        <is>
          <t>EU, forecast</t>
        </is>
      </c>
      <c r="P446" s="7" t="inlineStr">
        <is>
          <t>forecast</t>
        </is>
      </c>
      <c r="Q446" s="7" t="inlineStr"/>
      <c r="R446" s="7" t="inlineStr">
        <is>
          <t>open</t>
        </is>
      </c>
      <c r="S446" s="7" t="inlineStr">
        <is>
          <t>full text read</t>
        </is>
      </c>
      <c r="T446" s="7" t="inlineStr">
        <is>
          <t>2026-10-10</t>
        </is>
      </c>
      <c r="U446" s="7" t="inlineStr">
        <is>
          <t>https://eur-lex.europa.eu/legal-content/EN/TXT/?uri=CELEX:52022SC0031</t>
        </is>
      </c>
      <c r="V446" s="7" t="inlineStr"/>
      <c r="W446" s="7" t="inlineStr">
        <is>
          <t>http://web.archive.org/web/20240713175116/https://eur-lex.europa.eu/legal-content/EN/TXT/?uri=celex%3A52022SC0031</t>
        </is>
      </c>
    </row>
    <row r="447">
      <c r="A447" s="7" t="n">
        <v>75</v>
      </c>
      <c r="B447" s="7" t="inlineStr">
        <is>
          <t>Union Secure Connectivity Programme</t>
        </is>
      </c>
      <c r="C447" s="7" t="inlineStr">
        <is>
          <t>evidence</t>
        </is>
      </c>
      <c r="D447" s="7" t="inlineStr">
        <is>
          <t>consultancy or industry</t>
        </is>
      </c>
      <c r="E447" s="7" t="inlineStr">
        <is>
          <t>initial review</t>
        </is>
      </c>
      <c r="F447" s="7" t="inlineStr">
        <is>
          <t>parsonson-2026-iris2-review</t>
        </is>
      </c>
      <c r="G447" s="7" t="inlineStr">
        <is>
          <t>Parsonson (European Spaceflight) (2026), IRIS2 Gets Green Light With More Money and More Satellites, European Spaceflight, 8 August 2026</t>
        </is>
      </c>
      <c r="H447" s="7" t="n">
        <v>2026</v>
      </c>
      <c r="I447" s="7" t="inlineStr">
        <is>
          <t>trade press</t>
        </is>
      </c>
      <c r="J447" s="7" t="inlineStr">
        <is>
          <t>news report of Commission/ESA/SpaceRISE review and company releases</t>
        </is>
      </c>
      <c r="K447" s="7" t="inlineStr">
        <is>
          <t>cost; schedule</t>
        </is>
      </c>
      <c r="L447" s="7" t="inlineStr">
        <is>
          <t>negative (cost and delay)</t>
        </is>
      </c>
      <c r="M447" s="7" t="inlineStr">
        <is>
          <t>Concession signed Dec 2024 at EUR 10.55bn for 290 satellites with initial capacity in 2030; Aug 2026 review: total investment over EUR 15.6bn (Hispasat), EUR 11.6bn public, partners up to EUR 4bn; 348 satellites (Commission) vs 342 (Hispasat); first launches 2029</t>
        </is>
      </c>
      <c r="N447" s="7" t="inlineStr">
        <is>
          <t>Europe's secure satellite network now looks set to cost over EUR 15.6 billion - more than double the original EUR 6 billion estimate - with first launches only in 2029.</t>
        </is>
      </c>
      <c r="O447" s="7" t="inlineStr">
        <is>
          <t>EU, 2024-2026</t>
        </is>
      </c>
      <c r="P447" s="7" t="inlineStr">
        <is>
          <t>journalistic; figures from official and company releases</t>
        </is>
      </c>
      <c r="Q447" s="7" t="inlineStr"/>
      <c r="R447" s="7" t="inlineStr">
        <is>
          <t>open</t>
        </is>
      </c>
      <c r="S447" s="7" t="inlineStr">
        <is>
          <t>full text read</t>
        </is>
      </c>
      <c r="T447" s="7" t="inlineStr">
        <is>
          <t>2026-10-10</t>
        </is>
      </c>
      <c r="U447" s="7" t="inlineStr">
        <is>
          <t>https://europeanspaceflight.com/iris2-gets-green-light-with-more-money-and-more-satellites/</t>
        </is>
      </c>
      <c r="V447" s="7" t="inlineStr"/>
      <c r="W447" s="7" t="inlineStr">
        <is>
          <t>http://web.archive.org/web/20261007091836/https://europeanspaceflight.com/iris2-gets-green-light-with-more-money-and-more-satellites/</t>
        </is>
      </c>
    </row>
    <row r="448">
      <c r="A448" s="7" t="n">
        <v>75</v>
      </c>
      <c r="B448" s="7" t="inlineStr">
        <is>
          <t>Union Secure Connectivity Programme</t>
        </is>
      </c>
      <c r="C448" s="7" t="inlineStr">
        <is>
          <t>evidence</t>
        </is>
      </c>
      <c r="D448" s="7" t="inlineStr">
        <is>
          <t>consultancy or industry</t>
        </is>
      </c>
      <c r="E448" s="7" t="inlineStr">
        <is>
          <t>initial review</t>
        </is>
      </c>
      <c r="F448" s="7" t="inlineStr">
        <is>
          <t>gorman-2026-iris2-build</t>
        </is>
      </c>
      <c r="G448" s="7" t="inlineStr">
        <is>
          <t>Gorman (Payload) (2026), Europe's IRIS2 Constellation Enters the Build Phase, Payload, 10 August 2026</t>
        </is>
      </c>
      <c r="H448" s="7" t="n">
        <v>2026</v>
      </c>
      <c r="I448" s="7" t="inlineStr">
        <is>
          <t>trade press</t>
        </is>
      </c>
      <c r="J448" s="7" t="inlineStr">
        <is>
          <t>news report</t>
        </is>
      </c>
      <c r="K448" s="7" t="inlineStr">
        <is>
          <t>cost; industrial participation</t>
        </is>
      </c>
      <c r="L448" s="7" t="inlineStr">
        <is>
          <t>negative (cost)</t>
        </is>
      </c>
      <c r="M448" s="7" t="inlineStr">
        <is>
          <t>About 50% budget increase to ~EUR 15.6bn; at least 348 satellites; ~EUR 11.6bn from EU and member states; national commitments from Spain (up to EUR 2bn), Poland, Hungary; first launch on European launcher targeted 2029</t>
        </is>
      </c>
      <c r="N448" s="7" t="inlineStr">
        <is>
          <t>Trade press reports the network's budget rose by about half in the 2026 renegotiation, with most of the extra money coming from public sources.</t>
        </is>
      </c>
      <c r="O448" s="7" t="inlineStr">
        <is>
          <t>EU, 2026</t>
        </is>
      </c>
      <c r="P448" s="7" t="inlineStr">
        <is>
          <t>journalistic</t>
        </is>
      </c>
      <c r="Q448" s="7" t="inlineStr"/>
      <c r="R448" s="7" t="inlineStr">
        <is>
          <t>open</t>
        </is>
      </c>
      <c r="S448" s="7" t="inlineStr">
        <is>
          <t>full text read</t>
        </is>
      </c>
      <c r="T448" s="7" t="inlineStr">
        <is>
          <t>2026-10-10</t>
        </is>
      </c>
      <c r="U448" s="7" t="inlineStr">
        <is>
          <t>https://payloadspace.com/europes-iris2-constellation-enters-the-build-phase/</t>
        </is>
      </c>
      <c r="V448" s="7" t="inlineStr"/>
      <c r="W448" s="7" t="inlineStr"/>
    </row>
    <row r="449">
      <c r="A449" s="7" t="n">
        <v>67</v>
      </c>
      <c r="B449" s="7" t="inlineStr">
        <is>
          <t>General Product Safety Regulation</t>
        </is>
      </c>
      <c r="C449" s="7" t="inlineStr">
        <is>
          <t>ex-ante assessment</t>
        </is>
      </c>
      <c r="D449" s="7" t="inlineStr">
        <is>
          <t>official</t>
        </is>
      </c>
      <c r="E449" s="7" t="inlineStr">
        <is>
          <t>initial review</t>
        </is>
      </c>
      <c r="F449" s="7" t="inlineStr">
        <is>
          <t>ec-2021-gpsr-ia</t>
        </is>
      </c>
      <c r="G449" s="7" t="inlineStr">
        <is>
          <t>European Commission (2021), Impact Assessment accompanying the proposal for a Regulation on general product safety (executive summary SWD(2021) 169), SWD(2021) 168</t>
        </is>
      </c>
      <c r="H449" s="7" t="n">
        <v>2021</v>
      </c>
      <c r="I449" s="7" t="inlineStr">
        <is>
          <t>Commission impact assessment</t>
        </is>
      </c>
      <c r="J449" s="7" t="inlineStr">
        <is>
          <t>ex-ante</t>
        </is>
      </c>
      <c r="K449" s="7" t="inlineStr">
        <is>
          <t>consumer detriment; business costs; enforcement costs</t>
        </is>
      </c>
      <c r="L449" s="7" t="inlineStr">
        <is>
          <t>positive (forecast)</t>
        </is>
      </c>
      <c r="M449" s="7" t="inlineStr">
        <is>
          <t>Consumer detriment from unsafe products EUR 19.3bn/yr expected to fall by ~EUR 1.0bn in year one and ~EUR 5.5bn over a decade; recall detriment down &gt;EUR 400m/yr; business costs EUR 196.6m in year one (0.02% of turnover), EUR 177.8m/yr recurrent; fragmentation savings EUR 59m/yr</t>
        </is>
      </c>
      <c r="N449" s="7" t="inlineStr">
        <is>
          <t>The Commission expected the new rules to cut the harm from unsafe products by about EUR 5.5 billion over ten years, at a cost to business of under EUR 200 million a year.</t>
        </is>
      </c>
      <c r="O449" s="7" t="inlineStr">
        <is>
          <t>EU, forecast</t>
        </is>
      </c>
      <c r="P449" s="7" t="inlineStr">
        <is>
          <t>forecast</t>
        </is>
      </c>
      <c r="Q449" s="7" t="inlineStr"/>
      <c r="R449" s="7" t="inlineStr">
        <is>
          <t>open</t>
        </is>
      </c>
      <c r="S449" s="7" t="inlineStr">
        <is>
          <t>full text read</t>
        </is>
      </c>
      <c r="T449" s="7" t="inlineStr">
        <is>
          <t>2026-10-10</t>
        </is>
      </c>
      <c r="U449" s="7" t="inlineStr">
        <is>
          <t>https://eur-lex.europa.eu/legal-content/EN/TXT/?uri=CELEX:52021SC0169</t>
        </is>
      </c>
      <c r="V449" s="7" t="inlineStr"/>
      <c r="W449" s="7" t="inlineStr">
        <is>
          <t>http://web.archive.org/web/20240805024925/https://eur-lex.europa.eu/legal-content/EN/TXT/?uri=celex%3A52021SC0169</t>
        </is>
      </c>
    </row>
    <row r="450">
      <c r="A450" s="7" t="n">
        <v>67</v>
      </c>
      <c r="B450" s="7" t="inlineStr">
        <is>
          <t>General Product Safety Regulation</t>
        </is>
      </c>
      <c r="C450" s="7" t="inlineStr">
        <is>
          <t>evidence</t>
        </is>
      </c>
      <c r="D450" s="7" t="inlineStr">
        <is>
          <t>official</t>
        </is>
      </c>
      <c r="E450" s="7" t="inlineStr">
        <is>
          <t>initial review</t>
        </is>
      </c>
      <c r="F450" s="7" t="inlineStr">
        <is>
          <t>ec-2026-safety-gate-2025</t>
        </is>
      </c>
      <c r="G450" s="7" t="inlineStr">
        <is>
          <t>European Commission (2026), Increased action against dangerous products in the EU in 2025 (Safety Gate annual report 2025), Commission news, 9 March 2026</t>
        </is>
      </c>
      <c r="H450" s="7" t="n">
        <v>2026</v>
      </c>
      <c r="I450" s="7" t="inlineStr">
        <is>
          <t>Commission monitoring report</t>
        </is>
      </c>
      <c r="J450" s="7" t="inlineStr">
        <is>
          <t>administrative statistics</t>
        </is>
      </c>
      <c r="K450" s="7" t="inlineStr">
        <is>
          <t>enforcement activity</t>
        </is>
      </c>
      <c r="L450" s="7" t="inlineStr">
        <is>
          <t>positive (activity)</t>
        </is>
      </c>
      <c r="M450" s="7" t="inlineStr">
        <is>
          <t>Record 4,671 alerts in 2025 (+13%); follow-up actions +35%; cosmetics and toys over half of cases; more than 1,200 online marketplaces registered in the Safety Gate Portal under the GPSR</t>
        </is>
      </c>
      <c r="N450" s="7" t="inlineStr">
        <is>
          <t>Alerts about dangerous products hit a record in 2025 and more than 1,200 online marketplaces registered with the EU's safety system, as the new rules require.</t>
        </is>
      </c>
      <c r="O450" s="7" t="inlineStr">
        <is>
          <t>EU/EEA, 2025</t>
        </is>
      </c>
      <c r="P450" s="7" t="inlineStr">
        <is>
          <t>activity counts; no outcome measure</t>
        </is>
      </c>
      <c r="Q450" s="7" t="inlineStr"/>
      <c r="R450" s="7" t="inlineStr">
        <is>
          <t>open</t>
        </is>
      </c>
      <c r="S450" s="7" t="inlineStr">
        <is>
          <t>full text read</t>
        </is>
      </c>
      <c r="T450" s="7" t="inlineStr">
        <is>
          <t>2026-10-10</t>
        </is>
      </c>
      <c r="U450" s="7" t="inlineStr">
        <is>
          <t>https://commission.europa.eu/news-and-media/news/increased-action-against-dangerous-products-eu-2025-2026-03-09_en</t>
        </is>
      </c>
      <c r="V450" s="7" t="inlineStr"/>
      <c r="W450" s="7" t="inlineStr">
        <is>
          <t>http://web.archive.org/web/20260510210622/https://commission.europa.eu/news-and-media/news/increased-action-against-dangerous-products-eu-2025-2026-03-09_en</t>
        </is>
      </c>
    </row>
    <row r="451">
      <c r="A451" s="7" t="n">
        <v>67</v>
      </c>
      <c r="B451" s="7" t="inlineStr">
        <is>
          <t>General Product Safety Regulation</t>
        </is>
      </c>
      <c r="C451" s="7" t="inlineStr">
        <is>
          <t>evidence</t>
        </is>
      </c>
      <c r="D451" s="7" t="inlineStr">
        <is>
          <t>think tank</t>
        </is>
      </c>
      <c r="E451" s="7" t="inlineStr">
        <is>
          <t>initial review</t>
        </is>
      </c>
      <c r="F451" s="7" t="inlineStr">
        <is>
          <t>euroconsumers-2025-temu-shein</t>
        </is>
      </c>
      <c r="G451" s="7" t="inlineStr">
        <is>
          <t>Euroconsumers / Testachats-Testaankoop (2025), Systemic failures in product compliance on TEMU and Shein, Euroconsumers</t>
        </is>
      </c>
      <c r="H451" s="7" t="n">
        <v>2025</v>
      </c>
      <c r="I451" s="7" t="inlineStr">
        <is>
          <t>consumer organisation report</t>
        </is>
      </c>
      <c r="J451" s="7" t="inlineStr">
        <is>
          <t>mystery shopping and accredited lab tests (81 products per platform)</t>
        </is>
      </c>
      <c r="K451" s="7" t="inlineStr">
        <is>
          <t>product compliance on online marketplaces</t>
        </is>
      </c>
      <c r="L451" s="7" t="inlineStr">
        <is>
          <t>negative</t>
        </is>
      </c>
      <c r="M451" s="7" t="inlineStr">
        <is>
          <t>Almost two-thirds of Temu products and 73% of Shein products failed at least one requirement; 26/27 Temu and 27/27 Shein children's products non-compliant; serious electrical risks in chargers</t>
        </is>
      </c>
      <c r="N451" s="7" t="inlineStr">
        <is>
          <t>Lab tests of 162 products bought on Temu and Shein in 2025 found most failed EU safety or labelling rules, showing unsafe imports still reach consumers.</t>
        </is>
      </c>
      <c r="O451" s="7" t="inlineStr">
        <is>
          <t>Belgium/EU, 2025</t>
        </is>
      </c>
      <c r="P451" s="7" t="inlineStr">
        <is>
          <t>small sample; not causal; date from search summary</t>
        </is>
      </c>
      <c r="Q451" s="7" t="inlineStr">
        <is>
          <t>Consumer organisation (advocacy for stronger enforcement)</t>
        </is>
      </c>
      <c r="R451" s="7" t="inlineStr">
        <is>
          <t>open</t>
        </is>
      </c>
      <c r="S451" s="7" t="inlineStr">
        <is>
          <t>full text read</t>
        </is>
      </c>
      <c r="T451" s="7" t="inlineStr">
        <is>
          <t>2026-10-10</t>
        </is>
      </c>
      <c r="U451" s="7" t="inlineStr">
        <is>
          <t>https://euroconsumers.org/systemic-failures-in-product-compliance-on-temu-and-shein</t>
        </is>
      </c>
      <c r="V451" s="7" t="inlineStr"/>
      <c r="W451" s="7" t="inlineStr">
        <is>
          <t>http://web.archive.org/web/20260919053429/https://www.euroconsumers.org/systemic-failures-in-product-compliance-on-temu-and-shein/</t>
        </is>
      </c>
    </row>
    <row r="452">
      <c r="A452" s="7" t="n">
        <v>67</v>
      </c>
      <c r="B452" s="7" t="inlineStr">
        <is>
          <t>General Product Safety Regulation</t>
        </is>
      </c>
      <c r="C452" s="7" t="inlineStr">
        <is>
          <t>evidence</t>
        </is>
      </c>
      <c r="D452" s="7" t="inlineStr">
        <is>
          <t>official</t>
        </is>
      </c>
      <c r="E452" s="7" t="inlineStr">
        <is>
          <t>2026-10 broadened search</t>
        </is>
      </c>
      <c r="F452" s="7" t="inlineStr">
        <is>
          <t>csn-2025-gpsr-sweep</t>
        </is>
      </c>
      <c r="G452" s="7" t="inlineStr">
        <is>
          <t>European Commission and Consumer Safety Network (national market surveillance authorities) (2025), Summary results of the first product safety sweep of the Consumer Safety Network - compliance of online marketplace offers of childcare articles with the requirements of the GPSR, European Commission / Consumer Safety Network, July 2025 (copy hosted by Spain's Dirección General de Consumo)</t>
        </is>
      </c>
      <c r="H452" s="7" t="n">
        <v>2025</v>
      </c>
      <c r="I452" s="7" t="inlineStr">
        <is>
          <t>agency report</t>
        </is>
      </c>
      <c r="J452" s="7" t="inlineStr">
        <is>
          <t>coordinated enforcement sweep (compliance audit): pro-forma checks of 1,741 childcare product listings on 47 online marketplaces (1,202 on five VLOPs), 1 April-15 May 2025</t>
        </is>
      </c>
      <c r="K452" s="7" t="inlineStr">
        <is>
          <t>display of manufacturer and EU responsible-person information on listings; marketplace registration on Safety Gate and contact points; responses to authority orders</t>
        </is>
      </c>
      <c r="L452" s="7" t="inlineStr">
        <is>
          <t>descriptive</t>
        </is>
      </c>
      <c r="M452" s="7" t="inlineStr">
        <is>
          <t>Only 52% of listings gave full manufacturer information (65% on VLOPs vs 24% on smaller platforms) and 68% full EU responsible-person information; only 53% of marketplaces had registered on the Safety Gate Portal and 64% had a consumer contact point; 252 orders were sent.</t>
        </is>
      </c>
      <c r="N452" s="7" t="inlineStr">
        <is>
          <t>In the first EU-wide check under the new product safety law, national authorities looked at baby and childcare products sold online. Half the listings lacked required details on who made the product, and only half of the online marketplaces had registered with the EU's safety alert system as the law requires.</t>
        </is>
      </c>
      <c r="O452" s="7" t="inlineStr">
        <is>
          <t>April-May 2025; EU/EEA market surveillance authorities, 47 marketplaces</t>
        </is>
      </c>
      <c r="P452" s="7" t="inlineStr">
        <is>
          <t>Systematic official compliance measurement soon after the GPSR began to apply; sample chosen by authorities, not random; measures information obligations rather than product safety outcomes.</t>
        </is>
      </c>
      <c r="Q452" s="7" t="inlineStr">
        <is>
          <t>Commission and enforcers reporting on their own enforcement action</t>
        </is>
      </c>
      <c r="R452" s="7" t="inlineStr">
        <is>
          <t>open</t>
        </is>
      </c>
      <c r="S452" s="7" t="inlineStr">
        <is>
          <t>full text read</t>
        </is>
      </c>
      <c r="T452" s="7" t="inlineStr">
        <is>
          <t>2026-10-10</t>
        </is>
      </c>
      <c r="U452" s="7" t="inlineStr">
        <is>
          <t>https://www.dsca.gob.es/sites/default/files/consumo_masinfo/Resumen_informe_UE_SWEEP_2025.pdf</t>
        </is>
      </c>
      <c r="V452" s="7" t="inlineStr">
        <is>
          <t>https://www.dsca.gob.es/sites/default/files/consumo_masinfo/Resumen_informe_UE_SWEEP_2025.pdf</t>
        </is>
      </c>
      <c r="W452" s="7" t="inlineStr"/>
    </row>
    <row r="453">
      <c r="A453" s="7" t="n">
        <v>67</v>
      </c>
      <c r="B453" s="7" t="inlineStr">
        <is>
          <t>General Product Safety Regulation</t>
        </is>
      </c>
      <c r="C453" s="7" t="inlineStr">
        <is>
          <t>evidence</t>
        </is>
      </c>
      <c r="D453" s="7" t="inlineStr">
        <is>
          <t>official</t>
        </is>
      </c>
      <c r="E453" s="7" t="inlineStr">
        <is>
          <t>2026-10 broadened search</t>
        </is>
      </c>
      <c r="F453" s="7" t="inlineStr">
        <is>
          <t>ec-2026-gpsr-sweep</t>
        </is>
      </c>
      <c r="G453" s="7" t="inlineStr">
        <is>
          <t>European Commission and national market surveillance authorities (2026), 2026 product safety sweep shows improving compliance with product safety rules while some gaps remain, European Commission, Daily News MEX/26/1802, 7 September 2026</t>
        </is>
      </c>
      <c r="H453" s="7" t="n">
        <v>2026</v>
      </c>
      <c r="I453" s="7" t="inlineStr">
        <is>
          <t>agency report</t>
        </is>
      </c>
      <c r="J453" s="7" t="inlineStr">
        <is>
          <t>second coordinated enforcement sweep (compliance audit): checks of nearly 1,700 childcare and gym product listings on 35 online marketplaces, May-July 2026, compared with 2025 sweep</t>
        </is>
      </c>
      <c r="K453" s="7" t="inlineStr">
        <is>
          <t>marketplace registration on Safety Gate, consumer contact points, completeness of product safety information on listings</t>
        </is>
      </c>
      <c r="L453" s="7" t="inlineStr">
        <is>
          <t>positive</t>
        </is>
      </c>
      <c r="M453" s="7" t="inlineStr">
        <is>
          <t>91% of marketplaces had registered on the Safety Gate Portal and named an authority contact point (up from 53% in 2025) and 100% had a consumer contact point (up from 64%), but only 58% of listings gave manufacturer, EU responsible person and product identification together; 560 orders were sent.</t>
        </is>
      </c>
      <c r="N453" s="7" t="inlineStr">
        <is>
          <t>A year after the first check, online marketplaces have mostly caught up on the basic duties of the product safety law, such as registering with the EU's alert system. But four in ten product listings still lack key safety details.</t>
        </is>
      </c>
      <c r="O453" s="7" t="inlineStr">
        <is>
          <t>May-July 2026; EU, 35 online marketplaces</t>
        </is>
      </c>
      <c r="P453" s="7" t="inlineStr">
        <is>
          <t>Repeat official measurement allows before/after comparison, but samples and product categories differ between years; only the Commission's announcement was seen, not a full report.</t>
        </is>
      </c>
      <c r="Q453" s="7" t="inlineStr">
        <is>
          <t>Commission reporting on its own enforcement action</t>
        </is>
      </c>
      <c r="R453" s="7" t="inlineStr">
        <is>
          <t>open</t>
        </is>
      </c>
      <c r="S453" s="7" t="inlineStr">
        <is>
          <t>abstract read</t>
        </is>
      </c>
      <c r="T453" s="7" t="inlineStr">
        <is>
          <t>2026-10-10</t>
        </is>
      </c>
      <c r="U453" s="7" t="inlineStr">
        <is>
          <t>https://ec.europa.eu/commission/presscorner/detail/en/mex_26_1802</t>
        </is>
      </c>
      <c r="V453" s="7" t="inlineStr"/>
      <c r="W453" s="7" t="inlineStr"/>
    </row>
    <row r="454">
      <c r="A454" s="7" t="n">
        <v>87</v>
      </c>
      <c r="B454" s="7" t="inlineStr">
        <is>
          <t>Horizontal Block Exemption Regulations</t>
        </is>
      </c>
      <c r="C454" s="7" t="inlineStr">
        <is>
          <t>evidence</t>
        </is>
      </c>
      <c r="D454" s="7" t="inlineStr">
        <is>
          <t>official</t>
        </is>
      </c>
      <c r="E454" s="7" t="inlineStr">
        <is>
          <t>initial review</t>
        </is>
      </c>
      <c r="F454" s="7" t="inlineStr">
        <is>
          <t>ec-2021-hber-evaluation</t>
        </is>
      </c>
      <c r="G454" s="7" t="inlineStr">
        <is>
          <t>European Commission (2021), Evaluation of the Horizontal Block Exemption Regulations (R&amp;D and Specialisation) and the Horizontal Guidelines, SWD(2021) 103</t>
        </is>
      </c>
      <c r="H454" s="7" t="n">
        <v>2021</v>
      </c>
      <c r="I454" s="7" t="inlineStr">
        <is>
          <t>Commission evaluation</t>
        </is>
      </c>
      <c r="J454" s="7" t="inlineStr">
        <is>
          <t>evaluation (public consultation 2019-20, external evaluation study, NCA survey)</t>
        </is>
      </c>
      <c r="K454" s="7" t="inlineStr">
        <is>
          <t>legal certainty; compliance costs; relevance</t>
        </is>
      </c>
      <c r="L454" s="7" t="inlineStr">
        <is>
          <t>mixed</t>
        </is>
      </c>
      <c r="M454" s="7" t="inlineStr">
        <is>
          <t>HBERs and Guidelines made economically desirable cooperation easier and gave legal certainty, but some rules unduly strict or unclear and outdated for digitalisation and sustainability; compliance-cost savings could not be quantified</t>
        </is>
      </c>
      <c r="N454" s="7" t="inlineStr">
        <is>
          <t>The Commission's evaluation found the old rules useful for firms that cooperate on research or production, but in need of updating and unable to put a number on the money saved.</t>
        </is>
      </c>
      <c r="O454" s="7" t="inlineStr">
        <is>
          <t>EU, 2011-2020</t>
        </is>
      </c>
      <c r="P454" s="7" t="inlineStr">
        <is>
          <t>self-assessment; largely qualitative</t>
        </is>
      </c>
      <c r="Q454" s="7" t="inlineStr"/>
      <c r="R454" s="7" t="inlineStr">
        <is>
          <t>open</t>
        </is>
      </c>
      <c r="S454" s="7" t="inlineStr">
        <is>
          <t>full text read</t>
        </is>
      </c>
      <c r="T454" s="7" t="inlineStr">
        <is>
          <t>2026-10-10</t>
        </is>
      </c>
      <c r="U454" s="7" t="inlineStr">
        <is>
          <t>https://eur-lex.europa.eu/legal-content/EN/TXT/?uri=CELEX:52021SC0103</t>
        </is>
      </c>
      <c r="V454" s="7" t="inlineStr"/>
      <c r="W454" s="7" t="inlineStr">
        <is>
          <t>http://web.archive.org/web/20240806153639/https://eur-lex.europa.eu/legal-content/EN/TXT/?uri=CELEX:52021SC0103</t>
        </is>
      </c>
    </row>
    <row r="455">
      <c r="A455" s="7" t="n">
        <v>87</v>
      </c>
      <c r="B455" s="7" t="inlineStr">
        <is>
          <t>Horizontal Block Exemption Regulations</t>
        </is>
      </c>
      <c r="C455" s="7" t="inlineStr">
        <is>
          <t>ex-ante assessment</t>
        </is>
      </c>
      <c r="D455" s="7" t="inlineStr">
        <is>
          <t>official</t>
        </is>
      </c>
      <c r="E455" s="7" t="inlineStr">
        <is>
          <t>initial review</t>
        </is>
      </c>
      <c r="F455" s="7" t="inlineStr">
        <is>
          <t>ec-2023-hber-note</t>
        </is>
      </c>
      <c r="G455" s="7" t="inlineStr">
        <is>
          <t>European Commission (DG Competition) (2023), Explanatory note on the 2023 Horizontal Block Exemption Regulations, DG Competition</t>
        </is>
      </c>
      <c r="H455" s="7" t="n">
        <v>2023</v>
      </c>
      <c r="I455" s="7" t="inlineStr">
        <is>
          <t>Commission explanatory note</t>
        </is>
      </c>
      <c r="J455" s="7" t="inlineStr">
        <is>
          <t>descriptive</t>
        </is>
      </c>
      <c r="K455" s="7" t="inlineStr">
        <is>
          <t>rule changes</t>
        </is>
      </c>
      <c r="L455" s="7" t="inlineStr">
        <is>
          <t>n/a</t>
        </is>
      </c>
      <c r="M455" s="7" t="inlineStr">
        <is>
          <t>Revision addresses issues found in the evaluation, informed by an impact assessment phase with stakeholder workshops and five support studies; changes to market-share calculation, innovation competition and SME usability</t>
        </is>
      </c>
      <c r="N455" s="7" t="inlineStr">
        <is>
          <t>The Commission explains that the 2023 rules fix problems found in the evaluation, but publishes no forecast of their economic effect.</t>
        </is>
      </c>
      <c r="O455" s="7" t="inlineStr">
        <is>
          <t>EU</t>
        </is>
      </c>
      <c r="P455" s="7" t="inlineStr">
        <is>
          <t>descriptive</t>
        </is>
      </c>
      <c r="Q455" s="7" t="inlineStr"/>
      <c r="R455" s="7" t="inlineStr">
        <is>
          <t>open</t>
        </is>
      </c>
      <c r="S455" s="7" t="inlineStr">
        <is>
          <t>full text read</t>
        </is>
      </c>
      <c r="T455" s="7" t="inlineStr">
        <is>
          <t>2026-10-10</t>
        </is>
      </c>
      <c r="U455" s="7" t="inlineStr">
        <is>
          <t>https://competition-policy.ec.europa.eu/system/files/2023-06/2023_HBERs_explanatory_note_en.pdf</t>
        </is>
      </c>
      <c r="V455" s="7" t="inlineStr">
        <is>
          <t>https://competition-policy.ec.europa.eu/system/files/2023-06/2023_HBERs_explanatory_note_en.pdf</t>
        </is>
      </c>
      <c r="W455" s="7" t="inlineStr"/>
    </row>
    <row r="456">
      <c r="A456" s="7" t="n">
        <v>87</v>
      </c>
      <c r="B456" s="7" t="inlineStr">
        <is>
          <t>Horizontal Block Exemption Regulations</t>
        </is>
      </c>
      <c r="C456" s="7" t="inlineStr">
        <is>
          <t>evidence</t>
        </is>
      </c>
      <c r="D456" s="7" t="inlineStr">
        <is>
          <t>academic</t>
        </is>
      </c>
      <c r="E456" s="7" t="inlineStr">
        <is>
          <t>initial review</t>
        </is>
      </c>
      <c r="F456" s="7" t="inlineStr">
        <is>
          <t>ruble-versaevel-2014</t>
        </is>
      </c>
      <c r="G456" s="7" t="inlineStr">
        <is>
          <t>Ruble &amp; Versaevel (2014), Market shares, R&amp;D agreements, and the EU block exemption, International Review of Law and Economics 37: 15-25</t>
        </is>
      </c>
      <c r="H456" s="7" t="n">
        <v>2014</v>
      </c>
      <c r="I456" s="7" t="inlineStr">
        <is>
          <t>peer-reviewed</t>
        </is>
      </c>
      <c r="J456" s="7" t="inlineStr">
        <is>
          <t>theoretical model</t>
        </is>
      </c>
      <c r="K456" s="7" t="inlineStr">
        <is>
          <t>R&amp;D incentives; welfare</t>
        </is>
      </c>
      <c r="L456" s="7" t="inlineStr">
        <is>
          <t>mixed</t>
        </is>
      </c>
      <c r="M456" s="7" t="inlineStr">
        <is>
          <t>Incentives to innovate under cooperation depend on several effects; an 'outsider effect' can raise R&amp;D when combined market share is high, so theory does not support limiting the exemption to low market shares</t>
        </is>
      </c>
      <c r="N456" s="7" t="inlineStr">
        <is>
          <t>A theory paper argues that the market-share cap in the R&amp;D block exemption may exclude cooperation that would actually boost innovation.</t>
        </is>
      </c>
      <c r="O456" s="7" t="inlineStr">
        <is>
          <t>theory (Regulation 1217/2010)</t>
        </is>
      </c>
      <c r="P456" s="7" t="inlineStr">
        <is>
          <t>theory only; no data</t>
        </is>
      </c>
      <c r="Q456" s="7" t="inlineStr"/>
      <c r="R456" s="7" t="inlineStr">
        <is>
          <t>paywalled</t>
        </is>
      </c>
      <c r="S456" s="7" t="inlineStr">
        <is>
          <t>page summary via search</t>
        </is>
      </c>
      <c r="T456" s="7" t="inlineStr">
        <is>
          <t>2026-10-10</t>
        </is>
      </c>
      <c r="U456" s="7" t="inlineStr">
        <is>
          <t>https://doi.org/10.1016/j.irle.2013.04.008</t>
        </is>
      </c>
      <c r="V456" s="7" t="inlineStr"/>
      <c r="W456" s="7" t="inlineStr"/>
    </row>
    <row r="457">
      <c r="A457" s="7" t="n">
        <v>56</v>
      </c>
      <c r="B457" s="7" t="inlineStr">
        <is>
          <t>Markets in Crypto-Assets (MiCA)</t>
        </is>
      </c>
      <c r="C457" s="7" t="inlineStr">
        <is>
          <t>ex-ante assessment</t>
        </is>
      </c>
      <c r="D457" s="7" t="inlineStr">
        <is>
          <t>official</t>
        </is>
      </c>
      <c r="E457" s="7" t="inlineStr">
        <is>
          <t>initial review</t>
        </is>
      </c>
      <c r="F457" s="7" t="inlineStr">
        <is>
          <t>ec-2020-mica-ia</t>
        </is>
      </c>
      <c r="G457" s="7" t="inlineStr">
        <is>
          <t>European Commission (2020), Impact Assessment accompanying the proposal for a Regulation on Markets in Crypto-assets (executive summary SWD(2020) 381), SWD(2020) 380</t>
        </is>
      </c>
      <c r="H457" s="7" t="n">
        <v>2020</v>
      </c>
      <c r="I457" s="7" t="inlineStr">
        <is>
          <t>Commission impact assessment</t>
        </is>
      </c>
      <c r="J457" s="7" t="inlineStr">
        <is>
          <t>ex-ante</t>
        </is>
      </c>
      <c r="K457" s="7" t="inlineStr">
        <is>
          <t>remittance costs; funding costs; compliance costs</t>
        </is>
      </c>
      <c r="L457" s="7" t="inlineStr">
        <is>
          <t>positive (forecast)</t>
        </is>
      </c>
      <c r="M457" s="7" t="inlineStr">
        <is>
          <t>Remittance cost savings EUR 220-570m a year; crypto-asset funding costs 20-40% lower than IPOs of similar size; one-off compliance costs EUR 2.8-16.5m and ongoing EUR 2.2-24m for newly regulated service providers; about EUR 35,000 per SME issuance</t>
        </is>
      </c>
      <c r="N457" s="7" t="inlineStr">
        <is>
          <t>The Commission expected MiCA to save EUR 220-570 million a year on remittances and give start-ups cheaper funding than stock-market listings, at modest compliance cost.</t>
        </is>
      </c>
      <c r="O457" s="7" t="inlineStr">
        <is>
          <t>EU, forecast</t>
        </is>
      </c>
      <c r="P457" s="7" t="inlineStr">
        <is>
          <t>forecast</t>
        </is>
      </c>
      <c r="Q457" s="7" t="inlineStr"/>
      <c r="R457" s="7" t="inlineStr">
        <is>
          <t>open</t>
        </is>
      </c>
      <c r="S457" s="7" t="inlineStr">
        <is>
          <t>full text read</t>
        </is>
      </c>
      <c r="T457" s="7" t="inlineStr">
        <is>
          <t>2026-10-10</t>
        </is>
      </c>
      <c r="U457" s="7" t="inlineStr">
        <is>
          <t>https://eur-lex.europa.eu/legal-content/EN/TXT/?uri=CELEX:52020SC0381</t>
        </is>
      </c>
      <c r="V457" s="7" t="inlineStr"/>
      <c r="W457" s="7" t="inlineStr"/>
    </row>
    <row r="458">
      <c r="A458" s="7" t="n">
        <v>56</v>
      </c>
      <c r="B458" s="7" t="inlineStr">
        <is>
          <t>Markets in Crypto-Assets (MiCA)</t>
        </is>
      </c>
      <c r="C458" s="7" t="inlineStr">
        <is>
          <t>evidence</t>
        </is>
      </c>
      <c r="D458" s="7" t="inlineStr">
        <is>
          <t>official</t>
        </is>
      </c>
      <c r="E458" s="7" t="inlineStr">
        <is>
          <t>initial review</t>
        </is>
      </c>
      <c r="F458" s="7" t="inlineStr">
        <is>
          <t>esma-2026-mica-register</t>
        </is>
      </c>
      <c r="G458" s="7" t="inlineStr">
        <is>
          <t>ESMA (2026), Interim MiCA register (authorised CASPs, e-money token issuers, ART issuers, non-compliant entities), ESMA CSV files, accessed 10 Oct 2026</t>
        </is>
      </c>
      <c r="H458" s="7" t="n">
        <v>2026</v>
      </c>
      <c r="I458" s="7" t="inlineStr">
        <is>
          <t>official register</t>
        </is>
      </c>
      <c r="J458" s="7" t="inlineStr">
        <is>
          <t>administrative data (own count)</t>
        </is>
      </c>
      <c r="K458" s="7" t="inlineStr">
        <is>
          <t>authorisations</t>
        </is>
      </c>
      <c r="L458" s="7" t="inlineStr">
        <is>
          <t>n/a</t>
        </is>
      </c>
      <c r="M458" s="7" t="inlineStr">
        <is>
          <t>370 authorised CASP entries (365 entities) in 27 EU/EEA states (Germany 103, France 36, Netherlands 29); 25 e-money token issuers; no asset-referenced token issuers; 173 entities flagged as non-compliant</t>
        </is>
      </c>
      <c r="N458" s="7" t="inlineStr">
        <is>
          <t>By October 2026, about 365 crypto firms had a MiCA licence, more than a quarter of them in Germany, while no one had been authorised to issue an asset-backed 'stablecoin' basket.</t>
        </is>
      </c>
      <c r="O458" s="7" t="inlineStr">
        <is>
          <t>EU/EEA, Dec 2024-Oct 2026</t>
        </is>
      </c>
      <c r="P458" s="7" t="inlineStr">
        <is>
          <t>administrative data; own tabulation</t>
        </is>
      </c>
      <c r="Q458" s="7" t="inlineStr"/>
      <c r="R458" s="7" t="inlineStr">
        <is>
          <t>open</t>
        </is>
      </c>
      <c r="S458" s="7" t="inlineStr">
        <is>
          <t>full text read</t>
        </is>
      </c>
      <c r="T458" s="7" t="inlineStr">
        <is>
          <t>2026-10-10</t>
        </is>
      </c>
      <c r="U458" s="7" t="inlineStr">
        <is>
          <t>https://www.esma.europa.eu/esmas-activities/digital-finance-and-innovation/markets-crypto-assets-regulation-mica</t>
        </is>
      </c>
      <c r="V458" s="7" t="inlineStr"/>
      <c r="W458" s="7" t="inlineStr">
        <is>
          <t>http://web.archive.org/web/20261004232619/https://www.esma.europa.eu/esmas-activities/digital-finance-and-innovation/markets-crypto-assets-regulation-mica</t>
        </is>
      </c>
    </row>
    <row r="459">
      <c r="A459" s="7" t="n">
        <v>56</v>
      </c>
      <c r="B459" s="7" t="inlineStr">
        <is>
          <t>Markets in Crypto-Assets (MiCA)</t>
        </is>
      </c>
      <c r="C459" s="7" t="inlineStr">
        <is>
          <t>evidence</t>
        </is>
      </c>
      <c r="D459" s="7" t="inlineStr">
        <is>
          <t>official</t>
        </is>
      </c>
      <c r="E459" s="7" t="inlineStr">
        <is>
          <t>initial review</t>
        </is>
      </c>
      <c r="F459" s="7" t="inlineStr">
        <is>
          <t>calissano-giuglini-reiche-2024</t>
        </is>
      </c>
      <c r="G459" s="7" t="inlineStr">
        <is>
          <t>Calissano, Giuglini &amp; Reiche (ESMA) (2024), Crypto-assets: Market structures and EU relevance, ESMA TRV Risk Analysis, 10 April 2024</t>
        </is>
      </c>
      <c r="H459" s="7" t="n">
        <v>2024</v>
      </c>
      <c r="I459" s="7" t="inlineStr">
        <is>
          <t>agency report</t>
        </is>
      </c>
      <c r="J459" s="7" t="inlineStr">
        <is>
          <t>descriptive market data analysis</t>
        </is>
      </c>
      <c r="K459" s="7" t="inlineStr">
        <is>
          <t>trading structure; euro share; concentration</t>
        </is>
      </c>
      <c r="L459" s="7" t="inlineStr">
        <is>
          <t>n/a (baseline)</t>
        </is>
      </c>
      <c r="M459" s="7" t="inlineStr">
        <is>
          <t>Only 20-30% of transactions involve fiat; euro plays a minor role and MiCA's announcement has not raised euro transactions; ten exchanges process about 90% of trades; about 55% of volume on exchanges holding an EU VASP licence, though most likely occurs outside the EU</t>
        </is>
      </c>
      <c r="N459" s="7" t="inlineStr">
        <is>
          <t>Before MiCA applied, ESMA found the euro played only a minor role in crypto trading and the new law's announcement had not changed that.</t>
        </is>
      </c>
      <c r="O459" s="7" t="inlineStr">
        <is>
          <t>Global/EU, to early 2024</t>
        </is>
      </c>
      <c r="P459" s="7" t="inlineStr">
        <is>
          <t>descriptive</t>
        </is>
      </c>
      <c r="Q459" s="7" t="inlineStr"/>
      <c r="R459" s="7" t="inlineStr">
        <is>
          <t>open</t>
        </is>
      </c>
      <c r="S459" s="7" t="inlineStr">
        <is>
          <t>full text read</t>
        </is>
      </c>
      <c r="T459" s="7" t="inlineStr">
        <is>
          <t>2026-10-10</t>
        </is>
      </c>
      <c r="U459" s="7" t="inlineStr">
        <is>
          <t>https://www.esma.europa.eu/sites/default/files/2024-04/ESMA50-524821-3153_risk_article_crypto_assets_market_structures_and_eu_relevance.pdf</t>
        </is>
      </c>
      <c r="V459" s="7" t="inlineStr"/>
      <c r="W459" s="7" t="inlineStr">
        <is>
          <t>http://web.archive.org/web/20261008165323/https://www.esma.europa.eu/sites/default/files/2024-04/ESMA50-524821-3153_risk_article_crypto_assets_market_structures_and_eu_relevance.pdf</t>
        </is>
      </c>
    </row>
    <row r="460">
      <c r="A460" s="7" t="n">
        <v>56</v>
      </c>
      <c r="B460" s="7" t="inlineStr">
        <is>
          <t>Markets in Crypto-Assets (MiCA)</t>
        </is>
      </c>
      <c r="C460" s="7" t="inlineStr">
        <is>
          <t>evidence</t>
        </is>
      </c>
      <c r="D460" s="7" t="inlineStr">
        <is>
          <t>academic</t>
        </is>
      </c>
      <c r="E460" s="7" t="inlineStr">
        <is>
          <t>initial review</t>
        </is>
      </c>
      <c r="F460" s="7" t="inlineStr">
        <is>
          <t>borri-shakhnov-2026</t>
        </is>
      </c>
      <c r="G460" s="7" t="inlineStr">
        <is>
          <t>Borri &amp; Shakhnov (2026), Does Regulation Bite at Gateways? Evidence from MiCA and Stablecoins, arXiv 2607.09514</t>
        </is>
      </c>
      <c r="H460" s="7" t="n">
        <v>2026</v>
      </c>
      <c r="I460" s="7" t="inlineStr">
        <is>
          <t>working paper</t>
        </is>
      </c>
      <c r="J460" s="7" t="inlineStr">
        <is>
          <t>event study / treated-vs-control comparison of 14 exchanges (EEA-facing vs global), daily 2024-2025</t>
        </is>
      </c>
      <c r="K460" s="7" t="inlineStr">
        <is>
          <t>stablecoin market shares; trading volume</t>
        </is>
      </c>
      <c r="L460" s="7" t="inlineStr">
        <is>
          <t>mixed</t>
        </is>
      </c>
      <c r="M460" s="7" t="inlineStr">
        <is>
          <t>Aggregate stablecoin market shares and volumes barely move after MiCA-driven USDT delistings; on EEA-facing exchanges USDC share rises by 0.82 and relative volume by 0.54 pre-event standard deviations as USDT trading contracts</t>
        </is>
      </c>
      <c r="N460" s="7" t="inlineStr">
        <is>
          <t>MiCA pushed EU-facing exchanges from the unlicensed USDT stablecoin to the licensed USDC, but barely changed the global market.</t>
        </is>
      </c>
      <c r="O460" s="7" t="inlineStr">
        <is>
          <t>14 exchanges, Jan 2024-Dec 2025</t>
        </is>
      </c>
      <c r="P460" s="7" t="inlineStr">
        <is>
          <t>quasi-experimental; recent preprint</t>
        </is>
      </c>
      <c r="Q460" s="7" t="inlineStr"/>
      <c r="R460" s="7" t="inlineStr">
        <is>
          <t>open</t>
        </is>
      </c>
      <c r="S460" s="7" t="inlineStr">
        <is>
          <t>abstract read</t>
        </is>
      </c>
      <c r="T460" s="7" t="inlineStr">
        <is>
          <t>2026-10-10</t>
        </is>
      </c>
      <c r="U460" s="7" t="inlineStr">
        <is>
          <t>https://arxiv.org/abs/2607.09514</t>
        </is>
      </c>
      <c r="V460" s="7" t="inlineStr">
        <is>
          <t>https://arxiv.org/pdf/2607.09514</t>
        </is>
      </c>
      <c r="W460" s="7" t="inlineStr"/>
    </row>
    <row r="461">
      <c r="A461" s="7" t="n">
        <v>56</v>
      </c>
      <c r="B461" s="7" t="inlineStr">
        <is>
          <t>Markets in Crypto-Assets (MiCA)</t>
        </is>
      </c>
      <c r="C461" s="7" t="inlineStr">
        <is>
          <t>evidence</t>
        </is>
      </c>
      <c r="D461" s="7" t="inlineStr">
        <is>
          <t>other</t>
        </is>
      </c>
      <c r="E461" s="7" t="inlineStr">
        <is>
          <t>initial review</t>
        </is>
      </c>
      <c r="F461" s="7" t="inlineStr">
        <is>
          <t>fauche-2025-micar-euro-stablecoins</t>
        </is>
      </c>
      <c r="G461" s="7" t="inlineStr">
        <is>
          <t>Fauche (2025), The impact of MiCAR on the stablecoin market (summary of master's thesis), Financial Forum / Bank- en Financiewezen, 10 Dec 2025</t>
        </is>
      </c>
      <c r="H461" s="7" t="n">
        <v>2025</v>
      </c>
      <c r="I461" s="7" t="inlineStr">
        <is>
          <t>master's thesis (summary article)</t>
        </is>
      </c>
      <c r="J461" s="7" t="inlineStr">
        <is>
          <t>event study (5 euro stablecoins) and difference-in-differences vs non-EU stablecoins, around EP approval 20 April 2023</t>
        </is>
      </c>
      <c r="K461" s="7" t="inlineStr">
        <is>
          <t>returns; volatility; trading volume</t>
        </is>
      </c>
      <c r="L461" s="7" t="inlineStr">
        <is>
          <t>no effect</t>
        </is>
      </c>
      <c r="M461" s="7" t="inlineStr">
        <is>
          <t>No significant effect of MiCAR approval on returns, volatility or trading volume overall; positive return response for the three largest euro stablecoins</t>
        </is>
      </c>
      <c r="N461" s="7" t="inlineStr">
        <is>
          <t>A student study found MiCA's approval had no measurable effect on euro stablecoins' prices or trading, apart from a small positive reaction for the largest coins.</t>
        </is>
      </c>
      <c r="O461" s="7" t="inlineStr">
        <is>
          <t>EU, Mar-May 2023</t>
        </is>
      </c>
      <c r="P461" s="7" t="inlineStr">
        <is>
          <t>short window; small sample; not peer reviewed</t>
        </is>
      </c>
      <c r="Q461" s="7" t="inlineStr"/>
      <c r="R461" s="7" t="inlineStr">
        <is>
          <t>open</t>
        </is>
      </c>
      <c r="S461" s="7" t="inlineStr">
        <is>
          <t>full text read</t>
        </is>
      </c>
      <c r="T461" s="7" t="inlineStr">
        <is>
          <t>2026-10-10</t>
        </is>
      </c>
      <c r="U461" s="7" t="inlineStr">
        <is>
          <t>https://financialforum.be/en/bfw-digitaal/the-impact-of-micar-on-the-stablecoin-market</t>
        </is>
      </c>
      <c r="V461" s="7" t="inlineStr"/>
      <c r="W461" s="7" t="inlineStr">
        <is>
          <t>http://web.archive.org/web/20260411232523/https://financialforum.be/en/bfw-digitaal/the-impact-of-micar-on-the-stablecoin-market</t>
        </is>
      </c>
    </row>
    <row r="462">
      <c r="A462" s="7" t="n">
        <v>56</v>
      </c>
      <c r="B462" s="7" t="inlineStr">
        <is>
          <t>Markets in Crypto-Assets (MiCA)</t>
        </is>
      </c>
      <c r="C462" s="7" t="inlineStr">
        <is>
          <t>evidence</t>
        </is>
      </c>
      <c r="D462" s="7" t="inlineStr">
        <is>
          <t>consultancy or industry</t>
        </is>
      </c>
      <c r="E462" s="7" t="inlineStr">
        <is>
          <t>initial review</t>
        </is>
      </c>
      <c r="F462" s="7" t="inlineStr">
        <is>
          <t>decta-2026-euro-stablecoins</t>
        </is>
      </c>
      <c r="G462" s="7" t="inlineStr">
        <is>
          <t>Decta (2026), Euro Stablecoin Trends Report 2026: The MiCA-Compliant Coins in the EU Market, Decta (payments company) report</t>
        </is>
      </c>
      <c r="H462" s="7" t="n">
        <v>2026</v>
      </c>
      <c r="I462" s="7" t="inlineStr">
        <is>
          <t>industry report</t>
        </is>
      </c>
      <c r="J462" s="7" t="inlineStr">
        <is>
          <t>descriptive (market data, 52 weeks)</t>
        </is>
      </c>
      <c r="K462" s="7" t="inlineStr">
        <is>
          <t>euro stablecoin market cap and volume</t>
        </is>
      </c>
      <c r="L462" s="7" t="inlineStr">
        <is>
          <t>positive (descriptive)</t>
        </is>
      </c>
      <c r="M462" s="7" t="inlineStr">
        <is>
          <t>Market cap of eight MiCA-compliant euro stablecoins rose 128% from USD 295.6m to USD 673.9m (June 2025-June 2026); average daily trading volume up 43%</t>
        </is>
      </c>
      <c r="N462" s="7" t="inlineStr">
        <is>
          <t>Licensed euro stablecoins more than doubled in value over the year after MiCA, though from a very small base.</t>
        </is>
      </c>
      <c r="O462" s="7" t="inlineStr">
        <is>
          <t>EU, 2025-26</t>
        </is>
      </c>
      <c r="P462" s="7" t="inlineStr">
        <is>
          <t>descriptive; no counterfactual</t>
        </is>
      </c>
      <c r="Q462" s="7" t="inlineStr">
        <is>
          <t>Decta is a payments/card-processing company</t>
        </is>
      </c>
      <c r="R462" s="7" t="inlineStr">
        <is>
          <t>open</t>
        </is>
      </c>
      <c r="S462" s="7" t="inlineStr">
        <is>
          <t>full text read</t>
        </is>
      </c>
      <c r="T462" s="7" t="inlineStr">
        <is>
          <t>2026-10-10</t>
        </is>
      </c>
      <c r="U462" s="7" t="inlineStr">
        <is>
          <t>https://www.decta.com/company/media/euro-stablecoin-trends-report-2026</t>
        </is>
      </c>
      <c r="V462" s="7" t="inlineStr"/>
      <c r="W462" s="7" t="inlineStr"/>
    </row>
    <row r="463">
      <c r="A463" s="7" t="n">
        <v>56</v>
      </c>
      <c r="B463" s="7" t="inlineStr">
        <is>
          <t>Markets in Crypto-Assets (MiCA)</t>
        </is>
      </c>
      <c r="C463" s="7" t="inlineStr">
        <is>
          <t>evidence</t>
        </is>
      </c>
      <c r="D463" s="7" t="inlineStr">
        <is>
          <t>academic</t>
        </is>
      </c>
      <c r="E463" s="7" t="inlineStr">
        <is>
          <t>2026-10 broadened search</t>
        </is>
      </c>
      <c r="F463" s="7" t="inlineStr">
        <is>
          <t>conlon-2024-mica-eventstudy</t>
        </is>
      </c>
      <c r="G463" s="7" t="inlineStr">
        <is>
          <t>Thomas Conlon, Shaen Corbet, Les Oxley (2024), The influence of European MiCa regulation on cryptocurrencies, Global Finance Journal 63 (2024), doi:10.1016/j.gfj.2024.101040</t>
        </is>
      </c>
      <c r="H463" s="7" t="n">
        <v>2024</v>
      </c>
      <c r="I463" s="7" t="inlineStr">
        <is>
          <t>peer-reviewed article</t>
        </is>
      </c>
      <c r="J463" s="7" t="inlineStr">
        <is>
          <t>event study of crypto-asset returns around MiCA-related announcements</t>
        </is>
      </c>
      <c r="K463" s="7" t="inlineStr">
        <is>
          <t>crypto-asset returns by asset type</t>
        </is>
      </c>
      <c r="L463" s="7" t="inlineStr">
        <is>
          <t>negative</t>
        </is>
      </c>
      <c r="M463" s="7" t="inlineStr">
        <is>
          <t>Announcement-day returns fell by about 2.1% around MiCA announcements, persisting up to three days, with stronger effects for digital assets, platform tokens and utility tokens.</t>
        </is>
      </c>
      <c r="N463" s="7" t="inlineStr">
        <is>
          <t>Crypto prices dipped by about 2% on days when news about the EU's MiCA rules came out, especially for some token types.</t>
        </is>
      </c>
      <c r="O463" s="7" t="inlineStr">
        <is>
          <t>MiCA legislative milestones (approx. 2020-2023); global crypto markets</t>
        </is>
      </c>
      <c r="P463" s="7" t="inlineStr">
        <is>
          <t>Standard event study of announcements (legislative stage, not application); headline taken from the search-engine abstract snippet, publisher page blocked, metadata confirmed via Crossref/Unpaywall.</t>
        </is>
      </c>
      <c r="Q463" s="7" t="inlineStr"/>
      <c r="R463" s="7" t="inlineStr">
        <is>
          <t>paywalled</t>
        </is>
      </c>
      <c r="S463" s="7" t="inlineStr">
        <is>
          <t>summary only</t>
        </is>
      </c>
      <c r="T463" s="7" t="inlineStr">
        <is>
          <t>2026-10-10</t>
        </is>
      </c>
      <c r="U463" s="7" t="inlineStr">
        <is>
          <t>https://doi.org/10.1016/j.gfj.2024.101040</t>
        </is>
      </c>
      <c r="V463" s="7" t="inlineStr"/>
      <c r="W463" s="7" t="inlineStr"/>
    </row>
    <row r="464">
      <c r="A464" s="7" t="n">
        <v>56</v>
      </c>
      <c r="B464" s="7" t="inlineStr">
        <is>
          <t>Markets in Crypto-Assets (MiCA)</t>
        </is>
      </c>
      <c r="C464" s="7" t="inlineStr">
        <is>
          <t>evidence</t>
        </is>
      </c>
      <c r="D464" s="7" t="inlineStr">
        <is>
          <t>consultancy or industry</t>
        </is>
      </c>
      <c r="E464" s="7" t="inlineStr">
        <is>
          <t>2026-10 broadened search</t>
        </is>
      </c>
      <c r="F464" s="7" t="inlineStr">
        <is>
          <t>kpmg-2026-micacasps</t>
        </is>
      </c>
      <c r="G464" s="7" t="inlineStr">
        <is>
          <t>KPMG Cyprus (2026), MiCA: The end of the transitional period for CASPs - What comes after 1 July 2026?, KPMG Limited (Cyprus) briefing</t>
        </is>
      </c>
      <c r="H464" s="7" t="n">
        <v>2026</v>
      </c>
      <c r="I464" s="7" t="inlineStr">
        <is>
          <t>consultancy report</t>
        </is>
      </c>
      <c r="J464" s="7" t="inlineStr">
        <is>
          <t>descriptive tabulation of the ESMA interim MiCA register</t>
        </is>
      </c>
      <c r="K464" s="7" t="inlineStr">
        <is>
          <t>number and location of authorised CASPs</t>
        </is>
      </c>
      <c r="L464" s="7" t="inlineStr">
        <is>
          <t>descriptive</t>
        </is>
      </c>
      <c r="M464" s="7" t="inlineStr">
        <is>
          <t>As of June 2026 about 216 firms had MiCA authorisation versus more than 1,200 crypto service providers previously registered under national AML regimes, concentrated in Germany (55), the Netherlands (26) and France (19).</t>
        </is>
      </c>
      <c r="N464" s="7" t="inlineStr">
        <is>
          <t>A consultancy counted how many crypto firms had obtained the new EU licence just before the transition period ended. Only about one in six of the previously registered firms had done so, mostly in a few countries.</t>
        </is>
      </c>
      <c r="O464" s="7" t="inlineStr">
        <is>
          <t>Dec 2024-June 2026; EU</t>
        </is>
      </c>
      <c r="P464" s="7" t="inlineStr">
        <is>
          <t>Simple descriptive counts from official register; marketing piece for Cyprus</t>
        </is>
      </c>
      <c r="Q464" s="7" t="inlineStr">
        <is>
          <t>Consultancy selling MiCA authorisation services</t>
        </is>
      </c>
      <c r="R464" s="7" t="inlineStr">
        <is>
          <t>open</t>
        </is>
      </c>
      <c r="S464" s="7" t="inlineStr">
        <is>
          <t>full text read</t>
        </is>
      </c>
      <c r="T464" s="7" t="inlineStr">
        <is>
          <t>2026-10-10</t>
        </is>
      </c>
      <c r="U464" s="7" t="inlineStr">
        <is>
          <t>https://assets.kpmg.com/content/dam/kpmgsites/cy/pdf/2026/CASPs-Grandfathering-Period-June-2026.pdf.coredownload.inline.pdf</t>
        </is>
      </c>
      <c r="V464" s="7" t="inlineStr">
        <is>
          <t>https://assets.kpmg.com/content/dam/kpmgsites/cy/pdf/2026/CASPs-Grandfathering-Period-June-2026.pdf.coredownload.inline.pdf</t>
        </is>
      </c>
      <c r="W464" s="7" t="inlineStr"/>
    </row>
    <row r="465">
      <c r="A465" s="7" t="n">
        <v>56</v>
      </c>
      <c r="B465" s="7" t="inlineStr">
        <is>
          <t>Markets in Crypto-Assets (MiCA)</t>
        </is>
      </c>
      <c r="C465" s="7" t="inlineStr">
        <is>
          <t>evidence</t>
        </is>
      </c>
      <c r="D465" s="7" t="inlineStr">
        <is>
          <t>consultancy or industry</t>
        </is>
      </c>
      <c r="E465" s="7" t="inlineStr">
        <is>
          <t>2026-10 broadened search</t>
        </is>
      </c>
      <c r="F465" s="7" t="inlineStr">
        <is>
          <t>kaiko-2024-eurostablecoins</t>
        </is>
      </c>
      <c r="G465" s="7" t="inlineStr">
        <is>
          <t>Kaiko Research &amp; Bitvavo (2024), Kaiko/Bitvavo report on crypto trading in Europe (MiCA-compliant stablecoins dominate European market), Kaiko Research (reported by Cointelegraph, 18 Dec 2024)</t>
        </is>
      </c>
      <c r="H465" s="7" t="n">
        <v>2024</v>
      </c>
      <c r="I465" s="7" t="inlineStr">
        <is>
          <t>industry data report</t>
        </is>
      </c>
      <c r="J465" s="7" t="inlineStr">
        <is>
          <t>descriptive analysis of exchange trading data</t>
        </is>
      </c>
      <c r="K465" s="7" t="inlineStr">
        <is>
          <t>euro crypto trading volumes; euro stablecoin market shares and volumes</t>
        </is>
      </c>
      <c r="L465" s="7" t="inlineStr">
        <is>
          <t>descriptive</t>
        </is>
      </c>
      <c r="M465" s="7" t="inlineStr">
        <is>
          <t>After MiCA's stablecoin rules applied (June 2024), MiCA-compliant coins captured most of the euro-stablecoin market, while monthly euro-stablecoin volumes exceeded $300 million through 2024 (peak near $800 million in November) and Tether discontinued EURT.</t>
        </is>
      </c>
      <c r="N465" s="7" t="inlineStr">
        <is>
          <t>A crypto data firm found that once MiCA rules began, euro stablecoins that met the rules took over most of their market as exchanges dropped non-compliant coins.</t>
        </is>
      </c>
      <c r="O465" s="7" t="inlineStr">
        <is>
          <t>2024; EU exchanges</t>
        </is>
      </c>
      <c r="P465" s="7" t="inlineStr">
        <is>
          <t>Descriptive industry data; no counterfactual; primary report not accessible, figures from press coverage</t>
        </is>
      </c>
      <c r="Q465" s="7" t="inlineStr">
        <is>
          <t>Bitvavo is a crypto exchange subject to MiCA; Kaiko sells market data</t>
        </is>
      </c>
      <c r="R465" s="7" t="inlineStr">
        <is>
          <t>open</t>
        </is>
      </c>
      <c r="S465" s="7" t="inlineStr">
        <is>
          <t>summary only</t>
        </is>
      </c>
      <c r="T465" s="7" t="inlineStr">
        <is>
          <t>2026-10-10</t>
        </is>
      </c>
      <c r="U465" s="7" t="inlineStr">
        <is>
          <t>https://cointelegraph.com/news/mi-ca-compliant-stablecoins-dominate-european-markets-kaiko</t>
        </is>
      </c>
      <c r="V465" s="7" t="inlineStr"/>
      <c r="W465" s="7" t="inlineStr"/>
    </row>
    <row r="466">
      <c r="A466" s="7" t="n">
        <v>56</v>
      </c>
      <c r="B466" s="7" t="inlineStr">
        <is>
          <t>Markets in Crypto-Assets (MiCA)</t>
        </is>
      </c>
      <c r="C466" s="7" t="inlineStr">
        <is>
          <t>evidence</t>
        </is>
      </c>
      <c r="D466" s="7" t="inlineStr">
        <is>
          <t>consultancy or industry</t>
        </is>
      </c>
      <c r="E466" s="7" t="inlineStr">
        <is>
          <t>2026-10 broadened search</t>
        </is>
      </c>
      <c r="F466" s="7" t="inlineStr">
        <is>
          <t>bindseil-2026-reformingmica</t>
        </is>
      </c>
      <c r="G466" s="7" t="inlineStr">
        <is>
          <t>Bindseil, U. &amp; Voloder, E. (Blockchain for Europe) (2026), Reforming MiCA for Euro Stablecoins, Blockchain for Europe joint report</t>
        </is>
      </c>
      <c r="H466" s="7" t="n">
        <v>2026</v>
      </c>
      <c r="I466" s="7" t="inlineStr">
        <is>
          <t>industry report</t>
        </is>
      </c>
      <c r="J466" s="7" t="inlineStr">
        <is>
          <t>structured qualitative assessment of MiCA e-money-token rules with market data (DeFiLlama) and international comparison</t>
        </is>
      </c>
      <c r="K466" s="7" t="inlineStr">
        <is>
          <t>euro stablecoin competitiveness, reserve rules, remuneration ban</t>
        </is>
      </c>
      <c r="L466" s="7" t="inlineStr">
        <is>
          <t>negative</t>
        </is>
      </c>
      <c r="M466" s="7" t="inlineStr">
        <is>
          <t>The report argues MiCA has made euro stablecoins safe but commercially weak, citing data that euro stablecoins remain under 1% of global stablecoin volume against a dollar-stablecoin market above $300 billion.</t>
        </is>
      </c>
      <c r="N466" s="7" t="inlineStr">
        <is>
          <t>A crypto industry group, with a former ECB official, argues that MiCA's strict rules on reserves and the ban on paying interest have kept euro stablecoins tiny next to dollar ones.</t>
        </is>
      </c>
      <c r="O466" s="7" t="inlineStr">
        <is>
          <t>2024-2026; EU vs global</t>
        </is>
      </c>
      <c r="P466" s="7" t="inlineStr">
        <is>
          <t>Advocacy-oriented assessment with light descriptive data; no causal analysis</t>
        </is>
      </c>
      <c r="Q466" s="7" t="inlineStr">
        <is>
          <t>Industry association of blockchain firms lobbying for MiCA reform</t>
        </is>
      </c>
      <c r="R466" s="7" t="inlineStr">
        <is>
          <t>open</t>
        </is>
      </c>
      <c r="S466" s="7" t="inlineStr">
        <is>
          <t>full text read</t>
        </is>
      </c>
      <c r="T466" s="7" t="inlineStr">
        <is>
          <t>2026-10-10</t>
        </is>
      </c>
      <c r="U466" s="7" t="inlineStr">
        <is>
          <t>https://www.blockchain4europe.eu/policywork/reforming-mica-for-euro-stablecoins/</t>
        </is>
      </c>
      <c r="V466" s="7" t="inlineStr">
        <is>
          <t>https://www.blockchain4europe.eu/wp-content/uploads/2026/04/Reforming-MiCA-for-Euro-Stablecoins-26426.pdf</t>
        </is>
      </c>
      <c r="W466" s="7" t="inlineStr"/>
    </row>
    <row r="467">
      <c r="A467" s="7" t="n">
        <v>65</v>
      </c>
      <c r="B467" s="7" t="inlineStr">
        <is>
          <t>Machinery Regulation</t>
        </is>
      </c>
      <c r="C467" s="7" t="inlineStr">
        <is>
          <t>ex-ante assessment</t>
        </is>
      </c>
      <c r="D467" s="7" t="inlineStr">
        <is>
          <t>official</t>
        </is>
      </c>
      <c r="E467" s="7" t="inlineStr">
        <is>
          <t>initial review</t>
        </is>
      </c>
      <c r="F467" s="7" t="inlineStr">
        <is>
          <t>ec-2021-machinery-ia</t>
        </is>
      </c>
      <c r="G467" s="7" t="inlineStr">
        <is>
          <t>European Commission (2021), Impact Assessment accompanying the proposal for a Regulation on machinery products (executive summary SWD(2021) 83), SWD(2021) 82</t>
        </is>
      </c>
      <c r="H467" s="7" t="n">
        <v>2021</v>
      </c>
      <c r="I467" s="7" t="inlineStr">
        <is>
          <t>Commission impact assessment</t>
        </is>
      </c>
      <c r="J467" s="7" t="inlineStr">
        <is>
          <t>ex-ante</t>
        </is>
      </c>
      <c r="K467" s="7" t="inlineStr">
        <is>
          <t>compliance costs; printing savings; safety</t>
        </is>
      </c>
      <c r="L467" s="7" t="inlineStr">
        <is>
          <t>positive (forecast)</t>
        </is>
      </c>
      <c r="M467" s="7" t="inlineStr">
        <is>
          <t>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is>
      </c>
      <c r="N467" s="7" t="inlineStr">
        <is>
          <t>The Commission expected the new machinery rules to save manufacturers billions in printing costs by allowing digital manuals, at modest extra cost for checking high-risk machines.</t>
        </is>
      </c>
      <c r="O467" s="7" t="inlineStr">
        <is>
          <t>EU, forecast</t>
        </is>
      </c>
      <c r="P467" s="7" t="inlineStr">
        <is>
          <t>forecast</t>
        </is>
      </c>
      <c r="Q467" s="7" t="inlineStr"/>
      <c r="R467" s="7" t="inlineStr">
        <is>
          <t>open</t>
        </is>
      </c>
      <c r="S467" s="7" t="inlineStr">
        <is>
          <t>full text read</t>
        </is>
      </c>
      <c r="T467" s="7" t="inlineStr">
        <is>
          <t>2026-10-10</t>
        </is>
      </c>
      <c r="U467" s="7" t="inlineStr">
        <is>
          <t>https://eur-lex.europa.eu/legal-content/EN/TXT/?uri=CELEX:52021SC0083</t>
        </is>
      </c>
      <c r="V467" s="7" t="inlineStr"/>
      <c r="W467" s="7" t="inlineStr">
        <is>
          <t>http://web.archive.org/web/20260121232154/https://eur-lex.europa.eu/legal-content/EN/TXT/?uri=CELEX%3A52021SC0083</t>
        </is>
      </c>
    </row>
    <row r="468">
      <c r="A468" s="7" t="n">
        <v>65</v>
      </c>
      <c r="B468" s="7" t="inlineStr">
        <is>
          <t>Machinery Regulation</t>
        </is>
      </c>
      <c r="C468" s="7" t="inlineStr">
        <is>
          <t>evidence</t>
        </is>
      </c>
      <c r="D468" s="7" t="inlineStr">
        <is>
          <t>consultancy or industry</t>
        </is>
      </c>
      <c r="E468" s="7" t="inlineStr">
        <is>
          <t>initial review</t>
        </is>
      </c>
      <c r="F468" s="7" t="inlineStr">
        <is>
          <t>tcworld-2024-machinery-digital</t>
        </is>
      </c>
      <c r="G468" s="7" t="inlineStr">
        <is>
          <t>tcworld magazine (based on DIN Mitteilungen, May 2024) (2024), The European Machinery Regulation: New requirements for digital instructions for use, tcworld, June 2024</t>
        </is>
      </c>
      <c r="H468" s="7" t="n">
        <v>2024</v>
      </c>
      <c r="I468" s="7" t="inlineStr">
        <is>
          <t>trade press</t>
        </is>
      </c>
      <c r="J468" s="7" t="inlineStr">
        <is>
          <t>commentary on IA assumptions</t>
        </is>
      </c>
      <c r="K468" s="7" t="inlineStr">
        <is>
          <t>printing cost savings</t>
        </is>
      </c>
      <c r="L468" s="7" t="inlineStr">
        <is>
          <t>mixed</t>
        </is>
      </c>
      <c r="M468" s="7" t="inlineStr">
        <is>
          <t>IA assumed printing costs of 1-4% of turnover (EUR 6.63-26.5bn/yr), implying savings of about EUR 4bn to EUR 16.6bn (EUR 48,000-201,000 per company); no systematic comparison of usability of digital vs paper formats</t>
        </is>
      </c>
      <c r="N468" s="7" t="inlineStr">
        <is>
          <t>A trade article shows the headline savings rest on a broad assumption about printing costs and that the real figure could be a quarter of the top estimate.</t>
        </is>
      </c>
      <c r="O468" s="7" t="inlineStr">
        <is>
          <t>EU</t>
        </is>
      </c>
      <c r="P468" s="7" t="inlineStr">
        <is>
          <t>commentary</t>
        </is>
      </c>
      <c r="Q468" s="7" t="inlineStr">
        <is>
          <t>Technical-communication industry (tekom) lobbied for digital instructions</t>
        </is>
      </c>
      <c r="R468" s="7" t="inlineStr">
        <is>
          <t>open</t>
        </is>
      </c>
      <c r="S468" s="7" t="inlineStr">
        <is>
          <t>full text read</t>
        </is>
      </c>
      <c r="T468" s="7" t="inlineStr">
        <is>
          <t>2026-10-10</t>
        </is>
      </c>
      <c r="U468" s="7" t="inlineStr">
        <is>
          <t>https://www.tcworld.info/news/the-european-machinery-regulation-1327</t>
        </is>
      </c>
      <c r="V468" s="7" t="inlineStr"/>
      <c r="W468" s="7" t="inlineStr">
        <is>
          <t>http://web.archive.org/web/20250806174308/https://www.tcworld.info/news/the-european-machinery-regulation-1327</t>
        </is>
      </c>
    </row>
    <row r="469">
      <c r="A469" s="7" t="n">
        <v>42</v>
      </c>
      <c r="B469" s="7" t="inlineStr">
        <is>
          <t>E-evidence Regulation</t>
        </is>
      </c>
      <c r="C469" s="7" t="inlineStr">
        <is>
          <t>ex-ante assessment</t>
        </is>
      </c>
      <c r="D469" s="7" t="inlineStr">
        <is>
          <t>official</t>
        </is>
      </c>
      <c r="E469" s="7" t="inlineStr">
        <is>
          <t>initial review</t>
        </is>
      </c>
      <c r="F469" s="7" t="inlineStr">
        <is>
          <t>ec-2018-eevidence-ia</t>
        </is>
      </c>
      <c r="G469" s="7" t="inlineStr">
        <is>
          <t>European Commission (2018), Impact Assessment accompanying the proposals on European Production and Preservation Orders for electronic evidence and on legal representatives (executive summary SWD(2018) 119), SWD(2018) 118</t>
        </is>
      </c>
      <c r="H469" s="7" t="n">
        <v>2018</v>
      </c>
      <c r="I469" s="7" t="inlineStr">
        <is>
          <t>Commission impact assessment</t>
        </is>
      </c>
      <c r="J469" s="7" t="inlineStr">
        <is>
          <t>ex-ante</t>
        </is>
      </c>
      <c r="K469" s="7" t="inlineStr">
        <is>
          <t>investigation effectiveness; administrative costs</t>
        </is>
      </c>
      <c r="L469" s="7" t="inlineStr">
        <is>
          <t>positive (forecast)</t>
        </is>
      </c>
      <c r="M469" s="7" t="inlineStr">
        <is>
          <t>More effective and efficient investigations and prosecutions; one-off costs EUR 3.3m (Member States) and EUR 1.7m (providers); no recurrent costs; recurrent savings &gt;EUR 7.1m/yr for Member States and &gt;EUR 4.3m/yr for providers; possible crime reduction through deterrence</t>
        </is>
      </c>
      <c r="N469" s="7" t="inlineStr">
        <is>
          <t>The Commission expected the new orders to speed up police access to online evidence across borders and to save authorities and providers more than EUR 11 million a year.</t>
        </is>
      </c>
      <c r="O469" s="7" t="inlineStr">
        <is>
          <t>EU, forecast</t>
        </is>
      </c>
      <c r="P469" s="7" t="inlineStr">
        <is>
          <t>forecast</t>
        </is>
      </c>
      <c r="Q469" s="7" t="inlineStr"/>
      <c r="R469" s="7" t="inlineStr">
        <is>
          <t>open</t>
        </is>
      </c>
      <c r="S469" s="7" t="inlineStr">
        <is>
          <t>full text read</t>
        </is>
      </c>
      <c r="T469" s="7" t="inlineStr">
        <is>
          <t>2026-10-10</t>
        </is>
      </c>
      <c r="U469" s="7" t="inlineStr">
        <is>
          <t>https://eur-lex.europa.eu/legal-content/EN/TXT/?uri=CELEX:52018SC0119</t>
        </is>
      </c>
      <c r="V469" s="7" t="inlineStr"/>
      <c r="W469" s="7" t="inlineStr"/>
    </row>
    <row r="470">
      <c r="A470" s="7" t="n">
        <v>42</v>
      </c>
      <c r="B470" s="7" t="inlineStr">
        <is>
          <t>E-evidence Regulation</t>
        </is>
      </c>
      <c r="C470" s="7" t="inlineStr">
        <is>
          <t>evidence</t>
        </is>
      </c>
      <c r="D470" s="7" t="inlineStr">
        <is>
          <t>consultancy or industry</t>
        </is>
      </c>
      <c r="E470" s="7" t="inlineStr">
        <is>
          <t>initial review</t>
        </is>
      </c>
      <c r="F470" s="7" t="inlineStr">
        <is>
          <t>euroispa-2026-eevidence</t>
        </is>
      </c>
      <c r="G470" s="7" t="inlineStr">
        <is>
          <t>EuroISPA (2026), e-Evidence Regulation: Closing the implementation gap before August 2026, EuroISPA position paper, June 2026</t>
        </is>
      </c>
      <c r="H470" s="7" t="n">
        <v>2026</v>
      </c>
      <c r="I470" s="7" t="inlineStr">
        <is>
          <t>industry position paper</t>
        </is>
      </c>
      <c r="J470" s="7" t="inlineStr">
        <is>
          <t>descriptive (member survey and national engagement)</t>
        </is>
      </c>
      <c r="K470" s="7" t="inlineStr">
        <is>
          <t>implementation readiness</t>
        </is>
      </c>
      <c r="L470" s="7" t="inlineStr">
        <is>
          <t>negative</t>
        </is>
      </c>
      <c r="M470" s="7" t="inlineStr">
        <is>
          <t>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is>
      </c>
      <c r="N470" s="7" t="inlineStr">
        <is>
          <t>Internet providers warned in mid-2026 that neither governments nor the IT system were ready for the new e-evidence rules.</t>
        </is>
      </c>
      <c r="O470" s="7" t="inlineStr">
        <is>
          <t>EU, 2026</t>
        </is>
      </c>
      <c r="P470" s="7" t="inlineStr">
        <is>
          <t>advocacy document</t>
        </is>
      </c>
      <c r="Q470" s="7" t="inlineStr">
        <is>
          <t>Association of internet service providers subject to the obligations</t>
        </is>
      </c>
      <c r="R470" s="7" t="inlineStr">
        <is>
          <t>open</t>
        </is>
      </c>
      <c r="S470" s="7" t="inlineStr">
        <is>
          <t>full text read</t>
        </is>
      </c>
      <c r="T470" s="7" t="inlineStr">
        <is>
          <t>2026-10-10</t>
        </is>
      </c>
      <c r="U470" s="7" t="inlineStr">
        <is>
          <t>https://www.euroispa.org/wp-content/uploads/2026/06/final_e-Evidence-implementation-paper.pdf</t>
        </is>
      </c>
      <c r="V470" s="7" t="inlineStr">
        <is>
          <t>https://www.euroispa.org/wp-content/uploads/2026/06/final_e-Evidence-implementation-paper.pdf</t>
        </is>
      </c>
      <c r="W470" s="7" t="inlineStr"/>
    </row>
    <row r="471">
      <c r="A471" s="7" t="n">
        <v>74</v>
      </c>
      <c r="B471" s="7" t="inlineStr">
        <is>
          <t>European Chips Act</t>
        </is>
      </c>
      <c r="C471" s="7" t="inlineStr">
        <is>
          <t>evidence</t>
        </is>
      </c>
      <c r="D471" s="7" t="inlineStr">
        <is>
          <t>official</t>
        </is>
      </c>
      <c r="E471" s="7" t="inlineStr">
        <is>
          <t>initial review</t>
        </is>
      </c>
      <c r="F471" s="7" t="inlineStr">
        <is>
          <t>ec-2026-chips-evaluation</t>
        </is>
      </c>
      <c r="G471" s="7" t="inlineStr">
        <is>
          <t>European Commission (2026), Impact Assessment report accompanying the Chips Act 2.0 proposal, including the evaluation of the Chips Act (Annex I), SWD(2026) 504</t>
        </is>
      </c>
      <c r="H471" s="7" t="n">
        <v>2026</v>
      </c>
      <c r="I471" s="7" t="inlineStr">
        <is>
          <t>Commission evaluation</t>
        </is>
      </c>
      <c r="J471" s="7" t="inlineStr">
        <is>
          <t>evaluation (Sept 2023-Nov 2025; consultation, workshops, interviews, IDC data)</t>
        </is>
      </c>
      <c r="K471" s="7" t="inlineStr">
        <is>
          <t>investment; capacity; market share; crisis preparedness</t>
        </is>
      </c>
      <c r="L471" s="7" t="inlineStr">
        <is>
          <t>mixed</t>
        </is>
      </c>
      <c r="M471" s="7" t="inlineStr">
        <is>
          <t>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is>
      </c>
      <c r="N471" s="7" t="inlineStr">
        <is>
          <t>The Commission's own evaluation says the Chips Act triggered big investment announcements but will leave the EU's share of world chip production roughly unchanged, prompting a 'Chips Act 2.0'.</t>
        </is>
      </c>
      <c r="O471" s="7" t="inlineStr">
        <is>
          <t>EU, 2023-2025</t>
        </is>
      </c>
      <c r="P471" s="7" t="inlineStr">
        <is>
          <t>self-assessment; projections</t>
        </is>
      </c>
      <c r="Q471" s="7" t="inlineStr"/>
      <c r="R471" s="7" t="inlineStr">
        <is>
          <t>open</t>
        </is>
      </c>
      <c r="S471" s="7" t="inlineStr">
        <is>
          <t>full text read</t>
        </is>
      </c>
      <c r="T471" s="7" t="inlineStr">
        <is>
          <t>2026-10-10</t>
        </is>
      </c>
      <c r="U471" s="7" t="inlineStr">
        <is>
          <t>https://eur-lex.europa.eu/legal-content/EN/TXT/?uri=CELEX:52026SC0504</t>
        </is>
      </c>
      <c r="V471" s="7" t="inlineStr"/>
      <c r="W471" s="7" t="inlineStr"/>
    </row>
    <row r="472">
      <c r="A472" s="7" t="n">
        <v>74</v>
      </c>
      <c r="B472" s="7" t="inlineStr">
        <is>
          <t>European Chips Act</t>
        </is>
      </c>
      <c r="C472" s="7" t="inlineStr">
        <is>
          <t>evidence</t>
        </is>
      </c>
      <c r="D472" s="7" t="inlineStr">
        <is>
          <t>official</t>
        </is>
      </c>
      <c r="E472" s="7" t="inlineStr">
        <is>
          <t>initial review</t>
        </is>
      </c>
      <c r="F472" s="7" t="inlineStr">
        <is>
          <t>eca-2025-chips</t>
        </is>
      </c>
      <c r="G472" s="7" t="inlineStr">
        <is>
          <t>European Court of Auditors (2025), The EU's strategy for microchips: Reasonable progress in its implementation, but the Chips Act is very unlikely to be sufficient to reach the overly ambitious Digital Decade target, ECA Special Report 12/2025</t>
        </is>
      </c>
      <c r="H472" s="7" t="n">
        <v>2025</v>
      </c>
      <c r="I472" s="7" t="inlineStr">
        <is>
          <t>audit report</t>
        </is>
      </c>
      <c r="J472" s="7" t="inlineStr">
        <is>
          <t>performance audit</t>
        </is>
      </c>
      <c r="K472" s="7" t="inlineStr">
        <is>
          <t>market share target; funding; monitoring</t>
        </is>
      </c>
      <c r="L472" s="7" t="inlineStr">
        <is>
          <t>negative</t>
        </is>
      </c>
      <c r="M472" s="7" t="inlineStr">
        <is>
          <t>20% target very unlikely; Commission's July 2024 forecast: share from 9.8% (2022) to 11.7% (2030); meeting target would need ~4x capacity; Commission manages only EUR 4.5bn (5%) of EUR 86bn; targets and monitoring unclear; no impact assessment or prior evaluation</t>
        </is>
      </c>
      <c r="N472" s="7" t="inlineStr">
        <is>
          <t>The EU's auditors concluded the Chips Act will not get Europe near its goal of 20% of world chip production by 2030 and lacks clear targets and monitoring.</t>
        </is>
      </c>
      <c r="O472" s="7" t="inlineStr">
        <is>
          <t>EU, 2022-2024</t>
        </is>
      </c>
      <c r="P472" s="7" t="inlineStr">
        <is>
          <t>independent audit</t>
        </is>
      </c>
      <c r="Q472" s="7" t="inlineStr"/>
      <c r="R472" s="7" t="inlineStr">
        <is>
          <t>open</t>
        </is>
      </c>
      <c r="S472" s="7" t="inlineStr">
        <is>
          <t>ECA press release read in full</t>
        </is>
      </c>
      <c r="T472" s="7" t="inlineStr">
        <is>
          <t>2026-10-10</t>
        </is>
      </c>
      <c r="U472" s="7" t="inlineStr">
        <is>
          <t>https://www.eca.europa.eu/en/publications/SR-2025-12</t>
        </is>
      </c>
      <c r="V472" s="7" t="inlineStr"/>
      <c r="W472" s="7" t="inlineStr">
        <is>
          <t>http://web.archive.org/web/20260929052219/https://www.eca.europa.eu/en/publications/SR-2025-12</t>
        </is>
      </c>
    </row>
    <row r="473">
      <c r="A473" s="7" t="n">
        <v>74</v>
      </c>
      <c r="B473" s="7" t="inlineStr">
        <is>
          <t>European Chips Act</t>
        </is>
      </c>
      <c r="C473" s="7" t="inlineStr">
        <is>
          <t>evidence</t>
        </is>
      </c>
      <c r="D473" s="7" t="inlineStr">
        <is>
          <t>think tank</t>
        </is>
      </c>
      <c r="E473" s="7" t="inlineStr">
        <is>
          <t>initial review</t>
        </is>
      </c>
      <c r="F473" s="7" t="inlineStr">
        <is>
          <t>garcia-herrero-poitiers-2022</t>
        </is>
      </c>
      <c r="G473" s="7" t="inlineStr">
        <is>
          <t>García-Herrero &amp; Poitiers (Bruegel) (2022), Europe's promised semiconductor subsidies need to be better targeted, Bruegel Blog, 17 October 2022</t>
        </is>
      </c>
      <c r="H473" s="7" t="n">
        <v>2022</v>
      </c>
      <c r="I473" s="7" t="inlineStr">
        <is>
          <t>think tank analysis</t>
        </is>
      </c>
      <c r="J473" s="7" t="inlineStr">
        <is>
          <t>ex-ante policy analysis</t>
        </is>
      </c>
      <c r="K473" s="7" t="inlineStr">
        <is>
          <t>subsidy design</t>
        </is>
      </c>
      <c r="L473" s="7" t="inlineStr">
        <is>
          <t>negative (forecast)</t>
        </is>
      </c>
      <c r="M473" s="7" t="inlineStr">
        <is>
          <t>The proposed Chips Act over-emphasises production subsidies and focuses too little on raising value added in research</t>
        </is>
      </c>
      <c r="N473" s="7" t="inlineStr">
        <is>
          <t>Bruegel economists warned before adoption that the Act bet too heavily on factory subsidies rather than research where Europe adds most value.</t>
        </is>
      </c>
      <c r="O473" s="7" t="inlineStr">
        <is>
          <t>EU, 2022</t>
        </is>
      </c>
      <c r="P473" s="7" t="inlineStr">
        <is>
          <t>ex-ante commentary</t>
        </is>
      </c>
      <c r="Q473" s="7" t="inlineStr"/>
      <c r="R473" s="7" t="inlineStr">
        <is>
          <t>open</t>
        </is>
      </c>
      <c r="S473" s="7" t="inlineStr">
        <is>
          <t>abstract read</t>
        </is>
      </c>
      <c r="T473" s="7" t="inlineStr">
        <is>
          <t>2026-10-10</t>
        </is>
      </c>
      <c r="U473" s="7" t="inlineStr">
        <is>
          <t>https://www.bruegel.org/blog-post/europes-promised-semiconductor-subsidies-need-be-better-targeted</t>
        </is>
      </c>
      <c r="V473" s="7" t="inlineStr"/>
      <c r="W473" s="7" t="inlineStr"/>
    </row>
    <row r="474">
      <c r="A474" s="7" t="n">
        <v>74</v>
      </c>
      <c r="B474" s="7" t="inlineStr">
        <is>
          <t>European Chips Act</t>
        </is>
      </c>
      <c r="C474" s="7" t="inlineStr">
        <is>
          <t>evidence</t>
        </is>
      </c>
      <c r="D474" s="7" t="inlineStr">
        <is>
          <t>think tank</t>
        </is>
      </c>
      <c r="E474" s="7" t="inlineStr">
        <is>
          <t>2026-10 broadened search</t>
        </is>
      </c>
      <c r="F474" s="7" t="inlineStr">
        <is>
          <t>poitiers-2026-chips-indispensability</t>
        </is>
      </c>
      <c r="G474" s="7" t="inlineStr">
        <is>
          <t>Niclas Poitiers; Tillman Schenk (2026), Revamping Europe's chips strategy: indispensability, not self-sufficiency, Bruegel Analysis 12/2026</t>
        </is>
      </c>
      <c r="H474" s="7" t="n">
        <v>2026</v>
      </c>
      <c r="I474" s="7" t="inlineStr">
        <is>
          <t>think tank report</t>
        </is>
      </c>
      <c r="J474" s="7" t="inlineStr">
        <is>
          <t>structured qualitative stock-take of the Chips Act's implementation using state-aid approval totals, ECA findings and case evidence (Intel Magdeburg cancellation, Nexperia), with comparison to US CHIPS Act awards</t>
        </is>
      </c>
      <c r="K474" s="7" t="inlineStr">
        <is>
          <t>state aid mobilised under Pillar II, strategic coordination, flagship fab investments, fit with European chip demand</t>
        </is>
      </c>
      <c r="L474" s="7" t="inlineStr">
        <is>
          <t>negative</t>
        </is>
      </c>
      <c r="M474" s="7" t="inlineStr">
        <is>
          <t>Only EUR 13.75 billion of state aid had been approved under the Chips Act, against USD 33.7 billion in grants and USD 5.5 billion in loans awarded under the US CHIPS Act by January 2025; the authors judge the Act has 'underdelivered' on funding scale and coordination.</t>
        </is>
      </c>
      <c r="N474" s="7" t="inlineStr">
        <is>
          <t>Bruegel looked back at what the EU Chips Act has achieved since 2023. It finds far less public money has flowed than planned, the flagship Intel factory in Germany was cancelled, and the subsidies do not match what European chip buyers (mainly carmakers and industry) actually need.</t>
        </is>
      </c>
      <c r="O474" s="7" t="inlineStr">
        <is>
          <t>EU, 2023 to early 2026 (with US comparison)</t>
        </is>
      </c>
      <c r="P474" s="7" t="inlineStr">
        <is>
          <t>Descriptive stock-take relying largely on secondary data (ECA, state-aid decisions); no counterfactual; written as input to the Chips Act 2 revision.</t>
        </is>
      </c>
      <c r="Q474" s="7" t="inlineStr">
        <is>
          <t>Bruegel is funded partly by EU member states and corporate members, including technology firms</t>
        </is>
      </c>
      <c r="R474" s="7" t="inlineStr">
        <is>
          <t>open</t>
        </is>
      </c>
      <c r="S474" s="7" t="inlineStr">
        <is>
          <t>full text read</t>
        </is>
      </c>
      <c r="T474" s="7" t="inlineStr">
        <is>
          <t>2026-10-10</t>
        </is>
      </c>
      <c r="U474" s="7" t="inlineStr">
        <is>
          <t>https://www.bruegel.org/analysis/revamping-europes-chips-strategy-indispensability-not-self-sufficiency</t>
        </is>
      </c>
      <c r="V474" s="7" t="inlineStr"/>
      <c r="W474" s="7" t="inlineStr"/>
    </row>
    <row r="475">
      <c r="A475" s="7" t="n">
        <v>78</v>
      </c>
      <c r="B475" s="7" t="inlineStr">
        <is>
          <t>Cybersecurity Regulation (EU institutions)</t>
        </is>
      </c>
      <c r="C475" s="7" t="inlineStr">
        <is>
          <t>evidence</t>
        </is>
      </c>
      <c r="D475" s="7" t="inlineStr">
        <is>
          <t>official</t>
        </is>
      </c>
      <c r="E475" s="7" t="inlineStr">
        <is>
          <t>initial review</t>
        </is>
      </c>
      <c r="F475" s="7" t="inlineStr">
        <is>
          <t>eca-2022-euiba-cyber</t>
        </is>
      </c>
      <c r="G475" s="7" t="inlineStr">
        <is>
          <t>European Court of Auditors (2022), Cybersecurity of EU institutions, bodies and agencies: Level of preparedness overall not commensurate with the threats, ECA Special Report 05/2022</t>
        </is>
      </c>
      <c r="H475" s="7" t="n">
        <v>2022</v>
      </c>
      <c r="I475" s="7" t="inlineStr">
        <is>
          <t>audit report</t>
        </is>
      </c>
      <c r="J475" s="7" t="inlineStr">
        <is>
          <t>performance audit (baseline)</t>
        </is>
      </c>
      <c r="K475" s="7" t="inlineStr">
        <is>
          <t>cyber preparedness</t>
        </is>
      </c>
      <c r="L475" s="7" t="inlineStr">
        <is>
          <t>negative (baseline)</t>
        </is>
      </c>
      <c r="M475" s="7" t="inlineStr">
        <is>
          <t>Preparedness not commensurate with threats; very different maturity levels across bodies; significant incidents up more than tenfold 2018-2021; recommended binding rules and more resources for CERT-EU</t>
        </is>
      </c>
      <c r="N475" s="7" t="inlineStr">
        <is>
          <t>Before the regulation, the EU's auditors found EU bodies poorly and unevenly prepared for cyberattacks and called for binding rules - which this regulation introduced.</t>
        </is>
      </c>
      <c r="O475" s="7" t="inlineStr">
        <is>
          <t>EU institutions, 2018-2021</t>
        </is>
      </c>
      <c r="P475" s="7" t="inlineStr">
        <is>
          <t>independent audit; pre-regulation baseline</t>
        </is>
      </c>
      <c r="Q475" s="7" t="inlineStr"/>
      <c r="R475" s="7" t="inlineStr">
        <is>
          <t>open</t>
        </is>
      </c>
      <c r="S475" s="7" t="inlineStr">
        <is>
          <t>page summary via search</t>
        </is>
      </c>
      <c r="T475" s="7" t="inlineStr">
        <is>
          <t>2026-10-10</t>
        </is>
      </c>
      <c r="U475" s="7" t="inlineStr">
        <is>
          <t>https://op.europa.eu/webpub/eca/special-reports/hack-proofing-eu-institutions-05-2022/en</t>
        </is>
      </c>
      <c r="V475" s="7" t="inlineStr"/>
      <c r="W475" s="7" t="inlineStr">
        <is>
          <t>http://web.archive.org/web/20260313155014/https://op.europa.eu/webpub/eca/special-reports/hack-proofing-eu-institutions-05-2022/en/</t>
        </is>
      </c>
    </row>
    <row r="476">
      <c r="A476" s="7" t="n">
        <v>78</v>
      </c>
      <c r="B476" s="7" t="inlineStr">
        <is>
          <t>Cybersecurity Regulation (EU institutions)</t>
        </is>
      </c>
      <c r="C476" s="7" t="inlineStr">
        <is>
          <t>evidence</t>
        </is>
      </c>
      <c r="D476" s="7" t="inlineStr">
        <is>
          <t>official</t>
        </is>
      </c>
      <c r="E476" s="7" t="inlineStr">
        <is>
          <t>initial review</t>
        </is>
      </c>
      <c r="F476" s="7" t="inlineStr">
        <is>
          <t>iicb-2025-annual-report</t>
        </is>
      </c>
      <c r="G476" s="7" t="inlineStr">
        <is>
          <t>Interinstitutional Cybersecurity Board (IICB) (2025), IICB Annual Report 2025 on the implementation of Regulation (EU, Euratom) 2023/2841, IICB, adopted 16 December 2025</t>
        </is>
      </c>
      <c r="H476" s="7" t="n">
        <v>2025</v>
      </c>
      <c r="I476" s="7" t="inlineStr">
        <is>
          <t>official implementation report</t>
        </is>
      </c>
      <c r="J476" s="7" t="inlineStr">
        <is>
          <t>self-reported implementation monitoring</t>
        </is>
      </c>
      <c r="K476" s="7" t="inlineStr">
        <is>
          <t>frameworks; incidents; resources</t>
        </is>
      </c>
      <c r="L476" s="7" t="inlineStr">
        <is>
          <t>positive (activity)</t>
        </is>
      </c>
      <c r="M476" s="7" t="inlineStr">
        <is>
          <t>2025 milestones met on time; entities completed maturity and risk assessments; 8 significant incidents to early November 2025 (down from 2024); &gt;800 malicious activities analysed; staffing would need to rise ~75% by 2027</t>
        </is>
      </c>
      <c r="N476" s="7" t="inlineStr">
        <is>
          <t>The board overseeing the rules reports that EU bodies met their 2025 deadlines and suffered fewer serious incidents, but warns that threats remain very high and staff are short.</t>
        </is>
      </c>
      <c r="O476" s="7" t="inlineStr">
        <is>
          <t>EU institutions, 2025</t>
        </is>
      </c>
      <c r="P476" s="7" t="inlineStr">
        <is>
          <t>self-assessment by the governing body</t>
        </is>
      </c>
      <c r="Q476" s="7" t="inlineStr"/>
      <c r="R476" s="7" t="inlineStr">
        <is>
          <t>open</t>
        </is>
      </c>
      <c r="S476" s="7" t="inlineStr">
        <is>
          <t>full text read</t>
        </is>
      </c>
      <c r="T476" s="7" t="inlineStr">
        <is>
          <t>2026-10-10</t>
        </is>
      </c>
      <c r="U476" s="7" t="inlineStr">
        <is>
          <t>https://www.cert.europa.eu/iicb/annual-report-2025/</t>
        </is>
      </c>
      <c r="V476" s="7" t="inlineStr"/>
      <c r="W476" s="7" t="inlineStr">
        <is>
          <t>http://web.archive.org/web/20260928225406/https://cert.europa.eu/iicb/annual-report-2025/</t>
        </is>
      </c>
    </row>
    <row r="477">
      <c r="A477" s="7" t="n">
        <v>78</v>
      </c>
      <c r="B477" s="7" t="inlineStr">
        <is>
          <t>Cybersecurity Regulation (EU institutions)</t>
        </is>
      </c>
      <c r="C477" s="7" t="inlineStr">
        <is>
          <t>evidence</t>
        </is>
      </c>
      <c r="D477" s="7" t="inlineStr">
        <is>
          <t>official</t>
        </is>
      </c>
      <c r="E477" s="7" t="inlineStr">
        <is>
          <t>2026-10 broadened search</t>
        </is>
      </c>
      <c r="F477" s="7" t="inlineStr">
        <is>
          <t>certeu-2026-tlr2025</t>
        </is>
      </c>
      <c r="G477" s="7" t="inlineStr">
        <is>
          <t>CERT-EU (Cybersecurity Service for the Union institutions, bodies, offices and agencies) (2026), Threat Landscape Report 2025: A Year in Review, CERT-EU, version 1, 8 April 2026</t>
        </is>
      </c>
      <c r="H477" s="7" t="n">
        <v>2026</v>
      </c>
      <c r="I477" s="7" t="inlineStr">
        <is>
          <t>agency report</t>
        </is>
      </c>
      <c r="J477" s="7" t="inlineStr">
        <is>
          <t>annual threat and incident monitoring under Regulation 2023/2841, including counts of significant incidents reported under Article 21; descriptive</t>
        </is>
      </c>
      <c r="K477" s="7" t="inlineStr">
        <is>
          <t>significant incidents at Union entities, threat actors, initial access vectors, critical exposures</t>
        </is>
      </c>
      <c r="L477" s="7" t="inlineStr">
        <is>
          <t>descriptive</t>
        </is>
      </c>
      <c r="M477" s="7" t="inlineStr">
        <is>
          <t>Significant incidents at EU institutions, bodies and agencies fell from 15 in 2024 to nine in 2025 (seven via vulnerability exploitation), and critical exposures to threat actors fell from 20 to 5, while tracked threat actors rose from 110 to 174; CERT-EU says the cause of the drop is unclear.</t>
        </is>
      </c>
      <c r="N477" s="7" t="inlineStr">
        <is>
          <t>The EU's own cyber-response team counts serious cyber incidents hitting EU institutions under the new rules. Serious incidents fell in 2025 compared with 2024, even though more hacker groups were targeting the institutions.</t>
        </is>
      </c>
      <c r="O477" s="7" t="inlineStr">
        <is>
          <t>2024-2025; EU institutions, bodies, offices and agencies</t>
        </is>
      </c>
      <c r="P477" s="7" t="inlineStr">
        <is>
          <t>Official incident counts from the Regulation's reporting duty; two years only, small numbers, no attribution of the change to the Regulation.</t>
        </is>
      </c>
      <c r="Q477" s="7" t="inlineStr">
        <is>
          <t>CERT-EU is a body set up under the Regulation</t>
        </is>
      </c>
      <c r="R477" s="7" t="inlineStr">
        <is>
          <t>open</t>
        </is>
      </c>
      <c r="S477" s="7" t="inlineStr">
        <is>
          <t>full text read</t>
        </is>
      </c>
      <c r="T477" s="7" t="inlineStr">
        <is>
          <t>2026-10-10</t>
        </is>
      </c>
      <c r="U477" s="7" t="inlineStr">
        <is>
          <t>https://www.cert.europa.eu/publications/threat-intelligence/tlr2025/pdf</t>
        </is>
      </c>
      <c r="V477" s="7" t="inlineStr">
        <is>
          <t>https://www.cert.europa.eu/publications/threat-intelligence/tlr2025/pdf</t>
        </is>
      </c>
      <c r="W477" s="7" t="inlineStr"/>
    </row>
    <row r="478">
      <c r="A478" s="7" t="n">
        <v>72</v>
      </c>
      <c r="B478" s="7" t="inlineStr">
        <is>
          <t>Digitalisation of judicial cooperation Regulation</t>
        </is>
      </c>
      <c r="C478" s="7" t="inlineStr">
        <is>
          <t>ex-ante assessment</t>
        </is>
      </c>
      <c r="D478" s="7" t="inlineStr">
        <is>
          <t>official</t>
        </is>
      </c>
      <c r="E478" s="7" t="inlineStr">
        <is>
          <t>initial review</t>
        </is>
      </c>
      <c r="F478" s="7" t="inlineStr">
        <is>
          <t>ec-2021-ejustice-ia</t>
        </is>
      </c>
      <c r="G478" s="7" t="inlineStr">
        <is>
          <t>European Commission (2021), Impact Assessment accompanying the proposals on the digitalisation of judicial cooperation and access to justice in cross-border civil, commercial and criminal matters (executive summary SWD(2021) 393), SWD(2021) 392</t>
        </is>
      </c>
      <c r="H478" s="7" t="n">
        <v>2021</v>
      </c>
      <c r="I478" s="7" t="inlineStr">
        <is>
          <t>Commission impact assessment</t>
        </is>
      </c>
      <c r="J478" s="7" t="inlineStr">
        <is>
          <t>ex-ante</t>
        </is>
      </c>
      <c r="K478" s="7" t="inlineStr">
        <is>
          <t>administrative costs; case duration; access to justice</t>
        </is>
      </c>
      <c r="L478" s="7" t="inlineStr">
        <is>
          <t>positive (forecast)</t>
        </is>
      </c>
      <c r="M478" s="7" t="inlineStr">
        <is>
          <t>Yearly savings EUR 25.59m in postage and paper at EU level (EUR 4.49m for individuals and legal entities); total case duration cut by ~15.4m days a year; one-off IT cost EUR 18.7m over 5 years; recurrent EUR 8.1m/yr; videoconferencing emits 7% of the carbon of physical meetings</t>
        </is>
      </c>
      <c r="N478" s="7" t="inlineStr">
        <is>
          <t>The Commission expected that moving cross-border court paperwork online would save about EUR 25 million a year in postage and paper and shorten proceedings.</t>
        </is>
      </c>
      <c r="O478" s="7" t="inlineStr">
        <is>
          <t>EU, forecast</t>
        </is>
      </c>
      <c r="P478" s="7" t="inlineStr">
        <is>
          <t>forecast</t>
        </is>
      </c>
      <c r="Q478" s="7" t="inlineStr"/>
      <c r="R478" s="7" t="inlineStr">
        <is>
          <t>open</t>
        </is>
      </c>
      <c r="S478" s="7" t="inlineStr">
        <is>
          <t>full text read</t>
        </is>
      </c>
      <c r="T478" s="7" t="inlineStr">
        <is>
          <t>2026-10-10</t>
        </is>
      </c>
      <c r="U478" s="7" t="inlineStr">
        <is>
          <t>https://eur-lex.europa.eu/legal-content/EN/TXT/?uri=CELEX:52021SC0393</t>
        </is>
      </c>
      <c r="V478" s="7" t="inlineStr"/>
      <c r="W478" s="7" t="inlineStr">
        <is>
          <t>http://web.archive.org/web/20240602054854/https://eur-lex.europa.eu/legal-content/EN/TXT/?uri=celex%3A52021SC0393</t>
        </is>
      </c>
    </row>
    <row r="479">
      <c r="A479" s="7" t="n">
        <v>72</v>
      </c>
      <c r="B479" s="7" t="inlineStr">
        <is>
          <t>Digitalisation of judicial cooperation Regulation</t>
        </is>
      </c>
      <c r="C479" s="7" t="inlineStr">
        <is>
          <t>evidence</t>
        </is>
      </c>
      <c r="D479" s="7" t="inlineStr">
        <is>
          <t>official</t>
        </is>
      </c>
      <c r="E479" s="7" t="inlineStr">
        <is>
          <t>2026-10 broadened search</t>
        </is>
      </c>
      <c r="F479" s="7" t="inlineStr">
        <is>
          <t>kolitsi-2025-simplivi</t>
        </is>
      </c>
      <c r="G479" s="7" t="inlineStr">
        <is>
          <t>Zoi Kolitsi (AUTH), Mathias Maurer (Austrian Federal Ministry of Justice) and SimpliVi partners (2025), SimpliVi Analysis &amp; Design Consolidation (v1.1), SimpliVi project (EU Justice Programme), July 2025</t>
        </is>
      </c>
      <c r="H479" s="7" t="n">
        <v>2025</v>
      </c>
      <c r="I479" s="7" t="inlineStr">
        <is>
          <t>project report</t>
        </is>
      </c>
      <c r="J479" s="7" t="inlineStr">
        <is>
          <t>qualitative field study: study visits, interviews and questionnaires with judges, court staff, ministries, lawyers and IT staff in 14 EU Member States plus Brazil, Canada and Norway (2023-2025)</t>
        </is>
      </c>
      <c r="K479" s="7" t="inlineStr">
        <is>
          <t>use of videoconferencing in court hearings, barriers to cross-border videoconferencing, reported efficiency effects</t>
        </is>
      </c>
      <c r="L479" s="7" t="inlineStr">
        <is>
          <t>descriptive</t>
        </is>
      </c>
      <c r="M479" s="7" t="inlineStr">
        <is>
          <t>Field research in 14 Member States finds rules on remote hearings still differ widely, and that cross-border videoconferencing is held back by missing contact points, incompatible proprietary systems and legal differences; reported benefits include fewer prisoner transports and faster case closure.</t>
        </is>
      </c>
      <c r="N479" s="7" t="inlineStr">
        <is>
          <t>An EU-funded project visited courts across Europe to see how video hearings work, as the new EU digital justice rules start to require them. It found big differences between countries and technical and legal hurdles for hearings across borders.</t>
        </is>
      </c>
      <c r="O479" s="7" t="inlineStr">
        <is>
          <t>2023-2025; 14 EU Member States plus Brazil, Canada, Norway</t>
        </is>
      </c>
      <c r="P479" s="7" t="inlineStr">
        <is>
          <t>Qualitative baseline mostly before the Regulation's videoconference provisions apply; no quantified outcomes; consortium includes justice ministries.</t>
        </is>
      </c>
      <c r="Q479" s="7" t="inlineStr">
        <is>
          <t>Consortium includes national justice ministries; EU-funded</t>
        </is>
      </c>
      <c r="R479" s="7" t="inlineStr">
        <is>
          <t>open</t>
        </is>
      </c>
      <c r="S479" s="7" t="inlineStr">
        <is>
          <t>full text read</t>
        </is>
      </c>
      <c r="T479" s="7" t="inlineStr">
        <is>
          <t>2026-10-10</t>
        </is>
      </c>
      <c r="U479" s="7" t="inlineStr">
        <is>
          <t>https://www.simplivi.eu/sites/default/files/2025-07/SimpliVi%20-%20Analysis%20and%20Design%20Consolidation%20Document%20v1.1.pdf</t>
        </is>
      </c>
      <c r="V479" s="7" t="inlineStr">
        <is>
          <t>https://www.simplivi.eu/sites/default/files/2025-07/SimpliVi%20-%20Analysis%20and%20Design%20Consolidation%20Document%20v1.1.pdf</t>
        </is>
      </c>
      <c r="W479" s="7" t="inlineStr"/>
    </row>
    <row r="480">
      <c r="A480" s="7" t="n">
        <v>76</v>
      </c>
      <c r="B480" s="7" t="inlineStr">
        <is>
          <t>Data Act</t>
        </is>
      </c>
      <c r="C480" s="7" t="inlineStr">
        <is>
          <t>ex-ante assessment</t>
        </is>
      </c>
      <c r="D480" s="7" t="inlineStr">
        <is>
          <t>official</t>
        </is>
      </c>
      <c r="E480" s="7" t="inlineStr">
        <is>
          <t>initial review</t>
        </is>
      </c>
      <c r="F480" s="7" t="inlineStr">
        <is>
          <t>ec-2022-dataact-ia</t>
        </is>
      </c>
      <c r="G480" s="7" t="inlineStr">
        <is>
          <t>European Commission (2022), Impact assessment report accompanying the Data Act proposal (executive summary SWD(2022) 35), SWD(2022) 34</t>
        </is>
      </c>
      <c r="H480" s="7" t="n">
        <v>2022</v>
      </c>
      <c r="I480" s="7" t="inlineStr">
        <is>
          <t>Commission impact assessment</t>
        </is>
      </c>
      <c r="J480" s="7" t="inlineStr">
        <is>
          <t>ex-ante (support study; macroeconomic modelling)</t>
        </is>
      </c>
      <c r="K480" s="7" t="inlineStr">
        <is>
          <t>GDP; jobs; data-access value; compliance costs</t>
        </is>
      </c>
      <c r="L480" s="7" t="inlineStr">
        <is>
          <t>positive (forecast)</t>
        </is>
      </c>
      <c r="M480" s="7" t="inlineStr">
        <is>
          <t>Preferred option raises EU-27 GDP by 1.98 percentage points by 2028 and creates 2.2m jobs; benefits up to EUR 196.7bn a year from IoT data access, EUR 7.4bn from contractual fairness, EUR 7.1bn from cloud switching; one-off costs EUR 410m for manufacturers and EUR 552.5m for B2G</t>
        </is>
      </c>
      <c r="N480" s="7" t="inlineStr">
        <is>
          <t>The Commission forecast that giving users and businesses rights to device data would add about 2% to EU GDP by 2028 at modest cost.</t>
        </is>
      </c>
      <c r="O480" s="7" t="inlineStr">
        <is>
          <t>EU-27, forecast 2024-2028</t>
        </is>
      </c>
      <c r="P480" s="7" t="inlineStr">
        <is>
          <t>forecast; large modelled gains</t>
        </is>
      </c>
      <c r="Q480" s="7" t="inlineStr"/>
      <c r="R480" s="7" t="inlineStr">
        <is>
          <t>open</t>
        </is>
      </c>
      <c r="S480" s="7" t="inlineStr">
        <is>
          <t>full text read (executive summary)</t>
        </is>
      </c>
      <c r="T480" s="7" t="inlineStr">
        <is>
          <t>2026-10-10</t>
        </is>
      </c>
      <c r="U480" s="7" t="inlineStr">
        <is>
          <t>https://eur-lex.europa.eu/legal-content/EN/TXT/?uri=CELEX:52022SC0035</t>
        </is>
      </c>
      <c r="V480" s="7" t="inlineStr"/>
      <c r="W480" s="7" t="inlineStr">
        <is>
          <t>http://web.archive.org/web/20251123045340/https://eur-lex.europa.eu/legal-content/EN/TXT/?uri=CELEX:52022SC0035</t>
        </is>
      </c>
    </row>
    <row r="481">
      <c r="A481" s="7" t="n">
        <v>76</v>
      </c>
      <c r="B481" s="7" t="inlineStr">
        <is>
          <t>Data Act</t>
        </is>
      </c>
      <c r="C481" s="7" t="inlineStr">
        <is>
          <t>evidence</t>
        </is>
      </c>
      <c r="D481" s="7" t="inlineStr">
        <is>
          <t>official</t>
        </is>
      </c>
      <c r="E481" s="7" t="inlineStr">
        <is>
          <t>initial review</t>
        </is>
      </c>
      <c r="F481" s="7" t="inlineStr">
        <is>
          <t>ec-2022-dataact-press</t>
        </is>
      </c>
      <c r="G481" s="7" t="inlineStr">
        <is>
          <t>European Commission (2022), Data Act: Commission proposes measures for a fair and innovative data economy (press release), IP/22/1113, 23 February 2022</t>
        </is>
      </c>
      <c r="H481" s="7" t="n">
        <v>2022</v>
      </c>
      <c r="I481" s="7" t="inlineStr">
        <is>
          <t>Commission communication</t>
        </is>
      </c>
      <c r="J481" s="7" t="inlineStr">
        <is>
          <t>ex-ante (summary of IA)</t>
        </is>
      </c>
      <c r="K481" s="7" t="inlineStr">
        <is>
          <t>GDP</t>
        </is>
      </c>
      <c r="L481" s="7" t="inlineStr">
        <is>
          <t>positive (forecast)</t>
        </is>
      </c>
      <c r="M481" s="7" t="inlineStr">
        <is>
          <t>New rules expected to create EUR 270 billion of additional GDP by 2028</t>
        </is>
      </c>
      <c r="N481" s="7" t="inlineStr">
        <is>
          <t>The headline promise: EUR 270 billion of extra GDP by 2028.</t>
        </is>
      </c>
      <c r="O481" s="7" t="inlineStr">
        <is>
          <t>EU, forecast</t>
        </is>
      </c>
      <c r="P481" s="7" t="inlineStr">
        <is>
          <t>forecast</t>
        </is>
      </c>
      <c r="Q481" s="7" t="inlineStr"/>
      <c r="R481" s="7" t="inlineStr">
        <is>
          <t>open</t>
        </is>
      </c>
      <c r="S481" s="7" t="inlineStr">
        <is>
          <t>full text read</t>
        </is>
      </c>
      <c r="T481" s="7" t="inlineStr">
        <is>
          <t>2026-10-10</t>
        </is>
      </c>
      <c r="U481" s="7" t="inlineStr">
        <is>
          <t>https://ec.europa.eu/commission/presscorner/detail/en/ip_22_1113</t>
        </is>
      </c>
      <c r="V481" s="7" t="inlineStr"/>
      <c r="W481" s="7" t="inlineStr"/>
    </row>
    <row r="482">
      <c r="A482" s="7" t="n">
        <v>76</v>
      </c>
      <c r="B482" s="7" t="inlineStr">
        <is>
          <t>Data Act</t>
        </is>
      </c>
      <c r="C482" s="7" t="inlineStr">
        <is>
          <t>evidence</t>
        </is>
      </c>
      <c r="D482" s="7" t="inlineStr">
        <is>
          <t>academic</t>
        </is>
      </c>
      <c r="E482" s="7" t="inlineStr">
        <is>
          <t>initial review</t>
        </is>
      </c>
      <c r="F482" s="7" t="inlineStr">
        <is>
          <t>kerber-2023-iot-data</t>
        </is>
      </c>
      <c r="G482" s="7" t="inlineStr">
        <is>
          <t>Kerber (2023), Governance of IoT Data: Why the EU Data Act Will not Fulfill Its Objectives, GRUR International 72(2): 120-135</t>
        </is>
      </c>
      <c r="H482" s="7" t="n">
        <v>2023</v>
      </c>
      <c r="I482" s="7" t="inlineStr">
        <is>
          <t>peer-reviewed</t>
        </is>
      </c>
      <c r="J482" s="7" t="inlineStr">
        <is>
          <t>law-and-economics analysis (ex-ante)</t>
        </is>
      </c>
      <c r="K482" s="7" t="inlineStr">
        <is>
          <t>data access; innovation; consumers</t>
        </is>
      </c>
      <c r="L482" s="7" t="inlineStr">
        <is>
          <t>negative (expected)</t>
        </is>
      </c>
      <c r="M482" s="7" t="inlineStr">
        <is>
          <t>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is>
      </c>
      <c r="N482" s="7" t="inlineStr">
        <is>
          <t>An economist argues the Data Act leaves device makers in control of the data, so it is unlikely to deliver the promised innovation.</t>
        </is>
      </c>
      <c r="O482" s="7" t="inlineStr">
        <is>
          <t>EU, proposal</t>
        </is>
      </c>
      <c r="P482" s="7" t="inlineStr">
        <is>
          <t>conceptual; not empirical</t>
        </is>
      </c>
      <c r="Q482" s="7" t="inlineStr"/>
      <c r="R482" s="7" t="inlineStr">
        <is>
          <t>open</t>
        </is>
      </c>
      <c r="S482" s="7" t="inlineStr">
        <is>
          <t>page summary via search</t>
        </is>
      </c>
      <c r="T482" s="7" t="inlineStr">
        <is>
          <t>2026-10-10</t>
        </is>
      </c>
      <c r="U482" s="7" t="inlineStr">
        <is>
          <t>https://doi.org/10.1093/grurint/ikac107</t>
        </is>
      </c>
      <c r="V482" s="7" t="inlineStr"/>
      <c r="W482" s="7" t="inlineStr"/>
    </row>
    <row r="483">
      <c r="A483" s="7" t="n">
        <v>76</v>
      </c>
      <c r="B483" s="7" t="inlineStr">
        <is>
          <t>Data Act</t>
        </is>
      </c>
      <c r="C483" s="7" t="inlineStr">
        <is>
          <t>evidence</t>
        </is>
      </c>
      <c r="D483" s="7" t="inlineStr">
        <is>
          <t>think tank</t>
        </is>
      </c>
      <c r="E483" s="7" t="inlineStr">
        <is>
          <t>initial review</t>
        </is>
      </c>
      <c r="F483" s="7" t="inlineStr">
        <is>
          <t>martens-2023-bruegel-dataact</t>
        </is>
      </c>
      <c r="G483" s="7" t="inlineStr">
        <is>
          <t>Martens (2023), Pro- and anti-competitive provisions in the proposed European Union Data Act, Bruegel Working Paper 01/2023</t>
        </is>
      </c>
      <c r="H483" s="7" t="n">
        <v>2023</v>
      </c>
      <c r="I483" s="7" t="inlineStr">
        <is>
          <t>think tank working paper</t>
        </is>
      </c>
      <c r="J483" s="7" t="inlineStr">
        <is>
          <t>economic analysis (ex-ante)</t>
        </is>
      </c>
      <c r="K483" s="7" t="inlineStr">
        <is>
          <t>competition; data markets</t>
        </is>
      </c>
      <c r="L483" s="7" t="inlineStr">
        <is>
          <t>mixed (expected)</t>
        </is>
      </c>
      <c r="M483" s="7" t="inlineStr">
        <is>
          <t>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is>
      </c>
      <c r="N483" s="7" t="inlineStr">
        <is>
          <t>A Bruegel economist finds the Data Act both opens up device data and protects manufacturers in ways that could hold back competition.</t>
        </is>
      </c>
      <c r="O483" s="7" t="inlineStr">
        <is>
          <t>EU, proposal</t>
        </is>
      </c>
      <c r="P483" s="7" t="inlineStr">
        <is>
          <t>conceptual; not empirical</t>
        </is>
      </c>
      <c r="Q483" s="7" t="inlineStr"/>
      <c r="R483" s="7" t="inlineStr">
        <is>
          <t>open</t>
        </is>
      </c>
      <c r="S483" s="7" t="inlineStr">
        <is>
          <t>page summary via search</t>
        </is>
      </c>
      <c r="T483" s="7" t="inlineStr">
        <is>
          <t>2026-10-10</t>
        </is>
      </c>
      <c r="U483" s="7" t="inlineStr">
        <is>
          <t>https://www.bruegel.org/working-paper/pro-and-anti-competitive-provisions-proposed-european-union-data-act</t>
        </is>
      </c>
      <c r="V483" s="7" t="inlineStr">
        <is>
          <t>https://hdl.handle.net/10419/274180</t>
        </is>
      </c>
      <c r="W483" s="7" t="inlineStr">
        <is>
          <t>http://web.archive.org/web/20260927001100/https://www.bruegel.org/working-paper/pro-and-anti-competitive-provisions-proposed-european-union-data-act</t>
        </is>
      </c>
    </row>
    <row r="484">
      <c r="A484" s="7" t="n">
        <v>76</v>
      </c>
      <c r="B484" s="7" t="inlineStr">
        <is>
          <t>Data Act</t>
        </is>
      </c>
      <c r="C484" s="7" t="inlineStr">
        <is>
          <t>evidence</t>
        </is>
      </c>
      <c r="D484" s="7" t="inlineStr">
        <is>
          <t>think tank</t>
        </is>
      </c>
      <c r="E484" s="7" t="inlineStr">
        <is>
          <t>initial review</t>
        </is>
      </c>
      <c r="F484" s="7" t="inlineStr">
        <is>
          <t>cerre-2023-dataact</t>
        </is>
      </c>
      <c r="G484" s="7" t="inlineStr">
        <is>
          <t>Krämer (coord.), Colangelo, Richter &amp; Schnurr (CERRE) (2023), Data Act: Towards a Balanced EU Data Regulation, CERRE report, March 2023</t>
        </is>
      </c>
      <c r="H484" s="7" t="n">
        <v>2023</v>
      </c>
      <c r="I484" s="7" t="inlineStr">
        <is>
          <t>think tank report</t>
        </is>
      </c>
      <c r="J484" s="7" t="inlineStr">
        <is>
          <t>legal-economic analysis (ex-ante)</t>
        </is>
      </c>
      <c r="K484" s="7" t="inlineStr">
        <is>
          <t>B2B/B2C access; B2G; cloud switching</t>
        </is>
      </c>
      <c r="L484" s="7" t="inlineStr">
        <is>
          <t>mixed (expected)</t>
        </is>
      </c>
      <c r="M484" s="7" t="inlineStr">
        <is>
          <t>Supports a new data-portability style access right but calls for simpler, clearer rules; recommends limiting B2G sharing to ad hoc access with cost-based compensation; warns of complexity and legal uncertainty</t>
        </is>
      </c>
      <c r="N484" s="7" t="inlineStr">
        <is>
          <t>A CERRE expert group backed the Data Act's aims but warned its rules were complex and uncertain, and proposed simplifications.</t>
        </is>
      </c>
      <c r="O484" s="7" t="inlineStr">
        <is>
          <t>EU, proposal</t>
        </is>
      </c>
      <c r="P484" s="7" t="inlineStr">
        <is>
          <t>conceptual</t>
        </is>
      </c>
      <c r="Q484" s="7" t="inlineStr">
        <is>
          <t>CERRE is funded partly by industry members, including large digital firms</t>
        </is>
      </c>
      <c r="R484" s="7" t="inlineStr">
        <is>
          <t>open</t>
        </is>
      </c>
      <c r="S484" s="7" t="inlineStr">
        <is>
          <t>page summary via search</t>
        </is>
      </c>
      <c r="T484" s="7" t="inlineStr">
        <is>
          <t>2026-10-10</t>
        </is>
      </c>
      <c r="U484" s="7" t="inlineStr">
        <is>
          <t>https://cerre.eu/publications/data-act-towards-a-balanced-eu-data-regulation/</t>
        </is>
      </c>
      <c r="V484" s="7" t="inlineStr"/>
      <c r="W484" s="7" t="inlineStr">
        <is>
          <t>http://web.archive.org/web/20260514230429/https://cerre.eu/publications/data-act-towards-a-balanced-eu-data-regulation/</t>
        </is>
      </c>
    </row>
    <row r="485">
      <c r="A485" s="7" t="n">
        <v>76</v>
      </c>
      <c r="B485" s="7" t="inlineStr">
        <is>
          <t>Data Act</t>
        </is>
      </c>
      <c r="C485" s="7" t="inlineStr">
        <is>
          <t>evidence</t>
        </is>
      </c>
      <c r="D485" s="7" t="inlineStr">
        <is>
          <t>consultancy or industry</t>
        </is>
      </c>
      <c r="E485" s="7" t="inlineStr">
        <is>
          <t>initial review</t>
        </is>
      </c>
      <c r="F485" s="7" t="inlineStr">
        <is>
          <t>bitkom-2025-dataact-survey</t>
        </is>
      </c>
      <c r="G485" s="7" t="inlineStr">
        <is>
          <t>Bitkom (2025), Data Act: Kaum Unternehmen vorbereitet (survey of 605 companies), Bitkom press release, 20 May 2025</t>
        </is>
      </c>
      <c r="H485" s="7" t="n">
        <v>2025</v>
      </c>
      <c r="I485" s="7" t="inlineStr">
        <is>
          <t>industry survey</t>
        </is>
      </c>
      <c r="J485" s="7" t="inlineStr">
        <is>
          <t>survey (605 German firms with 20+ employees, March-April 2025)</t>
        </is>
      </c>
      <c r="K485" s="7" t="inlineStr">
        <is>
          <t>compliance readiness</t>
        </is>
      </c>
      <c r="L485" s="7" t="inlineStr">
        <is>
          <t>negative (low readiness)</t>
        </is>
      </c>
      <c r="M485" s="7" t="inlineStr">
        <is>
          <t>Only 1% of companies had fully and 4% partly implemented the Data Act; 10% had just started, 30% had not started; 52% believed it did not apply to them</t>
        </is>
      </c>
      <c r="N485" s="7" t="inlineStr">
        <is>
          <t>Months before the Act applied, almost no German companies were ready and half thought it did not concern them.</t>
        </is>
      </c>
      <c r="O485" s="7" t="inlineStr">
        <is>
          <t>Germany, spring 2025</t>
        </is>
      </c>
      <c r="P485" s="7" t="inlineStr">
        <is>
          <t>industry-commissioned survey</t>
        </is>
      </c>
      <c r="Q485" s="7" t="inlineStr">
        <is>
          <t>Bitkom is the German digital industry association and lobbied on the Act</t>
        </is>
      </c>
      <c r="R485" s="7" t="inlineStr">
        <is>
          <t>open</t>
        </is>
      </c>
      <c r="S485" s="7" t="inlineStr">
        <is>
          <t>page summary via search</t>
        </is>
      </c>
      <c r="T485" s="7" t="inlineStr">
        <is>
          <t>2026-10-10</t>
        </is>
      </c>
      <c r="U485" s="7" t="inlineStr">
        <is>
          <t>https://www.bitkom.org/Presse/Presseinformation/Data-Act-Kaum-Unternehmen-vorbereitet</t>
        </is>
      </c>
      <c r="V485" s="7" t="inlineStr"/>
      <c r="W485" s="7" t="inlineStr"/>
    </row>
    <row r="486">
      <c r="A486" s="7" t="n">
        <v>76</v>
      </c>
      <c r="B486" s="7" t="inlineStr">
        <is>
          <t>Data Act</t>
        </is>
      </c>
      <c r="C486" s="7" t="inlineStr">
        <is>
          <t>evidence</t>
        </is>
      </c>
      <c r="D486" s="7" t="inlineStr">
        <is>
          <t>official</t>
        </is>
      </c>
      <c r="E486" s="7" t="inlineStr">
        <is>
          <t>initial review</t>
        </is>
      </c>
      <c r="F486" s="7" t="inlineStr">
        <is>
          <t>ec-2025-digital-omnibus-dataact</t>
        </is>
      </c>
      <c r="G486" s="7" t="inlineStr">
        <is>
          <t>European Commission (2025), Proposal for a Digital Omnibus Regulation (amending Regulation (EU) 2023/2854), COM(2025) 837</t>
        </is>
      </c>
      <c r="H486" s="7" t="n">
        <v>2025</v>
      </c>
      <c r="I486" s="7" t="inlineStr">
        <is>
          <t>Commission legislative proposal</t>
        </is>
      </c>
      <c r="J486" s="7" t="inlineStr">
        <is>
          <t>policy assessment (internal analysis, consultation)</t>
        </is>
      </c>
      <c r="K486" s="7" t="inlineStr">
        <is>
          <t>regulatory burden; consolidation</t>
        </is>
      </c>
      <c r="L486" s="7" t="inlineStr">
        <is>
          <t>n/a</t>
        </is>
      </c>
      <c r="M486" s="7" t="inlineStr">
        <is>
          <t>Folds the Data Governance Act, Free Flow Regulation and Open Data Directive into the Data Act and amends it; claims savings of at least EUR 1bn a year plus EUR 1bn one-off across the package; Data Act evaluation by 12 September 2028</t>
        </is>
      </c>
      <c r="N486" s="7" t="inlineStr">
        <is>
          <t>Barely two months after the Data Act applied, the Commission proposed amending it and merging other data laws into it to cut red tape.</t>
        </is>
      </c>
      <c r="O486" s="7" t="inlineStr">
        <is>
          <t>EU</t>
        </is>
      </c>
      <c r="P486" s="7" t="inlineStr">
        <is>
          <t>proposal; savings not independently checked</t>
        </is>
      </c>
      <c r="Q486" s="7" t="inlineStr"/>
      <c r="R486" s="7" t="inlineStr">
        <is>
          <t>open</t>
        </is>
      </c>
      <c r="S486" s="7" t="inlineStr">
        <is>
          <t>full text partly read</t>
        </is>
      </c>
      <c r="T486" s="7" t="inlineStr">
        <is>
          <t>2026-10-10</t>
        </is>
      </c>
      <c r="U486" s="7" t="inlineStr">
        <is>
          <t>https://eur-lex.europa.eu/legal-content/EN/TXT/?uri=CELEX:52025PC0837</t>
        </is>
      </c>
      <c r="V486" s="7" t="inlineStr"/>
      <c r="W486" s="7" t="inlineStr"/>
    </row>
    <row r="487">
      <c r="A487" s="7" t="n">
        <v>76</v>
      </c>
      <c r="B487" s="7" t="inlineStr">
        <is>
          <t>Data Act</t>
        </is>
      </c>
      <c r="C487" s="7" t="inlineStr">
        <is>
          <t>evidence</t>
        </is>
      </c>
      <c r="D487" s="7" t="inlineStr">
        <is>
          <t>consultancy or industry</t>
        </is>
      </c>
      <c r="E487" s="7" t="inlineStr">
        <is>
          <t>2026-10 broadened search</t>
        </is>
      </c>
      <c r="F487" s="7" t="inlineStr">
        <is>
          <t>hpe-2024-dataactsurvey</t>
        </is>
      </c>
      <c r="G487" s="7" t="inlineStr">
        <is>
          <t>Hewlett Packard Enterprise (HPE) / YouGov (2024), Deutsche Industrie sieht Data Act als Chance - aber es gibt noch viel zu tun (survey of 400 industry executives), HPE-commissioned YouGov survey, reported by it-daily.net</t>
        </is>
      </c>
      <c r="H487" s="7" t="n">
        <v>2024</v>
      </c>
      <c r="I487" s="7" t="inlineStr">
        <is>
          <t>survey report</t>
        </is>
      </c>
      <c r="J487" s="7" t="inlineStr">
        <is>
          <t>survey of 400 executives in German industrial firms (YouGov, March 2024)</t>
        </is>
      </c>
      <c r="K487" s="7" t="inlineStr">
        <is>
          <t>perceptions and preparation for the Data Act</t>
        </is>
      </c>
      <c r="L487" s="7" t="inlineStr">
        <is>
          <t>descriptive</t>
        </is>
      </c>
      <c r="M487" s="7" t="inlineStr">
        <is>
          <t>Two thirds (67%) of German industrial firms saw the Data Act more as an opportunity than a risk, and 43% had started preparing for it, about 18 months before it applied.</t>
        </is>
      </c>
      <c r="N487" s="7" t="inlineStr">
        <is>
          <t>A survey of German manufacturers after the Data Act was adopted found most saw it as a chance to use machine data, but fewer than half had started getting ready.</t>
        </is>
      </c>
      <c r="O487" s="7" t="inlineStr">
        <is>
          <t>March 2024; Germany</t>
        </is>
      </c>
      <c r="P487" s="7" t="inlineStr">
        <is>
          <t>Readiness/perception survey before application; commissioned by a vendor; only secondary press report available</t>
        </is>
      </c>
      <c r="Q487" s="7" t="inlineStr">
        <is>
          <t>Commissioned by HPE, a data-infrastructure vendor that benefits from Data Act compliance demand</t>
        </is>
      </c>
      <c r="R487" s="7" t="inlineStr">
        <is>
          <t>open</t>
        </is>
      </c>
      <c r="S487" s="7" t="inlineStr">
        <is>
          <t>summary only</t>
        </is>
      </c>
      <c r="T487" s="7" t="inlineStr">
        <is>
          <t>2026-10-10</t>
        </is>
      </c>
      <c r="U487" s="7" t="inlineStr">
        <is>
          <t>https://www.it-daily.net/it-management/industrie-rpa/deutsche-industrie-sieht-data-act-als-chance-aber-es-gibt-noch-viel-zu-tun</t>
        </is>
      </c>
      <c r="V487" s="7" t="inlineStr"/>
      <c r="W487" s="7" t="inlineStr"/>
    </row>
    <row r="488">
      <c r="A488" s="7" t="n">
        <v>77</v>
      </c>
      <c r="B488" s="7" t="inlineStr">
        <is>
          <t>Violence Against Women Directive</t>
        </is>
      </c>
      <c r="C488" s="7" t="inlineStr">
        <is>
          <t>ex-ante assessment</t>
        </is>
      </c>
      <c r="D488" s="7" t="inlineStr">
        <is>
          <t>official</t>
        </is>
      </c>
      <c r="E488" s="7" t="inlineStr">
        <is>
          <t>initial review</t>
        </is>
      </c>
      <c r="F488" s="7" t="inlineStr">
        <is>
          <t>ec-2022-vaw-ia</t>
        </is>
      </c>
      <c r="G488" s="7" t="inlineStr">
        <is>
          <t>European Commission (2022), Impact Assessment accompanying the proposal for a Directive on combating violence against women and domestic violence (executive summary SWD(2022) 63), SWD(2022) 62</t>
        </is>
      </c>
      <c r="H488" s="7" t="n">
        <v>2022</v>
      </c>
      <c r="I488" s="7" t="inlineStr">
        <is>
          <t>Commission impact assessment</t>
        </is>
      </c>
      <c r="J488" s="7" t="inlineStr">
        <is>
          <t>ex-ante</t>
        </is>
      </c>
      <c r="K488" s="7" t="inlineStr">
        <is>
          <t>prevalence of violence; economic cost of violence; compliance costs</t>
        </is>
      </c>
      <c r="L488" s="7" t="inlineStr">
        <is>
          <t>positive (forecast)</t>
        </is>
      </c>
      <c r="M488" s="7" t="inlineStr">
        <is>
          <t>Preferred option 2A: reduced prevalence could bring economic benefits of around EUR 53.1bn, up to EUR 82.7bn in the long term; compliance costs EUR 5-6.6bn, mostly borne by Member States, EUR 1.9bn by employers; no negative impacts noted</t>
        </is>
      </c>
      <c r="N488" s="7" t="inlineStr">
        <is>
          <t>The Commission estimated that the law could save around EUR 53 billion (up to EUR 83 billion in the long run) by reducing violence, against EUR 5-6.6 billion in costs, mostly for national authorities.</t>
        </is>
      </c>
      <c r="O488" s="7" t="inlineStr">
        <is>
          <t>EU-27, forecast</t>
        </is>
      </c>
      <c r="P488" s="7" t="inlineStr">
        <is>
          <t>forecast</t>
        </is>
      </c>
      <c r="Q488" s="7" t="inlineStr"/>
      <c r="R488" s="7" t="inlineStr">
        <is>
          <t>open</t>
        </is>
      </c>
      <c r="S488" s="7" t="inlineStr">
        <is>
          <t>full text read (executive summary)</t>
        </is>
      </c>
      <c r="T488" s="7" t="inlineStr">
        <is>
          <t>2026-10-10</t>
        </is>
      </c>
      <c r="U488" s="7" t="inlineStr">
        <is>
          <t>https://eur-lex.europa.eu/legal-content/EN/TXT/?uri=CELEX:52022SC0063</t>
        </is>
      </c>
      <c r="V488" s="7" t="inlineStr"/>
      <c r="W488" s="7" t="inlineStr"/>
    </row>
    <row r="489">
      <c r="A489" s="7" t="n">
        <v>77</v>
      </c>
      <c r="B489" s="7" t="inlineStr">
        <is>
          <t>Violence Against Women Directive</t>
        </is>
      </c>
      <c r="C489" s="7" t="inlineStr">
        <is>
          <t>evidence</t>
        </is>
      </c>
      <c r="D489" s="7" t="inlineStr">
        <is>
          <t>official</t>
        </is>
      </c>
      <c r="E489" s="7" t="inlineStr">
        <is>
          <t>initial review</t>
        </is>
      </c>
      <c r="F489" s="7" t="inlineStr">
        <is>
          <t>eige-fra-eurostat-2024-gbv-survey</t>
        </is>
      </c>
      <c r="G489" s="7" t="inlineStr">
        <is>
          <t>Eurostat, EU Agency for Fundamental Rights (FRA) &amp; European Institute for Gender Equality (EIGE) (2024), EU gender-based violence survey - key results (2024 edition), Eurostat/FRA/EIGE joint publication, 25 November 2024</t>
        </is>
      </c>
      <c r="H489" s="7" t="n">
        <v>2024</v>
      </c>
      <c r="I489" s="7" t="inlineStr">
        <is>
          <t>official statistics (survey)</t>
        </is>
      </c>
      <c r="J489" s="7" t="inlineStr">
        <is>
          <t>descriptive (survey of about 114,000 women aged 18-74, fieldwork Sept 2020-Mar 2024)</t>
        </is>
      </c>
      <c r="K489" s="7" t="inlineStr">
        <is>
          <t>prevalence of violence (baseline)</t>
        </is>
      </c>
      <c r="L489" s="7" t="inlineStr">
        <is>
          <t>n/a (baseline)</t>
        </is>
      </c>
      <c r="M489" s="7" t="inlineStr">
        <is>
          <t>About 1 in 3 women in the EU (30.7%) have experienced physical violence, threats and/or sexual violence; about 1 in 6 sexual violence including rape; 1 in 5 violence by a partner, relative or household member</t>
        </is>
      </c>
      <c r="N489" s="7" t="inlineStr">
        <is>
          <t>The EU's first joint survey since the Directive was proposed found about one in three women have experienced physical or sexual violence or threats - the baseline against which the Directive will be judged.</t>
        </is>
      </c>
      <c r="O489" s="7" t="inlineStr">
        <is>
          <t>EU-27, 2020-2024</t>
        </is>
      </c>
      <c r="P489" s="7" t="inlineStr">
        <is>
          <t>baseline only; not an impact study</t>
        </is>
      </c>
      <c r="Q489" s="7" t="inlineStr"/>
      <c r="R489" s="7" t="inlineStr">
        <is>
          <t>open</t>
        </is>
      </c>
      <c r="S489" s="7" t="inlineStr">
        <is>
          <t>page summary via search</t>
        </is>
      </c>
      <c r="T489" s="7" t="inlineStr">
        <is>
          <t>2026-10-10</t>
        </is>
      </c>
      <c r="U489" s="7" t="inlineStr">
        <is>
          <t>https://eige.europa.eu/newsroom/news/one-three-women-eu-have-experienced-violence</t>
        </is>
      </c>
      <c r="V489" s="7" t="inlineStr"/>
      <c r="W489" s="7" t="inlineStr">
        <is>
          <t>http://web.archive.org/web/20261005124409/https://eige.europa.eu/newsroom/news/one-three-women-eu-have-experienced-violence</t>
        </is>
      </c>
    </row>
    <row r="490">
      <c r="A490" s="7" t="n">
        <v>94</v>
      </c>
      <c r="B490" s="7" t="inlineStr">
        <is>
          <t>Right to Repair Directive</t>
        </is>
      </c>
      <c r="C490" s="7" t="inlineStr">
        <is>
          <t>ex-ante assessment</t>
        </is>
      </c>
      <c r="D490" s="7" t="inlineStr">
        <is>
          <t>official</t>
        </is>
      </c>
      <c r="E490" s="7" t="inlineStr">
        <is>
          <t>initial review</t>
        </is>
      </c>
      <c r="F490" s="7" t="inlineStr">
        <is>
          <t>ec-2023-repair-ia</t>
        </is>
      </c>
      <c r="G490" s="7" t="inlineStr">
        <is>
          <t>European Commission (2023), Impact Assessment accompanying the proposal for a Directive on common rules promoting the repair of goods (executive summary SWD(2023) 60), SWD(2023) 59</t>
        </is>
      </c>
      <c r="H490" s="7" t="n">
        <v>2023</v>
      </c>
      <c r="I490" s="7" t="inlineStr">
        <is>
          <t>Commission impact assessment</t>
        </is>
      </c>
      <c r="J490" s="7" t="inlineStr">
        <is>
          <t>ex-ante</t>
        </is>
      </c>
      <c r="K490" s="7" t="inlineStr">
        <is>
          <t>CO2 emissions; consumer savings; business turnover</t>
        </is>
      </c>
      <c r="L490" s="7" t="inlineStr">
        <is>
          <t>positive (forecast)</t>
        </is>
      </c>
      <c r="M490" s="7" t="inlineStr">
        <is>
          <t>In 15 years the initiative saves 18.4 Mt CO2 and EUR 176.5bn for consumers; producers and retailers lose sales; overall slightly beneficial for SMEs as a whole</t>
        </is>
      </c>
      <c r="N490" s="7" t="inlineStr">
        <is>
          <t>The Commission expected the right to repair to save consumers EUR 176.5 billion and 18.4 million tonnes of CO2 over 15 years, with manufacturers and retailers selling fewer new goods.</t>
        </is>
      </c>
      <c r="O490" s="7" t="inlineStr">
        <is>
          <t>EU, forecast over 15 years</t>
        </is>
      </c>
      <c r="P490" s="7" t="inlineStr">
        <is>
          <t>forecast</t>
        </is>
      </c>
      <c r="Q490" s="7" t="inlineStr"/>
      <c r="R490" s="7" t="inlineStr">
        <is>
          <t>open</t>
        </is>
      </c>
      <c r="S490" s="7" t="inlineStr">
        <is>
          <t>full text read (executive summary)</t>
        </is>
      </c>
      <c r="T490" s="7" t="inlineStr">
        <is>
          <t>2026-10-10</t>
        </is>
      </c>
      <c r="U490" s="7" t="inlineStr">
        <is>
          <t>https://eur-lex.europa.eu/legal-content/EN/TXT/?uri=CELEX:52023SC0060</t>
        </is>
      </c>
      <c r="V490" s="7" t="inlineStr"/>
      <c r="W490" s="7" t="inlineStr">
        <is>
          <t>http://web.archive.org/web/20260507090730/https://eur-lex.europa.eu/legal-content/EN/TXT/?uri=CELEX%3A52023SC0060</t>
        </is>
      </c>
    </row>
    <row r="491">
      <c r="A491" s="7" t="n">
        <v>94</v>
      </c>
      <c r="B491" s="7" t="inlineStr">
        <is>
          <t>Right to Repair Directive</t>
        </is>
      </c>
      <c r="C491" s="7" t="inlineStr">
        <is>
          <t>evidence</t>
        </is>
      </c>
      <c r="D491" s="7" t="inlineStr">
        <is>
          <t>academic</t>
        </is>
      </c>
      <c r="E491" s="7" t="inlineStr">
        <is>
          <t>initial review</t>
        </is>
      </c>
      <c r="F491" s="7" t="inlineStr">
        <is>
          <t>lopez-bermudez-vence-2025-repair</t>
        </is>
      </c>
      <c r="G491" s="7" t="inlineStr">
        <is>
          <t>López-Bermúdez &amp; Vence (2025), A critical assessment of the European Directive proposal on the common rules promoting the repair of goods, Resources, Conservation and Recycling 212, 107996</t>
        </is>
      </c>
      <c r="H491" s="7" t="n">
        <v>2025</v>
      </c>
      <c r="I491" s="7" t="inlineStr">
        <is>
          <t>peer-reviewed</t>
        </is>
      </c>
      <c r="J491" s="7" t="inlineStr">
        <is>
          <t>legal-economic policy analysis (qualitative)</t>
        </is>
      </c>
      <c r="K491" s="7" t="inlineStr">
        <is>
          <t>barriers to repair; repair market structure</t>
        </is>
      </c>
      <c r="L491" s="7" t="inlineStr">
        <is>
          <t>negative (critique)</t>
        </is>
      </c>
      <c r="M491" s="7" t="inlineStr">
        <is>
          <t>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is>
      </c>
      <c r="N491" s="7" t="inlineStr">
        <is>
          <t>Researchers argue the Directive mostly adds information duties and leaves untouched the biggest obstacles to repair, such as spare-part availability and cost, while strengthening manufacturers' grip on repair.</t>
        </is>
      </c>
      <c r="O491" s="7" t="inlineStr">
        <is>
          <t>EU</t>
        </is>
      </c>
      <c r="P491" s="7" t="inlineStr">
        <is>
          <t>qualitative assessment; no outcome data</t>
        </is>
      </c>
      <c r="Q491" s="7" t="inlineStr"/>
      <c r="R491" s="7" t="inlineStr">
        <is>
          <t>paywalled</t>
        </is>
      </c>
      <c r="S491" s="7" t="inlineStr">
        <is>
          <t>abstract read</t>
        </is>
      </c>
      <c r="T491" s="7" t="inlineStr">
        <is>
          <t>2026-10-10</t>
        </is>
      </c>
      <c r="U491" s="7" t="inlineStr">
        <is>
          <t>https://doi.org/10.1016/j.resconrec.2024.107996</t>
        </is>
      </c>
      <c r="V491" s="7" t="inlineStr"/>
      <c r="W491" s="7" t="inlineStr"/>
    </row>
    <row r="492">
      <c r="A492" s="7" t="n">
        <v>94</v>
      </c>
      <c r="B492" s="7" t="inlineStr">
        <is>
          <t>Right to Repair Directive</t>
        </is>
      </c>
      <c r="C492" s="7" t="inlineStr">
        <is>
          <t>evidence</t>
        </is>
      </c>
      <c r="D492" s="7" t="inlineStr">
        <is>
          <t>think tank</t>
        </is>
      </c>
      <c r="E492" s="7" t="inlineStr">
        <is>
          <t>2026-10 broadened search</t>
        </is>
      </c>
      <c r="F492" s="7" t="inlineStr">
        <is>
          <t>gangl-2026-nim-right-to-repair</t>
        </is>
      </c>
      <c r="G492" s="7" t="inlineStr">
        <is>
          <t>Katharina Gangl, Michael K. Zuern, Tobias Biro (2026), The "Right to Repair" Under Scrutiny: A Study on Repair Culture in Germany in Light of New Political Framework Conditions (NIMpulse 20), Nuremberg Institute for Market Decisions (NIM), June 2026</t>
        </is>
      </c>
      <c r="H492" s="7" t="n">
        <v>2026</v>
      </c>
      <c r="I492" s="7" t="inlineStr">
        <is>
          <t>think tank report</t>
        </is>
      </c>
      <c r="J492" s="7" t="inlineStr">
        <is>
          <t>repeated population-representative online survey in Germany (n=2,000 in 2025; n=3,500 in April-May 2026) plus choice experiment (n=500)</t>
        </is>
      </c>
      <c r="K492" s="7" t="inlineStr">
        <is>
          <t>repair rates, repair spending, willingness to pay for repair, knowledge of the Directive, attitude shifts</t>
        </is>
      </c>
      <c r="L492" s="7" t="inlineStr">
        <is>
          <t>descriptive</t>
        </is>
      </c>
      <c r="M492" s="7" t="inlineStr">
        <is>
          <t>Just before the Directive applied, only about one in three broken electronic devices in German households was repaired; willingness to pay for repair barely changed between 2025 and 2026, and while 80% knew about the new information duty, 63% wrongly believed retailers will have to carry out repairs and 18% thought repairs would be free.</t>
        </is>
      </c>
      <c r="N492" s="7" t="inlineStr">
        <is>
          <t>A large German survey taken just before the EU repair rules started found people still repair only about a third of broken gadgets, and many misunderstand what the new law requires. The authors expect the law alone will not change repair habits much.</t>
        </is>
      </c>
      <c r="O492" s="7" t="inlineStr">
        <is>
          <t>2025 and April-May 2026; Germany</t>
        </is>
      </c>
      <c r="P492" s="7" t="inlineStr">
        <is>
          <t>Large repeated survey giving a pre-application baseline; self-reported behaviour; no counterfactual; one country.</t>
        </is>
      </c>
      <c r="Q492" s="7" t="inlineStr">
        <is>
          <t>Institute founded by GfK; states it is self-funded</t>
        </is>
      </c>
      <c r="R492" s="7" t="inlineStr">
        <is>
          <t>open</t>
        </is>
      </c>
      <c r="S492" s="7" t="inlineStr">
        <is>
          <t>full text read</t>
        </is>
      </c>
      <c r="T492" s="7" t="inlineStr">
        <is>
          <t>2026-10-10</t>
        </is>
      </c>
      <c r="U492" s="7" t="inlineStr">
        <is>
          <t>https://www.nim.org/en/studies/detail/das-recht-auf-reparatur-im-realitaetscheck</t>
        </is>
      </c>
      <c r="V492" s="7" t="inlineStr">
        <is>
          <t>https://www.nim.org/fileadmin/PUBLIC/3_NIM_Publikationen/NIM-Studien/NIMpulse/2026/NIMpulse_20_-_Recht_auf_Reparierbarkeit/ENG/2600612_The__Right_to_Repair__Under_Scrutiny_NIMpulse_20_EN.pdf</t>
        </is>
      </c>
      <c r="W492" s="7" t="inlineStr"/>
    </row>
    <row r="493">
      <c r="A493" s="7" t="n">
        <v>89</v>
      </c>
      <c r="B493" s="7" t="inlineStr">
        <is>
          <t>Design Directive</t>
        </is>
      </c>
      <c r="C493" s="7" t="inlineStr">
        <is>
          <t>ex-ante assessment</t>
        </is>
      </c>
      <c r="D493" s="7" t="inlineStr">
        <is>
          <t>official</t>
        </is>
      </c>
      <c r="E493" s="7" t="inlineStr">
        <is>
          <t>initial review</t>
        </is>
      </c>
      <c r="F493" s="7" t="inlineStr">
        <is>
          <t>ec-2022-design-ia</t>
        </is>
      </c>
      <c r="G493" s="7" t="inlineStr">
        <is>
          <t>European Commission (2022), Impact Assessment accompanying the proposals to amend the Community Design Regulation and recast the Design Directive (executive summary SWD(2022) 369), SWD(2022) 368</t>
        </is>
      </c>
      <c r="H493" s="7" t="n">
        <v>2022</v>
      </c>
      <c r="I493" s="7" t="inlineStr">
        <is>
          <t>Commission impact assessment</t>
        </is>
      </c>
      <c r="J493" s="7" t="inlineStr">
        <is>
          <t>ex-ante</t>
        </is>
      </c>
      <c r="K493" s="7" t="inlineStr">
        <is>
          <t>spare-part prices; consumer savings; registration costs</t>
        </is>
      </c>
      <c r="L493" s="7" t="inlineStr">
        <is>
          <t>positive (forecast)</t>
        </is>
      </c>
      <c r="M493" s="7" t="inlineStr">
        <is>
          <t>Liberalising must-match spare parts (option 1.2) would save consumers EUR 340-544m a year after a 10-year transition, matched by lost income for carmakers; lower fees save EUR 6m a year and simpler procedures EUR 1.6m</t>
        </is>
      </c>
      <c r="N493" s="7" t="inlineStr">
        <is>
          <t>The Commission expected that opening the market for visible car spare parts would save consumers EUR 340-544 million a year once fully in effect.</t>
        </is>
      </c>
      <c r="O493" s="7" t="inlineStr">
        <is>
          <t>EU, forecast</t>
        </is>
      </c>
      <c r="P493" s="7" t="inlineStr">
        <is>
          <t>forecast</t>
        </is>
      </c>
      <c r="Q493" s="7" t="inlineStr"/>
      <c r="R493" s="7" t="inlineStr">
        <is>
          <t>open</t>
        </is>
      </c>
      <c r="S493" s="7" t="inlineStr">
        <is>
          <t>full text read (executive summary)</t>
        </is>
      </c>
      <c r="T493" s="7" t="inlineStr">
        <is>
          <t>2026-10-10</t>
        </is>
      </c>
      <c r="U493" s="7" t="inlineStr">
        <is>
          <t>https://eur-lex.europa.eu/legal-content/EN/TXT/?uri=CELEX:52022SC0369</t>
        </is>
      </c>
      <c r="V493" s="7" t="inlineStr"/>
      <c r="W493" s="7" t="inlineStr"/>
    </row>
    <row r="494">
      <c r="A494" s="7" t="n">
        <v>89</v>
      </c>
      <c r="B494" s="7" t="inlineStr">
        <is>
          <t>Design Directive</t>
        </is>
      </c>
      <c r="C494" s="7" t="inlineStr">
        <is>
          <t>evidence</t>
        </is>
      </c>
      <c r="D494" s="7" t="inlineStr">
        <is>
          <t>academic</t>
        </is>
      </c>
      <c r="E494" s="7" t="inlineStr">
        <is>
          <t>initial review</t>
        </is>
      </c>
      <c r="F494" s="7" t="inlineStr">
        <is>
          <t>herz-mejer-2020-design-spare-parts</t>
        </is>
      </c>
      <c r="G494" s="7" t="inlineStr">
        <is>
          <t>Herz &amp; Mejer (2020), The effect of design protection on price and price dispersion: Evidence from automotive spare parts, MPRA Paper 104137</t>
        </is>
      </c>
      <c r="H494" s="7" t="n">
        <v>2020</v>
      </c>
      <c r="I494" s="7" t="inlineStr">
        <is>
          <t>working paper</t>
        </is>
      </c>
      <c r="J494" s="7" t="inlineStr">
        <is>
          <t>difference-in-differences (cross-country variation in repair-clause coverage, detailed spare-part price data)</t>
        </is>
      </c>
      <c r="K494" s="7" t="inlineStr">
        <is>
          <t>spare-part prices; price dispersion</t>
        </is>
      </c>
      <c r="L494" s="7" t="inlineStr">
        <is>
          <t>negative effect of design protection on consumers (supports reform)</t>
        </is>
      </c>
      <c r="M494" s="7" t="inlineStr">
        <is>
          <t>Design protection raises spare-part prices by about 5-8%, with large differences across carmakers; lack of harmonisation plus pricing-to-market explains part of large cross-country price gaps for identical parts</t>
        </is>
      </c>
      <c r="N494" s="7" t="inlineStr">
        <is>
          <t>Comparing countries with and without a repair clause, the study finds design protection makes visible car spare parts about 5-8% more expensive - the kind of saving the Directive aims to unlock.</t>
        </is>
      </c>
      <c r="O494" s="7" t="inlineStr">
        <is>
          <t>EU car spare-parts markets</t>
        </is>
      </c>
      <c r="P494" s="7" t="inlineStr">
        <is>
          <t>causal (DiD); pre-reform evidence, not an evaluation of the Directive</t>
        </is>
      </c>
      <c r="Q494" s="7" t="inlineStr">
        <is>
          <t>Co-author Mejer is European Commission staff (ec.europa.eu affiliation); the study fed the Commission's analysis</t>
        </is>
      </c>
      <c r="R494" s="7" t="inlineStr">
        <is>
          <t>open</t>
        </is>
      </c>
      <c r="S494" s="7" t="inlineStr">
        <is>
          <t>abstract read</t>
        </is>
      </c>
      <c r="T494" s="7" t="inlineStr">
        <is>
          <t>2026-10-10</t>
        </is>
      </c>
      <c r="U494" s="7" t="inlineStr">
        <is>
          <t>https://mpra.ub.uni-muenchen.de/104137/</t>
        </is>
      </c>
      <c r="V494" s="7" t="inlineStr">
        <is>
          <t>https://mpra.ub.uni-muenchen.de/104137/</t>
        </is>
      </c>
      <c r="W494" s="7" t="inlineStr"/>
    </row>
    <row r="495">
      <c r="A495" s="7" t="n">
        <v>89</v>
      </c>
      <c r="B495" s="7" t="inlineStr">
        <is>
          <t>Design Directive</t>
        </is>
      </c>
      <c r="C495" s="7" t="inlineStr">
        <is>
          <t>evidence</t>
        </is>
      </c>
      <c r="D495" s="7" t="inlineStr">
        <is>
          <t>official</t>
        </is>
      </c>
      <c r="E495" s="7" t="inlineStr">
        <is>
          <t>initial review</t>
        </is>
      </c>
      <c r="F495" s="7" t="inlineStr">
        <is>
          <t>ec-2020-design-evaluation</t>
        </is>
      </c>
      <c r="G495" s="7" t="inlineStr">
        <is>
          <t>European Commission (2020), Evaluation of EU legislation on design protection, SWD(2020) 264</t>
        </is>
      </c>
      <c r="H495" s="7" t="n">
        <v>2020</v>
      </c>
      <c r="I495" s="7" t="inlineStr">
        <is>
          <t>Commission evaluation</t>
        </is>
      </c>
      <c r="J495" s="7" t="inlineStr">
        <is>
          <t>ex-post evaluation (of Directive 98/71/EC and Regulation 6/2002)</t>
        </is>
      </c>
      <c r="K495" s="7" t="inlineStr">
        <is>
          <t>functioning of design protection system</t>
        </is>
      </c>
      <c r="L495" s="7" t="inlineStr">
        <is>
          <t>mixed</t>
        </is>
      </c>
      <c r="M495" s="7" t="inlineStr">
        <is>
          <t>Design protection system works well overall but has shortcomings: outdated procedures and fees, divergent national rules, and an unharmonised spare-parts aftermarket</t>
        </is>
      </c>
      <c r="N495" s="7" t="inlineStr">
        <is>
          <t>The Commission's 2020 review found EU design law worked well overall but was outdated and left the car spare-parts market split between countries.</t>
        </is>
      </c>
      <c r="O495" s="7" t="inlineStr">
        <is>
          <t>EU, 2003-2019</t>
        </is>
      </c>
      <c r="P495" s="7" t="inlineStr">
        <is>
          <t>evaluation of the predecessor law</t>
        </is>
      </c>
      <c r="Q495" s="7" t="inlineStr"/>
      <c r="R495" s="7" t="inlineStr">
        <is>
          <t>open</t>
        </is>
      </c>
      <c r="S495" s="7" t="inlineStr">
        <is>
          <t>page summary (as summarised in SWD(2022) 369)</t>
        </is>
      </c>
      <c r="T495" s="7" t="inlineStr">
        <is>
          <t>2026-10-10</t>
        </is>
      </c>
      <c r="U495" s="7" t="inlineStr">
        <is>
          <t>https://eur-lex.europa.eu/legal-content/EN/TXT/?uri=CELEX:52020SC0264</t>
        </is>
      </c>
      <c r="V495" s="7" t="inlineStr"/>
      <c r="W495" s="7" t="inlineStr">
        <is>
          <t>http://web.archive.org/web/20231115082100/https://eur-lex.europa.eu/legal-content/en/TXT/?uri=CELEX:52020SC0264</t>
        </is>
      </c>
    </row>
    <row r="496">
      <c r="A496" s="7" t="n">
        <v>89</v>
      </c>
      <c r="B496" s="7" t="inlineStr">
        <is>
          <t>Design Directive</t>
        </is>
      </c>
      <c r="C496" s="7" t="inlineStr">
        <is>
          <t>evidence</t>
        </is>
      </c>
      <c r="D496" s="7" t="inlineStr">
        <is>
          <t>consultancy or industry</t>
        </is>
      </c>
      <c r="E496" s="7" t="inlineStr">
        <is>
          <t>2026-10 broadened search</t>
        </is>
      </c>
      <c r="F496" s="7" t="inlineStr">
        <is>
          <t>europeeconomics-2015-design-review</t>
        </is>
      </c>
      <c r="G496" s="7" t="inlineStr">
        <is>
          <t>Europe Economics (2015), The Economic Review of Industrial Design in Europe - Final Report (MARKT/2013/064//D2/ST/OP), Study for the European Commission, DG Internal Market and Services</t>
        </is>
      </c>
      <c r="H496" s="7" t="n">
        <v>2015</v>
      </c>
      <c r="I496" s="7" t="inlineStr">
        <is>
          <t>consultancy study for the Commission</t>
        </is>
      </c>
      <c r="J496" s="7" t="inlineStr">
        <is>
          <t>Eurostat sector data analysis, WIPO filing data, firm-level database, online survey of design-intensive firms (about 80-140 valid responses per question) and structured interviews</t>
        </is>
      </c>
      <c r="K496" s="7" t="inlineStr">
        <is>
          <t>economic contribution of design-intensive industries, use of registered vs informal design protection, effects of non-harmonised spare-parts protection</t>
        </is>
      </c>
      <c r="L496" s="7" t="inlineStr">
        <is>
          <t>mixed</t>
        </is>
      </c>
      <c r="M496" s="7" t="inlineStr">
        <is>
          <t>Under the predecessor Design Directive 98/71, 3.4m firms in design-intensive industries employing 23m people added about EUR 1.7trn to EU value added, but only a minority of designs are formally protected; the study finds no good economic or IP justification for design protection of visible spare parts and recommends an EU-wide repair clause.</t>
        </is>
      </c>
      <c r="N496" s="7" t="inlineStr">
        <is>
          <t>This study looked at how firms used EU design rights under the old directive that the 2024 Directive replaces. It found most designs are never registered, and it recommended letting independent makers sell visible car spare parts, which the 2024 Directive now does.</t>
        </is>
      </c>
      <c r="O496" s="7" t="inlineStr">
        <is>
          <t>c.2008-2014; EU-28</t>
        </is>
      </c>
      <c r="P496" s="7" t="inlineStr">
        <is>
          <t>Predecessor-regime evidence (Directive 98/71/EC, recast by 2024/2823); descriptive plus small non-random survey; not causal.</t>
        </is>
      </c>
      <c r="Q496" s="7" t="inlineStr"/>
      <c r="R496" s="7" t="inlineStr">
        <is>
          <t>open</t>
        </is>
      </c>
      <c r="S496" s="7" t="inlineStr">
        <is>
          <t>full text read</t>
        </is>
      </c>
      <c r="T496" s="7" t="inlineStr">
        <is>
          <t>2026-10-10</t>
        </is>
      </c>
      <c r="U496" s="7" t="inlineStr">
        <is>
          <t>https://ec.europa.eu/docsroom/documents/10463/attachments/1/translations/en/renditions/native</t>
        </is>
      </c>
      <c r="V496" s="7" t="inlineStr">
        <is>
          <t>https://ec.europa.eu/docsroom/documents/10463/attachments/1/translations/en/renditions/native</t>
        </is>
      </c>
      <c r="W496" s="7" t="inlineStr"/>
    </row>
    <row r="497">
      <c r="A497" s="7" t="n">
        <v>73</v>
      </c>
      <c r="B497" s="7" t="inlineStr">
        <is>
          <t>Platform Work Directive</t>
        </is>
      </c>
      <c r="C497" s="7" t="inlineStr">
        <is>
          <t>ex-ante assessment</t>
        </is>
      </c>
      <c r="D497" s="7" t="inlineStr">
        <is>
          <t>official</t>
        </is>
      </c>
      <c r="E497" s="7" t="inlineStr">
        <is>
          <t>initial review</t>
        </is>
      </c>
      <c r="F497" s="7" t="inlineStr">
        <is>
          <t>ec-2021-platformwork-ia</t>
        </is>
      </c>
      <c r="G497" s="7" t="inlineStr">
        <is>
          <t>European Commission (2021), Impact Assessment accompanying the proposal for a Directive on improving working conditions in platform work (executive summary SWD(2021) 397), SWD(2021) 396</t>
        </is>
      </c>
      <c r="H497" s="7" t="n">
        <v>2021</v>
      </c>
      <c r="I497" s="7" t="inlineStr">
        <is>
          <t>Commission impact assessment</t>
        </is>
      </c>
      <c r="J497" s="7" t="inlineStr">
        <is>
          <t>ex-ante</t>
        </is>
      </c>
      <c r="K497" s="7" t="inlineStr">
        <is>
          <t>employment status; earnings; platform costs; public revenue</t>
        </is>
      </c>
      <c r="L497" s="7" t="inlineStr">
        <is>
          <t>positive (forecast)</t>
        </is>
      </c>
      <c r="M497" s="7" t="inlineStr">
        <is>
          <t>1.7-4.1 million people reclassified as workers; earnings up to +EUR 484m a year; platform costs EUR 1.9-4.5bn a year, partly passed on; up to EUR 4bn a year extra public revenue</t>
        </is>
      </c>
      <c r="N497" s="7" t="inlineStr">
        <is>
          <t>The Commission expected 1.7-4.1 million people working through apps to be reclassified as employees, gaining up to EUR 484 million a year, at a cost to platforms of EUR 1.9-4.5 billion a year.</t>
        </is>
      </c>
      <c r="O497" s="7" t="inlineStr">
        <is>
          <t>EU-27, forecast</t>
        </is>
      </c>
      <c r="P497" s="7" t="inlineStr">
        <is>
          <t>forecast; based on the proposal's criteria, later dropped</t>
        </is>
      </c>
      <c r="Q497" s="7" t="inlineStr"/>
      <c r="R497" s="7" t="inlineStr">
        <is>
          <t>open</t>
        </is>
      </c>
      <c r="S497" s="7" t="inlineStr">
        <is>
          <t>full text read (executive summary)</t>
        </is>
      </c>
      <c r="T497" s="7" t="inlineStr">
        <is>
          <t>2026-10-10</t>
        </is>
      </c>
      <c r="U497" s="7" t="inlineStr">
        <is>
          <t>https://eur-lex.europa.eu/legal-content/EN/TXT/?uri=CELEX:52021SC0397</t>
        </is>
      </c>
      <c r="V497" s="7" t="inlineStr"/>
      <c r="W497" s="7" t="inlineStr"/>
    </row>
    <row r="498">
      <c r="A498" s="7" t="n">
        <v>73</v>
      </c>
      <c r="B498" s="7" t="inlineStr">
        <is>
          <t>Platform Work Directive</t>
        </is>
      </c>
      <c r="C498" s="7" t="inlineStr">
        <is>
          <t>evidence</t>
        </is>
      </c>
      <c r="D498" s="7" t="inlineStr">
        <is>
          <t>academic</t>
        </is>
      </c>
      <c r="E498" s="7" t="inlineStr">
        <is>
          <t>initial review</t>
        </is>
      </c>
      <c r="F498" s="7" t="inlineStr">
        <is>
          <t>dolado-janez-wellschmied-2025-riders</t>
        </is>
      </c>
      <c r="G498" s="7" t="inlineStr">
        <is>
          <t>Dolado, Jáñez &amp; Wellschmied (2025), Riders on the Storm, IZA Discussion Paper 17740 (also CEPR DP19974)</t>
        </is>
      </c>
      <c r="H498" s="7" t="n">
        <v>2025</v>
      </c>
      <c r="I498" s="7" t="inlineStr">
        <is>
          <t>working paper</t>
        </is>
      </c>
      <c r="J498" s="7" t="inlineStr">
        <is>
          <t>structural search-and-matching model calibrated to Spain's 2021 Riders' Law (presumption of employment)</t>
        </is>
      </c>
      <c r="K498" s="7" t="inlineStr">
        <is>
          <t>employment; wages; welfare of delivery riders</t>
        </is>
      </c>
      <c r="L498" s="7" t="inlineStr">
        <is>
          <t>mixed</t>
        </is>
      </c>
      <c r="M498" s="7" t="inlineStr">
        <is>
          <t>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is>
      </c>
      <c r="N498" s="7" t="inlineStr">
        <is>
          <t>Spain's 2021 law presuming delivery riders are employees - a model for the EU Directive - increased the share of riders on employment contracts but, according to this model, cut overall rider jobs and wages.</t>
        </is>
      </c>
      <c r="O498" s="7" t="inlineStr">
        <is>
          <t>Spain, 2021 reform (national precursor)</t>
        </is>
      </c>
      <c r="P498" s="7" t="inlineStr">
        <is>
          <t>model-based, not quasi-experimental; analogous national law</t>
        </is>
      </c>
      <c r="Q498" s="7" t="inlineStr"/>
      <c r="R498" s="7" t="inlineStr">
        <is>
          <t>open</t>
        </is>
      </c>
      <c r="S498" s="7" t="inlineStr">
        <is>
          <t>abstract read</t>
        </is>
      </c>
      <c r="T498" s="7" t="inlineStr">
        <is>
          <t>2026-10-10</t>
        </is>
      </c>
      <c r="U498" s="7" t="inlineStr">
        <is>
          <t>https://www.iza.org/publications/dp/17740</t>
        </is>
      </c>
      <c r="V498" s="7" t="inlineStr">
        <is>
          <t>https://docs.iza.org/dp17740.pdf</t>
        </is>
      </c>
      <c r="W498" s="7" t="inlineStr">
        <is>
          <t>http://web.archive.org/web/20260421110729/https://www.iza.org/publications/dp/17740</t>
        </is>
      </c>
    </row>
    <row r="499">
      <c r="A499" s="7" t="n">
        <v>86</v>
      </c>
      <c r="B499" s="7" t="inlineStr">
        <is>
          <t>Product Liability Directive</t>
        </is>
      </c>
      <c r="C499" s="7" t="inlineStr">
        <is>
          <t>ex-ante assessment</t>
        </is>
      </c>
      <c r="D499" s="7" t="inlineStr">
        <is>
          <t>official</t>
        </is>
      </c>
      <c r="E499" s="7" t="inlineStr">
        <is>
          <t>initial review</t>
        </is>
      </c>
      <c r="F499" s="7" t="inlineStr">
        <is>
          <t>ec-2022-pld-ia</t>
        </is>
      </c>
      <c r="G499" s="7" t="inlineStr">
        <is>
          <t>European Commission (2022), Impact Assessment accompanying the proposal for a Directive on liability for defective products (executive summary SWD(2022) 317), SWD(2022) 316</t>
        </is>
      </c>
      <c r="H499" s="7" t="n">
        <v>2022</v>
      </c>
      <c r="I499" s="7" t="inlineStr">
        <is>
          <t>Commission impact assessment</t>
        </is>
      </c>
      <c r="J499" s="7" t="inlineStr">
        <is>
          <t>ex-ante</t>
        </is>
      </c>
      <c r="K499" s="7" t="inlineStr">
        <is>
          <t>compensation to victims; insurance premiums; legal costs</t>
        </is>
      </c>
      <c r="L499" s="7" t="inlineStr">
        <is>
          <t>positive (forecast)</t>
        </is>
      </c>
      <c r="M499" s="7" t="inlineStr">
        <is>
          <t>Extending no-fault liability to software and other actors raises annual compensation by EUR 0.15-22.13m and easing the burden of proof by EUR 0.20-43.54m; premiums rise EUR 4.35-8.69m and EUR 14.35-28.71m a year; small unquantified price rises for non-EU products</t>
        </is>
      </c>
      <c r="N499" s="7" t="inlineStr">
        <is>
          <t>The Commission expected modest effects: tens of millions of euros a year more compensation for people harmed by defective products, including software, and a small rise in producers' insurance premiums.</t>
        </is>
      </c>
      <c r="O499" s="7" t="inlineStr">
        <is>
          <t>EU, forecast</t>
        </is>
      </c>
      <c r="P499" s="7" t="inlineStr">
        <is>
          <t>forecast</t>
        </is>
      </c>
      <c r="Q499" s="7" t="inlineStr"/>
      <c r="R499" s="7" t="inlineStr">
        <is>
          <t>open</t>
        </is>
      </c>
      <c r="S499" s="7" t="inlineStr">
        <is>
          <t>full text read (executive summary)</t>
        </is>
      </c>
      <c r="T499" s="7" t="inlineStr">
        <is>
          <t>2026-10-10</t>
        </is>
      </c>
      <c r="U499" s="7" t="inlineStr">
        <is>
          <t>https://eur-lex.europa.eu/legal-content/EN/TXT/?uri=CELEX:52022SC0317</t>
        </is>
      </c>
      <c r="V499" s="7" t="inlineStr"/>
      <c r="W499" s="7" t="inlineStr">
        <is>
          <t>http://web.archive.org/web/20240519073228/https://eur-lex.europa.eu/legal-content/EN/TXT/?uri=celex%3A52022SC0317</t>
        </is>
      </c>
    </row>
    <row r="500">
      <c r="A500" s="7" t="n">
        <v>86</v>
      </c>
      <c r="B500" s="7" t="inlineStr">
        <is>
          <t>Product Liability Directive</t>
        </is>
      </c>
      <c r="C500" s="7" t="inlineStr">
        <is>
          <t>evidence</t>
        </is>
      </c>
      <c r="D500" s="7" t="inlineStr">
        <is>
          <t>official</t>
        </is>
      </c>
      <c r="E500" s="7" t="inlineStr">
        <is>
          <t>initial review</t>
        </is>
      </c>
      <c r="F500" s="7" t="inlineStr">
        <is>
          <t>ec-2018-pld-evaluation</t>
        </is>
      </c>
      <c r="G500" s="7" t="inlineStr">
        <is>
          <t>European Commission (2018), Evaluation of Council Directive 85/374/EEC on liability for defective products, SWD(2018) 157</t>
        </is>
      </c>
      <c r="H500" s="7" t="n">
        <v>2018</v>
      </c>
      <c r="I500" s="7" t="inlineStr">
        <is>
          <t>Commission evaluation</t>
        </is>
      </c>
      <c r="J500" s="7" t="inlineStr">
        <is>
          <t>ex-post evaluation (qualitative; cost-benefit analysis not possible for lack of data)</t>
        </is>
      </c>
      <c r="K500" s="7" t="inlineStr">
        <is>
          <t>consumer protection; single market; burden of proof</t>
        </is>
      </c>
      <c r="L500" s="7" t="inlineStr">
        <is>
          <t>mixed</t>
        </is>
      </c>
      <c r="M500" s="7" t="inlineStr">
        <is>
          <t>The 1985 Directive contributes to consumer protection and a level playing field at reasonable cost, but the burden of proof, the EUR 500 threshold and unclear coverage of software and digital products limit its effectiveness</t>
        </is>
      </c>
      <c r="N500" s="7" t="inlineStr">
        <is>
          <t>The Commission's review of the 1985 law found it broadly worked but was hard for victims to use, especially for complex and digital products - the problems the new Directive targets.</t>
        </is>
      </c>
      <c r="O500" s="7" t="inlineStr">
        <is>
          <t>EU, 1985-2017</t>
        </is>
      </c>
      <c r="P500" s="7" t="inlineStr">
        <is>
          <t>evaluation of the predecessor law</t>
        </is>
      </c>
      <c r="Q500" s="7" t="inlineStr"/>
      <c r="R500" s="7" t="inlineStr">
        <is>
          <t>open</t>
        </is>
      </c>
      <c r="S500" s="7" t="inlineStr">
        <is>
          <t>full text read (conclusions)</t>
        </is>
      </c>
      <c r="T500" s="7" t="inlineStr">
        <is>
          <t>2026-10-10</t>
        </is>
      </c>
      <c r="U500" s="7" t="inlineStr">
        <is>
          <t>https://eur-lex.europa.eu/legal-content/EN/TXT/?uri=CELEX:52018SC0157</t>
        </is>
      </c>
      <c r="V500" s="7" t="inlineStr"/>
      <c r="W500" s="7" t="inlineStr">
        <is>
          <t>http://web.archive.org/web/20260906162828/https://eur-lex.europa.eu/legal-content/EN/TXT/?uri=celex%3A52018SC0157</t>
        </is>
      </c>
    </row>
    <row r="501">
      <c r="A501" s="7" t="n">
        <v>86</v>
      </c>
      <c r="B501" s="7" t="inlineStr">
        <is>
          <t>Product Liability Directive</t>
        </is>
      </c>
      <c r="C501" s="7" t="inlineStr">
        <is>
          <t>evidence</t>
        </is>
      </c>
      <c r="D501" s="7" t="inlineStr">
        <is>
          <t>consultancy or industry</t>
        </is>
      </c>
      <c r="E501" s="7" t="inlineStr">
        <is>
          <t>initial review</t>
        </is>
      </c>
      <c r="F501" s="7" t="inlineStr">
        <is>
          <t>insurance-europe-2022-pld</t>
        </is>
      </c>
      <c r="G501" s="7" t="inlineStr">
        <is>
          <t>Insurance Europe (2022), Key messages on the European Commission's proposal for a revision of the Product Liability Directive (PLD), Position paper, December 2022</t>
        </is>
      </c>
      <c r="H501" s="7" t="n">
        <v>2022</v>
      </c>
      <c r="I501" s="7" t="inlineStr">
        <is>
          <t>stakeholder position paper</t>
        </is>
      </c>
      <c r="J501" s="7" t="inlineStr">
        <is>
          <t>qualitative argument</t>
        </is>
      </c>
      <c r="K501" s="7" t="inlineStr">
        <is>
          <t>insurability; litigation; innovation</t>
        </is>
      </c>
      <c r="L501" s="7" t="inlineStr">
        <is>
          <t>negative (critique)</t>
        </is>
      </c>
      <c r="M501" s="7" t="inlineStr">
        <is>
          <t>Proposal would compromise insurers' ability to price risk (psychological harm, data loss, cyber), increase litigation and ultimately consumer costs, and could harm innovation</t>
        </is>
      </c>
      <c r="N501" s="7" t="inlineStr">
        <is>
          <t>The insurance industry warned that the reform would make some risks hard to insure and lead to more lawsuits and higher costs.</t>
        </is>
      </c>
      <c r="O501" s="7" t="inlineStr">
        <is>
          <t>EU</t>
        </is>
      </c>
      <c r="P501" s="7" t="inlineStr">
        <is>
          <t>advocacy; no data</t>
        </is>
      </c>
      <c r="Q501" s="7" t="inlineStr">
        <is>
          <t>Insurance industry federation; members underwrite product liability risk</t>
        </is>
      </c>
      <c r="R501" s="7" t="inlineStr">
        <is>
          <t>open</t>
        </is>
      </c>
      <c r="S501" s="7" t="inlineStr">
        <is>
          <t>full text read</t>
        </is>
      </c>
      <c r="T501" s="7" t="inlineStr">
        <is>
          <t>2026-10-10</t>
        </is>
      </c>
      <c r="U501" s="7" t="inlineStr">
        <is>
          <t>https://insuranceeurope.eu/publications/2788/key-messages-on-the-ec-proposal-for-a-revision-of-the-pld</t>
        </is>
      </c>
      <c r="V501" s="7" t="inlineStr"/>
      <c r="W501" s="7" t="inlineStr"/>
    </row>
    <row r="502">
      <c r="A502" s="7" t="n">
        <v>97</v>
      </c>
      <c r="B502" s="7" t="inlineStr">
        <is>
          <t>Strategic Technologies for Europe Platform (STEP)</t>
        </is>
      </c>
      <c r="C502" s="7" t="inlineStr">
        <is>
          <t>ex-ante assessment</t>
        </is>
      </c>
      <c r="D502" s="7" t="inlineStr">
        <is>
          <t>official</t>
        </is>
      </c>
      <c r="E502" s="7" t="inlineStr">
        <is>
          <t>initial review</t>
        </is>
      </c>
      <c r="F502" s="7" t="inlineStr">
        <is>
          <t>ec-2023-step-proposal</t>
        </is>
      </c>
      <c r="G502" s="7" t="inlineStr">
        <is>
          <t>European Commission (2023), Proposal for a Regulation establishing the Strategic Technologies for Europe Platform (STEP), COM(2023) 335</t>
        </is>
      </c>
      <c r="H502" s="7" t="n">
        <v>2023</v>
      </c>
      <c r="I502" s="7" t="inlineStr">
        <is>
          <t>Commission proposal (no impact assessment)</t>
        </is>
      </c>
      <c r="J502" s="7" t="inlineStr">
        <is>
          <t>ex-ante (explanatory memorandum)</t>
        </is>
      </c>
      <c r="K502" s="7" t="inlineStr">
        <is>
          <t>investment mobilised</t>
        </is>
      </c>
      <c r="L502" s="7" t="inlineStr">
        <is>
          <t>positive (forecast)</t>
        </is>
      </c>
      <c r="M502" s="7" t="inlineStr">
        <is>
          <t>Total estimated new investment through STEP could reach up to EUR 160bn; no impact assessment because STEP works through existing instruments</t>
        </is>
      </c>
      <c r="N502" s="7" t="inlineStr">
        <is>
          <t>The Commission claimed STEP could trigger up to EUR 160 billion of investment in critical technologies, without a dedicated impact assessment.</t>
        </is>
      </c>
      <c r="O502" s="7" t="inlineStr">
        <is>
          <t>EU, forecast</t>
        </is>
      </c>
      <c r="P502" s="7" t="inlineStr">
        <is>
          <t>forecast</t>
        </is>
      </c>
      <c r="Q502" s="7" t="inlineStr"/>
      <c r="R502" s="7" t="inlineStr">
        <is>
          <t>open</t>
        </is>
      </c>
      <c r="S502" s="7" t="inlineStr">
        <is>
          <t>full text read (relevant sections)</t>
        </is>
      </c>
      <c r="T502" s="7" t="inlineStr">
        <is>
          <t>2026-10-10</t>
        </is>
      </c>
      <c r="U502" s="7" t="inlineStr">
        <is>
          <t>https://eur-lex.europa.eu/legal-content/EN/TXT/?uri=CELEX:52023PC0335</t>
        </is>
      </c>
      <c r="V502" s="7" t="inlineStr"/>
      <c r="W502" s="7" t="inlineStr"/>
    </row>
    <row r="503">
      <c r="A503" s="7" t="n">
        <v>97</v>
      </c>
      <c r="B503" s="7" t="inlineStr">
        <is>
          <t>Strategic Technologies for Europe Platform (STEP)</t>
        </is>
      </c>
      <c r="C503" s="7" t="inlineStr">
        <is>
          <t>evidence</t>
        </is>
      </c>
      <c r="D503" s="7" t="inlineStr">
        <is>
          <t>official</t>
        </is>
      </c>
      <c r="E503" s="7" t="inlineStr">
        <is>
          <t>initial review</t>
        </is>
      </c>
      <c r="F503" s="7" t="inlineStr">
        <is>
          <t>ec-2025-step-interim-evaluation</t>
        </is>
      </c>
      <c r="G503" s="7" t="inlineStr">
        <is>
          <t>European Commission (2025), Interim evaluation of the Strategic Technologies for Europe Platform (STEP), COM(2025) 421 and SWD(2025) 194</t>
        </is>
      </c>
      <c r="H503" s="7" t="n">
        <v>2025</v>
      </c>
      <c r="I503" s="7" t="inlineStr">
        <is>
          <t>Commission evaluation</t>
        </is>
      </c>
      <c r="J503" s="7" t="inlineStr">
        <is>
          <t>interim evaluation (implementation monitoring, first 13 months)</t>
        </is>
      </c>
      <c r="K503" s="7" t="inlineStr">
        <is>
          <t>funds mobilised; STEP Seals; regional distribution</t>
        </is>
      </c>
      <c r="L503" s="7" t="inlineStr">
        <is>
          <t>mixed</t>
        </is>
      </c>
      <c r="M503" s="7" t="inlineStr">
        <is>
          <t>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is>
      </c>
      <c r="N503" s="7" t="inlineStr">
        <is>
          <t>The Commission's own interim review found about EUR 15 billion of existing EU money steered towards strategic technologies, but said the quality label has not yet unlocked new funding and it is too early to judge impact.</t>
        </is>
      </c>
      <c r="O503" s="7" t="inlineStr">
        <is>
          <t>EU, Mar 2024-Mar 2025</t>
        </is>
      </c>
      <c r="P503" s="7" t="inlineStr">
        <is>
          <t>self-assessment; activity data only</t>
        </is>
      </c>
      <c r="Q503" s="7" t="inlineStr"/>
      <c r="R503" s="7" t="inlineStr">
        <is>
          <t>open</t>
        </is>
      </c>
      <c r="S503" s="7" t="inlineStr">
        <is>
          <t>full text read</t>
        </is>
      </c>
      <c r="T503" s="7" t="inlineStr">
        <is>
          <t>2026-10-10</t>
        </is>
      </c>
      <c r="U503" s="7" t="inlineStr">
        <is>
          <t>https://eur-lex.europa.eu/legal-content/EN/TXT/?uri=CELEX:52025DC0421</t>
        </is>
      </c>
      <c r="V503" s="7" t="inlineStr"/>
      <c r="W503" s="7" t="inlineStr">
        <is>
          <t>http://web.archive.org/web/20251116092010/https://eur-lex.europa.eu/legal-content/EN/TXT/?uri=celex:52025DC0421</t>
        </is>
      </c>
    </row>
    <row r="504">
      <c r="A504" s="7" t="n">
        <v>97</v>
      </c>
      <c r="B504" s="7" t="inlineStr">
        <is>
          <t>Strategic Technologies for Europe Platform (STEP)</t>
        </is>
      </c>
      <c r="C504" s="7" t="inlineStr">
        <is>
          <t>evidence</t>
        </is>
      </c>
      <c r="D504" s="7" t="inlineStr">
        <is>
          <t>official</t>
        </is>
      </c>
      <c r="E504" s="7" t="inlineStr">
        <is>
          <t>2026-10 broadened search</t>
        </is>
      </c>
      <c r="F504" s="7" t="inlineStr">
        <is>
          <t>ec-2025-step-annual-report-2024</t>
        </is>
      </c>
      <c r="G504" s="7" t="inlineStr">
        <is>
          <t>European Commission (2025), Annual Report on the Strategic Technologies for Europe Platform (STEP) 2024 (COM(2025) 322 final), Report from the Commission to the European Parliament and the Council</t>
        </is>
      </c>
      <c r="H504" s="7" t="n">
        <v>2025</v>
      </c>
      <c r="I504" s="7" t="inlineStr">
        <is>
          <t>Commission monitoring report</t>
        </is>
      </c>
      <c r="J504" s="7" t="inlineStr">
        <is>
          <t>descriptive statistics from programme monitoring data (calls, earmarked budgets, cohesion programme amendments, STEP Seals awarded) for STEP's first year</t>
        </is>
      </c>
      <c r="K504" s="7" t="inlineStr">
        <is>
          <t>EU funding aligned to STEP, cohesion-policy reprogramming, STEP Seals, RRF uptake</t>
        </is>
      </c>
      <c r="L504" s="7" t="inlineStr">
        <is>
          <t>descriptive</t>
        </is>
      </c>
      <c r="M504" s="7" t="inlineStr">
        <is>
          <t>In 2024 over EUR 10 billion of EU funds were aligned with STEP (EUR 4.6 billion under direct management and EUR 5.9 billion in 29 approved cohesion-programme amendments), 162 STEP Seals were awarded across 23 Member States, and no Member State amended its Recovery and Resilience Plan to use STEP.</t>
        </is>
      </c>
      <c r="N504" s="7" t="inlineStr">
        <is>
          <t>STEP does not have its own budget; it redirects money from existing EU programmes towards strategic technologies. In its first year about EUR 10 billion was steered this way, mostly towards clean technologies, but countries did not use the option to redirect recovery-fund money.</t>
        </is>
      </c>
      <c r="O504" s="7" t="inlineStr">
        <is>
          <t>EU-27, March to December 2024</t>
        </is>
      </c>
      <c r="P504" s="7" t="inlineStr">
        <is>
          <t>Official first-year monitoring; inputs and outputs only (money earmarked, labels awarded), no outcome or impact measurement; self-reported by the Commission.</t>
        </is>
      </c>
      <c r="Q504" s="7" t="inlineStr">
        <is>
          <t>European Commission reporting on its own programme</t>
        </is>
      </c>
      <c r="R504" s="7" t="inlineStr">
        <is>
          <t>open</t>
        </is>
      </c>
      <c r="S504" s="7" t="inlineStr">
        <is>
          <t>full text read</t>
        </is>
      </c>
      <c r="T504" s="7" t="inlineStr">
        <is>
          <t>2026-10-10</t>
        </is>
      </c>
      <c r="U504" s="7" t="inlineStr">
        <is>
          <t>https://strategic-technologies.europa.eu/step-results/step-figures_en</t>
        </is>
      </c>
      <c r="V504" s="7" t="inlineStr">
        <is>
          <t>https://strategic-technologies.europa.eu/document/download/387922ec-4597-49ce-b253-6ff764dad782_en?filename=STEP%20Annual%20Report%202024_for%20web.pdf</t>
        </is>
      </c>
      <c r="W504" s="7" t="inlineStr"/>
    </row>
    <row r="505">
      <c r="A505" s="7" t="n">
        <v>71</v>
      </c>
      <c r="B505" s="7" t="inlineStr">
        <is>
          <t>Political Advertising Regulation</t>
        </is>
      </c>
      <c r="C505" s="7" t="inlineStr">
        <is>
          <t>ex-ante assessment</t>
        </is>
      </c>
      <c r="D505" s="7" t="inlineStr">
        <is>
          <t>official</t>
        </is>
      </c>
      <c r="E505" s="7" t="inlineStr">
        <is>
          <t>initial review</t>
        </is>
      </c>
      <c r="F505" s="7" t="inlineStr">
        <is>
          <t>ec-2021-polads-ia</t>
        </is>
      </c>
      <c r="G505" s="7" t="inlineStr">
        <is>
          <t>European Commission (2021), Impact Assessment accompanying the proposal for a Regulation on the transparency and targeting of political advertising (executive summary SWD(2021) 356), SWD(2021) 355</t>
        </is>
      </c>
      <c r="H505" s="7" t="n">
        <v>2021</v>
      </c>
      <c r="I505" s="7" t="inlineStr">
        <is>
          <t>Commission impact assessment</t>
        </is>
      </c>
      <c r="J505" s="7" t="inlineStr">
        <is>
          <t>ex-ante (qualitative)</t>
        </is>
      </c>
      <c r="K505" s="7" t="inlineStr">
        <is>
          <t>legal certainty; transparency; compliance costs</t>
        </is>
      </c>
      <c r="L505" s="7" t="inlineStr">
        <is>
          <t>positive (forecast)</t>
        </is>
      </c>
      <c r="M505" s="7" t="inlineStr">
        <is>
          <t>Expected more legal certainty and lower fragmentation costs, transparency of targeting, better oversight and public trust; compliance costs offset by efficiency gains; no quantified headline</t>
        </is>
      </c>
      <c r="N505" s="7" t="inlineStr">
        <is>
          <t>The Commission expected clearer, EU-wide rules to make political ads more transparent and cheaper to run across borders, but gave no figures.</t>
        </is>
      </c>
      <c r="O505" s="7" t="inlineStr">
        <is>
          <t>EU, forecast</t>
        </is>
      </c>
      <c r="P505" s="7" t="inlineStr">
        <is>
          <t>forecast; qualitative</t>
        </is>
      </c>
      <c r="Q505" s="7" t="inlineStr"/>
      <c r="R505" s="7" t="inlineStr">
        <is>
          <t>open</t>
        </is>
      </c>
      <c r="S505" s="7" t="inlineStr">
        <is>
          <t>full text read (executive summary)</t>
        </is>
      </c>
      <c r="T505" s="7" t="inlineStr">
        <is>
          <t>2026-10-10</t>
        </is>
      </c>
      <c r="U505" s="7" t="inlineStr">
        <is>
          <t>https://eur-lex.europa.eu/legal-content/EN/TXT/?uri=CELEX:52021SC0356</t>
        </is>
      </c>
      <c r="V505" s="7" t="inlineStr"/>
      <c r="W505" s="7" t="inlineStr">
        <is>
          <t>http://web.archive.org/web/20240813033958/https://eur-lex.europa.eu/legal-content/EN/TXT/?uri=celex%3A52021SC0356</t>
        </is>
      </c>
    </row>
    <row r="506">
      <c r="A506" s="7" t="n">
        <v>71</v>
      </c>
      <c r="B506" s="7" t="inlineStr">
        <is>
          <t>Political Advertising Regulation</t>
        </is>
      </c>
      <c r="C506" s="7" t="inlineStr">
        <is>
          <t>evidence</t>
        </is>
      </c>
      <c r="D506" s="7" t="inlineStr">
        <is>
          <t>think tank</t>
        </is>
      </c>
      <c r="E506" s="7" t="inlineStr">
        <is>
          <t>initial review</t>
        </is>
      </c>
      <c r="F506" s="7" t="inlineStr">
        <is>
          <t>edmo-2025-eu-election-ads</t>
        </is>
      </c>
      <c r="G506" s="7" t="inlineStr">
        <is>
          <t>Meyer et al. (European Digital Media Observatory) (2025), A Cross-Country Analysis of Electoral Advertising on Meta and Google during the EU 2024 Elections: Compliance, Transparency, and Targeting, EDMO report, September 2025</t>
        </is>
      </c>
      <c r="H506" s="7" t="n">
        <v>2025</v>
      </c>
      <c r="I506" s="7" t="inlineStr">
        <is>
          <t>research report (EU-funded observatory)</t>
        </is>
      </c>
      <c r="J506" s="7" t="inlineStr">
        <is>
          <t>descriptive audit of ad libraries across 15 Member States (before the Regulation applied)</t>
        </is>
      </c>
      <c r="K506" s="7" t="inlineStr">
        <is>
          <t>platform transparency; ad spend; targeting</t>
        </is>
      </c>
      <c r="L506" s="7" t="inlineStr">
        <is>
          <t>n/a (baseline)</t>
        </is>
      </c>
      <c r="M506" s="7" t="inlineStr">
        <is>
          <t>Meta and Google definitions not fully aligned with Regulation 2024/900; Meta met 9 and Google 7 of 19 transparency criteria; about 30,000 ads and EUR 8.7m spent by parties in 15 countries; targeting common but mostly broad; Meta targeting details disappearing by Aug 2025</t>
        </is>
      </c>
      <c r="N506" s="7" t="inlineStr">
        <is>
          <t>Before the rules applied, an audit of the 2024 EU election found Meta and Google only partly met the new transparency standards, with parties spending about EUR 8.7 million on 30,000 ads in 15 countries.</t>
        </is>
      </c>
      <c r="O506" s="7" t="inlineStr">
        <is>
          <t>15 EU countries, 2024 EP elections</t>
        </is>
      </c>
      <c r="P506" s="7" t="inlineStr">
        <is>
          <t>descriptive baseline</t>
        </is>
      </c>
      <c r="Q506" s="7" t="inlineStr">
        <is>
          <t>Funded by the European Union</t>
        </is>
      </c>
      <c r="R506" s="7" t="inlineStr">
        <is>
          <t>open</t>
        </is>
      </c>
      <c r="S506" s="7" t="inlineStr">
        <is>
          <t>full text read (conclusions)</t>
        </is>
      </c>
      <c r="T506" s="7" t="inlineStr">
        <is>
          <t>2026-10-10</t>
        </is>
      </c>
      <c r="U506" s="7" t="inlineStr">
        <is>
          <t>https://edmo.eu/wp-content/uploads/2025/09/EDMO-Analysis-of-Electoral-Advertising.pdf</t>
        </is>
      </c>
      <c r="V506" s="7" t="inlineStr">
        <is>
          <t>https://edmo.eu/wp-content/uploads/2025/09/EDMO-Analysis-of-Electoral-Advertising.pdf</t>
        </is>
      </c>
      <c r="W506" s="7" t="inlineStr">
        <is>
          <t>http://web.archive.org/web/20260114162950/https://edmo.eu/wp-content/uploads/2025/09/EDMO-Analysis-of-Electoral-Advertising.pdf</t>
        </is>
      </c>
    </row>
    <row r="507">
      <c r="A507" s="7" t="n">
        <v>71</v>
      </c>
      <c r="B507" s="7" t="inlineStr">
        <is>
          <t>Political Advertising Regulation</t>
        </is>
      </c>
      <c r="C507" s="7" t="inlineStr">
        <is>
          <t>evidence</t>
        </is>
      </c>
      <c r="D507" s="7" t="inlineStr">
        <is>
          <t>consultancy or industry</t>
        </is>
      </c>
      <c r="E507" s="7" t="inlineStr">
        <is>
          <t>initial review</t>
        </is>
      </c>
      <c r="F507" s="7" t="inlineStr">
        <is>
          <t>meta-2025-ttpa-exit</t>
        </is>
      </c>
      <c r="G507" s="7" t="inlineStr">
        <is>
          <t>Meta (2025), Ending Political, Electoral and Social Issue Advertising in the EU in Response to Incoming European Regulation, Meta Newsroom, 25 July 2025 (updated 6 October 2025)</t>
        </is>
      </c>
      <c r="H507" s="7" t="n">
        <v>2025</v>
      </c>
      <c r="I507" s="7" t="inlineStr">
        <is>
          <t>company statement</t>
        </is>
      </c>
      <c r="J507" s="7" t="inlineStr">
        <is>
          <t>announcement</t>
        </is>
      </c>
      <c r="K507" s="7" t="inlineStr">
        <is>
          <t>availability of political advertising</t>
        </is>
      </c>
      <c r="L507" s="7" t="inlineStr">
        <is>
          <t>negative</t>
        </is>
      </c>
      <c r="M507" s="7" t="inlineStr">
        <is>
          <t>From 6 October 2025 Meta no longer delivers political, electoral and social-issue ads in the EU, citing 'unworkable requirements and legal uncertainties' of the Regulation; notes other platforms have done the same</t>
        </is>
      </c>
      <c r="N507" s="7" t="inlineStr">
        <is>
          <t>Meta stopped all political and social-issue ads in the EU in October 2025, blaming the new rules; Google had already announced the same in 2024.</t>
        </is>
      </c>
      <c r="O507" s="7" t="inlineStr">
        <is>
          <t>EU, Oct 2025</t>
        </is>
      </c>
      <c r="P507" s="7" t="inlineStr">
        <is>
          <t>self-reported; company position</t>
        </is>
      </c>
      <c r="Q507" s="7" t="inlineStr">
        <is>
          <t>Regulated company; statement explains its own commercial decision</t>
        </is>
      </c>
      <c r="R507" s="7" t="inlineStr">
        <is>
          <t>open</t>
        </is>
      </c>
      <c r="S507" s="7" t="inlineStr">
        <is>
          <t>full text read</t>
        </is>
      </c>
      <c r="T507" s="7" t="inlineStr">
        <is>
          <t>2026-10-10</t>
        </is>
      </c>
      <c r="U507" s="7" t="inlineStr">
        <is>
          <t>https://about.fb.com/news/2025/07/ending-political-electoral-and-social-issue-advertising-in-the-eu/</t>
        </is>
      </c>
      <c r="V507" s="7" t="inlineStr"/>
      <c r="W507" s="7" t="inlineStr">
        <is>
          <t>http://web.archive.org/web/20261006124032/https://about.fb.com/news/2025/07/ending-political-electoral-and-social-issue-advertising-in-the-eu/</t>
        </is>
      </c>
    </row>
    <row r="508">
      <c r="A508" s="7" t="n">
        <v>71</v>
      </c>
      <c r="B508" s="7" t="inlineStr">
        <is>
          <t>Political Advertising Regulation</t>
        </is>
      </c>
      <c r="C508" s="7" t="inlineStr">
        <is>
          <t>evidence</t>
        </is>
      </c>
      <c r="D508" s="7" t="inlineStr">
        <is>
          <t>think tank</t>
        </is>
      </c>
      <c r="E508" s="7" t="inlineStr">
        <is>
          <t>2026-10 broadened search</t>
        </is>
      </c>
      <c r="F508" s="7" t="inlineStr">
        <is>
          <t>meddmo-2026-cyprusads</t>
        </is>
      </c>
      <c r="G508" s="7" t="inlineStr">
        <is>
          <t>MedDMO (Mediterranean Digital Media Observatory; researchers incl. Sirivianos, M. and Andreou, A., Cyprus University of Technology) (2026), Anonymous third-party paid political advertising in the Cyprus 2026 parliamentary elections, EDMO / MedDMO publication, 2026</t>
        </is>
      </c>
      <c r="H508" s="7" t="n">
        <v>2026</v>
      </c>
      <c r="I508" s="7" t="inlineStr">
        <is>
          <t>think tank report</t>
        </is>
      </c>
      <c r="J508" s="7" t="inlineStr">
        <is>
          <t>systematic monitoring of paid political content in Meta, Google and TikTok ad libraries/APIs (machine-learning search on 753 candidate and party names) from the TTPA application date</t>
        </is>
      </c>
      <c r="K508" s="7" t="inlineStr">
        <is>
          <t>political ads sold despite platform bans; anonymous sponsors; enforcement</t>
        </is>
      </c>
      <c r="L508" s="7" t="inlineStr">
        <is>
          <t>negative</t>
        </is>
      </c>
      <c r="M508" s="7" t="inlineStr">
        <is>
          <t>Five anonymous advertising operations ran more than 450 political ads in the final weeks of the campaign, and platform enforcement was largely reactive, after ads had reached large audiences.</t>
        </is>
      </c>
      <c r="N508" s="7" t="inlineStr">
        <is>
          <t>After the EU's political-ad rules took effect and Meta and Google said they would stop selling political ads, researchers in Cyprus still found hundreds of election ads, some from anonymous sponsors spreading fake polls.</t>
        </is>
      </c>
      <c r="O508" s="7" t="inlineStr">
        <is>
          <t>Oct 2025-May 2026; Cyprus</t>
        </is>
      </c>
      <c r="P508" s="7" t="inlineStr">
        <is>
          <t>Systematic measurement but single small election; detailed figures (e.g. 2,457 Meta ads, 887 TikTok ads) only via secondary report (Tech Policy Press); landing page read</t>
        </is>
      </c>
      <c r="Q508" s="7" t="inlineStr">
        <is>
          <t>EU-funded EDMO hub</t>
        </is>
      </c>
      <c r="R508" s="7" t="inlineStr">
        <is>
          <t>open</t>
        </is>
      </c>
      <c r="S508" s="7" t="inlineStr">
        <is>
          <t>abstract read</t>
        </is>
      </c>
      <c r="T508" s="7" t="inlineStr">
        <is>
          <t>2026-10-10</t>
        </is>
      </c>
      <c r="U508" s="7" t="inlineStr">
        <is>
          <t>https://edmo.eu/publications/anonymous-third-party-paid-political-advertising-in-the-cyprus-2026-parliamentary-elections/</t>
        </is>
      </c>
      <c r="V508" s="7" t="inlineStr"/>
      <c r="W508" s="7" t="inlineStr"/>
    </row>
    <row r="509">
      <c r="A509" s="7" t="n">
        <v>71</v>
      </c>
      <c r="B509" s="7" t="inlineStr">
        <is>
          <t>Political Advertising Regulation</t>
        </is>
      </c>
      <c r="C509" s="7" t="inlineStr">
        <is>
          <t>evidence</t>
        </is>
      </c>
      <c r="D509" s="7" t="inlineStr">
        <is>
          <t>academic</t>
        </is>
      </c>
      <c r="E509" s="7" t="inlineStr">
        <is>
          <t>2026-10 broadened search</t>
        </is>
      </c>
      <c r="F509" s="7" t="inlineStr">
        <is>
          <t>votta-2025-adban</t>
        </is>
      </c>
      <c r="G509" s="7" t="inlineStr">
        <is>
          <t>Votta, F. (2025), What Data Reveals About Meta and Google's Political Ad Ban in the EU, Tech Policy Press (commentary)</t>
        </is>
      </c>
      <c r="H509" s="7" t="n">
        <v>2025</v>
      </c>
      <c r="I509" s="7" t="inlineStr">
        <is>
          <t>commentary with original data</t>
        </is>
      </c>
      <c r="J509" s="7" t="inlineStr">
        <is>
          <t>descriptive analysis of TTPA self-disclosures on the Dutch politiekereclame.nl portal (65 campaigns) plus Meta Ad Library spending data</t>
        </is>
      </c>
      <c r="K509" s="7" t="inlineStr">
        <is>
          <t>quality of TTPA transparency disclosures; loss of ad-library data</t>
        </is>
      </c>
      <c r="L509" s="7" t="inlineStr">
        <is>
          <t>negative</t>
        </is>
      </c>
      <c r="M509" s="7" t="inlineStr">
        <is>
          <t>Of 65 Dutch election campaigns tracked under TTPA self-reporting, only 43 (66%) reported which media channels they used; the three largest without channel data represented over EUR 3.2m in spending.</t>
        </is>
      </c>
      <c r="N509" s="7" t="inlineStr">
        <is>
          <t>A researcher looked at the first disclosures political advertisers made under the new EU rules in the Dutch election and found them patchy and unstandardised, while Meta and Google's exit removed the main public ad archives.</t>
        </is>
      </c>
      <c r="O509" s="7" t="inlineStr">
        <is>
          <t>Oct 2025; Netherlands (plus EU Meta spending since 2022)</t>
        </is>
      </c>
      <c r="P509" s="7" t="inlineStr">
        <is>
          <t>Small descriptive sample inside an opinion piece by an academic; early, one election</t>
        </is>
      </c>
      <c r="Q509" s="7" t="inlineStr"/>
      <c r="R509" s="7" t="inlineStr">
        <is>
          <t>open</t>
        </is>
      </c>
      <c r="S509" s="7" t="inlineStr">
        <is>
          <t>full text read</t>
        </is>
      </c>
      <c r="T509" s="7" t="inlineStr">
        <is>
          <t>2026-10-10</t>
        </is>
      </c>
      <c r="U509" s="7" t="inlineStr">
        <is>
          <t>https://techpolicy.press/what-data-reveals-about-meta-and-googles-political-ad-ban-in-the-eu</t>
        </is>
      </c>
      <c r="V509" s="7" t="inlineStr"/>
      <c r="W509" s="7" t="inlineStr"/>
    </row>
    <row r="510">
      <c r="A510" s="7" t="n">
        <v>71</v>
      </c>
      <c r="B510" s="7" t="inlineStr">
        <is>
          <t>Political Advertising Regulation</t>
        </is>
      </c>
      <c r="C510" s="7" t="inlineStr">
        <is>
          <t>evidence</t>
        </is>
      </c>
      <c r="D510" s="7" t="inlineStr">
        <is>
          <t>think tank</t>
        </is>
      </c>
      <c r="E510" s="7" t="inlineStr">
        <is>
          <t>2026-10 broadened search</t>
        </is>
      </c>
      <c r="F510" s="7" t="inlineStr">
        <is>
          <t>liberties-2025-hungarymonitoring1</t>
        </is>
      </c>
      <c r="G510" s="7" t="inlineStr">
        <is>
          <t>Civil Liberties Union for Europe (Liberties) (2025), Hungary's Online Political Advertising Market in Transition: Monitoring Before and After the TTPA's Entry into Force, Liberties monitoring brief, Phase I (3 November 2025)</t>
        </is>
      </c>
      <c r="H510" s="7" t="n">
        <v>2025</v>
      </c>
      <c r="I510" s="7" t="inlineStr">
        <is>
          <t>think tank policy brief</t>
        </is>
      </c>
      <c r="J510" s="7" t="inlineStr">
        <is>
          <t>monitoring study of Meta and Google ad libraries and media reports in Hungary around the TTPA's application date (10 October 2025), drawing on Political Capital analyses</t>
        </is>
      </c>
      <c r="K510" s="7" t="inlineStr">
        <is>
          <t>undeclared or mislabelled political ads after platform bans; ad-library transparency</t>
        </is>
      </c>
      <c r="L510" s="7" t="inlineStr">
        <is>
          <t>negative</t>
        </is>
      </c>
      <c r="M510" s="7" t="inlineStr">
        <is>
          <t>After Google and Meta stopped political ads ahead of the TTPA, Fidesz-linked ads kept running under non-political labels, and Google retroactively reclassified 60-70% of the past year's ads by major Hungarian parties into non-political categories, reducing transparency.</t>
        </is>
      </c>
      <c r="N510" s="7" t="inlineStr">
        <is>
          <t>A civil liberties NGO tracked online political ads in Hungary as the new EU rules started. Political ads did not disappear when Google and Meta 'banned' them; they were relabelled or went undeclared, and the platforms' public ad archives became less useful for watchdogs.</t>
        </is>
      </c>
      <c r="O510" s="7" t="inlineStr">
        <is>
          <t>2024-Oct 2025; Hungary</t>
        </is>
      </c>
      <c r="P510" s="7" t="inlineStr">
        <is>
          <t>Case-based monitoring of one country; relies partly on third-party analyses and media; measures platform responses to the TTPA rather than the regulation's own rules.</t>
        </is>
      </c>
      <c r="Q510" s="7" t="inlineStr">
        <is>
          <t>Campaigning civil liberties NGO that argued against the platform bans</t>
        </is>
      </c>
      <c r="R510" s="7" t="inlineStr">
        <is>
          <t>open</t>
        </is>
      </c>
      <c r="S510" s="7" t="inlineStr">
        <is>
          <t>full text read</t>
        </is>
      </c>
      <c r="T510" s="7" t="inlineStr">
        <is>
          <t>2026-10-10</t>
        </is>
      </c>
      <c r="U510" s="7" t="inlineStr">
        <is>
          <t>https://www.liberties.eu/en/stories/banning-political-advertising-hungary/45677</t>
        </is>
      </c>
      <c r="V510" s="7" t="inlineStr">
        <is>
          <t>https://dq4n3btxmr8c9.cloudfront.net/files/vpwgn6/Liberties_Hungary_Pol_Ad_Monitoring.pdf</t>
        </is>
      </c>
      <c r="W510" s="7" t="inlineStr"/>
    </row>
    <row r="511">
      <c r="A511" s="7" t="n">
        <v>71</v>
      </c>
      <c r="B511" s="7" t="inlineStr">
        <is>
          <t>Political Advertising Regulation</t>
        </is>
      </c>
      <c r="C511" s="7" t="inlineStr">
        <is>
          <t>evidence</t>
        </is>
      </c>
      <c r="D511" s="7" t="inlineStr">
        <is>
          <t>think tank</t>
        </is>
      </c>
      <c r="E511" s="7" t="inlineStr">
        <is>
          <t>2026-10 broadened search</t>
        </is>
      </c>
      <c r="F511" s="7" t="inlineStr">
        <is>
          <t>politicalcapital-2026-fideszads</t>
        </is>
      </c>
      <c r="G511" s="7" t="inlineStr">
        <is>
          <t>Political Capital Policy Research and Consulting Institute (2026), A tiltás ellenére 14 fideszes jelölt sikeresen futtatott Facebook-hirdetéseket januárban (Despite the ban, 14 Fidesz candidates successfully ran Facebook ads in January), Political Capital analysis (c. 25-27 January 2026)</t>
        </is>
      </c>
      <c r="H511" s="7" t="n">
        <v>2026</v>
      </c>
      <c r="I511" s="7" t="inlineStr">
        <is>
          <t>think tank report</t>
        </is>
      </c>
      <c r="J511" s="7" t="inlineStr">
        <is>
          <t>analysis of Meta Ad Library data for all 106 Fidesz constituency candidates, 1-25 January 2026</t>
        </is>
      </c>
      <c r="K511" s="7" t="inlineStr">
        <is>
          <t>political ads run despite Meta's post-TTPA ban; share caught by Meta</t>
        </is>
      </c>
      <c r="L511" s="7" t="inlineStr">
        <is>
          <t>negative</t>
        </is>
      </c>
      <c r="M511" s="7" t="inlineStr">
        <is>
          <t>14 of 106 Fidesz constituency candidates ran 181 ads on Facebook in January 2026; Meta classified only 19 as political and stopped them, while 162 passed its filters.</t>
        </is>
      </c>
      <c r="N511" s="7" t="inlineStr">
        <is>
          <t>A Hungarian think tank checked Facebook's ad archive and found that ruling-party election candidates ran over 160 political ads in a single month despite Meta's ban on political ads, introduced in response to the EU's new rules.</t>
        </is>
      </c>
      <c r="O511" s="7" t="inlineStr">
        <is>
          <t>January 2026; Hungary</t>
        </is>
      </c>
      <c r="P511" s="7" t="inlineStr">
        <is>
          <t>Simple count from ad-library data for one party and one month; tests platform enforcement after the TTPA rather than TTPA compliance itself; read in Hungarian, also reported by Lakmusz.</t>
        </is>
      </c>
      <c r="Q511" s="7" t="inlineStr"/>
      <c r="R511" s="7" t="inlineStr">
        <is>
          <t>open</t>
        </is>
      </c>
      <c r="S511" s="7" t="inlineStr">
        <is>
          <t>full text read</t>
        </is>
      </c>
      <c r="T511" s="7" t="inlineStr">
        <is>
          <t>2026-10-10</t>
        </is>
      </c>
      <c r="U511" s="7" t="inlineStr">
        <is>
          <t>https://politicalcapital.hu/hirek.php?article_read=1&amp;article_id=3624</t>
        </is>
      </c>
      <c r="V511" s="7" t="inlineStr"/>
      <c r="W511" s="7" t="inlineStr"/>
    </row>
    <row r="512">
      <c r="A512" s="7" t="n">
        <v>88</v>
      </c>
      <c r="B512" s="7" t="inlineStr">
        <is>
          <t>Interoperable Europe Act</t>
        </is>
      </c>
      <c r="C512" s="7" t="inlineStr">
        <is>
          <t>ex-ante assessment</t>
        </is>
      </c>
      <c r="D512" s="7" t="inlineStr">
        <is>
          <t>official</t>
        </is>
      </c>
      <c r="E512" s="7" t="inlineStr">
        <is>
          <t>initial review</t>
        </is>
      </c>
      <c r="F512" s="7" t="inlineStr">
        <is>
          <t>ec-2022-iea-ia</t>
        </is>
      </c>
      <c r="G512" s="7" t="inlineStr">
        <is>
          <t>European Commission (2022), Impact Assessment accompanying the proposal for an Interoperable Europe Act (executive summary SWD(2022) 722), SWD(2022) 721</t>
        </is>
      </c>
      <c r="H512" s="7" t="n">
        <v>2022</v>
      </c>
      <c r="I512" s="7" t="inlineStr">
        <is>
          <t>Commission impact assessment</t>
        </is>
      </c>
      <c r="J512" s="7" t="inlineStr">
        <is>
          <t>ex-ante</t>
        </is>
      </c>
      <c r="K512" s="7" t="inlineStr">
        <is>
          <t>administrative time and cost savings</t>
        </is>
      </c>
      <c r="L512" s="7" t="inlineStr">
        <is>
          <t>positive (forecast)</t>
        </is>
      </c>
      <c r="M512" s="7" t="inlineStr">
        <is>
          <t>Direct impact hard to quantify; cites JRC estimate (Ulrich et al. 2022, doi:10.2760/72064) of savings potential of up to 24 million hours (EUR 543m) a year for citizens and EUR 568bn a year for businesses, of which cross-border EUR 5.5-6.3m (citizens) and EUR 5.7-19.2bn (businesses)</t>
        </is>
      </c>
      <c r="N512" s="7" t="inlineStr">
        <is>
          <t>The Commission, citing its Joint Research Centre, put the potential savings from better-connected public services at up to EUR 543 million a year for citizens and far more for businesses, while admitting the law's own effect is hard to quantify.</t>
        </is>
      </c>
      <c r="O512" s="7" t="inlineStr">
        <is>
          <t>EU, forecast</t>
        </is>
      </c>
      <c r="P512" s="7" t="inlineStr">
        <is>
          <t>forecast; savings potential of interoperability in general, not attributable to the Act</t>
        </is>
      </c>
      <c r="Q512" s="7" t="inlineStr"/>
      <c r="R512" s="7" t="inlineStr">
        <is>
          <t>open</t>
        </is>
      </c>
      <c r="S512" s="7" t="inlineStr">
        <is>
          <t>full text read (executive summary)</t>
        </is>
      </c>
      <c r="T512" s="7" t="inlineStr">
        <is>
          <t>2026-10-10</t>
        </is>
      </c>
      <c r="U512" s="7" t="inlineStr">
        <is>
          <t>https://eur-lex.europa.eu/legal-content/EN/TXT/?uri=CELEX:52022SC0722</t>
        </is>
      </c>
      <c r="V512" s="7" t="inlineStr"/>
      <c r="W512" s="7" t="inlineStr">
        <is>
          <t>http://web.archive.org/web/20250120045558/https://eur-lex.europa.eu/legal-content/EN/TXT/?uri=celex%3A52022SC0722</t>
        </is>
      </c>
    </row>
    <row r="513">
      <c r="A513" s="7" t="n">
        <v>88</v>
      </c>
      <c r="B513" s="7" t="inlineStr">
        <is>
          <t>Interoperable Europe Act</t>
        </is>
      </c>
      <c r="C513" s="7" t="inlineStr">
        <is>
          <t>evidence</t>
        </is>
      </c>
      <c r="D513" s="7" t="inlineStr">
        <is>
          <t>official</t>
        </is>
      </c>
      <c r="E513" s="7" t="inlineStr">
        <is>
          <t>initial review</t>
        </is>
      </c>
      <c r="F513" s="7" t="inlineStr">
        <is>
          <t>ec-2022-eif-evaluation</t>
        </is>
      </c>
      <c r="G513" s="7" t="inlineStr">
        <is>
          <t>European Commission (2022), Final evaluation of the European Interoperability Framework (EIF), SWD(2022) 720</t>
        </is>
      </c>
      <c r="H513" s="7" t="n">
        <v>2022</v>
      </c>
      <c r="I513" s="7" t="inlineStr">
        <is>
          <t>Commission evaluation</t>
        </is>
      </c>
      <c r="J513" s="7" t="inlineStr">
        <is>
          <t>ex-post evaluation (supported by CEPS study)</t>
        </is>
      </c>
      <c r="K513" s="7" t="inlineStr">
        <is>
          <t>interoperability cooperation</t>
        </is>
      </c>
      <c r="L513" s="7" t="inlineStr">
        <is>
          <t>mixed</t>
        </is>
      </c>
      <c r="M513" s="7" t="inlineStr">
        <is>
          <t>Voluntary EU interoperability cooperation was beneficial but limited by weak incentives, lack of shared ownership and common resources, motivating a binding framework</t>
        </is>
      </c>
      <c r="N513" s="7" t="inlineStr">
        <is>
          <t>The Commission's review of the earlier voluntary approach found it useful but too weak, which led to the Act.</t>
        </is>
      </c>
      <c r="O513" s="7" t="inlineStr">
        <is>
          <t>EU, 2017-2021</t>
        </is>
      </c>
      <c r="P513" s="7" t="inlineStr">
        <is>
          <t>evaluation of the predecessor framework</t>
        </is>
      </c>
      <c r="Q513" s="7" t="inlineStr"/>
      <c r="R513" s="7" t="inlineStr">
        <is>
          <t>open</t>
        </is>
      </c>
      <c r="S513" s="7" t="inlineStr">
        <is>
          <t>page summary (as summarised in SWD(2022) 722)</t>
        </is>
      </c>
      <c r="T513" s="7" t="inlineStr">
        <is>
          <t>2026-10-10</t>
        </is>
      </c>
      <c r="U513" s="7" t="inlineStr">
        <is>
          <t>https://eur-lex.europa.eu/legal-content/EN/TXT/?uri=CELEX:52022SC0720</t>
        </is>
      </c>
      <c r="V513" s="7" t="inlineStr"/>
      <c r="W513" s="7" t="inlineStr"/>
    </row>
    <row r="514">
      <c r="A514" s="7" t="n">
        <v>88</v>
      </c>
      <c r="B514" s="7" t="inlineStr">
        <is>
          <t>Interoperable Europe Act</t>
        </is>
      </c>
      <c r="C514" s="7" t="inlineStr">
        <is>
          <t>evidence</t>
        </is>
      </c>
      <c r="D514" s="7" t="inlineStr">
        <is>
          <t>official</t>
        </is>
      </c>
      <c r="E514" s="7" t="inlineStr">
        <is>
          <t>initial review</t>
        </is>
      </c>
      <c r="F514" s="7" t="inlineStr">
        <is>
          <t>ec-2025-interop-annual-report</t>
        </is>
      </c>
      <c r="G514" s="7" t="inlineStr">
        <is>
          <t>European Commission (2025), First Annual Report on Interoperability in the Union, Commission news, 16 December 2025</t>
        </is>
      </c>
      <c r="H514" s="7" t="n">
        <v>2025</v>
      </c>
      <c r="I514" s="7" t="inlineStr">
        <is>
          <t>Commission monitoring report</t>
        </is>
      </c>
      <c r="J514" s="7" t="inlineStr">
        <is>
          <t>implementation monitoring</t>
        </is>
      </c>
      <c r="K514" s="7" t="inlineStr">
        <is>
          <t>governance; assessments; take-up</t>
        </is>
      </c>
      <c r="L514" s="7" t="inlineStr">
        <is>
          <t>n/a (activity)</t>
        </is>
      </c>
      <c r="M514" s="7" t="inlineStr">
        <is>
          <t>Board and portal established; interoperability assessments mandatory since January 2025; sandbox implementing act adopted; 12,000+ Academy enrolments; Council version notes comprehensive monitoring data not yet available</t>
        </is>
      </c>
      <c r="N514" s="7" t="inlineStr">
        <is>
          <t>In its first annual report the Commission says the new governance and mandatory interoperability checks are up and running, but has no data yet on savings.</t>
        </is>
      </c>
      <c r="O514" s="7" t="inlineStr">
        <is>
          <t>EU, Apr 2024-2025</t>
        </is>
      </c>
      <c r="P514" s="7" t="inlineStr">
        <is>
          <t>self-reported activity</t>
        </is>
      </c>
      <c r="Q514" s="7" t="inlineStr"/>
      <c r="R514" s="7" t="inlineStr">
        <is>
          <t>open</t>
        </is>
      </c>
      <c r="S514" s="7" t="inlineStr">
        <is>
          <t>full text read (news summary)</t>
        </is>
      </c>
      <c r="T514" s="7" t="inlineStr">
        <is>
          <t>2026-10-10</t>
        </is>
      </c>
      <c r="U514" s="7" t="inlineStr">
        <is>
          <t>https://commission.europa.eu/news-and-media/news/state-interoperability-union-2025-12-16_en</t>
        </is>
      </c>
      <c r="V514" s="7" t="inlineStr"/>
      <c r="W514" s="7" t="inlineStr">
        <is>
          <t>http://web.archive.org/web/20260512082745/https://commission.europa.eu/news-and-media/news/state-interoperability-union-2025-12-16_en</t>
        </is>
      </c>
    </row>
    <row r="515">
      <c r="A515" s="7" t="n">
        <v>88</v>
      </c>
      <c r="B515" s="7" t="inlineStr">
        <is>
          <t>Interoperable Europe Act</t>
        </is>
      </c>
      <c r="C515" s="7" t="inlineStr">
        <is>
          <t>evidence</t>
        </is>
      </c>
      <c r="D515" s="7" t="inlineStr">
        <is>
          <t>official</t>
        </is>
      </c>
      <c r="E515" s="7" t="inlineStr">
        <is>
          <t>2026-10 broadened search</t>
        </is>
      </c>
      <c r="F515" s="7" t="inlineStr">
        <is>
          <t>ec-2025-iopa-study</t>
        </is>
      </c>
      <c r="G515" s="7" t="inlineStr">
        <is>
          <t>European Commission (DG DIGIT) - contracted study (2025), Study supporting the implementation of interoperability assessments in EU public administrations - Final report, Interoperable Europe Portal, published 7 July 2025</t>
        </is>
      </c>
      <c r="H515" s="7" t="n">
        <v>2025</v>
      </c>
      <c r="I515" s="7" t="inlineStr">
        <is>
          <t>Commission study</t>
        </is>
      </c>
      <c r="J515" s="7" t="inlineStr">
        <is>
          <t>11-month implementation study: interviews, co-creation workshops, surveys and validation sessions with 132 stakeholders from nearly all Member States, plus 8 case studies</t>
        </is>
      </c>
      <c r="K515" s="7" t="inlineStr">
        <is>
          <t>readiness and barriers for mandatory interoperability assessments under the Act</t>
        </is>
      </c>
      <c r="L515" s="7" t="inlineStr">
        <is>
          <t>descriptive</t>
        </is>
      </c>
      <c r="M515" s="7" t="inlineStr">
        <is>
          <t>Consulting 132 stakeholders across nearly all Member States in the Act's first year, the study concludes the basic elements needed to start mandatory interoperability assessments are already in place, and makes 34 recommendations on tools, skills and governance.</t>
        </is>
      </c>
      <c r="N515" s="7" t="inlineStr">
        <is>
          <t>A study for the Commission asked public administrations how ready they are to carry out the new interoperability checks the Act requires. It found the basics are in place but more tools, training and coordination are needed.</t>
        </is>
      </c>
      <c r="O515" s="7" t="inlineStr">
        <is>
          <t>2024-2025; EU Member States</t>
        </is>
      </c>
      <c r="P515" s="7" t="inlineStr">
        <is>
          <t>Qualitative implementation study, landing page only read; contractor not named on the page; no quantitative outcome data.</t>
        </is>
      </c>
      <c r="Q515" s="7" t="inlineStr">
        <is>
          <t>Commissioned by the European Commission</t>
        </is>
      </c>
      <c r="R515" s="7" t="inlineStr">
        <is>
          <t>open</t>
        </is>
      </c>
      <c r="S515" s="7" t="inlineStr">
        <is>
          <t>abstract read</t>
        </is>
      </c>
      <c r="T515" s="7" t="inlineStr">
        <is>
          <t>2026-10-10</t>
        </is>
      </c>
      <c r="U515" s="7" t="inlineStr">
        <is>
          <t>https://interoperable-europe.ec.europa.eu/collection/portal/news/interoperability-assessments-final-study-report-published</t>
        </is>
      </c>
      <c r="V515" s="7" t="inlineStr"/>
      <c r="W515" s="7" t="inlineStr"/>
    </row>
    <row r="516">
      <c r="A516" s="7" t="n">
        <v>115</v>
      </c>
      <c r="B516" s="7" t="inlineStr">
        <is>
          <t>Short-Term Rental Data Regulation</t>
        </is>
      </c>
      <c r="C516" s="7" t="inlineStr">
        <is>
          <t>ex-ante assessment</t>
        </is>
      </c>
      <c r="D516" s="7" t="inlineStr">
        <is>
          <t>official</t>
        </is>
      </c>
      <c r="E516" s="7" t="inlineStr">
        <is>
          <t>initial review</t>
        </is>
      </c>
      <c r="F516" s="7" t="inlineStr">
        <is>
          <t>ec-2022-str-ia</t>
        </is>
      </c>
      <c r="G516" s="7" t="inlineStr">
        <is>
          <t>European Commission (2022), Impact Assessment accompanying the proposal on data collection and sharing relating to short-term accommodation rental services (executive summary SWD(2022) 349), SWD(2022) 350</t>
        </is>
      </c>
      <c r="H516" s="7" t="n">
        <v>2022</v>
      </c>
      <c r="I516" s="7" t="inlineStr">
        <is>
          <t>Commission impact assessment</t>
        </is>
      </c>
      <c r="J516" s="7" t="inlineStr">
        <is>
          <t>ex-ante</t>
        </is>
      </c>
      <c r="K516" s="7" t="inlineStr">
        <is>
          <t>compliance costs; administrative savings</t>
        </is>
      </c>
      <c r="L516" s="7" t="inlineStr">
        <is>
          <t>positive (forecast)</t>
        </is>
      </c>
      <c r="M516" s="7" t="inlineStr">
        <is>
          <t>Platform savings EUR 54-115m over 5 years; host time savings above EUR 1.48bn over 5 years; one-off costs ~EUR 8.2m for platforms (~EUR 30,000 each) and ~EUR 3m for national authorities</t>
        </is>
      </c>
      <c r="N516" s="7" t="inlineStr">
        <is>
          <t>The Commission expected the rules to save platforms EUR 54-115 million and new hosts more than EUR 1.4 billion in registration time over five years, at small set-up costs.</t>
        </is>
      </c>
      <c r="O516" s="7" t="inlineStr">
        <is>
          <t>EU, forecast</t>
        </is>
      </c>
      <c r="P516" s="7" t="inlineStr">
        <is>
          <t>forecast</t>
        </is>
      </c>
      <c r="Q516" s="7" t="inlineStr"/>
      <c r="R516" s="7" t="inlineStr">
        <is>
          <t>open</t>
        </is>
      </c>
      <c r="S516" s="7" t="inlineStr">
        <is>
          <t>full text read</t>
        </is>
      </c>
      <c r="T516" s="7" t="inlineStr">
        <is>
          <t>2026-10-10</t>
        </is>
      </c>
      <c r="U516" s="7" t="inlineStr">
        <is>
          <t>https://eur-lex.europa.eu/legal-content/EN/TXT/?uri=CELEX:52022SC0349</t>
        </is>
      </c>
      <c r="V516" s="7" t="inlineStr"/>
      <c r="W516" s="7" t="inlineStr">
        <is>
          <t>http://web.archive.org/web/20251007083040/https://eur-lex.europa.eu/legal-content/EN/TXT/?uri=celex%3A52022SC0349</t>
        </is>
      </c>
    </row>
    <row r="517">
      <c r="A517" s="7" t="n">
        <v>84</v>
      </c>
      <c r="B517" s="7" t="inlineStr">
        <is>
          <t>European Media Freedom Act</t>
        </is>
      </c>
      <c r="C517" s="7" t="inlineStr">
        <is>
          <t>ex-ante assessment</t>
        </is>
      </c>
      <c r="D517" s="7" t="inlineStr">
        <is>
          <t>official</t>
        </is>
      </c>
      <c r="E517" s="7" t="inlineStr">
        <is>
          <t>initial review</t>
        </is>
      </c>
      <c r="F517" s="7" t="inlineStr">
        <is>
          <t>ec-2022-emfa-ia</t>
        </is>
      </c>
      <c r="G517" s="7" t="inlineStr">
        <is>
          <t>European Commission (2022), Impact Assessment accompanying the European Media Freedom Act proposal (executive summary SWD(2022) 287), SWD(2022) 286</t>
        </is>
      </c>
      <c r="H517" s="7" t="n">
        <v>2022</v>
      </c>
      <c r="I517" s="7" t="inlineStr">
        <is>
          <t>Commission impact assessment</t>
        </is>
      </c>
      <c r="J517" s="7" t="inlineStr">
        <is>
          <t>ex-ante</t>
        </is>
      </c>
      <c r="K517" s="7" t="inlineStr">
        <is>
          <t>media revenues; compliance costs; regulator costs</t>
        </is>
      </c>
      <c r="L517" s="7" t="inlineStr">
        <is>
          <t>positive (forecast)</t>
        </is>
      </c>
      <c r="M517" s="7" t="inlineStr">
        <is>
          <t>Annual net economic benefits EUR 2.9bn in higher media revenues; one-off business costs EUR 9.4-14m and recurrent EUR 5.6-14.5m; public authority costs EUR 6.1m a year</t>
        </is>
      </c>
      <c r="N517" s="7" t="inlineStr">
        <is>
          <t>The Commission expected the Act to raise media companies' revenues by about EUR 2.9 billion a year, at negligible cost to businesses.</t>
        </is>
      </c>
      <c r="O517" s="7" t="inlineStr">
        <is>
          <t>EU, forecast</t>
        </is>
      </c>
      <c r="P517" s="7" t="inlineStr">
        <is>
          <t>forecast</t>
        </is>
      </c>
      <c r="Q517" s="7" t="inlineStr"/>
      <c r="R517" s="7" t="inlineStr">
        <is>
          <t>open</t>
        </is>
      </c>
      <c r="S517" s="7" t="inlineStr">
        <is>
          <t>full text read</t>
        </is>
      </c>
      <c r="T517" s="7" t="inlineStr">
        <is>
          <t>2026-10-10</t>
        </is>
      </c>
      <c r="U517" s="7" t="inlineStr">
        <is>
          <t>https://eur-lex.europa.eu/legal-content/EN/TXT/?uri=CELEX:52022SC0287</t>
        </is>
      </c>
      <c r="V517" s="7" t="inlineStr"/>
      <c r="W517" s="7" t="inlineStr">
        <is>
          <t>http://web.archive.org/web/20251120144216/https://eur-lex.europa.eu/legal-content/EN/TXT/?uri=celex%3A52022SC0287</t>
        </is>
      </c>
    </row>
    <row r="518">
      <c r="A518" s="7" t="n">
        <v>84</v>
      </c>
      <c r="B518" s="7" t="inlineStr">
        <is>
          <t>European Media Freedom Act</t>
        </is>
      </c>
      <c r="C518" s="7" t="inlineStr">
        <is>
          <t>evidence</t>
        </is>
      </c>
      <c r="D518" s="7" t="inlineStr">
        <is>
          <t>other</t>
        </is>
      </c>
      <c r="E518" s="7" t="inlineStr">
        <is>
          <t>initial review</t>
        </is>
      </c>
      <c r="F518" s="7" t="inlineStr">
        <is>
          <t>blagojev-et-al-2025-mpm</t>
        </is>
      </c>
      <c r="G518" s="7" t="inlineStr">
        <is>
          <t>Blagojev, Bleyer-Simon, Brogi, Carlini, Da Costa Leite Borges, Kermer, Nenadic, Palmer, Parcu, Reviglio, Trevisan &amp; Verza (2025), Monitoring media pluralism in the European Union: results of the MPM2025, EUI Centre for Media Pluralism and Media Freedom, RSC Research Report (doi:10.2870/2415644)</t>
        </is>
      </c>
      <c r="H518" s="7" t="n">
        <v>2025</v>
      </c>
      <c r="I518" s="7" t="inlineStr">
        <is>
          <t>independent monitoring report (EU co-financed)</t>
        </is>
      </c>
      <c r="J518" s="7" t="inlineStr">
        <is>
          <t>expert risk assessment (indicator-based)</t>
        </is>
      </c>
      <c r="K518" s="7" t="inlineStr">
        <is>
          <t>media pluralism; editorial independence; ownership transparency</t>
        </is>
      </c>
      <c r="L518" s="7" t="inlineStr">
        <is>
          <t>n/a (baseline)</t>
        </is>
      </c>
      <c r="M518" s="7" t="inlineStr">
        <is>
          <t>Risk assessment for 2024 across 32 countries, with insights on EMFA-related themes before the Act fully applied; new six-tier scale not strictly comparable with earlier years</t>
        </is>
      </c>
      <c r="N518" s="7" t="inlineStr">
        <is>
          <t>The EU-funded Media Pluralism Monitor gives a pre-EMFA baseline of risks to media freedom; commentary on it describes uneven readiness to apply the Act.</t>
        </is>
      </c>
      <c r="O518" s="7" t="inlineStr">
        <is>
          <t>EU27 + 5 candidates, 2024</t>
        </is>
      </c>
      <c r="P518" s="7" t="inlineStr">
        <is>
          <t>descriptive baseline; methodology break</t>
        </is>
      </c>
      <c r="Q518" s="7" t="inlineStr">
        <is>
          <t>Centre is co-financed by the EU and its MPM is the Act's own monitoring indicator source</t>
        </is>
      </c>
      <c r="R518" s="7" t="inlineStr">
        <is>
          <t>open</t>
        </is>
      </c>
      <c r="S518" s="7" t="inlineStr">
        <is>
          <t>abstract read</t>
        </is>
      </c>
      <c r="T518" s="7" t="inlineStr">
        <is>
          <t>2026-10-10</t>
        </is>
      </c>
      <c r="U518" s="7" t="inlineStr">
        <is>
          <t>https://cadmus.eui.eu/handle/1814/92916</t>
        </is>
      </c>
      <c r="V518" s="7" t="inlineStr"/>
      <c r="W518" s="7" t="inlineStr">
        <is>
          <t>http://web.archive.org/web/20260126133633/https://cadmus.eui.eu/handle/1814/92916</t>
        </is>
      </c>
    </row>
    <row r="519">
      <c r="A519" s="7" t="n">
        <v>84</v>
      </c>
      <c r="B519" s="7" t="inlineStr">
        <is>
          <t>European Media Freedom Act</t>
        </is>
      </c>
      <c r="C519" s="7" t="inlineStr">
        <is>
          <t>evidence</t>
        </is>
      </c>
      <c r="D519" s="7" t="inlineStr">
        <is>
          <t>think tank</t>
        </is>
      </c>
      <c r="E519" s="7" t="inlineStr">
        <is>
          <t>2026-10 broadened search</t>
        </is>
      </c>
      <c r="F519" s="7" t="inlineStr">
        <is>
          <t>liberties-2026-media-freedom-report</t>
        </is>
      </c>
      <c r="G519" s="7" t="inlineStr">
        <is>
          <t>Civil Liberties Union for Europe (Liberties), with 40 member and partner organisations (2026), Media Freedom Report 2026, Civil Liberties Union for Europe, April 2026</t>
        </is>
      </c>
      <c r="H519" s="7" t="n">
        <v>2026</v>
      </c>
      <c r="I519" s="7" t="inlineStr">
        <is>
          <t>think tank report</t>
        </is>
      </c>
      <c r="J519" s="7" t="inlineStr">
        <is>
          <t>structured qualitative monitoring: country reports from 40 civil society organisations in 22 member states on common indicators, including EMFA implementation and follow-up of Commission rule-of-law recommendations</t>
        </is>
      </c>
      <c r="K519" s="7" t="inlineStr">
        <is>
          <t>national implementation of EMFA; media ownership concentration, public service media independence, state advertising, journalist safety</t>
        </is>
      </c>
      <c r="L519" s="7" t="inlineStr">
        <is>
          <t>negative</t>
        </is>
      </c>
      <c r="M519" s="7" t="inlineStr">
        <is>
          <t>In the first months after EMFA started to apply (August 2025), most of its provisions had not been incorporated into national law in the 22 countries covered; France had done nothing by December 2025, Bulgaria and Romania missed deadlines, and Hungary sued to annul the act, with only Slovenia adopting a new media law reflecting EMFA safeguards.</t>
        </is>
      </c>
      <c r="N519" s="7" t="inlineStr">
        <is>
          <t>A network of civil liberties groups looked at 22 EU countries and found that the new EU media freedom law has so far changed little: most governments have been slow or reluctant to bring national rules into line, and media concentration and pressure on public broadcasters kept growing in 2025.</t>
        </is>
      </c>
      <c r="O519" s="7" t="inlineStr">
        <is>
          <t>2025; 22 EU member states</t>
        </is>
      </c>
      <c r="P519" s="7" t="inlineStr">
        <is>
          <t>Broad structured qualitative assessment, early in EMFA's application; no quantitative compliance index; contributors are advocacy organisations.</t>
        </is>
      </c>
      <c r="Q519" s="7" t="inlineStr">
        <is>
          <t>Campaigning NGO network on media freedom and rule of law</t>
        </is>
      </c>
      <c r="R519" s="7" t="inlineStr">
        <is>
          <t>open</t>
        </is>
      </c>
      <c r="S519" s="7" t="inlineStr">
        <is>
          <t>full text read</t>
        </is>
      </c>
      <c r="T519" s="7" t="inlineStr">
        <is>
          <t>2026-10-10</t>
        </is>
      </c>
      <c r="U519" s="7" t="inlineStr">
        <is>
          <t>https://www.liberties.eu/f/fzija7</t>
        </is>
      </c>
      <c r="V519" s="7" t="inlineStr">
        <is>
          <t>https://dq4n3btxmr8c9.cloudfront.net/files/fzija7/Media_Freedom_Report_2026_LIBERTIES_2404.pdf</t>
        </is>
      </c>
      <c r="W519" s="7" t="inlineStr"/>
    </row>
    <row r="520">
      <c r="A520" s="7" t="n">
        <v>84</v>
      </c>
      <c r="B520" s="7" t="inlineStr">
        <is>
          <t>European Media Freedom Act</t>
        </is>
      </c>
      <c r="C520" s="7" t="inlineStr">
        <is>
          <t>evidence</t>
        </is>
      </c>
      <c r="D520" s="7" t="inlineStr">
        <is>
          <t>think tank</t>
        </is>
      </c>
      <c r="E520" s="7" t="inlineStr">
        <is>
          <t>2026-10 broadened search</t>
        </is>
      </c>
      <c r="F520" s="7" t="inlineStr">
        <is>
          <t>barki-2025-emfa-hungary</t>
        </is>
      </c>
      <c r="G520" s="7" t="inlineStr">
        <is>
          <t>Bálint Barki, Gábor Polyák (Mérték Media Analysis Workshop, with Connect Europe) (2025), Monitoring the implementation of the European Media Freedom Act: EMFA's Hungarian implications and impact on the Hungarian legal environment - Monitoring Report II, Mérték Media Analysis Workshop, 23 November 2025</t>
        </is>
      </c>
      <c r="H520" s="7" t="n">
        <v>2025</v>
      </c>
      <c r="I520" s="7" t="inlineStr">
        <is>
          <t>think tank report</t>
        </is>
      </c>
      <c r="J520" s="7" t="inlineStr">
        <is>
          <t>structured legal-compliance monitoring: article-by-article check of EMFA obligations on the Hungarian legislator, regulator (NMHH) and other bodies, plus review of the European Board for Media Services' activity</t>
        </is>
      </c>
      <c r="K520" s="7" t="inlineStr">
        <is>
          <t>Hungarian compliance with EMFA obligations (source protection, media merger assessment, ownership database, state advertising criteria, PSM governance)</t>
        </is>
      </c>
      <c r="L520" s="7" t="inlineStr">
        <is>
          <t>negative</t>
        </is>
      </c>
      <c r="M520" s="7" t="inlineStr">
        <is>
          <t>Three and a half months after EMFA became fully applicable, Hungary and its regulators had fulfilled none of their EMFA obligations and no preparatory work was under way; the European Board for Media Services and the Commission had taken no steps on Hungary.</t>
        </is>
      </c>
      <c r="N520" s="7" t="inlineStr">
        <is>
          <t>Hungarian media researchers checked what Hungary has done to follow the new EU media freedom law and found nothing had been done, for example on protecting journalists' sources or reviewing media takeovers. EU bodies had not acted either.</t>
        </is>
      </c>
      <c r="O520" s="7" t="inlineStr">
        <is>
          <t>August-November 2025; Hungary</t>
        </is>
      </c>
      <c r="P520" s="7" t="inlineStr">
        <is>
          <t>Detailed qualitative legal assessment for one high-risk country; no data analysis; authors from an organisation critical of the government's media policy.</t>
        </is>
      </c>
      <c r="Q520" s="7" t="inlineStr">
        <is>
          <t>Media freedom NGO critical of Hungarian government media policy</t>
        </is>
      </c>
      <c r="R520" s="7" t="inlineStr">
        <is>
          <t>open</t>
        </is>
      </c>
      <c r="S520" s="7" t="inlineStr">
        <is>
          <t>full text read</t>
        </is>
      </c>
      <c r="T520" s="7" t="inlineStr">
        <is>
          <t>2026-10-10</t>
        </is>
      </c>
      <c r="U520" s="7" t="inlineStr">
        <is>
          <t>https://mertek.eu/wp-content/uploads/2026/02/Monitoring-the-implementation-of-the-European-Media-Freedom-Act-Report-II-1.pdf</t>
        </is>
      </c>
      <c r="V520" s="7" t="inlineStr">
        <is>
          <t>https://mertek.eu/wp-content/uploads/2026/02/Monitoring-the-implementation-of-the-European-Media-Freedom-Act-Report-II-1.pdf</t>
        </is>
      </c>
      <c r="W520" s="7" t="inlineStr"/>
    </row>
    <row r="521">
      <c r="A521" s="7" t="n">
        <v>92</v>
      </c>
      <c r="B521" s="7" t="inlineStr">
        <is>
          <t>Critical Raw Materials Act</t>
        </is>
      </c>
      <c r="C521" s="7" t="inlineStr">
        <is>
          <t>ex-ante assessment</t>
        </is>
      </c>
      <c r="D521" s="7" t="inlineStr">
        <is>
          <t>official</t>
        </is>
      </c>
      <c r="E521" s="7" t="inlineStr">
        <is>
          <t>initial review</t>
        </is>
      </c>
      <c r="F521" s="7" t="inlineStr">
        <is>
          <t>ec-2023-crma-ia</t>
        </is>
      </c>
      <c r="G521" s="7" t="inlineStr">
        <is>
          <t>European Commission (2023), Impact Assessment accompanying the Critical Raw Materials Act proposal (executive summary SWD(2023) 162), SWD(2023) 161</t>
        </is>
      </c>
      <c r="H521" s="7" t="n">
        <v>2023</v>
      </c>
      <c r="I521" s="7" t="inlineStr">
        <is>
          <t>Commission impact assessment</t>
        </is>
      </c>
      <c r="J521" s="7" t="inlineStr">
        <is>
          <t>ex-ante</t>
        </is>
      </c>
      <c r="K521" s="7" t="inlineStr">
        <is>
          <t>supply security; value-chain capacity; costs</t>
        </is>
      </c>
      <c r="L521" s="7" t="inlineStr">
        <is>
          <t>positive (forecast, qualitative)</t>
        </is>
      </c>
      <c r="M521" s="7" t="inlineStr">
        <is>
          <t>Preferred option (Strategic Projects with streamlined permitting and finance) expected to help meet EU capacity targets and benefit downstream competitiveness; benefits and costs described qualitatively, IA notes the more ambitious option would have been more effective</t>
        </is>
      </c>
      <c r="N521" s="7" t="inlineStr">
        <is>
          <t>The Commission expected Strategic Projects and faster permits to raise EU capacity in critical raw materials, but gave no headline economic figures.</t>
        </is>
      </c>
      <c r="O521" s="7" t="inlineStr">
        <is>
          <t>EU, forecast</t>
        </is>
      </c>
      <c r="P521" s="7" t="inlineStr">
        <is>
          <t>forecast; largely qualitative</t>
        </is>
      </c>
      <c r="Q521" s="7" t="inlineStr"/>
      <c r="R521" s="7" t="inlineStr">
        <is>
          <t>open</t>
        </is>
      </c>
      <c r="S521" s="7" t="inlineStr">
        <is>
          <t>full text read</t>
        </is>
      </c>
      <c r="T521" s="7" t="inlineStr">
        <is>
          <t>2026-10-10</t>
        </is>
      </c>
      <c r="U521" s="7" t="inlineStr">
        <is>
          <t>https://eur-lex.europa.eu/legal-content/EN/TXT/?uri=CELEX:52023SC0162</t>
        </is>
      </c>
      <c r="V521" s="7" t="inlineStr"/>
      <c r="W521" s="7" t="inlineStr">
        <is>
          <t>http://web.archive.org/web/20250618162233/https://eur-lex.europa.eu/legal-content/EN/TXT/?uri=celex%3A52023SC0162</t>
        </is>
      </c>
    </row>
    <row r="522">
      <c r="A522" s="7" t="n">
        <v>92</v>
      </c>
      <c r="B522" s="7" t="inlineStr">
        <is>
          <t>Critical Raw Materials Act</t>
        </is>
      </c>
      <c r="C522" s="7" t="inlineStr">
        <is>
          <t>evidence</t>
        </is>
      </c>
      <c r="D522" s="7" t="inlineStr">
        <is>
          <t>official</t>
        </is>
      </c>
      <c r="E522" s="7" t="inlineStr">
        <is>
          <t>initial review</t>
        </is>
      </c>
      <c r="F522" s="7" t="inlineStr">
        <is>
          <t>ec-2025-crma-strategic-projects</t>
        </is>
      </c>
      <c r="G522" s="7" t="inlineStr">
        <is>
          <t>European Commission (2025), Commission selects 47 Strategic Projects to secure and diversify access to raw materials in the EU, Press release, 25 March 2025 (as reported by Global Mining Review)</t>
        </is>
      </c>
      <c r="H522" s="7" t="n">
        <v>2025</v>
      </c>
      <c r="I522" s="7" t="inlineStr">
        <is>
          <t>Commission implementation record (secondary report)</t>
        </is>
      </c>
      <c r="J522" s="7" t="inlineStr">
        <is>
          <t>administrative record</t>
        </is>
      </c>
      <c r="K522" s="7" t="inlineStr">
        <is>
          <t>investment; project pipeline</t>
        </is>
      </c>
      <c r="L522" s="7" t="inlineStr">
        <is>
          <t>n/a</t>
        </is>
      </c>
      <c r="M522" s="7" t="inlineStr">
        <is>
          <t>47 projects in 13 Member States, expected capital investment EUR 22.5bn, covering 14 of 17 strategic raw materials (22 lithium projects)</t>
        </is>
      </c>
      <c r="N522" s="7" t="inlineStr">
        <is>
          <t>In March 2025 the Commission designated 47 EU mining, processing and recycling projects with EUR 22.5 billion of planned investment.</t>
        </is>
      </c>
      <c r="O522" s="7" t="inlineStr">
        <is>
          <t>EU, 2025</t>
        </is>
      </c>
      <c r="P522" s="7" t="inlineStr">
        <is>
          <t>activity data; planned not realised investment</t>
        </is>
      </c>
      <c r="Q522" s="7" t="inlineStr"/>
      <c r="R522" s="7" t="inlineStr">
        <is>
          <t>open</t>
        </is>
      </c>
      <c r="S522" s="7" t="inlineStr">
        <is>
          <t>page summary via search</t>
        </is>
      </c>
      <c r="T522" s="7" t="inlineStr">
        <is>
          <t>2026-10-10</t>
        </is>
      </c>
      <c r="U522" s="7" t="inlineStr">
        <is>
          <t>https://www.globalminingreview.com/mining/27032025/commission-selects-47-strategic-projects-to-secure-and-diversify-access-to-raw-materials-in-the-eu/</t>
        </is>
      </c>
      <c r="V522" s="7" t="inlineStr"/>
      <c r="W522" s="7" t="inlineStr">
        <is>
          <t>http://web.archive.org/web/20260211035010/https://www.globalminingreview.com/mining/27032025/commission-selects-47-strategic-projects-to-secure-and-diversify-access-to-raw-materials-in-the-eu/</t>
        </is>
      </c>
    </row>
    <row r="523">
      <c r="A523" s="7" t="n">
        <v>92</v>
      </c>
      <c r="B523" s="7" t="inlineStr">
        <is>
          <t>Critical Raw Materials Act</t>
        </is>
      </c>
      <c r="C523" s="7" t="inlineStr">
        <is>
          <t>evidence</t>
        </is>
      </c>
      <c r="D523" s="7" t="inlineStr">
        <is>
          <t>official</t>
        </is>
      </c>
      <c r="E523" s="7" t="inlineStr">
        <is>
          <t>initial review</t>
        </is>
      </c>
      <c r="F523" s="7" t="inlineStr">
        <is>
          <t>eca-2026-crm</t>
        </is>
      </c>
      <c r="G523" s="7" t="inlineStr">
        <is>
          <t>European Court of Auditors (2026), Special report 04/2026: Critical raw materials for the energy transition - Not a rock-solid policy, European Court of Auditors</t>
        </is>
      </c>
      <c r="H523" s="7" t="n">
        <v>2026</v>
      </c>
      <c r="I523" s="7" t="inlineStr">
        <is>
          <t>audit report</t>
        </is>
      </c>
      <c r="J523" s="7" t="inlineStr">
        <is>
          <t>performance audit (document review, trade data, project analysis)</t>
        </is>
      </c>
      <c r="K523" s="7" t="inlineStr">
        <is>
          <t>import diversification; domestic production; recycling</t>
        </is>
      </c>
      <c r="L523" s="7" t="inlineStr">
        <is>
          <t>negative</t>
        </is>
      </c>
      <c r="M523" s="7" t="inlineStr">
        <is>
          <t>EU unlikely to secure sufficient strategic raw materials by 2030; CRMA targets non-binding with unclear methodology; imports from strategic partners fell for about half of materials 2020-2024; permitting delays and energy costs hold back domestic projects</t>
        </is>
      </c>
      <c r="N523" s="7" t="inlineStr">
        <is>
          <t>The EU's auditors concluded the EU is unlikely to hit its 2030 raw-materials goals: diversification has produced little and recycling is in its infancy.</t>
        </is>
      </c>
      <c r="O523" s="7" t="inlineStr">
        <is>
          <t>EU, 2020-2025</t>
        </is>
      </c>
      <c r="P523" s="7" t="inlineStr">
        <is>
          <t>independent audit</t>
        </is>
      </c>
      <c r="Q523" s="7" t="inlineStr"/>
      <c r="R523" s="7" t="inlineStr">
        <is>
          <t>open</t>
        </is>
      </c>
      <c r="S523" s="7" t="inlineStr">
        <is>
          <t>page summary via search</t>
        </is>
      </c>
      <c r="T523" s="7" t="inlineStr">
        <is>
          <t>2026-10-10</t>
        </is>
      </c>
      <c r="U523" s="7" t="inlineStr">
        <is>
          <t>https://www.eca.europa.eu/en/publications/SR-2026-04</t>
        </is>
      </c>
      <c r="V523" s="7" t="inlineStr"/>
      <c r="W523" s="7" t="inlineStr">
        <is>
          <t>http://web.archive.org/web/20260930163305/https://www.eca.europa.eu/en/publications/sr-2026-04</t>
        </is>
      </c>
    </row>
    <row r="524">
      <c r="A524" s="7" t="n">
        <v>92</v>
      </c>
      <c r="B524" s="7" t="inlineStr">
        <is>
          <t>Critical Raw Materials Act</t>
        </is>
      </c>
      <c r="C524" s="7" t="inlineStr">
        <is>
          <t>evidence</t>
        </is>
      </c>
      <c r="D524" s="7" t="inlineStr">
        <is>
          <t>think tank</t>
        </is>
      </c>
      <c r="E524" s="7" t="inlineStr">
        <is>
          <t>2026-10 broadened search</t>
        </is>
      </c>
      <c r="F524" s="7" t="inlineStr">
        <is>
          <t>baratadarocha-2026-competinginputs</t>
        </is>
      </c>
      <c r="G524" s="7" t="inlineStr">
        <is>
          <t>Madalena Barata da Rocha, Antoine Mathieu Collin, Camille Reverdy (2026), Competing for inputs: how the European Union can improve critical raw materials supply security, Bruegel Policy Brief 15/2026 (9 July 2026)</t>
        </is>
      </c>
      <c r="H524" s="7" t="n">
        <v>2026</v>
      </c>
      <c r="I524" s="7" t="inlineStr">
        <is>
          <t>think tank policy brief</t>
        </is>
      </c>
      <c r="J524" s="7" t="inlineStr">
        <is>
          <t>descriptive analysis of the 60 CRMA strategic projects (allocation vs projected demand and China import dependency; promoter-reported output as share of forecast 2030 EU demand) plus trade-data analysis (CEPII BACI) of strategic partnerships and FTA CRM provisions</t>
        </is>
      </c>
      <c r="K524" s="7" t="inlineStr">
        <is>
          <t>alignment of strategic projects with demand and dependencies; projected contribution to CRMA 2030 benchmarks; trade effects of partnerships</t>
        </is>
      </c>
      <c r="L524" s="7" t="inlineStr">
        <is>
          <t>negative</t>
        </is>
      </c>
      <c r="M524" s="7" t="inlineStr">
        <is>
          <t>Strategic projects could cover the CRMA extraction and processing targets for only five CRMs in a low-demand scenario and probably not the recycling target; project allocation shows no systematic link to import dependency on China, and strategic partnerships show no measurable trade effects yet.</t>
        </is>
      </c>
      <c r="N524" s="7" t="inlineStr">
        <is>
          <t>Bruegel looked at the 60 projects the EU has labelled 'strategic' under the Act and found they are unlikely to make the EU self-sufficient by 2030 and do not target the materials where dependence on China is greatest. Trade agreements have so far done more to raise supplies to the EU.</t>
        </is>
      </c>
      <c r="O524" s="7" t="inlineStr">
        <is>
          <t>2024-2026; EU and partner countries</t>
        </is>
      </c>
      <c r="P524" s="7" t="inlineStr">
        <is>
          <t>Descriptive and early; relies on unverified promoter output projections (authors warn of overstatement incentives); no counterfactual for CRMA itself.</t>
        </is>
      </c>
      <c r="Q524" s="7" t="inlineStr"/>
      <c r="R524" s="7" t="inlineStr">
        <is>
          <t>open</t>
        </is>
      </c>
      <c r="S524" s="7" t="inlineStr">
        <is>
          <t>full text read</t>
        </is>
      </c>
      <c r="T524" s="7" t="inlineStr">
        <is>
          <t>2026-10-10</t>
        </is>
      </c>
      <c r="U524" s="7" t="inlineStr">
        <is>
          <t>https://www.bruegel.org/policy-brief/competing-inputs-how-european-union-can-improve-critical-raw-materials-supply-security</t>
        </is>
      </c>
      <c r="V524" s="7" t="inlineStr"/>
      <c r="W524" s="7" t="inlineStr"/>
    </row>
    <row r="525">
      <c r="A525" s="7" t="n">
        <v>92</v>
      </c>
      <c r="B525" s="7" t="inlineStr">
        <is>
          <t>Critical Raw Materials Act</t>
        </is>
      </c>
      <c r="C525" s="7" t="inlineStr">
        <is>
          <t>evidence</t>
        </is>
      </c>
      <c r="D525" s="7" t="inlineStr">
        <is>
          <t>think tank</t>
        </is>
      </c>
      <c r="E525" s="7" t="inlineStr">
        <is>
          <t>2026-10 broadened search</t>
        </is>
      </c>
      <c r="F525" s="7" t="inlineStr">
        <is>
          <t>kurzdorfer-2026-batteriesnotincluded</t>
        </is>
      </c>
      <c r="G525" s="7" t="inlineStr">
        <is>
          <t>Nora Kürzdörfer (2026), Batteries Not Included: The EU's Strategic Raw Material Projects in the Global South, Munich Security Analysis 2/2026, Munich Security Conference (August 2026); doi:10.47342/vzmd6856</t>
        </is>
      </c>
      <c r="H525" s="7" t="n">
        <v>2026</v>
      </c>
      <c r="I525" s="7" t="inlineStr">
        <is>
          <t>think tank report</t>
        </is>
      </c>
      <c r="J525" s="7" t="inlineStr">
        <is>
          <t>structured qualitative assessment of the six CRMA strategic projects in the Global South against partner-country conditions (processing investment, technology transfer, risk absorption), with project status table</t>
        </is>
      </c>
      <c r="K525" s="7" t="inlineStr">
        <is>
          <t>progress and value-addition features of non-EU strategic projects</t>
        </is>
      </c>
      <c r="L525" s="7" t="inlineStr">
        <is>
          <t>negative</t>
        </is>
      </c>
      <c r="M525" s="7" t="inlineStr">
        <is>
          <t>Of the six CRMA strategic projects in the Global South, three are listed as delayed, and the EU is judged to be struggling to deliver processing investment, technology transfer and risk-absorption finance that partners demand.</t>
        </is>
      </c>
      <c r="N525" s="7" t="inlineStr">
        <is>
          <t>The paper checks the EU's 'strategic' raw-material projects in Africa, Asia and Latin America and finds several are behind schedule and the EU is not delivering the local processing and financing support partner countries want.</t>
        </is>
      </c>
      <c r="O525" s="7" t="inlineStr">
        <is>
          <t>2025-2026; Brazil, Zambia, Kazakhstan, Madagascar, Malawi, South Africa</t>
        </is>
      </c>
      <c r="P525" s="7" t="inlineStr">
        <is>
          <t>Small set of cases; qualitative assessment drawing on secondary sources and MSC meetings; no quantitative outcome measure.</t>
        </is>
      </c>
      <c r="Q525" s="7" t="inlineStr"/>
      <c r="R525" s="7" t="inlineStr">
        <is>
          <t>open</t>
        </is>
      </c>
      <c r="S525" s="7" t="inlineStr">
        <is>
          <t>full text read</t>
        </is>
      </c>
      <c r="T525" s="7" t="inlineStr">
        <is>
          <t>2026-10-10</t>
        </is>
      </c>
      <c r="U525" s="7" t="inlineStr">
        <is>
          <t>https://securityconference.org/en/publications/analyses/batteries-not-included-eu-strategic-raw-material-projects-global-south/</t>
        </is>
      </c>
      <c r="V525" s="7" t="inlineStr">
        <is>
          <t>https://securityconference.org/assets/02_Dokumente/01_Publikationen/2026/Munich-Security-Analysis_Batteries-not-included/Munich_Security_Analysis_Batteries_Not_Included.pdf</t>
        </is>
      </c>
      <c r="W525" s="7" t="inlineStr"/>
    </row>
    <row r="526">
      <c r="A526" s="7" t="n">
        <v>92</v>
      </c>
      <c r="B526" s="7" t="inlineStr">
        <is>
          <t>Critical Raw Materials Act</t>
        </is>
      </c>
      <c r="C526" s="7" t="inlineStr">
        <is>
          <t>evidence</t>
        </is>
      </c>
      <c r="D526" s="7" t="inlineStr">
        <is>
          <t>academic</t>
        </is>
      </c>
      <c r="E526" s="7" t="inlineStr">
        <is>
          <t>2026-10 broadened search</t>
        </is>
      </c>
      <c r="F526" s="7" t="inlineStr">
        <is>
          <t>chetverikova-2026-strategicprojects</t>
        </is>
      </c>
      <c r="G526" s="7" t="inlineStr">
        <is>
          <t>A. Chetverikova (2026), The EU's Raw Materials Strategic Projects: First Results, World Economy and International Relations (Mirovaya ekonomika i mezhdunarodnye otnosheniya), vol. 70, no. 9, pp. 36-44</t>
        </is>
      </c>
      <c r="H526" s="7" t="n">
        <v>2026</v>
      </c>
      <c r="I526" s="7" t="inlineStr">
        <is>
          <t>peer-reviewed article</t>
        </is>
      </c>
      <c r="J526" s="7" t="inlineStr">
        <is>
          <t>descriptive analysis of the first-round CRMA strategic projects (type, materials, location, brownfield vs greenfield) and their links to EU trade and partnership instruments</t>
        </is>
      </c>
      <c r="K526" s="7" t="inlineStr">
        <is>
          <t>composition of first strategic projects; diversification of suppliers</t>
        </is>
      </c>
      <c r="L526" s="7" t="inlineStr">
        <is>
          <t>descriptive</t>
        </is>
      </c>
      <c r="M526" s="7" t="inlineStr">
        <is>
          <t>The first CRMA strategic projects favour existing or restarted operations over greenfield investment and are concentrated in countries already tied to the EU through Global Gateway, CRM partnerships and trade agreements.</t>
        </is>
      </c>
      <c r="N526" s="7" t="inlineStr">
        <is>
          <t>A review of the first projects chosen under the Act finds the EU mostly picked mines and plants that already exist or are being reopened, rather than new ones, and mainly in countries it already works with.</t>
        </is>
      </c>
      <c r="O526" s="7" t="inlineStr">
        <is>
          <t>2025-2026; EU and third countries</t>
        </is>
      </c>
      <c r="P526" s="7" t="inlineStr">
        <is>
          <t>Descriptive only; no numbers in abstract; published by IMEMO (Russian Academy of Sciences institute); abstract obtained via Crossref because publisher page blocked access.</t>
        </is>
      </c>
      <c r="Q526" s="7" t="inlineStr"/>
      <c r="R526" s="7" t="inlineStr">
        <is>
          <t>open</t>
        </is>
      </c>
      <c r="S526" s="7" t="inlineStr">
        <is>
          <t>abstract read</t>
        </is>
      </c>
      <c r="T526" s="7" t="inlineStr">
        <is>
          <t>2026-10-10</t>
        </is>
      </c>
      <c r="U526" s="7" t="inlineStr">
        <is>
          <t>https://doi.org/10.20542/0131-2227-2026-70-9-36-44</t>
        </is>
      </c>
      <c r="V526" s="7" t="inlineStr"/>
      <c r="W526" s="7" t="inlineStr"/>
    </row>
    <row r="527">
      <c r="A527" s="7" t="n">
        <v>92</v>
      </c>
      <c r="B527" s="7" t="inlineStr">
        <is>
          <t>Critical Raw Materials Act</t>
        </is>
      </c>
      <c r="C527" s="7" t="inlineStr">
        <is>
          <t>evidence</t>
        </is>
      </c>
      <c r="D527" s="7" t="inlineStr">
        <is>
          <t>think tank</t>
        </is>
      </c>
      <c r="E527" s="7" t="inlineStr">
        <is>
          <t>2026-10 broadened search</t>
        </is>
      </c>
      <c r="F527" s="7" t="inlineStr">
        <is>
          <t>bhrc-2025-strategicprojectsforwhom</t>
        </is>
      </c>
      <c r="G527" s="7" t="inlineStr">
        <is>
          <t>Business &amp; Human Rights Resource Centre (2025), Strategic projects for whom? Challenges and local realities of the European Union's strategic mineral projects, BHRC Briefing</t>
        </is>
      </c>
      <c r="H527" s="7" t="n">
        <v>2025</v>
      </c>
      <c r="I527" s="7" t="inlineStr">
        <is>
          <t>think tank report</t>
        </is>
      </c>
      <c r="J527" s="7" t="inlineStr">
        <is>
          <t>survey of the 13 promoters of non-EU strategic projects (4 responded) plus web research and the BHRC Transition Minerals Tracker allegations database</t>
        </is>
      </c>
      <c r="K527" s="7" t="inlineStr">
        <is>
          <t>human-rights policies, impact assessments and abuse allegations linked to strategic project promoters</t>
        </is>
      </c>
      <c r="L527" s="7" t="inlineStr">
        <is>
          <t>negative</t>
        </is>
      </c>
      <c r="M527" s="7" t="inlineStr">
        <is>
          <t>None of the 13 promoters of non-EU strategic projects has both a public human rights policy and a project impact assessment; only 4 of 13 answered BHRC, and at least 4 of 13 are linked to past allegations of abuse.</t>
        </is>
      </c>
      <c r="N527" s="7" t="inlineStr">
        <is>
          <t>A human-rights group asked the companies behind the EU's overseas 'strategic' mining projects about their safeguards; most did not reply and none had both a human rights policy and a published impact assessment for the project.</t>
        </is>
      </c>
      <c r="O527" s="7" t="inlineStr">
        <is>
          <t>2025; 13 non-EU strategic projects</t>
        </is>
      </c>
      <c r="P527" s="7" t="inlineStr">
        <is>
          <t>Simple descriptive audit with low response rate; campaigning perspective; does not measure on-the-ground outcomes.</t>
        </is>
      </c>
      <c r="Q527" s="7" t="inlineStr">
        <is>
          <t>campaigning NGO on business and human rights</t>
        </is>
      </c>
      <c r="R527" s="7" t="inlineStr">
        <is>
          <t>open</t>
        </is>
      </c>
      <c r="S527" s="7" t="inlineStr">
        <is>
          <t>full text read</t>
        </is>
      </c>
      <c r="T527" s="7" t="inlineStr">
        <is>
          <t>2026-10-10</t>
        </is>
      </c>
      <c r="U527" s="7" t="inlineStr">
        <is>
          <t>https://www.business-humanrights.org/en/from-us/briefings/strategic-projects-for-whom-challenges-and-local-realities-of-the-european-unions-strategic-mineral-projects/</t>
        </is>
      </c>
      <c r="V527" s="7" t="inlineStr"/>
      <c r="W527" s="7" t="inlineStr"/>
    </row>
    <row r="528">
      <c r="A528" s="7" t="n">
        <v>91</v>
      </c>
      <c r="B528" s="7" t="inlineStr">
        <is>
          <t>Gigabit Infrastructure Act</t>
        </is>
      </c>
      <c r="C528" s="7" t="inlineStr">
        <is>
          <t>ex-ante assessment</t>
        </is>
      </c>
      <c r="D528" s="7" t="inlineStr">
        <is>
          <t>official</t>
        </is>
      </c>
      <c r="E528" s="7" t="inlineStr">
        <is>
          <t>initial review</t>
        </is>
      </c>
      <c r="F528" s="7" t="inlineStr">
        <is>
          <t>ec-2023-gia-ia</t>
        </is>
      </c>
      <c r="G528" s="7" t="inlineStr">
        <is>
          <t>European Commission (2023), Impact Assessment accompanying the Gigabit Infrastructure Act proposal (executive summary SWD(2023) 47), SWD(2023) 46</t>
        </is>
      </c>
      <c r="H528" s="7" t="n">
        <v>2023</v>
      </c>
      <c r="I528" s="7" t="inlineStr">
        <is>
          <t>Commission impact assessment</t>
        </is>
      </c>
      <c r="J528" s="7" t="inlineStr">
        <is>
          <t>ex-ante</t>
        </is>
      </c>
      <c r="K528" s="7" t="inlineStr">
        <is>
          <t>deployment costs; subsidies; admin costs; emissions</t>
        </is>
      </c>
      <c r="L528" s="7" t="inlineStr">
        <is>
          <t>positive (forecast)</t>
        </is>
      </c>
      <c r="M528" s="7" t="inlineStr">
        <is>
          <t>Deployment costs EUR 14.5bn lower and public subsidies EUR 2.4bn lower; 470,000 km of network via re-use (vs 250,000 km); one-off costs EUR 70m; operator admin savings EUR 40m a year; 0.7 Mt GHG avoided to 2030</t>
        </is>
      </c>
      <c r="N528" s="7" t="inlineStr">
        <is>
          <t>The Commission expected the Act to cut the cost of rolling out fibre and 5G by EUR 14.5 billion and save EUR 2.4 billion of public subsidies.</t>
        </is>
      </c>
      <c r="O528" s="7" t="inlineStr">
        <is>
          <t>EU, to 2030</t>
        </is>
      </c>
      <c r="P528" s="7" t="inlineStr">
        <is>
          <t>forecast</t>
        </is>
      </c>
      <c r="Q528" s="7" t="inlineStr"/>
      <c r="R528" s="7" t="inlineStr">
        <is>
          <t>open</t>
        </is>
      </c>
      <c r="S528" s="7" t="inlineStr">
        <is>
          <t>full text read</t>
        </is>
      </c>
      <c r="T528" s="7" t="inlineStr">
        <is>
          <t>2026-10-10</t>
        </is>
      </c>
      <c r="U528" s="7" t="inlineStr">
        <is>
          <t>https://eur-lex.europa.eu/legal-content/EN/TXT/?uri=CELEX:52023SC0047</t>
        </is>
      </c>
      <c r="V528" s="7" t="inlineStr"/>
      <c r="W528" s="7" t="inlineStr">
        <is>
          <t>http://web.archive.org/web/20241111040005/https://eur-lex.europa.eu/legal-content/EN/TXT/?uri=CELEX:52023SC0047</t>
        </is>
      </c>
    </row>
    <row r="529">
      <c r="A529" s="7" t="n">
        <v>91</v>
      </c>
      <c r="B529" s="7" t="inlineStr">
        <is>
          <t>Gigabit Infrastructure Act</t>
        </is>
      </c>
      <c r="C529" s="7" t="inlineStr">
        <is>
          <t>evidence</t>
        </is>
      </c>
      <c r="D529" s="7" t="inlineStr">
        <is>
          <t>consultancy or industry</t>
        </is>
      </c>
      <c r="E529" s="7" t="inlineStr">
        <is>
          <t>initial review</t>
        </is>
      </c>
      <c r="F529" s="7" t="inlineStr">
        <is>
          <t>cullen-2026-gia-implementation</t>
        </is>
      </c>
      <c r="G529" s="7" t="inlineStr">
        <is>
          <t>Cullen International (2026), National implementation of the EU Gigabit Infrastructure Act, Cullen International benchmark (March 2026)</t>
        </is>
      </c>
      <c r="H529" s="7" t="n">
        <v>2026</v>
      </c>
      <c r="I529" s="7" t="inlineStr">
        <is>
          <t>consultancy benchmark</t>
        </is>
      </c>
      <c r="J529" s="7" t="inlineStr">
        <is>
          <t>legal benchmarking</t>
        </is>
      </c>
      <c r="K529" s="7" t="inlineStr">
        <is>
          <t>implementation</t>
        </is>
      </c>
      <c r="L529" s="7" t="inlineStr">
        <is>
          <t>n/a</t>
        </is>
      </c>
      <c r="M529" s="7" t="inlineStr">
        <is>
          <t>Main provisions applied from 12 Nov 2025; about half of Member States had begun adopting implementing legislation; approaches diverge on tacit approval, access to private buildings and fibre-ready labels</t>
        </is>
      </c>
      <c r="N529" s="7" t="inlineStr">
        <is>
          <t>A March 2026 survey found only about half of EU countries had started adapting national law, with different approaches to automatic permit approval.</t>
        </is>
      </c>
      <c r="O529" s="7" t="inlineStr">
        <is>
          <t>EU27, 2025-26</t>
        </is>
      </c>
      <c r="P529" s="7" t="inlineStr">
        <is>
          <t>descriptive; full detail paywalled</t>
        </is>
      </c>
      <c r="Q529" s="7" t="inlineStr">
        <is>
          <t>Commercial regulatory-intelligence firm whose clients include telecom operators</t>
        </is>
      </c>
      <c r="R529" s="7" t="inlineStr">
        <is>
          <t>abstract only</t>
        </is>
      </c>
      <c r="S529" s="7" t="inlineStr">
        <is>
          <t>page summary via search</t>
        </is>
      </c>
      <c r="T529" s="7" t="inlineStr">
        <is>
          <t>2026-10-10</t>
        </is>
      </c>
      <c r="U529" s="7" t="inlineStr">
        <is>
          <t>https://www.cullen-international.com/news/2026/03/National-implementation-of-the-EU-Gigabit-Infrastructure-Act.html</t>
        </is>
      </c>
      <c r="V529" s="7" t="inlineStr"/>
      <c r="W529" s="7" t="inlineStr">
        <is>
          <t>http://web.archive.org/web/20260401130938/https://www.cullen-international.com/news/2026/03/National-implementation-of-the-EU-Gigabit-Infrastructure-Act.html</t>
        </is>
      </c>
    </row>
    <row r="530">
      <c r="A530" s="7" t="n">
        <v>91</v>
      </c>
      <c r="B530" s="7" t="inlineStr">
        <is>
          <t>Gigabit Infrastructure Act</t>
        </is>
      </c>
      <c r="C530" s="7" t="inlineStr">
        <is>
          <t>evidence</t>
        </is>
      </c>
      <c r="D530" s="7" t="inlineStr">
        <is>
          <t>consultancy or industry</t>
        </is>
      </c>
      <c r="E530" s="7" t="inlineStr">
        <is>
          <t>2026-10 broadened search</t>
        </is>
      </c>
      <c r="F530" s="7" t="inlineStr">
        <is>
          <t>godlovitch-2023-bcrd-evaluation</t>
        </is>
      </c>
      <c r="G530" s="7" t="inlineStr">
        <is>
          <t>Ilsa Godlovitch, Peter Kroon, Sonia Strube Martins, Saskja Schaefer, Stefano Lucidi, Nico Steffen, Thomas Plueckebaum, Cara Schwarz-Schilling (WIK-Consult); Facundo Herrera, Ricardas Juskevicius (ICF) (2023), Support Study associated with the Review of the Broadband Cost Reduction Directive: Evaluation Report, Study for the European Commission, DG CNECT (Publications Office, doi:10.2759/560564)</t>
        </is>
      </c>
      <c r="H530" s="7" t="n">
        <v>2023</v>
      </c>
      <c r="I530" s="7" t="inlineStr">
        <is>
          <t>consultancy study for the Commission</t>
        </is>
      </c>
      <c r="J530" s="7" t="inlineStr">
        <is>
          <t>ex-post evaluation of the predecessor Directive 2014/61/EU: stakeholder survey, 56 structured interviews, case studies in 12 Member States, desk research</t>
        </is>
      </c>
      <c r="K530" s="7" t="inlineStr">
        <is>
          <t>network roll-out enabled, cost savings from infrastructure access, use of permit and transparency measures</t>
        </is>
      </c>
      <c r="L530" s="7" t="inlineStr">
        <is>
          <t>positive</t>
        </is>
      </c>
      <c r="M530" s="7" t="inlineStr">
        <is>
          <t>Where effectively applied, the Broadband Cost Reduction Directive (replaced by the GIA) contributed at least 100,000 km of additional network roll-out in 2016-2020, and operators benefiting from access to physical infrastructure reported 10-30% cost savings, though application varied widely across provisions and countries.</t>
        </is>
      </c>
      <c r="N530" s="7" t="inlineStr">
        <is>
          <t>Before the Gigabit Infrastructure Act replaced it, the earlier EU law on cheaper broadband roll-out was evaluated. It helped build extra network where countries applied it properly, but results were uneven, which shaped the new Act.</t>
        </is>
      </c>
      <c r="O530" s="7" t="inlineStr">
        <is>
          <t>2016-2021; EU-27</t>
        </is>
      </c>
      <c r="P530" s="7" t="inlineStr">
        <is>
          <t>Predecessor-provision evaluation (GIA repeals and extends Directive 2014/61/EU); survey and case evidence, no counterfactual; figures partly from interested operators.</t>
        </is>
      </c>
      <c r="Q530" s="7" t="inlineStr">
        <is>
          <t>Commissioned by the European Commission; cost-saving figures self-reported by telecom operators</t>
        </is>
      </c>
      <c r="R530" s="7" t="inlineStr">
        <is>
          <t>open</t>
        </is>
      </c>
      <c r="S530" s="7" t="inlineStr">
        <is>
          <t>full text read</t>
        </is>
      </c>
      <c r="T530" s="7" t="inlineStr">
        <is>
          <t>2026-10-10</t>
        </is>
      </c>
      <c r="U530" s="7" t="inlineStr">
        <is>
          <t>https://op.europa.eu/en/publication-detail/-/publication/fe50cedf-b718-11ed-8912-01aa75ed71a1/language-en</t>
        </is>
      </c>
      <c r="V530" s="7" t="inlineStr">
        <is>
          <t>https://op.europa.eu/o/opportal-service/download-handler?identifier=fe50cedf-b718-11ed-8912-01aa75ed71a1&amp;format=pdf&amp;language=en&amp;productionSystem=cellar</t>
        </is>
      </c>
      <c r="W530" s="7" t="inlineStr"/>
    </row>
    <row r="531">
      <c r="A531" s="7" t="n">
        <v>68</v>
      </c>
      <c r="B531" s="7" t="inlineStr">
        <is>
          <t>Anti-Money Laundering Regulation</t>
        </is>
      </c>
      <c r="C531" s="7" t="inlineStr">
        <is>
          <t>ex-ante assessment</t>
        </is>
      </c>
      <c r="D531" s="7" t="inlineStr">
        <is>
          <t>official</t>
        </is>
      </c>
      <c r="E531" s="7" t="inlineStr">
        <is>
          <t>initial review</t>
        </is>
      </c>
      <c r="F531" s="7" t="inlineStr">
        <is>
          <t>ec-2021-aml-package-ia</t>
        </is>
      </c>
      <c r="G531" s="7" t="inlineStr">
        <is>
          <t>European Commission (2021), Impact Assessment accompanying the Anti-money laundering package (executive summary SWD(2021) 191), SWD(2021) 190</t>
        </is>
      </c>
      <c r="H531" s="7" t="n">
        <v>2021</v>
      </c>
      <c r="I531" s="7" t="inlineStr">
        <is>
          <t>Commission impact assessment</t>
        </is>
      </c>
      <c r="J531" s="7" t="inlineStr">
        <is>
          <t>ex-ante (qualitative; cost estimates for new Authority)</t>
        </is>
      </c>
      <c r="K531" s="7" t="inlineStr">
        <is>
          <t>money laundering detection; compliance costs; supervision</t>
        </is>
      </c>
      <c r="L531" s="7" t="inlineStr">
        <is>
          <t>positive (forecast)</t>
        </is>
      </c>
      <c r="M531" s="7" t="inlineStr">
        <is>
          <t>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is>
      </c>
      <c r="N531" s="7" t="inlineStr">
        <is>
          <t>The Commission expected harmonised rules, a cash-payment cap and a new EU authority to cut money laundering, at a cost of about EUR 40 million a year for the authority, but gave no estimate of how much laundering would fall.</t>
        </is>
      </c>
      <c r="O531" s="7" t="inlineStr">
        <is>
          <t>EU, forecast</t>
        </is>
      </c>
      <c r="P531" s="7" t="inlineStr">
        <is>
          <t>forecast; benefits not quantified</t>
        </is>
      </c>
      <c r="Q531" s="7" t="inlineStr"/>
      <c r="R531" s="7" t="inlineStr">
        <is>
          <t>open</t>
        </is>
      </c>
      <c r="S531" s="7" t="inlineStr">
        <is>
          <t>full text read (executive summary and monitoring section)</t>
        </is>
      </c>
      <c r="T531" s="7" t="inlineStr">
        <is>
          <t>2026-10-10</t>
        </is>
      </c>
      <c r="U531" s="7" t="inlineStr">
        <is>
          <t>https://eur-lex.europa.eu/legal-content/EN/TXT/?uri=CELEX:52021SC0190</t>
        </is>
      </c>
      <c r="V531" s="7" t="inlineStr">
        <is>
          <t>https://eur-lex.europa.eu/legal-content/EN/TXT/PDF/?uri=CELEX:52021SC0190</t>
        </is>
      </c>
      <c r="W531" s="7" t="inlineStr">
        <is>
          <t>http://web.archive.org/web/20260403050307/https://eur-lex.europa.eu/legal-content/EN/TXT/?uri=celex:52021SC0190</t>
        </is>
      </c>
    </row>
    <row r="532">
      <c r="A532" s="7" t="n">
        <v>68</v>
      </c>
      <c r="B532" s="7" t="inlineStr">
        <is>
          <t>Anti-Money Laundering Regulation</t>
        </is>
      </c>
      <c r="C532" s="7" t="inlineStr">
        <is>
          <t>evidence</t>
        </is>
      </c>
      <c r="D532" s="7" t="inlineStr">
        <is>
          <t>academic</t>
        </is>
      </c>
      <c r="E532" s="7" t="inlineStr">
        <is>
          <t>initial review</t>
        </is>
      </c>
      <c r="F532" s="7" t="inlineStr">
        <is>
          <t>pol-2020-aml-effectiveness</t>
        </is>
      </c>
      <c r="G532" s="7" t="inlineStr">
        <is>
          <t>Pol, R.F. (2020), Anti-money laundering: The world's least effective policy experiment? Together, we can fix it, Policy Design and Practice 3(1): 73-94</t>
        </is>
      </c>
      <c r="H532" s="7" t="n">
        <v>2020</v>
      </c>
      <c r="I532" s="7" t="inlineStr">
        <is>
          <t>peer-reviewed</t>
        </is>
      </c>
      <c r="J532" s="7" t="inlineStr">
        <is>
          <t>review and synthesis of published estimates (global)</t>
        </is>
      </c>
      <c r="K532" s="7" t="inlineStr">
        <is>
          <t>criminal finances; compliance costs</t>
        </is>
      </c>
      <c r="L532" s="7" t="inlineStr">
        <is>
          <t>negative</t>
        </is>
      </c>
      <c r="M532" s="7" t="inlineStr">
        <is>
          <t>AML policy has less than 0.1% impact on criminal finances; compliance costs exceed recovered criminal funds more than a hundred times over; data poorly validated so findings not definitive</t>
        </is>
      </c>
      <c r="N532" s="7" t="inlineStr">
        <is>
          <t>A widely cited review estimates that anti-money-laundering rules worldwide remove less than 0.1% of criminal money while costing over a hundred times more than they recover, though the data are weak.</t>
        </is>
      </c>
      <c r="O532" s="7" t="inlineStr">
        <is>
          <t>global</t>
        </is>
      </c>
      <c r="P532" s="7" t="inlineStr">
        <is>
          <t>synthesis of weak data; not specific to the AMLR</t>
        </is>
      </c>
      <c r="Q532" s="7" t="inlineStr"/>
      <c r="R532" s="7" t="inlineStr">
        <is>
          <t>open</t>
        </is>
      </c>
      <c r="S532" s="7" t="inlineStr">
        <is>
          <t>abstract read</t>
        </is>
      </c>
      <c r="T532" s="7" t="inlineStr">
        <is>
          <t>2026-10-10</t>
        </is>
      </c>
      <c r="U532" s="7" t="inlineStr">
        <is>
          <t>https://doi.org/10.1080/25741292.2020.1725366</t>
        </is>
      </c>
      <c r="V532" s="7" t="inlineStr">
        <is>
          <t>https://www.tandfonline.com/doi/pdf/10.1080/25741292.2020.1725366</t>
        </is>
      </c>
      <c r="W532" s="7" t="inlineStr"/>
    </row>
    <row r="533">
      <c r="A533" s="7" t="n">
        <v>68</v>
      </c>
      <c r="B533" s="7" t="inlineStr">
        <is>
          <t>Anti-Money Laundering Regulation</t>
        </is>
      </c>
      <c r="C533" s="7" t="inlineStr">
        <is>
          <t>evidence</t>
        </is>
      </c>
      <c r="D533" s="7" t="inlineStr">
        <is>
          <t>academic</t>
        </is>
      </c>
      <c r="E533" s="7" t="inlineStr">
        <is>
          <t>initial review</t>
        </is>
      </c>
      <c r="F533" s="7" t="inlineStr">
        <is>
          <t>slutzky-villamizar-williams-2026</t>
        </is>
      </c>
      <c r="G533" s="7" t="inlineStr">
        <is>
          <t>Slutzky, P., Villamizar-Villegas, M. &amp; Williams, T. (2026), Drug money and bank lending: the unintended consequences of anti-money laundering policies, Journal of Law, Economics, and Organization (earlier IIEP Working Paper 2019-5)</t>
        </is>
      </c>
      <c r="H533" s="7" t="n">
        <v>2026</v>
      </c>
      <c r="I533" s="7" t="inlineStr">
        <is>
          <t>peer-reviewed</t>
        </is>
      </c>
      <c r="J533" s="7" t="inlineStr">
        <is>
          <t>difference-in-differences (Colombia's 2008 SARLAFT AML reform; bank-municipality and bank-firm credit data)</t>
        </is>
      </c>
      <c r="K533" s="7" t="inlineStr">
        <is>
          <t>deposits; bank lending; firm sales, investment, employment</t>
        </is>
      </c>
      <c r="L533" s="7" t="inlineStr">
        <is>
          <t>negative (unintended costs)</t>
        </is>
      </c>
      <c r="M533" s="7" t="inlineStr">
        <is>
          <t>After the AML reform deposits fell in high drug-trafficking municipalities; banks reliant on those deposits cut lending elsewhere; small firms dependent on affected banks saw lower sales, investment, profitability and employment</t>
        </is>
      </c>
      <c r="N533" s="7" t="inlineStr">
        <is>
          <t>A study of a Colombian anti-money-laundering reform found it drained deposits from drug-trafficking areas, leading banks to cut lending to small firms elsewhere, which then invested and hired less.</t>
        </is>
      </c>
      <c r="O533" s="7" t="inlineStr">
        <is>
          <t>Colombia, 2008</t>
        </is>
      </c>
      <c r="P533" s="7" t="inlineStr">
        <is>
          <t>causal; non-EU setting</t>
        </is>
      </c>
      <c r="Q533" s="7" t="inlineStr"/>
      <c r="R533" s="7" t="inlineStr">
        <is>
          <t>paywalled</t>
        </is>
      </c>
      <c r="S533" s="7" t="inlineStr">
        <is>
          <t>page summary via search</t>
        </is>
      </c>
      <c r="T533" s="7" t="inlineStr">
        <is>
          <t>2026-10-10</t>
        </is>
      </c>
      <c r="U533" s="7" t="inlineStr">
        <is>
          <t>https://doi.org/10.1093/jleo/ewaf024</t>
        </is>
      </c>
      <c r="V533" s="7" t="inlineStr">
        <is>
          <t>https://www.runi.ac.il/media/rlci13b3/drug-money-and-bank-lending.pdf</t>
        </is>
      </c>
      <c r="W533" s="7" t="inlineStr"/>
    </row>
    <row r="534">
      <c r="A534" s="7" t="n">
        <v>68</v>
      </c>
      <c r="B534" s="7" t="inlineStr">
        <is>
          <t>Anti-Money Laundering Regulation</t>
        </is>
      </c>
      <c r="C534" s="7" t="inlineStr">
        <is>
          <t>evidence</t>
        </is>
      </c>
      <c r="D534" s="7" t="inlineStr">
        <is>
          <t>official</t>
        </is>
      </c>
      <c r="E534" s="7" t="inlineStr">
        <is>
          <t>initial review</t>
        </is>
      </c>
      <c r="F534" s="7" t="inlineStr">
        <is>
          <t>eba-2022-derisking-opinion</t>
        </is>
      </c>
      <c r="G534" s="7" t="inlineStr">
        <is>
          <t>European Banking Authority (2022), Opinion of the European Banking Authority on 'de-risking' (EBA/Op/2022/01), EBA, 5 January 2022</t>
        </is>
      </c>
      <c r="H534" s="7" t="n">
        <v>2022</v>
      </c>
      <c r="I534" s="7" t="inlineStr">
        <is>
          <t>EU agency report</t>
        </is>
      </c>
      <c r="J534" s="7" t="inlineStr">
        <is>
          <t>survey of competent authorities and stakeholders (2020-21)</t>
        </is>
      </c>
      <c r="K534" s="7" t="inlineStr">
        <is>
          <t>de-risking; financial exclusion; competition</t>
        </is>
      </c>
      <c r="L534" s="7" t="inlineStr">
        <is>
          <t>negative (unintended costs)</t>
        </is>
      </c>
      <c r="M534" s="7" t="inlineStr">
        <is>
          <t>De-risking occurs across the EU and affects payment and e-money institutions, asylum seekers from high-risk jurisdictions and non-profits; can cause adverse economic outcomes or financial exclusion; scale cannot be quantified for lack of statistics</t>
        </is>
      </c>
      <c r="N534" s="7" t="inlineStr">
        <is>
          <t>The EU banking authority found banks across the EU drop whole groups of customers - payment firms, charities, asylum seekers - to avoid money-laundering risk, causing financial exclusion, though it could not measure how much.</t>
        </is>
      </c>
      <c r="O534" s="7" t="inlineStr">
        <is>
          <t>EU, 2020-21</t>
        </is>
      </c>
      <c r="P534" s="7" t="inlineStr">
        <is>
          <t>qualitative; scale unquantified</t>
        </is>
      </c>
      <c r="Q534" s="7" t="inlineStr"/>
      <c r="R534" s="7" t="inlineStr">
        <is>
          <t>open</t>
        </is>
      </c>
      <c r="S534" s="7" t="inlineStr">
        <is>
          <t>full text read</t>
        </is>
      </c>
      <c r="T534" s="7" t="inlineStr">
        <is>
          <t>2026-10-10</t>
        </is>
      </c>
      <c r="U534" s="7" t="inlineStr">
        <is>
          <t>https://www.eba.europa.eu/publications-and-media/press-releases/eba-alerts-detrimental-impact-unwarranted-de-risking-and</t>
        </is>
      </c>
      <c r="V534" s="7" t="inlineStr"/>
      <c r="W534" s="7" t="inlineStr">
        <is>
          <t>http://web.archive.org/web/20260926054127/https://www.eba.europa.eu/publications-and-media/press-releases/eba-alerts-detrimental-impact-unwarranted-de-risking-and</t>
        </is>
      </c>
    </row>
    <row r="535">
      <c r="A535" s="7" t="n">
        <v>68</v>
      </c>
      <c r="B535" s="7" t="inlineStr">
        <is>
          <t>Anti-Money Laundering Regulation</t>
        </is>
      </c>
      <c r="C535" s="7" t="inlineStr">
        <is>
          <t>evidence</t>
        </is>
      </c>
      <c r="D535" s="7" t="inlineStr">
        <is>
          <t>official</t>
        </is>
      </c>
      <c r="E535" s="7" t="inlineStr">
        <is>
          <t>initial review</t>
        </is>
      </c>
      <c r="F535" s="7" t="inlineStr">
        <is>
          <t>rice-vonpeter-boar-2020</t>
        </is>
      </c>
      <c r="G535" s="7" t="inlineStr">
        <is>
          <t>Rice, T., von Peter, G. &amp; Boar, C. (2020), On the global retreat of correspondent banks, BIS Quarterly Review, March 2020</t>
        </is>
      </c>
      <c r="H535" s="7" t="n">
        <v>2020</v>
      </c>
      <c r="I535" s="7" t="inlineStr">
        <is>
          <t>central bank research</t>
        </is>
      </c>
      <c r="J535" s="7" t="inlineStr">
        <is>
          <t>descriptive panel analysis of SWIFT data, 2011-2018</t>
        </is>
      </c>
      <c r="K535" s="7" t="inlineStr">
        <is>
          <t>correspondent banking relationships; de-risking</t>
        </is>
      </c>
      <c r="L535" s="7" t="inlineStr">
        <is>
          <t>negative (unintended costs)</t>
        </is>
      </c>
      <c r="M535" s="7" t="inlineStr">
        <is>
          <t>Active correspondent banks fell about 20% since 2011; jurisdictions with weaker governance and AML controls lost more relationships; payments may shift to less regulated channels</t>
        </is>
      </c>
      <c r="N535" s="7" t="inlineStr">
        <is>
          <t>BIS research shows the number of active correspondent banks fell about 20% since 2011, hitting countries with weaker anti-money-laundering controls hardest and potentially pushing payments into less regulated channels.</t>
        </is>
      </c>
      <c r="O535" s="7" t="inlineStr">
        <is>
          <t>global, 2011-2018</t>
        </is>
      </c>
      <c r="P535" s="7" t="inlineStr">
        <is>
          <t>descriptive/correlational</t>
        </is>
      </c>
      <c r="Q535" s="7" t="inlineStr"/>
      <c r="R535" s="7" t="inlineStr">
        <is>
          <t>open</t>
        </is>
      </c>
      <c r="S535" s="7" t="inlineStr">
        <is>
          <t>page summary via search</t>
        </is>
      </c>
      <c r="T535" s="7" t="inlineStr">
        <is>
          <t>2026-10-10</t>
        </is>
      </c>
      <c r="U535" s="7" t="inlineStr">
        <is>
          <t>https://www.bis.org/publ/qtrpdf/r_qt2003g.htm</t>
        </is>
      </c>
      <c r="V535" s="7" t="inlineStr">
        <is>
          <t>https://www.bis.org/publ/qtrpdf/r_qt2003g.pdf</t>
        </is>
      </c>
      <c r="W535" s="7" t="inlineStr">
        <is>
          <t>http://web.archive.org/web/20260606174214/https://www.bis.org/publ/qtrpdf/r_qt2003g.htm</t>
        </is>
      </c>
    </row>
    <row r="536">
      <c r="A536" s="7" t="n">
        <v>68</v>
      </c>
      <c r="B536" s="7" t="inlineStr">
        <is>
          <t>Anti-Money Laundering Regulation</t>
        </is>
      </c>
      <c r="C536" s="7" t="inlineStr">
        <is>
          <t>evidence</t>
        </is>
      </c>
      <c r="D536" s="7" t="inlineStr">
        <is>
          <t>official</t>
        </is>
      </c>
      <c r="E536" s="7" t="inlineStr">
        <is>
          <t>initial review</t>
        </is>
      </c>
      <c r="F536" s="7" t="inlineStr">
        <is>
          <t>eca-2021-aml-banking</t>
        </is>
      </c>
      <c r="G536" s="7" t="inlineStr">
        <is>
          <t>European Court of Auditors (2021), EU efforts to fight money laundering in the banking sector are fragmented and implementation is insufficient (Special report 13/2021), ECA Special report 13/2021</t>
        </is>
      </c>
      <c r="H536" s="7" t="n">
        <v>2021</v>
      </c>
      <c r="I536" s="7" t="inlineStr">
        <is>
          <t>audit report</t>
        </is>
      </c>
      <c r="J536" s="7" t="inlineStr">
        <is>
          <t>performance audit</t>
        </is>
      </c>
      <c r="K536" s="7" t="inlineStr">
        <is>
          <t>supervision; enforcement</t>
        </is>
      </c>
      <c r="L536" s="7" t="inlineStr">
        <is>
          <t>negative (pre-reform baseline)</t>
        </is>
      </c>
      <c r="M536" s="7" t="inlineStr">
        <is>
          <t>Institutional fragmentation and poor coordination at EU level; supervision national with insufficient EU oversight; limited EU tools to ensure application of AML rules</t>
        </is>
      </c>
      <c r="N536" s="7" t="inlineStr">
        <is>
          <t>The EU's auditors found pre-reform anti-money-laundering supervision fragmented and weakly enforced - the problem the AMLR and new EU authority aim to fix.</t>
        </is>
      </c>
      <c r="O536" s="7" t="inlineStr">
        <is>
          <t>EU, pre-2021</t>
        </is>
      </c>
      <c r="P536" s="7" t="inlineStr">
        <is>
          <t>audit; baseline evidence</t>
        </is>
      </c>
      <c r="Q536" s="7" t="inlineStr"/>
      <c r="R536" s="7" t="inlineStr">
        <is>
          <t>open</t>
        </is>
      </c>
      <c r="S536" s="7" t="inlineStr">
        <is>
          <t>page summary via search</t>
        </is>
      </c>
      <c r="T536" s="7" t="inlineStr">
        <is>
          <t>2026-10-10</t>
        </is>
      </c>
      <c r="U536" s="7" t="inlineStr">
        <is>
          <t>https://op.europa.eu/webpub/eca/special-reports/fight-money-laundering-13-2021/en/</t>
        </is>
      </c>
      <c r="V536" s="7" t="inlineStr"/>
      <c r="W536" s="7" t="inlineStr">
        <is>
          <t>http://web.archive.org/web/20251125175117/https://op.europa.eu/webpub/eca/special-reports/fight-money-laundering-13-2021/en/</t>
        </is>
      </c>
    </row>
    <row r="537">
      <c r="A537" s="7" t="n">
        <v>68</v>
      </c>
      <c r="B537" s="7" t="inlineStr">
        <is>
          <t>Anti-Money Laundering Regulation</t>
        </is>
      </c>
      <c r="C537" s="7" t="inlineStr">
        <is>
          <t>evidence</t>
        </is>
      </c>
      <c r="D537" s="7" t="inlineStr">
        <is>
          <t>official</t>
        </is>
      </c>
      <c r="E537" s="7" t="inlineStr">
        <is>
          <t>initial review</t>
        </is>
      </c>
      <c r="F537" s="7" t="inlineStr">
        <is>
          <t>europol-2017-suspicion-action</t>
        </is>
      </c>
      <c r="G537" s="7" t="inlineStr">
        <is>
          <t>Europol (2017), From suspicion to action: Converting financial intelligence into greater operational impact, Europol</t>
        </is>
      </c>
      <c r="H537" s="7" t="n">
        <v>2017</v>
      </c>
      <c r="I537" s="7" t="inlineStr">
        <is>
          <t>EU agency report</t>
        </is>
      </c>
      <c r="J537" s="7" t="inlineStr">
        <is>
          <t>descriptive (FIU and STR statistics, 2006-2014)</t>
        </is>
      </c>
      <c r="K537" s="7" t="inlineStr">
        <is>
          <t>suspicious transaction reports; confiscation</t>
        </is>
      </c>
      <c r="L537" s="7" t="inlineStr">
        <is>
          <t>negative (pre-reform baseline)</t>
        </is>
      </c>
      <c r="M537" s="7" t="inlineStr">
        <is>
          <t>Only around 10% of STRs lead to further investigation; barely 1% of criminal proceeds in the EU are confiscated</t>
        </is>
      </c>
      <c r="N537" s="7" t="inlineStr">
        <is>
          <t>Europol found only about one in ten suspicious-transaction reports is investigated further and barely 1% of criminal proceeds are confiscated - a baseline for judging the AMLR.</t>
        </is>
      </c>
      <c r="O537" s="7" t="inlineStr">
        <is>
          <t>EU, 2006-2014</t>
        </is>
      </c>
      <c r="P537" s="7" t="inlineStr">
        <is>
          <t>descriptive baseline</t>
        </is>
      </c>
      <c r="Q537" s="7" t="inlineStr"/>
      <c r="R537" s="7" t="inlineStr">
        <is>
          <t>open</t>
        </is>
      </c>
      <c r="S537" s="7" t="inlineStr">
        <is>
          <t>page summary via search</t>
        </is>
      </c>
      <c r="T537" s="7" t="inlineStr">
        <is>
          <t>2026-10-10</t>
        </is>
      </c>
      <c r="U537" s="7" t="inlineStr">
        <is>
          <t>https://www.europol.europa.eu/publications-events/publications/suspicion-to-action-converting-financial-intelligence-greater-operational-impact</t>
        </is>
      </c>
      <c r="V537" s="7" t="inlineStr"/>
      <c r="W537" s="7" t="inlineStr"/>
    </row>
    <row r="538">
      <c r="A538" s="7" t="n">
        <v>68</v>
      </c>
      <c r="B538" s="7" t="inlineStr">
        <is>
          <t>Anti-Money Laundering Regulation</t>
        </is>
      </c>
      <c r="C538" s="7" t="inlineStr">
        <is>
          <t>evidence</t>
        </is>
      </c>
      <c r="D538" s="7" t="inlineStr">
        <is>
          <t>academic</t>
        </is>
      </c>
      <c r="E538" s="7" t="inlineStr">
        <is>
          <t>2026-10 broadened search</t>
        </is>
      </c>
      <c r="F538" s="7" t="inlineStr">
        <is>
          <t>premti-2021-4amld-bankvaluation</t>
        </is>
      </c>
      <c r="G538" s="7" t="inlineStr">
        <is>
          <t>Arjan Premti, Mohammad Jafarinejad, Henry Balani (2021), The impact of the Fourth Anti-Money Laundering Directive on the valuation of EU banks, Research in International Business and Finance, vol. 57</t>
        </is>
      </c>
      <c r="H538" s="7" t="n">
        <v>2021</v>
      </c>
      <c r="I538" s="7" t="inlineStr">
        <is>
          <t>peer-reviewed article</t>
        </is>
      </c>
      <c r="J538" s="7" t="inlineStr">
        <is>
          <t>event study of bank stock returns around eight 4AMLD milestones (2013-2015) plus cross-sectional regressions</t>
        </is>
      </c>
      <c r="K538" s="7" t="inlineStr">
        <is>
          <t>bank market valuation, systematic risk</t>
        </is>
      </c>
      <c r="L538" s="7" t="inlineStr">
        <is>
          <t>positive</t>
        </is>
      </c>
      <c r="M538" s="7" t="inlineStr">
        <is>
          <t>Across eight 4AMLD events from February 2013 to June 2015, the directive had a positive valuation effect on European banks and reduced their systematic risk, more so for larger, riskier and more profitable banks.</t>
        </is>
      </c>
      <c r="N538" s="7" t="inlineStr">
        <is>
          <t>Investors reacted to the EU's 2015 anti-money-laundering directive by valuing European bank shares more highly, especially larger and riskier banks, suggesting markets saw the rules as reducing risk.</t>
        </is>
      </c>
      <c r="O538" s="7" t="inlineStr">
        <is>
          <t>EU listed banks, 2013-2015</t>
        </is>
      </c>
      <c r="P538" s="7" t="inlineStr">
        <is>
          <t>Predecessor directive (4AMLD) whose customer due diligence rules the AMLR now consolidates; event study captures expectations, not realised effects; doi 10.1016/j.ribaf.2021.101397.</t>
        </is>
      </c>
      <c r="Q538" s="7" t="inlineStr"/>
      <c r="R538" s="7" t="inlineStr">
        <is>
          <t>paywalled</t>
        </is>
      </c>
      <c r="S538" s="7" t="inlineStr">
        <is>
          <t>abstract read</t>
        </is>
      </c>
      <c r="T538" s="7" t="inlineStr">
        <is>
          <t>2026-10-10</t>
        </is>
      </c>
      <c r="U538" s="7" t="inlineStr">
        <is>
          <t>https://econpapers.repec.org/article/eeeriibaf/v_3a57_3ay_3a2021_3ai_3ac_3as0275531921000180.htm</t>
        </is>
      </c>
      <c r="V538" s="7" t="inlineStr"/>
      <c r="W538" s="7" t="inlineStr"/>
    </row>
    <row r="539">
      <c r="A539" s="7" t="n">
        <v>68</v>
      </c>
      <c r="B539" s="7" t="inlineStr">
        <is>
          <t>Anti-Money Laundering Regulation</t>
        </is>
      </c>
      <c r="C539" s="7" t="inlineStr">
        <is>
          <t>evidence</t>
        </is>
      </c>
      <c r="D539" s="7" t="inlineStr">
        <is>
          <t>academic</t>
        </is>
      </c>
      <c r="E539" s="7" t="inlineStr">
        <is>
          <t>2026-10 broadened search</t>
        </is>
      </c>
      <c r="F539" s="7" t="inlineStr">
        <is>
          <t>volten-2025-amld5-cryptoexchanges</t>
        </is>
      </c>
      <c r="G539" s="7" t="inlineStr">
        <is>
          <t>Cécile Volten, Michel van Eeten, Rolf van Wegberg (2025), Money for Nothing, Supervision for a Fee: Investigating the Effects of the 5th Anti-Money Laundering Directive on Cryptocurrency Exchanges in the Netherlands, European Journal on Criminal Policy and Research</t>
        </is>
      </c>
      <c r="H539" s="7" t="n">
        <v>2025</v>
      </c>
      <c r="I539" s="7" t="inlineStr">
        <is>
          <t>peer-reviewed article</t>
        </is>
      </c>
      <c r="J539" s="7" t="inlineStr">
        <is>
          <t>mixed methods: analysis of over 335,000 exchange transactions plus seven interviews with Dutch crypto exchanges and the supervisor</t>
        </is>
      </c>
      <c r="K539" s="7" t="inlineStr">
        <is>
          <t>compliance burden and fees on crypto exchanges, money-laundering risk exposure</t>
        </is>
      </c>
      <c r="L539" s="7" t="inlineStr">
        <is>
          <t>negative</t>
        </is>
      </c>
      <c r="M539" s="7" t="inlineStr">
        <is>
          <t>Dutch implementation of AMLD5 imposed high administrative burdens and substantial fees on relatively small exchanges that did not pose high money-laundering risks (analysis of 335,000+ transactions).</t>
        </is>
      </c>
      <c r="N539" s="7" t="inlineStr">
        <is>
          <t>When the EU brought crypto exchanges under anti-money-laundering rules, Dutch exchanges faced heavy paperwork and supervision fees, even though the small ones studied were not very risky.</t>
        </is>
      </c>
      <c r="O539" s="7" t="inlineStr">
        <is>
          <t>Netherlands, post-2020 AMLD5 implementation</t>
        </is>
      </c>
      <c r="P539" s="7" t="inlineStr">
        <is>
          <t>Predecessor provision (AMLD5 obliged-entity status for crypto providers, carried into AMLR); single country, descriptive mixed methods, no counterfactual.</t>
        </is>
      </c>
      <c r="Q539" s="7" t="inlineStr"/>
      <c r="R539" s="7" t="inlineStr">
        <is>
          <t>open</t>
        </is>
      </c>
      <c r="S539" s="7" t="inlineStr">
        <is>
          <t>abstract read</t>
        </is>
      </c>
      <c r="T539" s="7" t="inlineStr">
        <is>
          <t>2026-10-10</t>
        </is>
      </c>
      <c r="U539" s="7" t="inlineStr">
        <is>
          <t>https://doi.org/10.1007/s10610-025-09640-1</t>
        </is>
      </c>
      <c r="V539" s="7" t="inlineStr"/>
      <c r="W539" s="7" t="inlineStr"/>
    </row>
    <row r="540">
      <c r="A540" s="7" t="n">
        <v>64</v>
      </c>
      <c r="B540" s="7" t="inlineStr">
        <is>
          <t>Artificial Intelligence Act</t>
        </is>
      </c>
      <c r="C540" s="7" t="inlineStr">
        <is>
          <t>ex-ante assessment</t>
        </is>
      </c>
      <c r="D540" s="7" t="inlineStr">
        <is>
          <t>official</t>
        </is>
      </c>
      <c r="E540" s="7" t="inlineStr">
        <is>
          <t>initial review</t>
        </is>
      </c>
      <c r="F540" s="7" t="inlineStr">
        <is>
          <t>ec-2021-aiact-ia</t>
        </is>
      </c>
      <c r="G540" s="7" t="inlineStr">
        <is>
          <t>European Commission (2021), Impact Assessment accompanying the AI Act proposal (executive summary SWD(2021) 85), SWD(2021) 84</t>
        </is>
      </c>
      <c r="H540" s="7" t="n">
        <v>2021</v>
      </c>
      <c r="I540" s="7" t="inlineStr">
        <is>
          <t>Commission impact assessment</t>
        </is>
      </c>
      <c r="J540" s="7" t="inlineStr">
        <is>
          <t>ex-ante</t>
        </is>
      </c>
      <c r="K540" s="7" t="inlineStr">
        <is>
          <t>compliance costs; SMEs; trust</t>
        </is>
      </c>
      <c r="L540" s="7" t="inlineStr">
        <is>
          <t>positive (forecast)</t>
        </is>
      </c>
      <c r="M540" s="7" t="inlineStr">
        <is>
          <t>Aggregate compliance cost EUR 100-500m by 2025 (up to 4-5% of investment in high-risk AI, assumed 5-15% of applications), plus 2-5% verification costs; SMEs expected to benefit from higher trust</t>
        </is>
      </c>
      <c r="N540" s="7" t="inlineStr">
        <is>
          <t>The Commission expected compliance to cost EUR 100-500 million in total by 2025, because only 5-15% of AI systems would count as high-risk.</t>
        </is>
      </c>
      <c r="O540" s="7" t="inlineStr">
        <is>
          <t>EU, forecast</t>
        </is>
      </c>
      <c r="P540" s="7" t="inlineStr">
        <is>
          <t>forecast</t>
        </is>
      </c>
      <c r="Q540" s="7" t="inlineStr"/>
      <c r="R540" s="7" t="inlineStr">
        <is>
          <t>open</t>
        </is>
      </c>
      <c r="S540" s="7" t="inlineStr">
        <is>
          <t>full text read</t>
        </is>
      </c>
      <c r="T540" s="7" t="inlineStr">
        <is>
          <t>2026-10-10</t>
        </is>
      </c>
      <c r="U540" s="7" t="inlineStr">
        <is>
          <t>https://eur-lex.europa.eu/legal-content/EN/TXT/?uri=CELEX:52021SC0085</t>
        </is>
      </c>
      <c r="V540" s="7" t="inlineStr"/>
      <c r="W540" s="7" t="inlineStr">
        <is>
          <t>http://web.archive.org/web/20260212030150/https://eur-lex.europa.eu/legal-content/EN/TXT/?uri=CELEX%3A52021SC0085</t>
        </is>
      </c>
    </row>
    <row r="541">
      <c r="A541" s="7" t="n">
        <v>64</v>
      </c>
      <c r="B541" s="7" t="inlineStr">
        <is>
          <t>Artificial Intelligence Act</t>
        </is>
      </c>
      <c r="C541" s="7" t="inlineStr">
        <is>
          <t>evidence</t>
        </is>
      </c>
      <c r="D541" s="7" t="inlineStr">
        <is>
          <t>official</t>
        </is>
      </c>
      <c r="E541" s="7" t="inlineStr">
        <is>
          <t>initial review</t>
        </is>
      </c>
      <c r="F541" s="7" t="inlineStr">
        <is>
          <t>eurostat-ai-use-2025</t>
        </is>
      </c>
      <c r="G541" s="7" t="inlineStr">
        <is>
          <t>Eurostat (2025), Use of artificial intelligence in enterprises, Statistics Explained (data extracted December 2025)</t>
        </is>
      </c>
      <c r="H541" s="7" t="n">
        <v>2025</v>
      </c>
      <c r="I541" s="7" t="inlineStr">
        <is>
          <t>official statistics</t>
        </is>
      </c>
      <c r="J541" s="7" t="inlineStr">
        <is>
          <t>descriptive</t>
        </is>
      </c>
      <c r="K541" s="7" t="inlineStr">
        <is>
          <t>AI uptake</t>
        </is>
      </c>
      <c r="L541" s="7" t="inlineStr">
        <is>
          <t>n/a (monitoring indicator)</t>
        </is>
      </c>
      <c r="M541" s="7" t="inlineStr">
        <is>
          <t>AI use by EU enterprises (10+ employees): 7.7% (2021), 8.1% (2023), 13.5% (2024), 19.95% (2025); large enterprises 55%; Denmark 42%, Romania 5%</t>
        </is>
      </c>
      <c r="N541" s="7" t="inlineStr">
        <is>
          <t>One in five EU firms used AI in 2025, up from one in thirteen in 2023 - one of the Act's own success indicators, though the rise reflects the generative-AI boom rather than the Act.</t>
        </is>
      </c>
      <c r="O541" s="7" t="inlineStr">
        <is>
          <t>EU-27, 2021-2025</t>
        </is>
      </c>
      <c r="P541" s="7" t="inlineStr">
        <is>
          <t>descriptive; not causal</t>
        </is>
      </c>
      <c r="Q541" s="7" t="inlineStr"/>
      <c r="R541" s="7" t="inlineStr">
        <is>
          <t>open</t>
        </is>
      </c>
      <c r="S541" s="7" t="inlineStr">
        <is>
          <t>search summary of official release</t>
        </is>
      </c>
      <c r="T541" s="7" t="inlineStr">
        <is>
          <t>2026-10-10</t>
        </is>
      </c>
      <c r="U541" s="7" t="inlineStr">
        <is>
          <t>https://ec.europa.eu/eurostat/statistics-explained/index.php/Use_of_artificial_intelligence_in_enterprises</t>
        </is>
      </c>
      <c r="V541" s="7" t="inlineStr"/>
      <c r="W541" s="7" t="inlineStr"/>
    </row>
    <row r="542">
      <c r="A542" s="7" t="n">
        <v>64</v>
      </c>
      <c r="B542" s="7" t="inlineStr">
        <is>
          <t>Artificial Intelligence Act</t>
        </is>
      </c>
      <c r="C542" s="7" t="inlineStr">
        <is>
          <t>evidence</t>
        </is>
      </c>
      <c r="D542" s="7" t="inlineStr">
        <is>
          <t>official</t>
        </is>
      </c>
      <c r="E542" s="7" t="inlineStr">
        <is>
          <t>initial review</t>
        </is>
      </c>
      <c r="F542" s="7" t="inlineStr">
        <is>
          <t>ai-omnibus-2026</t>
        </is>
      </c>
      <c r="G542" s="7" t="inlineStr">
        <is>
          <t>Council of the EU / European Parliament (2026), Digital Omnibus on AI (amending the AI Act): postponement of high-risk obligations, Political agreement 7 May 2026; Parliament 16 June, Council 29 June 2026</t>
        </is>
      </c>
      <c r="H542" s="7" t="n">
        <v>2026</v>
      </c>
      <c r="I542" s="7" t="inlineStr">
        <is>
          <t>legislative record (secondary summary)</t>
        </is>
      </c>
      <c r="J542" s="7" t="inlineStr">
        <is>
          <t>legislative record</t>
        </is>
      </c>
      <c r="K542" s="7" t="inlineStr">
        <is>
          <t>implementation</t>
        </is>
      </c>
      <c r="L542" s="7" t="inlineStr">
        <is>
          <t>n/a</t>
        </is>
      </c>
      <c r="M542" s="7" t="inlineStr">
        <is>
          <t>High-risk obligations postponed from 2 Aug 2026 to 2 Dec 2027 (Annex III) and from 2 Aug 2027 to 2 Aug 2028 (Annex I)</t>
        </is>
      </c>
      <c r="N542" s="7" t="inlineStr">
        <is>
          <t>Two years after adoption, EU lawmakers postponed the AI Act's main high-risk rules by more than a year to give firms and standard-setters more time.</t>
        </is>
      </c>
      <c r="O542" s="7" t="inlineStr">
        <is>
          <t>EU</t>
        </is>
      </c>
      <c r="P542" s="7" t="inlineStr">
        <is>
          <t>law-firm summary; check Official Journal text</t>
        </is>
      </c>
      <c r="Q542" s="7" t="inlineStr"/>
      <c r="R542" s="7" t="inlineStr">
        <is>
          <t>open</t>
        </is>
      </c>
      <c r="S542" s="7" t="inlineStr">
        <is>
          <t>search summary</t>
        </is>
      </c>
      <c r="T542" s="7" t="inlineStr">
        <is>
          <t>2026-10-10</t>
        </is>
      </c>
      <c r="U542" s="7" t="inlineStr">
        <is>
          <t>https://www.addleshawgoddard.com/en/insights/insights-briefings/2026/technology/ai-omnibus-provisional-agreement-changes-eu-ai-act-delayed-deadlines/</t>
        </is>
      </c>
      <c r="V542" s="7" t="inlineStr"/>
      <c r="W542" s="7" t="inlineStr">
        <is>
          <t>http://web.archive.org/web/20260616000131/https://www.addleshawgoddard.com/en/insights/insights-briefings/2026/technology/ai-omnibus-provisional-agreement-changes-eu-ai-act-delayed-deadlines/</t>
        </is>
      </c>
    </row>
    <row r="543">
      <c r="A543" s="7" t="n">
        <v>64</v>
      </c>
      <c r="B543" s="7" t="inlineStr">
        <is>
          <t>Artificial Intelligence Act</t>
        </is>
      </c>
      <c r="C543" s="7" t="inlineStr">
        <is>
          <t>evidence</t>
        </is>
      </c>
      <c r="D543" s="7" t="inlineStr">
        <is>
          <t>consultancy or industry</t>
        </is>
      </c>
      <c r="E543" s="7" t="inlineStr">
        <is>
          <t>initial review</t>
        </is>
      </c>
      <c r="F543" s="7" t="inlineStr">
        <is>
          <t>appliedai-2022-startups</t>
        </is>
      </c>
      <c r="G543" s="7" t="inlineStr">
        <is>
          <t>appliedAI Institute / Digital Poland et al. (2022), AI Act Impact Survey: Exploring the impact of the AI Act on startups in Europe, Survey of 113 AI start-ups and VC firms</t>
        </is>
      </c>
      <c r="H543" s="7" t="n">
        <v>2022</v>
      </c>
      <c r="I543" s="7" t="inlineStr">
        <is>
          <t>industry/advocacy survey</t>
        </is>
      </c>
      <c r="J543" s="7" t="inlineStr">
        <is>
          <t>survey (ex-ante, draft Act)</t>
        </is>
      </c>
      <c r="K543" s="7" t="inlineStr">
        <is>
          <t>innovation; investment; compliance burden</t>
        </is>
      </c>
      <c r="L543" s="7" t="inlineStr">
        <is>
          <t>negative (expected)</t>
        </is>
      </c>
      <c r="M543" s="7" t="inlineStr">
        <is>
          <t>33-50% of start-ups expected their systems to be high-risk (vs 5-15% assumed by the Commission); about 16% considered stopping AI development or relocating outside the EU; 73% of surveyed VCs expected reduced competitiveness</t>
        </is>
      </c>
      <c r="N543" s="7" t="inlineStr">
        <is>
          <t>Before adoption, many AI start-ups expected far more of their products to be classed as high-risk than the Commission assumed, and some considered leaving the EU.</t>
        </is>
      </c>
      <c r="O543" s="7" t="inlineStr">
        <is>
          <t>EU start-ups, 2022</t>
        </is>
      </c>
      <c r="P543" s="7" t="inlineStr">
        <is>
          <t>small, self-selected sample; expectations not outcomes</t>
        </is>
      </c>
      <c r="Q543" s="7" t="inlineStr">
        <is>
          <t>Start-up and digital-industry associations</t>
        </is>
      </c>
      <c r="R543" s="7" t="inlineStr">
        <is>
          <t>open</t>
        </is>
      </c>
      <c r="S543" s="7" t="inlineStr">
        <is>
          <t>search summary</t>
        </is>
      </c>
      <c r="T543" s="7" t="inlineStr">
        <is>
          <t>2026-10-10</t>
        </is>
      </c>
      <c r="U543" s="7" t="inlineStr">
        <is>
          <t>https://www.digitalpoland.org/en/blog/2022/12/artificial-intelligence-act-will-reduce-the-competitiveness-of-the-european-ai-ecosystem</t>
        </is>
      </c>
      <c r="V543" s="7" t="inlineStr"/>
      <c r="W543" s="7" t="inlineStr">
        <is>
          <t>http://web.archive.org/web/20260514221615/https://digitalpoland.org/en/blog/2022/12/artificial-intelligence-act-will-reduce-the-competitiveness-of-the-european-ai-ecosystem</t>
        </is>
      </c>
    </row>
    <row r="544">
      <c r="A544" s="7" t="n">
        <v>64</v>
      </c>
      <c r="B544" s="7" t="inlineStr">
        <is>
          <t>Artificial Intelligence Act</t>
        </is>
      </c>
      <c r="C544" s="7" t="inlineStr">
        <is>
          <t>evidence</t>
        </is>
      </c>
      <c r="D544" s="7" t="inlineStr">
        <is>
          <t>think tank</t>
        </is>
      </c>
      <c r="E544" s="7" t="inlineStr">
        <is>
          <t>2026-10 broadened search</t>
        </is>
      </c>
      <c r="F544" s="7" t="inlineStr">
        <is>
          <t>lidiard-2026-frontier-delays</t>
        </is>
      </c>
      <c r="G544" s="7" t="inlineStr">
        <is>
          <t>Lidiard, J., Vereschak, O., Gibbs, T. &amp; Anderljung, M. (2026), Delays to Frontier AI in the EU and UK: Analysis of 375 LLM Releases by Meta, Google, OpenAI, and Anthropic, GovAI Technical Report</t>
        </is>
      </c>
      <c r="H544" s="7" t="n">
        <v>2026</v>
      </c>
      <c r="I544" s="7" t="inlineStr">
        <is>
          <t>think tank report</t>
        </is>
      </c>
      <c r="J544" s="7" t="inlineStr">
        <is>
          <t>dataset of 375 LLM releases (June 2018-May 2026) with coded causes of EU/UK delays</t>
        </is>
      </c>
      <c r="K544" s="7" t="inlineStr">
        <is>
          <t>delays and non-releases of AI models in the EU relative to the US</t>
        </is>
      </c>
      <c r="L544" s="7" t="inlineStr">
        <is>
          <t>no effect</t>
        </is>
      </c>
      <c r="M544" s="7" t="inlineStr">
        <is>
          <t>11% of model releases were delayed or not released in the EU (7% in UK); of 68 cases, 56 attributed mainly to regulation, chiefly data protection, with no strong evidence that the AI Act caused delays.</t>
        </is>
      </c>
      <c r="N544" s="7" t="inlineStr">
        <is>
          <t>Some AI models reached Europe late or not at all, mostly because of data-protection rules; the researchers found no clear sign the AI Act itself caused delays so far.</t>
        </is>
      </c>
      <c r="O544" s="7" t="inlineStr">
        <is>
          <t>EU and UK vs US, 2018-2026</t>
        </is>
      </c>
      <c r="P544" s="7" t="inlineStr">
        <is>
          <t>Careful descriptive coding of public sources; causes inferred, GPAI obligations covered only ten months and not yet enforceable; not peer-reviewed.</t>
        </is>
      </c>
      <c r="Q544" s="7" t="inlineStr">
        <is>
          <t>GovAI is a philanthropy-funded AI governance institute; generally supportive of frontier AI regulation</t>
        </is>
      </c>
      <c r="R544" s="7" t="inlineStr">
        <is>
          <t>open</t>
        </is>
      </c>
      <c r="S544" s="7" t="inlineStr">
        <is>
          <t>abstract read</t>
        </is>
      </c>
      <c r="T544" s="7" t="inlineStr">
        <is>
          <t>2026-10-10</t>
        </is>
      </c>
      <c r="U544" s="7" t="inlineStr">
        <is>
          <t>https://governance.ai/research-paper/delays-to-frontier-ai-in-the-eu-and-uk</t>
        </is>
      </c>
      <c r="V544" s="7" t="inlineStr"/>
      <c r="W544" s="7" t="inlineStr"/>
    </row>
    <row r="545">
      <c r="A545" s="7" t="n">
        <v>64</v>
      </c>
      <c r="B545" s="7" t="inlineStr">
        <is>
          <t>Artificial Intelligence Act</t>
        </is>
      </c>
      <c r="C545" s="7" t="inlineStr">
        <is>
          <t>evidence</t>
        </is>
      </c>
      <c r="D545" s="7" t="inlineStr">
        <is>
          <t>academic</t>
        </is>
      </c>
      <c r="E545" s="7" t="inlineStr">
        <is>
          <t>2026-10 broadened search</t>
        </is>
      </c>
      <c r="F545" s="7" t="inlineStr">
        <is>
          <t>guldimann-2024-complai</t>
        </is>
      </c>
      <c r="G545" s="7" t="inlineStr">
        <is>
          <t>Guldimann, P., Spiridonov, A., Staab, R., Jovanović, N., Vero, M., Vechev, V., Gueorguieva, A.-M., Balunović, M., Konstantinov, N., Bielik, P., Tsankov, P. &amp; Vechev, M. (2024), COMPL-AI Framework: A Technical Interpretation and LLM Benchmarking Suite for the EU Artificial Intelligence Act, arXiv:2410.07959</t>
        </is>
      </c>
      <c r="H545" s="7" t="n">
        <v>2024</v>
      </c>
      <c r="I545" s="7" t="inlineStr">
        <is>
          <t>academic working paper</t>
        </is>
      </c>
      <c r="J545" s="7" t="inlineStr">
        <is>
          <t>benchmark-based compliance measurement of 12 LLMs against AI Act requirements</t>
        </is>
      </c>
      <c r="K545" s="7" t="inlineStr">
        <is>
          <t>model performance on AI Act-derived technical requirements (robustness, safety, fairness, etc.)</t>
        </is>
      </c>
      <c r="L545" s="7" t="inlineStr">
        <is>
          <t>descriptive</t>
        </is>
      </c>
      <c r="M545" s="7" t="inlineStr">
        <is>
          <t>Evaluating 12 prominent LLMs, finds shortcomings especially in robustness, safety, diversity and fairness; none fully meet the Act's requirements as technically interpreted.</t>
        </is>
      </c>
      <c r="N545" s="7" t="inlineStr">
        <is>
          <t>Researchers tested 12 major AI chatbots against a technical reading of the AI Act and found none fully up to standard, especially on safety and fairness.</t>
        </is>
      </c>
      <c r="O545" s="7" t="inlineStr">
        <is>
          <t>Global LLMs, 2024</t>
        </is>
      </c>
      <c r="P545" s="7" t="inlineStr">
        <is>
          <t>Measurement depends on authors' own technical interpretation; pre-application of GPAI rules; co-authors at LatticeFlow AI, a compliance vendor.</t>
        </is>
      </c>
      <c r="Q545" s="7" t="inlineStr">
        <is>
          <t>Co-authored by LatticeFlow AI, which sells AI compliance tools</t>
        </is>
      </c>
      <c r="R545" s="7" t="inlineStr">
        <is>
          <t>open</t>
        </is>
      </c>
      <c r="S545" s="7" t="inlineStr">
        <is>
          <t>abstract read</t>
        </is>
      </c>
      <c r="T545" s="7" t="inlineStr">
        <is>
          <t>2026-10-10</t>
        </is>
      </c>
      <c r="U545" s="7" t="inlineStr">
        <is>
          <t>https://doi.org/10.48550/arXiv.2410.07959</t>
        </is>
      </c>
      <c r="V545" s="7" t="inlineStr">
        <is>
          <t>https://arxiv.org/pdf/2410.07959</t>
        </is>
      </c>
      <c r="W545" s="7" t="inlineStr"/>
    </row>
    <row r="546">
      <c r="A546" s="7" t="n">
        <v>64</v>
      </c>
      <c r="B546" s="7" t="inlineStr">
        <is>
          <t>Artificial Intelligence Act</t>
        </is>
      </c>
      <c r="C546" s="7" t="inlineStr">
        <is>
          <t>evidence</t>
        </is>
      </c>
      <c r="D546" s="7" t="inlineStr">
        <is>
          <t>academic</t>
        </is>
      </c>
      <c r="E546" s="7" t="inlineStr">
        <is>
          <t>2026-10 broadened search</t>
        </is>
      </c>
      <c r="F546" s="7" t="inlineStr">
        <is>
          <t>gutierrez-2026-aiact-eventstudy</t>
        </is>
      </c>
      <c r="G546" s="7" t="inlineStr">
        <is>
          <t>Gutierrez, E. F., Rykaczewski, M. &amp; Vulcheva, M. (2026), European Union's AI Act: Protecting the Public at the Cost of Innovation?, SSRN working paper</t>
        </is>
      </c>
      <c r="H546" s="7" t="n">
        <v>2026</v>
      </c>
      <c r="I546" s="7" t="inlineStr">
        <is>
          <t>academic working paper</t>
        </is>
      </c>
      <c r="J546" s="7" t="inlineStr">
        <is>
          <t>event study of stock market reactions to AI Act legislative events, with cross-sectional moderators (country AI investment, firm size, R&amp;D intensity)</t>
        </is>
      </c>
      <c r="K546" s="7" t="inlineStr">
        <is>
          <t>abnormal stock returns of EU firms</t>
        </is>
      </c>
      <c r="L546" s="7" t="inlineStr">
        <is>
          <t>negative</t>
        </is>
      </c>
      <c r="M546" s="7" t="inlineStr">
        <is>
          <t>Negative EU-wide abnormal returns around initial and cost-increasing AI Act events, stronger in high-AI-investment countries, high-risk industries and R&amp;D-intensive firms; larger firms fare better.</t>
        </is>
      </c>
      <c r="N546" s="7" t="inlineStr">
        <is>
          <t>Share prices of European firms fell when the AI Act was proposed or tightened, especially for research-heavy and smaller firms, suggesting investors expected higher costs.</t>
        </is>
      </c>
      <c r="O546" s="7" t="inlineStr">
        <is>
          <t>EU listed firms, 2021-2024</t>
        </is>
      </c>
      <c r="P546" s="7" t="inlineStr">
        <is>
          <t>Event study measures investor expectations, not realised effects; event contamination possible. Abstract read via Crossref record (SSRN page blocked).</t>
        </is>
      </c>
      <c r="Q546" s="7" t="inlineStr"/>
      <c r="R546" s="7" t="inlineStr">
        <is>
          <t>open</t>
        </is>
      </c>
      <c r="S546" s="7" t="inlineStr">
        <is>
          <t>abstract read</t>
        </is>
      </c>
      <c r="T546" s="7" t="inlineStr">
        <is>
          <t>2026-10-10</t>
        </is>
      </c>
      <c r="U546" s="7" t="inlineStr">
        <is>
          <t>https://doi.org/10.2139/ssrn.6314258</t>
        </is>
      </c>
      <c r="V546" s="7" t="inlineStr"/>
      <c r="W546" s="7" t="inlineStr"/>
    </row>
    <row r="547">
      <c r="A547" s="7" t="n">
        <v>64</v>
      </c>
      <c r="B547" s="7" t="inlineStr">
        <is>
          <t>Artificial Intelligence Act</t>
        </is>
      </c>
      <c r="C547" s="7" t="inlineStr">
        <is>
          <t>evidence</t>
        </is>
      </c>
      <c r="D547" s="7" t="inlineStr">
        <is>
          <t>consultancy or industry</t>
        </is>
      </c>
      <c r="E547" s="7" t="inlineStr">
        <is>
          <t>2026-10 broadened search</t>
        </is>
      </c>
      <c r="F547" s="7" t="inlineStr">
        <is>
          <t>bitkom-2024-aiact-survey</t>
        </is>
      </c>
      <c r="G547" s="7" t="inlineStr">
        <is>
          <t>Bitkom (Bitkom Research) (2024), Jedes vierte Unternehmen beschäftigt sich mit dem AI Act (One in four companies is dealing with the AI Act), Bitkom press release</t>
        </is>
      </c>
      <c r="H547" s="7" t="n">
        <v>2024</v>
      </c>
      <c r="I547" s="7" t="inlineStr">
        <is>
          <t>survey report</t>
        </is>
      </c>
      <c r="J547" s="7" t="inlineStr">
        <is>
          <t>representative telephone survey of 602 German firms (20+ employees), June-July 2024</t>
        </is>
      </c>
      <c r="K547" s="7" t="inlineStr">
        <is>
          <t>awareness of and engagement with the AI Act; perceived effects; need for support</t>
        </is>
      </c>
      <c r="L547" s="7" t="inlineStr">
        <is>
          <t>descriptive</t>
        </is>
      </c>
      <c r="M547" s="7" t="inlineStr">
        <is>
          <t>Only 24% of German firms had engaged with the AI Act (3% in depth), 24% had never heard of it, and 69% said they need help to comply.</t>
        </is>
      </c>
      <c r="N547" s="7" t="inlineStr">
        <is>
          <t>Shortly after the AI Act took effect, only a quarter of German companies had looked into it and a quarter had never heard of it.</t>
        </is>
      </c>
      <c r="O547" s="7" t="inlineStr">
        <is>
          <t>Germany, mid-2024</t>
        </is>
      </c>
      <c r="P547" s="7" t="inlineStr">
        <is>
          <t>Representative survey but press-release level detail; measures awareness/perceptions not costs; industry association.</t>
        </is>
      </c>
      <c r="Q547" s="7" t="inlineStr">
        <is>
          <t>Bitkom is the German digital industry association, lobbying on the AI Act</t>
        </is>
      </c>
      <c r="R547" s="7" t="inlineStr">
        <is>
          <t>open</t>
        </is>
      </c>
      <c r="S547" s="7" t="inlineStr">
        <is>
          <t>abstract read</t>
        </is>
      </c>
      <c r="T547" s="7" t="inlineStr">
        <is>
          <t>2026-10-10</t>
        </is>
      </c>
      <c r="U547" s="7" t="inlineStr">
        <is>
          <t>https://www.bitkom.org/Presse/Presseinformation/Jedes-vierte-Unternehmen-beschaeftigt-mit-AI-Act</t>
        </is>
      </c>
      <c r="V547" s="7" t="inlineStr"/>
      <c r="W547" s="7" t="inlineStr"/>
    </row>
    <row r="548">
      <c r="A548" s="7" t="n">
        <v>64</v>
      </c>
      <c r="B548" s="7" t="inlineStr">
        <is>
          <t>Artificial Intelligence Act</t>
        </is>
      </c>
      <c r="C548" s="7" t="inlineStr">
        <is>
          <t>evidence</t>
        </is>
      </c>
      <c r="D548" s="7" t="inlineStr">
        <is>
          <t>consultancy or industry</t>
        </is>
      </c>
      <c r="E548" s="7" t="inlineStr">
        <is>
          <t>2026-10 broadened search</t>
        </is>
      </c>
      <c r="F548" s="7" t="inlineStr">
        <is>
          <t>littler-2025-employer-survey</t>
        </is>
      </c>
      <c r="G548" s="7" t="inlineStr">
        <is>
          <t>Littler Mendelson (2025), Littler European Employer Survey Report 2025, Littler (law firm) survey report</t>
        </is>
      </c>
      <c r="H548" s="7" t="n">
        <v>2025</v>
      </c>
      <c r="I548" s="7" t="inlineStr">
        <is>
          <t>survey report</t>
        </is>
      </c>
      <c r="J548" s="7" t="inlineStr">
        <is>
          <t>survey of 400+ European business leaders, in-house lawyers and HR executives</t>
        </is>
      </c>
      <c r="K548" s="7" t="inlineStr">
        <is>
          <t>self-assessed preparedness for AI Act compliance</t>
        </is>
      </c>
      <c r="L548" s="7" t="inlineStr">
        <is>
          <t>descriptive</t>
        </is>
      </c>
      <c r="M548" s="7" t="inlineStr">
        <is>
          <t>Just 18% of respondents say their organisations are very prepared to comply with the AI Act and 20% not at all prepared, essentially unchanged from 2024.</t>
        </is>
      </c>
      <c r="N548" s="7" t="inlineStr">
        <is>
          <t>Fewer than one in five European employers feel very ready for the AI Act's rules.</t>
        </is>
      </c>
      <c r="O548" s="7" t="inlineStr">
        <is>
          <t>Europe, 2025</t>
        </is>
      </c>
      <c r="P548" s="7" t="inlineStr">
        <is>
          <t>Self-selected respondents, self-assessed readiness; employment-law firm with commercial interest in compliance advice.</t>
        </is>
      </c>
      <c r="Q548" s="7" t="inlineStr">
        <is>
          <t>Employment law firm selling compliance advice</t>
        </is>
      </c>
      <c r="R548" s="7" t="inlineStr">
        <is>
          <t>open</t>
        </is>
      </c>
      <c r="S548" s="7" t="inlineStr">
        <is>
          <t>abstract read</t>
        </is>
      </c>
      <c r="T548" s="7" t="inlineStr">
        <is>
          <t>2026-10-10</t>
        </is>
      </c>
      <c r="U548" s="7" t="inlineStr">
        <is>
          <t>https://www.littler.com/news-analysis/littler-report/littler-european-employer-survey-report-2025</t>
        </is>
      </c>
      <c r="V548" s="7" t="inlineStr"/>
      <c r="W548" s="7" t="inlineStr"/>
    </row>
    <row r="549">
      <c r="A549" s="7" t="n">
        <v>64</v>
      </c>
      <c r="B549" s="7" t="inlineStr">
        <is>
          <t>Artificial Intelligence Act</t>
        </is>
      </c>
      <c r="C549" s="7" t="inlineStr">
        <is>
          <t>evidence</t>
        </is>
      </c>
      <c r="D549" s="7" t="inlineStr">
        <is>
          <t>think tank</t>
        </is>
      </c>
      <c r="E549" s="7" t="inlineStr">
        <is>
          <t>2026-10 broadened search</t>
        </is>
      </c>
      <c r="F549" s="7" t="inlineStr">
        <is>
          <t>fli-2026-aiact-national-authorities</t>
        </is>
      </c>
      <c r="G549" s="7" t="inlineStr">
        <is>
          <t>Future of Life Institute (artificialintelligenceact.eu) (2026), Overview of all AI Act National Implementation Plans (last update 17 June 2026), EU Artificial Intelligence Act website (Future of Life Institute)</t>
        </is>
      </c>
      <c r="H549" s="7" t="n">
        <v>2026</v>
      </c>
      <c r="I549" s="7" t="inlineStr">
        <is>
          <t>think tank report</t>
        </is>
      </c>
      <c r="J549" s="7" t="inlineStr">
        <is>
          <t>tracker of national authority designations across EU-27 based on public sources</t>
        </is>
      </c>
      <c r="K549" s="7" t="inlineStr">
        <is>
          <t>designation of market surveillance and notifying authorities; fundamental-rights authorities</t>
        </is>
      </c>
      <c r="L549" s="7" t="inlineStr">
        <is>
          <t>negative</t>
        </is>
      </c>
      <c r="M549" s="7" t="inlineStr">
        <is>
          <t>Many Member States missed the 2 August 2025 deadline: as of June 2026 only 9 had clearly designated national competent authorities, 12 had partial clarity and 6 had none, while all 27 had named fundamental-rights authorities.</t>
        </is>
      </c>
      <c r="N549" s="7" t="inlineStr">
        <is>
          <t>A tracker of national AI Act enforcement bodies shows that, nearly a year after the deadline, most EU countries had not fully set up the authorities that will enforce the law.</t>
        </is>
      </c>
      <c r="O549" s="7" t="inlineStr">
        <is>
          <t>EU-27, August 2024 - June 2026</t>
        </is>
      </c>
      <c r="P549" s="7" t="inlineStr">
        <is>
          <t>Desk-based tracker, continuously updated; dependent on public information.</t>
        </is>
      </c>
      <c r="Q549" s="7" t="inlineStr">
        <is>
          <t>Non-profit campaigning for AI safety regulation</t>
        </is>
      </c>
      <c r="R549" s="7" t="inlineStr">
        <is>
          <t>open</t>
        </is>
      </c>
      <c r="S549" s="7" t="inlineStr">
        <is>
          <t>full text read</t>
        </is>
      </c>
      <c r="T549" s="7" t="inlineStr">
        <is>
          <t>2026-10-10</t>
        </is>
      </c>
      <c r="U549" s="7" t="inlineStr">
        <is>
          <t>https://artificialintelligenceact.eu/national-implementation-plans/</t>
        </is>
      </c>
      <c r="V549" s="7" t="inlineStr"/>
      <c r="W549" s="7" t="inlineStr"/>
    </row>
    <row r="550">
      <c r="A550" s="7" t="n">
        <v>64</v>
      </c>
      <c r="B550" s="7" t="inlineStr">
        <is>
          <t>Artificial Intelligence Act</t>
        </is>
      </c>
      <c r="C550" s="7" t="inlineStr">
        <is>
          <t>evidence</t>
        </is>
      </c>
      <c r="D550" s="7" t="inlineStr">
        <is>
          <t>consultancy or industry</t>
        </is>
      </c>
      <c r="E550" s="7" t="inlineStr">
        <is>
          <t>2026-10 broadened search</t>
        </is>
      </c>
      <c r="F550" s="7" t="inlineStr">
        <is>
          <t>deloitte-2024-aiact-survey</t>
        </is>
      </c>
      <c r="G550" s="7" t="inlineStr">
        <is>
          <t>Deloitte Germany (2024), Deloitte AI Act Survey (Umfrage zum EU AI Act), Deloitte, September 2024 (reported by dpa/it-daily)</t>
        </is>
      </c>
      <c r="H550" s="7" t="n">
        <v>2024</v>
      </c>
      <c r="I550" s="7" t="inlineStr">
        <is>
          <t>survey report</t>
        </is>
      </c>
      <c r="J550" s="7" t="inlineStr">
        <is>
          <t>survey of 500 managers responsible for AI in German companies, 24 July - 14 August 2024</t>
        </is>
      </c>
      <c r="K550" s="7" t="inlineStr">
        <is>
          <t>preparation for AI Act; perceived effect on innovation</t>
        </is>
      </c>
      <c r="L550" s="7" t="inlineStr">
        <is>
          <t>negative</t>
        </is>
      </c>
      <c r="M550" s="7" t="inlineStr">
        <is>
          <t>52% of AI managers expect the AI Act to restrict their innovation (19% expect it to strengthen it) and only about a quarter of firms had started preparing for implementation.</t>
        </is>
      </c>
      <c r="N550" s="7" t="inlineStr">
        <is>
          <t>A survey of German company AI managers just after the AI Act took effect found half expected it to hold back innovation and few had started preparing.</t>
        </is>
      </c>
      <c r="O550" s="7" t="inlineStr">
        <is>
          <t>Germany, July-August 2024</t>
        </is>
      </c>
      <c r="P550" s="7" t="inlineStr">
        <is>
          <t>Self-reported expectations soon after entry into force; margin of error 8.5-8.7 pp; primary PDF could not be opened (redirect loop).</t>
        </is>
      </c>
      <c r="Q550" s="7" t="inlineStr">
        <is>
          <t>Consultancy selling AI Act compliance services</t>
        </is>
      </c>
      <c r="R550" s="7" t="inlineStr">
        <is>
          <t>open</t>
        </is>
      </c>
      <c r="S550" s="7" t="inlineStr">
        <is>
          <t>summary only</t>
        </is>
      </c>
      <c r="T550" s="7" t="inlineStr">
        <is>
          <t>2026-10-10</t>
        </is>
      </c>
      <c r="U550" s="7" t="inlineStr">
        <is>
          <t>https://www.it-daily.net/?p=124309</t>
        </is>
      </c>
      <c r="V550" s="7" t="inlineStr">
        <is>
          <t>https://www2.deloitte.com/content/dam/Deloitte/dl/Documents/legal/Deloitte%20AI%20Act%20Survey_english.pdf</t>
        </is>
      </c>
      <c r="W550" s="7" t="inlineStr"/>
    </row>
    <row r="551">
      <c r="A551" s="7" t="n">
        <v>93</v>
      </c>
      <c r="B551" s="7" t="inlineStr">
        <is>
          <t>Net-Zero Industry Act</t>
        </is>
      </c>
      <c r="C551" s="7" t="inlineStr">
        <is>
          <t>ex-ante assessment</t>
        </is>
      </c>
      <c r="D551" s="7" t="inlineStr">
        <is>
          <t>official</t>
        </is>
      </c>
      <c r="E551" s="7" t="inlineStr">
        <is>
          <t>initial review</t>
        </is>
      </c>
      <c r="F551" s="7" t="inlineStr">
        <is>
          <t>ec-2023-nzia-proposal</t>
        </is>
      </c>
      <c r="G551" s="7" t="inlineStr">
        <is>
          <t>European Commission (2023), Proposal for a Net-Zero Industry Act, explanatory memorandum, COM(2023) 161</t>
        </is>
      </c>
      <c r="H551" s="7" t="n">
        <v>2023</v>
      </c>
      <c r="I551" s="7" t="inlineStr">
        <is>
          <t>Commission proposal (no impact assessment)</t>
        </is>
      </c>
      <c r="J551" s="7" t="inlineStr">
        <is>
          <t>ex-ante (no IA)</t>
        </is>
      </c>
      <c r="K551" s="7" t="inlineStr">
        <is>
          <t>manufacturing capacity; market size</t>
        </is>
      </c>
      <c r="L551" s="7" t="inlineStr">
        <is>
          <t>positive (forecast)</t>
        </is>
      </c>
      <c r="M551" s="7" t="inlineStr">
        <is>
          <t>Proposal not accompanied by an impact assessment owing to urgency; global market for key mass-manufactured net-zero technologies expected to reach about EUR 600bn a year by 2030 (IEA)</t>
        </is>
      </c>
      <c r="N551" s="7" t="inlineStr">
        <is>
          <t>The Commission proposed the Act without an impact assessment, pointing to a global clean-tech market worth about EUR 600 billion a year by 2030.</t>
        </is>
      </c>
      <c r="O551" s="7" t="inlineStr">
        <is>
          <t>EU/global, forecast</t>
        </is>
      </c>
      <c r="P551" s="7" t="inlineStr">
        <is>
          <t>no impact assessment</t>
        </is>
      </c>
      <c r="Q551" s="7" t="inlineStr"/>
      <c r="R551" s="7" t="inlineStr">
        <is>
          <t>open</t>
        </is>
      </c>
      <c r="S551" s="7" t="inlineStr">
        <is>
          <t>full text read</t>
        </is>
      </c>
      <c r="T551" s="7" t="inlineStr">
        <is>
          <t>2026-10-10</t>
        </is>
      </c>
      <c r="U551" s="7" t="inlineStr">
        <is>
          <t>https://eur-lex.europa.eu/legal-content/EN/TXT/?uri=CELEX:52023PC0161</t>
        </is>
      </c>
      <c r="V551" s="7" t="inlineStr"/>
      <c r="W551" s="7" t="inlineStr"/>
    </row>
    <row r="552">
      <c r="A552" s="7" t="n">
        <v>93</v>
      </c>
      <c r="B552" s="7" t="inlineStr">
        <is>
          <t>Net-Zero Industry Act</t>
        </is>
      </c>
      <c r="C552" s="7" t="inlineStr">
        <is>
          <t>evidence</t>
        </is>
      </c>
      <c r="D552" s="7" t="inlineStr">
        <is>
          <t>official</t>
        </is>
      </c>
      <c r="E552" s="7" t="inlineStr">
        <is>
          <t>initial review</t>
        </is>
      </c>
      <c r="F552" s="7" t="inlineStr">
        <is>
          <t>ec-2023-nzia-swd68</t>
        </is>
      </c>
      <c r="G552" s="7" t="inlineStr">
        <is>
          <t>European Commission (2023), Investment needs assessment and funding availabilities to strengthen EU's Net-Zero technology manufacturing capacity, SWD(2023) 68</t>
        </is>
      </c>
      <c r="H552" s="7" t="n">
        <v>2023</v>
      </c>
      <c r="I552" s="7" t="inlineStr">
        <is>
          <t>Commission staff working document</t>
        </is>
      </c>
      <c r="J552" s="7" t="inlineStr">
        <is>
          <t>ex-ante</t>
        </is>
      </c>
      <c r="K552" s="7" t="inlineStr">
        <is>
          <t>investment needs</t>
        </is>
      </c>
      <c r="L552" s="7" t="inlineStr">
        <is>
          <t>n/a (needs estimate)</t>
        </is>
      </c>
      <c r="M552" s="7" t="inlineStr">
        <is>
          <t>Estimates EU investment needed in net-zero manufacturing; secondary reports put it at around EUR 92bn by 2030</t>
        </is>
      </c>
      <c r="N552" s="7" t="inlineStr">
        <is>
          <t>The Commission's background analysis estimated the investment needed to build EU clean-tech factories, reported at around EUR 92 billion by 2030.</t>
        </is>
      </c>
      <c r="O552" s="7" t="inlineStr">
        <is>
          <t>EU, to 2030</t>
        </is>
      </c>
      <c r="P552" s="7" t="inlineStr">
        <is>
          <t>forecast</t>
        </is>
      </c>
      <c r="Q552" s="7" t="inlineStr"/>
      <c r="R552" s="7" t="inlineStr">
        <is>
          <t>open</t>
        </is>
      </c>
      <c r="S552" s="7" t="inlineStr">
        <is>
          <t>page summary via search</t>
        </is>
      </c>
      <c r="T552" s="7" t="inlineStr">
        <is>
          <t>2026-10-10</t>
        </is>
      </c>
      <c r="U552" s="7" t="inlineStr">
        <is>
          <t>https://data.consilium.europa.eu/doc/document/ST-7613-2023-ADD-2/en/pdf</t>
        </is>
      </c>
      <c r="V552" s="7" t="inlineStr"/>
      <c r="W552" s="7" t="inlineStr"/>
    </row>
    <row r="553">
      <c r="A553" s="7" t="n">
        <v>93</v>
      </c>
      <c r="B553" s="7" t="inlineStr">
        <is>
          <t>Net-Zero Industry Act</t>
        </is>
      </c>
      <c r="C553" s="7" t="inlineStr">
        <is>
          <t>evidence</t>
        </is>
      </c>
      <c r="D553" s="7" t="inlineStr">
        <is>
          <t>think tank</t>
        </is>
      </c>
      <c r="E553" s="7" t="inlineStr">
        <is>
          <t>initial review</t>
        </is>
      </c>
      <c r="F553" s="7" t="inlineStr">
        <is>
          <t>tagliapietra-veugelers-zettelmeyer-2023</t>
        </is>
      </c>
      <c r="G553" s="7" t="inlineStr">
        <is>
          <t>Tagliapietra, Veugelers &amp; Zettelmeyer (2023), Rebooting the European Union's Net Zero Industry Act, Bruegel Policy Brief 15/2023</t>
        </is>
      </c>
      <c r="H553" s="7" t="n">
        <v>2023</v>
      </c>
      <c r="I553" s="7" t="inlineStr">
        <is>
          <t>think-tank policy brief</t>
        </is>
      </c>
      <c r="J553" s="7" t="inlineStr">
        <is>
          <t>policy analysis</t>
        </is>
      </c>
      <c r="K553" s="7" t="inlineStr">
        <is>
          <t>competitiveness; investment; governance</t>
        </is>
      </c>
      <c r="L553" s="7" t="inlineStr">
        <is>
          <t>negative (critique)</t>
        </is>
      </c>
      <c r="M553" s="7" t="inlineStr">
        <is>
          <t>Calls the proposal unconvincing: top-down technology picking, a poorly defined protectionist 40% self-sufficiency benchmark, reliance on permitting although it is not the main obstacle, ineffective procurement design and no governance structure</t>
        </is>
      </c>
      <c r="N553" s="7" t="inlineStr">
        <is>
          <t>Bruegel economists argued the Act picks technologies, sets a vague 40% self-sufficiency goal and targets permitting, which is not the main barrier to clean-tech investment.</t>
        </is>
      </c>
      <c r="O553" s="7" t="inlineStr">
        <is>
          <t>EU, 2023</t>
        </is>
      </c>
      <c r="P553" s="7" t="inlineStr">
        <is>
          <t>expert critique, not empirical</t>
        </is>
      </c>
      <c r="Q553" s="7" t="inlineStr"/>
      <c r="R553" s="7" t="inlineStr">
        <is>
          <t>open</t>
        </is>
      </c>
      <c r="S553" s="7" t="inlineStr">
        <is>
          <t>abstract read</t>
        </is>
      </c>
      <c r="T553" s="7" t="inlineStr">
        <is>
          <t>2026-10-10</t>
        </is>
      </c>
      <c r="U553" s="7" t="inlineStr">
        <is>
          <t>https://hdl.handle.net/10419/274229</t>
        </is>
      </c>
      <c r="V553" s="7" t="inlineStr"/>
      <c r="W553" s="7" t="inlineStr"/>
    </row>
    <row r="554">
      <c r="A554" s="7" t="n">
        <v>80</v>
      </c>
      <c r="B554" s="7" t="inlineStr">
        <is>
          <t>Ecodesign for Sustainable Products Regulation</t>
        </is>
      </c>
      <c r="C554" s="7" t="inlineStr">
        <is>
          <t>ex-ante assessment</t>
        </is>
      </c>
      <c r="D554" s="7" t="inlineStr">
        <is>
          <t>official</t>
        </is>
      </c>
      <c r="E554" s="7" t="inlineStr">
        <is>
          <t>initial review</t>
        </is>
      </c>
      <c r="F554" s="7" t="inlineStr">
        <is>
          <t>ec-2022-espr-ia</t>
        </is>
      </c>
      <c r="G554" s="7" t="inlineStr">
        <is>
          <t>European Commission (2022), Impact Assessment accompanying the proposal for an Ecodesign for Sustainable Products Regulation (executive summary SWD(2022) 83), SWD(2022) 82</t>
        </is>
      </c>
      <c r="H554" s="7" t="n">
        <v>2022</v>
      </c>
      <c r="I554" s="7" t="inlineStr">
        <is>
          <t>Commission impact assessment</t>
        </is>
      </c>
      <c r="J554" s="7" t="inlineStr">
        <is>
          <t>ex-ante</t>
        </is>
      </c>
      <c r="K554" s="7" t="inlineStr">
        <is>
          <t>environment; consumer costs; business costs</t>
        </is>
      </c>
      <c r="L554" s="7" t="inlineStr">
        <is>
          <t>positive (forecast, qualitative)</t>
        </is>
      </c>
      <c r="M554" s="7" t="inlineStr">
        <is>
          <t>Framework design means costs and benefits cannot be identified precisely; expects significant GHG reductions and market greening, some costs passed to consumers but offset by long-run savings; each delegated act to have its own IA (RSB first gave a negative opinion)</t>
        </is>
      </c>
      <c r="N554" s="7" t="inlineStr">
        <is>
          <t>The Commission expected greener, longer-lasting products and lower emissions, but said overall costs and benefits could only be estimated when rules for each product are set.</t>
        </is>
      </c>
      <c r="O554" s="7" t="inlineStr">
        <is>
          <t>EU, forecast</t>
        </is>
      </c>
      <c r="P554" s="7" t="inlineStr">
        <is>
          <t>forecast; largely unquantified</t>
        </is>
      </c>
      <c r="Q554" s="7" t="inlineStr"/>
      <c r="R554" s="7" t="inlineStr">
        <is>
          <t>open</t>
        </is>
      </c>
      <c r="S554" s="7" t="inlineStr">
        <is>
          <t>full text read</t>
        </is>
      </c>
      <c r="T554" s="7" t="inlineStr">
        <is>
          <t>2026-10-10</t>
        </is>
      </c>
      <c r="U554" s="7" t="inlineStr">
        <is>
          <t>https://eur-lex.europa.eu/legal-content/EN/TXT/?uri=CELEX:52022SC0083</t>
        </is>
      </c>
      <c r="V554" s="7" t="inlineStr">
        <is>
          <t>https://eur-lex.europa.eu/legal-content/EN/TXT/PDF/?uri=CELEX:52022SC0083</t>
        </is>
      </c>
      <c r="W554" s="7" t="inlineStr">
        <is>
          <t>http://web.archive.org/web/20251212160049/https://eur-lex.europa.eu/legal-content/EN/TXT/?uri=celex%3A52022SC0083</t>
        </is>
      </c>
    </row>
    <row r="555">
      <c r="A555" s="7" t="n">
        <v>80</v>
      </c>
      <c r="B555" s="7" t="inlineStr">
        <is>
          <t>Ecodesign for Sustainable Products Regulation</t>
        </is>
      </c>
      <c r="C555" s="7" t="inlineStr">
        <is>
          <t>evidence</t>
        </is>
      </c>
      <c r="D555" s="7" t="inlineStr">
        <is>
          <t>think tank</t>
        </is>
      </c>
      <c r="E555" s="7" t="inlineStr">
        <is>
          <t>initial review</t>
        </is>
      </c>
      <c r="F555" s="7" t="inlineStr">
        <is>
          <t>inforse-2022-espr</t>
        </is>
      </c>
      <c r="G555" s="7" t="inlineStr">
        <is>
          <t>INFORSE-Europe (2022), EU Ecodesign for Sustainable Products proposal (summary page), INFORSE-Europe</t>
        </is>
      </c>
      <c r="H555" s="7" t="n">
        <v>2022</v>
      </c>
      <c r="I555" s="7" t="inlineStr">
        <is>
          <t>NGO summary of Commission figures</t>
        </is>
      </c>
      <c r="J555" s="7" t="inlineStr">
        <is>
          <t>secondary report</t>
        </is>
      </c>
      <c r="K555" s="7" t="inlineStr">
        <is>
          <t>energy savings</t>
        </is>
      </c>
      <c r="L555" s="7" t="inlineStr">
        <is>
          <t>positive (forecast)</t>
        </is>
      </c>
      <c r="M555" s="7" t="inlineStr">
        <is>
          <t>Reports Commission estimate that the framework could deliver 132 Mtoe primary energy savings by 2030, about 150 bcm of gas, nearly equal to EU imports of Russian gas</t>
        </is>
      </c>
      <c r="N555" s="7" t="inlineStr">
        <is>
          <t>The Commission said the ecodesign framework could save energy by 2030 roughly equal to the EU's imports of Russian gas.</t>
        </is>
      </c>
      <c r="O555" s="7" t="inlineStr">
        <is>
          <t>EU, to 2030</t>
        </is>
      </c>
      <c r="P555" s="7" t="inlineStr">
        <is>
          <t>secondary report of Commission forecast</t>
        </is>
      </c>
      <c r="Q555" s="7" t="inlineStr">
        <is>
          <t>Environmental NGO network advocating energy-efficiency policy</t>
        </is>
      </c>
      <c r="R555" s="7" t="inlineStr">
        <is>
          <t>open</t>
        </is>
      </c>
      <c r="S555" s="7" t="inlineStr">
        <is>
          <t>page summary via search</t>
        </is>
      </c>
      <c r="T555" s="7" t="inlineStr">
        <is>
          <t>2026-10-10</t>
        </is>
      </c>
      <c r="U555" s="7" t="inlineStr">
        <is>
          <t>https://inforse.org/europe/eu_ecodesign_sust_products.htm</t>
        </is>
      </c>
      <c r="V555" s="7" t="inlineStr"/>
      <c r="W555" s="7" t="inlineStr"/>
    </row>
    <row r="556">
      <c r="A556" s="7" t="n">
        <v>80</v>
      </c>
      <c r="B556" s="7" t="inlineStr">
        <is>
          <t>Ecodesign for Sustainable Products Regulation</t>
        </is>
      </c>
      <c r="C556" s="7" t="inlineStr">
        <is>
          <t>evidence</t>
        </is>
      </c>
      <c r="D556" s="7" t="inlineStr">
        <is>
          <t>consultancy or industry</t>
        </is>
      </c>
      <c r="E556" s="7" t="inlineStr">
        <is>
          <t>2026-10 broadened search</t>
        </is>
      </c>
      <c r="F556" s="7" t="inlineStr">
        <is>
          <t>kpmg-2026-dpp-readiness</t>
        </is>
      </c>
      <c r="G556" s="7" t="inlineStr">
        <is>
          <t>KPMG (2026), KPMG EU Digital Product Passport Readiness Survey, KPMG International, February 2026</t>
        </is>
      </c>
      <c r="H556" s="7" t="n">
        <v>2026</v>
      </c>
      <c r="I556" s="7" t="inlineStr">
        <is>
          <t>survey report</t>
        </is>
      </c>
      <c r="J556" s="7" t="inlineStr">
        <is>
          <t>survey of 70+ organisations across Europe (44% textiles, 16% metals, 12% batteries, 10% electronics, 10% furniture)</t>
        </is>
      </c>
      <c r="K556" s="7" t="inlineStr">
        <is>
          <t>awareness, understanding and readiness for ESPR Digital Product Passport obligations</t>
        </is>
      </c>
      <c r="L556" s="7" t="inlineStr">
        <is>
          <t>descriptive</t>
        </is>
      </c>
      <c r="M556" s="7" t="inlineStr">
        <is>
          <t>97% of surveyed firms had heard of the Digital Product Passport but only 33% reported high understanding of the requirements; 53% were just 'getting started', 19% 'well-prepared', 16% 'starting soon' and 12% unprepared, and 23% had not assigned responsibility.</t>
        </is>
      </c>
      <c r="N556" s="7" t="inlineStr">
        <is>
          <t>A consultancy survey of about 70 European companies found nearly all know about the new digital product passport, but only about one in five feel well prepared for it.</t>
        </is>
      </c>
      <c r="O556" s="7" t="inlineStr">
        <is>
          <t>2025; Europe (multiple countries)</t>
        </is>
      </c>
      <c r="P556" s="7" t="inlineStr">
        <is>
          <t>Small non-random sample from a consultancy selling DPP services; readiness self-assessed; no counterfactual.</t>
        </is>
      </c>
      <c r="Q556" s="7" t="inlineStr">
        <is>
          <t>Consultancy offering DPP compliance services</t>
        </is>
      </c>
      <c r="R556" s="7" t="inlineStr">
        <is>
          <t>open</t>
        </is>
      </c>
      <c r="S556" s="7" t="inlineStr">
        <is>
          <t>full text read</t>
        </is>
      </c>
      <c r="T556" s="7" t="inlineStr">
        <is>
          <t>2026-10-10</t>
        </is>
      </c>
      <c r="U556" s="7" t="inlineStr">
        <is>
          <t>https://kpmg.com/hr/en/insights/esg-and-sustainability/2026/01/european-digital-product-passport-readiness-survey.html</t>
        </is>
      </c>
      <c r="V556" s="7" t="inlineStr">
        <is>
          <t>https://kpmg.com/content/dam/kpmgsites/xx/pdf/2026/02/esg-eu-digital-pps-report.pdf.coredownload.inline.pdf</t>
        </is>
      </c>
      <c r="W556" s="7" t="inlineStr"/>
    </row>
    <row r="557">
      <c r="A557" s="7" t="n">
        <v>85</v>
      </c>
      <c r="B557" s="7" t="inlineStr">
        <is>
          <t>Single Market Emergency Instrument (IMERA)</t>
        </is>
      </c>
      <c r="C557" s="7" t="inlineStr">
        <is>
          <t>ex-ante assessment</t>
        </is>
      </c>
      <c r="D557" s="7" t="inlineStr">
        <is>
          <t>official</t>
        </is>
      </c>
      <c r="E557" s="7" t="inlineStr">
        <is>
          <t>initial review</t>
        </is>
      </c>
      <c r="F557" s="7" t="inlineStr">
        <is>
          <t>ec-2022-smei-ia</t>
        </is>
      </c>
      <c r="G557" s="7" t="inlineStr">
        <is>
          <t>European Commission (2022), Impact Assessment accompanying the Single Market Emergency Instrument proposal (executive summary SWD(2022) 290), SWD(2022) 289</t>
        </is>
      </c>
      <c r="H557" s="7" t="n">
        <v>2022</v>
      </c>
      <c r="I557" s="7" t="inlineStr">
        <is>
          <t>Commission impact assessment</t>
        </is>
      </c>
      <c r="J557" s="7" t="inlineStr">
        <is>
          <t>ex-ante</t>
        </is>
      </c>
      <c r="K557" s="7" t="inlineStr">
        <is>
          <t>free movement in crises; supply of crisis-relevant goods; business costs</t>
        </is>
      </c>
      <c r="L557" s="7" t="inlineStr">
        <is>
          <t>positive (forecast, qualitative)</t>
        </is>
      </c>
      <c r="M557" s="7" t="inlineStr">
        <is>
          <t>Benefits described qualitatively (fewer obstacles to free movement, better availability of crisis goods); costs for firms from information requests, ramp-up obligations and priority-rated orders; SMEs could be hit by mandatory information requests; no headline monetised figures</t>
        </is>
      </c>
      <c r="N557" s="7" t="inlineStr">
        <is>
          <t>The Commission expected better crisis coordination and supply of essential goods but did not put a figure on the benefits, and warned that information requests and priority orders could burden firms.</t>
        </is>
      </c>
      <c r="O557" s="7" t="inlineStr">
        <is>
          <t>EU, forecast</t>
        </is>
      </c>
      <c r="P557" s="7" t="inlineStr">
        <is>
          <t>forecast; unquantified</t>
        </is>
      </c>
      <c r="Q557" s="7" t="inlineStr"/>
      <c r="R557" s="7" t="inlineStr">
        <is>
          <t>open</t>
        </is>
      </c>
      <c r="S557" s="7" t="inlineStr">
        <is>
          <t>full text read</t>
        </is>
      </c>
      <c r="T557" s="7" t="inlineStr">
        <is>
          <t>2026-10-10</t>
        </is>
      </c>
      <c r="U557" s="7" t="inlineStr">
        <is>
          <t>https://eur-lex.europa.eu/legal-content/EN/TXT/?uri=CELEX:52022SC0290</t>
        </is>
      </c>
      <c r="V557" s="7" t="inlineStr"/>
      <c r="W557" s="7" t="inlineStr">
        <is>
          <t>http://web.archive.org/web/20241106214056/https://eur-lex.europa.eu/legal-content/EN/TXT/?uri=celex%3A52022SC0290</t>
        </is>
      </c>
    </row>
    <row r="558">
      <c r="A558" s="7" t="n">
        <v>83</v>
      </c>
      <c r="B558" s="7" t="inlineStr">
        <is>
          <t>Cyber Resilience Act</t>
        </is>
      </c>
      <c r="C558" s="7" t="inlineStr">
        <is>
          <t>ex-ante assessment</t>
        </is>
      </c>
      <c r="D558" s="7" t="inlineStr">
        <is>
          <t>official</t>
        </is>
      </c>
      <c r="E558" s="7" t="inlineStr">
        <is>
          <t>initial review</t>
        </is>
      </c>
      <c r="F558" s="7" t="inlineStr">
        <is>
          <t>ec-2022-cra-ia</t>
        </is>
      </c>
      <c r="G558" s="7" t="inlineStr">
        <is>
          <t>European Commission (2022), Impact Assessment accompanying the Cyber Resilience Act proposal (executive summary SWD(2022) 283), SWD(2022) 282</t>
        </is>
      </c>
      <c r="H558" s="7" t="n">
        <v>2022</v>
      </c>
      <c r="I558" s="7" t="inlineStr">
        <is>
          <t>Commission impact assessment</t>
        </is>
      </c>
      <c r="J558" s="7" t="inlineStr">
        <is>
          <t>ex-ante</t>
        </is>
      </c>
      <c r="K558" s="7" t="inlineStr">
        <is>
          <t>incident costs; compliance costs; prices</t>
        </is>
      </c>
      <c r="L558" s="7" t="inlineStr">
        <is>
          <t>positive (forecast)</t>
        </is>
      </c>
      <c r="M558" s="7" t="inlineStr">
        <is>
          <t>Incident costs for businesses reduced by roughly EUR 180-290bn a year; compliance costs up to about EUR 29bn; possible higher prices for users; SMEs more affected as manufacturers</t>
        </is>
      </c>
      <c r="N558" s="7" t="inlineStr">
        <is>
          <t>The Commission expected the Act to cut the cost of cyber incidents for firms by EUR 180-290 billion a year, against compliance costs of up to EUR 29 billion.</t>
        </is>
      </c>
      <c r="O558" s="7" t="inlineStr">
        <is>
          <t>EU, forecast</t>
        </is>
      </c>
      <c r="P558" s="7" t="inlineStr">
        <is>
          <t>forecast</t>
        </is>
      </c>
      <c r="Q558" s="7" t="inlineStr"/>
      <c r="R558" s="7" t="inlineStr">
        <is>
          <t>open</t>
        </is>
      </c>
      <c r="S558" s="7" t="inlineStr">
        <is>
          <t>full text read</t>
        </is>
      </c>
      <c r="T558" s="7" t="inlineStr">
        <is>
          <t>2026-10-10</t>
        </is>
      </c>
      <c r="U558" s="7" t="inlineStr">
        <is>
          <t>https://eur-lex.europa.eu/legal-content/EN/TXT/?uri=CELEX:52022SC0283</t>
        </is>
      </c>
      <c r="V558" s="7" t="inlineStr"/>
      <c r="W558" s="7" t="inlineStr"/>
    </row>
    <row r="559">
      <c r="A559" s="7" t="n">
        <v>83</v>
      </c>
      <c r="B559" s="7" t="inlineStr">
        <is>
          <t>Cyber Resilience Act</t>
        </is>
      </c>
      <c r="C559" s="7" t="inlineStr">
        <is>
          <t>evidence</t>
        </is>
      </c>
      <c r="D559" s="7" t="inlineStr">
        <is>
          <t>consultancy or industry</t>
        </is>
      </c>
      <c r="E559" s="7" t="inlineStr">
        <is>
          <t>initial review</t>
        </is>
      </c>
      <c r="F559" s="7" t="inlineStr">
        <is>
          <t>lawson-hendrick-2025-cra</t>
        </is>
      </c>
      <c r="G559" s="7" t="inlineStr">
        <is>
          <t>Lawson &amp; Hendrick (2025), Unaware and Uncertain: The Stark Realities of Cyber Resilience Act Readiness in Open Source, Linux Foundation Research (with OpenSSF and LF Europe)</t>
        </is>
      </c>
      <c r="H559" s="7" t="n">
        <v>2025</v>
      </c>
      <c r="I559" s="7" t="inlineStr">
        <is>
          <t>industry survey report</t>
        </is>
      </c>
      <c r="J559" s="7" t="inlineStr">
        <is>
          <t>survey (descriptive)</t>
        </is>
      </c>
      <c r="K559" s="7" t="inlineStr">
        <is>
          <t>awareness; readiness; SBOM use</t>
        </is>
      </c>
      <c r="L559" s="7" t="inlineStr">
        <is>
          <t>negative (readiness gaps)</t>
        </is>
      </c>
      <c r="M559" s="7" t="inlineStr">
        <is>
          <t>Most respondents unfamiliar with the CRA (62% not at all or only slightly familiar), uncertain about deadlines and penalties; manufacturers rely passively on upstream fixes and few produce SBOMs; calls for funding, legal support and clear guidance</t>
        </is>
      </c>
      <c r="N559" s="7" t="inlineStr">
        <is>
          <t>A 2025 survey of the open-source community found most people knew little about the Act and many manufacturers were not ready.</t>
        </is>
      </c>
      <c r="O559" s="7" t="inlineStr">
        <is>
          <t>global open-source community, 2024-25</t>
        </is>
      </c>
      <c r="P559" s="7" t="inlineStr">
        <is>
          <t>non-random survey</t>
        </is>
      </c>
      <c r="Q559" s="7" t="inlineStr">
        <is>
          <t>Linux Foundation and OpenSSF represent open-source projects and member companies directly affected by the CRA</t>
        </is>
      </c>
      <c r="R559" s="7" t="inlineStr">
        <is>
          <t>open</t>
        </is>
      </c>
      <c r="S559" s="7" t="inlineStr">
        <is>
          <t>abstract read</t>
        </is>
      </c>
      <c r="T559" s="7" t="inlineStr">
        <is>
          <t>2026-10-10</t>
        </is>
      </c>
      <c r="U559" s="7" t="inlineStr">
        <is>
          <t>https://www.linuxfoundation.org/research/cra-readiness</t>
        </is>
      </c>
      <c r="V559" s="7" t="inlineStr"/>
      <c r="W559" s="7" t="inlineStr">
        <is>
          <t>http://web.archive.org/web/20260515051911/https://www.linuxfoundation.org/research/cra-readiness</t>
        </is>
      </c>
    </row>
    <row r="560">
      <c r="A560" s="7" t="n">
        <v>83</v>
      </c>
      <c r="B560" s="7" t="inlineStr">
        <is>
          <t>Cyber Resilience Act</t>
        </is>
      </c>
      <c r="C560" s="7" t="inlineStr">
        <is>
          <t>evidence</t>
        </is>
      </c>
      <c r="D560" s="7" t="inlineStr">
        <is>
          <t>academic</t>
        </is>
      </c>
      <c r="E560" s="7" t="inlineStr">
        <is>
          <t>2026-10 broadened search</t>
        </is>
      </c>
      <c r="F560" s="7" t="inlineStr">
        <is>
          <t>szedlak-2024-smeawareness</t>
        </is>
      </c>
      <c r="G560" s="7" t="inlineStr">
        <is>
          <t>Christian Szedlak, Holger Reinemann, Stefan Hatzelmann (2024), Ensuring cybersecurity compliance: Assessing SME awareness and preparedness for the Cyber Resilience Act, Proceedings of the 5th Asia Pacific Conference on Industrial Engineering and Operations Management (IEOM), Tokyo, September 2024</t>
        </is>
      </c>
      <c r="H560" s="7" t="n">
        <v>2024</v>
      </c>
      <c r="I560" s="7" t="inlineStr">
        <is>
          <t>conference paper</t>
        </is>
      </c>
      <c r="J560" s="7" t="inlineStr">
        <is>
          <t>quantitative survey: 673 responses from 416 SMEs, 160 large and 91 very large enterprises</t>
        </is>
      </c>
      <c r="K560" s="7" t="inlineStr">
        <is>
          <t>CRA awareness and preparedness by firm size</t>
        </is>
      </c>
      <c r="L560" s="7" t="inlineStr">
        <is>
          <t>descriptive</t>
        </is>
      </c>
      <c r="M560" s="7" t="inlineStr">
        <is>
          <t>Only 12.3% of SMEs were aware of the CRA compared with 83.5% of very large enterprises.</t>
        </is>
      </c>
      <c r="N560" s="7" t="inlineStr">
        <is>
          <t>A large survey of companies found that very few small firms knew about the Cyber Resilience Act, while most very large firms did; small firms cited skills shortages and unclear rules.</t>
        </is>
      </c>
      <c r="O560" s="7" t="inlineStr">
        <is>
          <t>2024; geography not stated in abstract</t>
        </is>
      </c>
      <c r="P560" s="7" t="inlineStr">
        <is>
          <t>Large sample but self-reported awareness, sampling frame unclear from abstract, survey around adoption (before obligations apply).</t>
        </is>
      </c>
      <c r="Q560" s="7" t="inlineStr"/>
      <c r="R560" s="7" t="inlineStr">
        <is>
          <t>open</t>
        </is>
      </c>
      <c r="S560" s="7" t="inlineStr">
        <is>
          <t>abstract read</t>
        </is>
      </c>
      <c r="T560" s="7" t="inlineStr">
        <is>
          <t>2026-10-10</t>
        </is>
      </c>
      <c r="U560" s="7" t="inlineStr">
        <is>
          <t>https://doi.org/10.46254/AP05.20240160</t>
        </is>
      </c>
      <c r="V560" s="7" t="inlineStr"/>
      <c r="W560" s="7" t="inlineStr"/>
    </row>
    <row r="561">
      <c r="A561" s="7" t="n">
        <v>83</v>
      </c>
      <c r="B561" s="7" t="inlineStr">
        <is>
          <t>Cyber Resilience Act</t>
        </is>
      </c>
      <c r="C561" s="7" t="inlineStr">
        <is>
          <t>evidence</t>
        </is>
      </c>
      <c r="D561" s="7" t="inlineStr">
        <is>
          <t>academic</t>
        </is>
      </c>
      <c r="E561" s="7" t="inlineStr">
        <is>
          <t>2026-10 broadened search</t>
        </is>
      </c>
      <c r="F561" s="7" t="inlineStr">
        <is>
          <t>risto-2025-industrialequipment</t>
        </is>
      </c>
      <c r="G561" s="7" t="inlineStr">
        <is>
          <t>Roosa Risto, Mohit Sethi, Mika Katara (2025), Effects of the Cyber Resilience Act (CRA) on Industrial Equipment Manufacturing Companies, arXiv:2505.14325</t>
        </is>
      </c>
      <c r="H561" s="7" t="n">
        <v>2025</v>
      </c>
      <c r="I561" s="7" t="inlineStr">
        <is>
          <t>academic working paper</t>
        </is>
      </c>
      <c r="J561" s="7" t="inlineStr">
        <is>
          <t>structured survey (44-question questionnaire in one-hour interviews) of 12 companies: 7 large industrial equipment manufacturers and 5 partner/consultancy firms</t>
        </is>
      </c>
      <c r="K561" s="7" t="inlineStr">
        <is>
          <t>anticipated CRA compliance challenges (secure development lifecycle, vulnerability notification, skills)</t>
        </is>
      </c>
      <c r="L561" s="7" t="inlineStr">
        <is>
          <t>descriptive</t>
        </is>
      </c>
      <c r="M561" s="7" t="inlineStr">
        <is>
          <t>9 of 12 participating companies (75%) were quite or very familiar with IEC 62443-4-1 and the CRA; key anticipated hurdles were secure development practices, meeting vulnerability-notification deadlines and cybersecurity skills gaps.</t>
        </is>
      </c>
      <c r="N561" s="7" t="inlineStr">
        <is>
          <t>Interviews with a dozen industrial machinery firms show they expect the hardest parts of the new cyber rules to be secure software development and reporting vulnerabilities on time.</t>
        </is>
      </c>
      <c r="O561" s="7" t="inlineStr">
        <is>
          <t>2024; companies with sizable European revenues</t>
        </is>
      </c>
      <c r="P561" s="7" t="inlineStr">
        <is>
          <t>Very small convenience sample (authors note no statistical inference possible); used December 2023 text; anticipated, not realised, effects.</t>
        </is>
      </c>
      <c r="Q561" s="7" t="inlineStr"/>
      <c r="R561" s="7" t="inlineStr">
        <is>
          <t>open</t>
        </is>
      </c>
      <c r="S561" s="7" t="inlineStr">
        <is>
          <t>full text read</t>
        </is>
      </c>
      <c r="T561" s="7" t="inlineStr">
        <is>
          <t>2026-10-10</t>
        </is>
      </c>
      <c r="U561" s="7" t="inlineStr">
        <is>
          <t>https://arxiv.org/abs/2505.14325</t>
        </is>
      </c>
      <c r="V561" s="7" t="inlineStr">
        <is>
          <t>https://arxiv.org/pdf/2505.14325v2</t>
        </is>
      </c>
      <c r="W561" s="7" t="inlineStr"/>
    </row>
    <row r="562">
      <c r="A562" s="7" t="n">
        <v>83</v>
      </c>
      <c r="B562" s="7" t="inlineStr">
        <is>
          <t>Cyber Resilience Act</t>
        </is>
      </c>
      <c r="C562" s="7" t="inlineStr">
        <is>
          <t>evidence</t>
        </is>
      </c>
      <c r="D562" s="7" t="inlineStr">
        <is>
          <t>consultancy or industry</t>
        </is>
      </c>
      <c r="E562" s="7" t="inlineStr">
        <is>
          <t>2026-10 broadened search</t>
        </is>
      </c>
      <c r="F562" s="7" t="inlineStr">
        <is>
          <t>onekey-2025-iototreport</t>
        </is>
      </c>
      <c r="G562" s="7" t="inlineStr">
        <is>
          <t>ONEKEY GmbH (2025), IoT &amp; OT Cybersecurity Report 2025, ONEKEY whitepaper (3 September 2025)</t>
        </is>
      </c>
      <c r="H562" s="7" t="n">
        <v>2025</v>
      </c>
      <c r="I562" s="7" t="inlineStr">
        <is>
          <t>survey report</t>
        </is>
      </c>
      <c r="J562" s="7" t="inlineStr">
        <is>
          <t>survey of 300 German industrial companies</t>
        </is>
      </c>
      <c r="K562" s="7" t="inlineStr">
        <is>
          <t>CRA familiarity, compliance measures, SBOM adoption</t>
        </is>
      </c>
      <c r="L562" s="7" t="inlineStr">
        <is>
          <t>descriptive</t>
        </is>
      </c>
      <c r="M562" s="7" t="inlineStr">
        <is>
          <t>Only 32% of 300 German industrial firms were thoroughly familiar with CRA requirements, 14% had launched extensive compliance measures, and 12% had an SBOM for all affected products.</t>
        </is>
      </c>
      <c r="N562" s="7" t="inlineStr">
        <is>
          <t>A survey by a security vendor found most German industrial firms are not yet ready for the Cyber Resilience Act, with few having a full software parts list for their connected products.</t>
        </is>
      </c>
      <c r="O562" s="7" t="inlineStr">
        <is>
          <t>2025; Germany</t>
        </is>
      </c>
      <c r="P562" s="7" t="inlineStr">
        <is>
          <t>Vendor survey with commercial interest in CRA compliance tools; sampling method not disclosed; self-reported.</t>
        </is>
      </c>
      <c r="Q562" s="7" t="inlineStr">
        <is>
          <t>cybersecurity compliance vendor selling CRA/SBOM tooling</t>
        </is>
      </c>
      <c r="R562" s="7" t="inlineStr">
        <is>
          <t>open</t>
        </is>
      </c>
      <c r="S562" s="7" t="inlineStr">
        <is>
          <t>abstract read</t>
        </is>
      </c>
      <c r="T562" s="7" t="inlineStr">
        <is>
          <t>2026-10-10</t>
        </is>
      </c>
      <c r="U562" s="7" t="inlineStr">
        <is>
          <t>https://www.onekey.com/resource/iot-ot-cybersecurity-report-2025</t>
        </is>
      </c>
      <c r="V562" s="7" t="inlineStr"/>
      <c r="W562" s="7" t="inlineStr"/>
    </row>
    <row r="563">
      <c r="A563" s="7" t="n">
        <v>83</v>
      </c>
      <c r="B563" s="7" t="inlineStr">
        <is>
          <t>Cyber Resilience Act</t>
        </is>
      </c>
      <c r="C563" s="7" t="inlineStr">
        <is>
          <t>evidence</t>
        </is>
      </c>
      <c r="D563" s="7" t="inlineStr">
        <is>
          <t>consultancy or industry</t>
        </is>
      </c>
      <c r="E563" s="7" t="inlineStr">
        <is>
          <t>2026-10 broadened search</t>
        </is>
      </c>
      <c r="F563" s="7" t="inlineStr">
        <is>
          <t>lawson-2026-craawareness</t>
        </is>
      </c>
      <c r="G563" s="7" t="inlineStr">
        <is>
          <t>Adrienn Lawson (Linux Foundation); foreword by Roman Zhukov (2026), 2026 CRA Awareness and Readiness: Structural Unreadiness and Stagnating Awareness for Global CRA Compliance, Linux Foundation Research / OpenSSF (June 2026)</t>
        </is>
      </c>
      <c r="H563" s="7" t="n">
        <v>2026</v>
      </c>
      <c r="I563" s="7" t="inlineStr">
        <is>
          <t>survey report</t>
        </is>
      </c>
      <c r="J563" s="7" t="inlineStr">
        <is>
          <t>survey of 843 respondents (second wave after 2025 report) plus security analysis of over 12,000 open source projects indexed on LFX</t>
        </is>
      </c>
      <c r="K563" s="7" t="inlineStr">
        <is>
          <t>CRA awareness, deadline knowledge, SBOM practice, compliance expectations, private-fork costs</t>
        </is>
      </c>
      <c r="L563" s="7" t="inlineStr">
        <is>
          <t>negative</t>
        </is>
      </c>
      <c r="M563" s="7" t="inlineStr">
        <is>
          <t>66% of respondents remain unfamiliar with the CRA (62% in 2025); only 34% identify December 2027 as the full compliance date; SBOMs for all products stayed at 32%, and passive reliance on upstream fixes rose from 46% to 51%.</t>
        </is>
      </c>
      <c r="N563" s="7" t="inlineStr">
        <is>
          <t>A year after the first survey, most people building software still do not know the Cyber Resilience Act, and companies' preparation has barely moved.</t>
        </is>
      </c>
      <c r="O563" s="7" t="inlineStr">
        <is>
          <t>2026; global, with EU and North America breakdowns</t>
        </is>
      </c>
      <c r="P563" s="7" t="inlineStr">
        <is>
          <t>Follow-up wave of the existing Lawson &amp; Hendrick (2025) survey with new data; non-probability sample, broadened to more North American respondents, which may affect comparability.</t>
        </is>
      </c>
      <c r="Q563" s="7" t="inlineStr">
        <is>
          <t>Linux Foundation/OpenSSF (industry-funded open source foundation); co-produced with Balena, Ericsson and Revanite</t>
        </is>
      </c>
      <c r="R563" s="7" t="inlineStr">
        <is>
          <t>open</t>
        </is>
      </c>
      <c r="S563" s="7" t="inlineStr">
        <is>
          <t>full text read</t>
        </is>
      </c>
      <c r="T563" s="7" t="inlineStr">
        <is>
          <t>2026-10-10</t>
        </is>
      </c>
      <c r="U563" s="7" t="inlineStr">
        <is>
          <t>https://openssf.org/resources/publications/2026-cra-awareness-and-readiness-report/</t>
        </is>
      </c>
      <c r="V563" s="7" t="inlineStr">
        <is>
          <t>https://openssf.org/wp-content/uploads/2026/06/2026_CRA_Awareness_Readiness_Report.pdf</t>
        </is>
      </c>
      <c r="W563" s="7" t="inlineStr"/>
    </row>
    <row r="564">
      <c r="A564" s="7" t="n">
        <v>90</v>
      </c>
      <c r="B564" s="7" t="inlineStr">
        <is>
          <t>VAT in the Digital Age (ViDA)</t>
        </is>
      </c>
      <c r="C564" s="7" t="inlineStr">
        <is>
          <t>ex-ante assessment</t>
        </is>
      </c>
      <c r="D564" s="7" t="inlineStr">
        <is>
          <t>official</t>
        </is>
      </c>
      <c r="E564" s="7" t="inlineStr">
        <is>
          <t>initial review</t>
        </is>
      </c>
      <c r="F564" s="7" t="inlineStr">
        <is>
          <t>ec-2022-vida-ia</t>
        </is>
      </c>
      <c r="G564" s="7" t="inlineStr">
        <is>
          <t>European Commission (2022), Impact assessment on VAT in the digital age (executive summary SWD(2022) 394), SWD(2022) 393</t>
        </is>
      </c>
      <c r="H564" s="7" t="n">
        <v>2022</v>
      </c>
      <c r="I564" s="7" t="inlineStr">
        <is>
          <t>Commission impact assessment</t>
        </is>
      </c>
      <c r="J564" s="7" t="inlineStr">
        <is>
          <t>ex-ante</t>
        </is>
      </c>
      <c r="K564" s="7" t="inlineStr">
        <is>
          <t>VAT revenue; compliance costs; administrative burden</t>
        </is>
      </c>
      <c r="L564" s="7" t="inlineStr">
        <is>
          <t>positive (forecast)</t>
        </is>
      </c>
      <c r="M564" s="7" t="inlineStr">
        <is>
          <t>Enhanced option: EUR 172-214bn net impact 2023-2032; EUR 135-177bn extra VAT revenue; EUR 50.6bn business savings vs EUR 11.3bn new reporting costs; EUR 2.2bn implementation costs for tax administrations; 280,000 SMEs save up to EUR 7bn</t>
        </is>
      </c>
      <c r="N564" s="7" t="inlineStr">
        <is>
          <t>The Commission expected the package to bring in EUR 135-177 billion of extra VAT and save businesses about EUR 51 billion over ten years, with new digital reporting costing firms about EUR 11 billion.</t>
        </is>
      </c>
      <c r="O564" s="7" t="inlineStr">
        <is>
          <t>EU-27, 2023-2032 forecast</t>
        </is>
      </c>
      <c r="P564" s="7" t="inlineStr">
        <is>
          <t>forecast</t>
        </is>
      </c>
      <c r="Q564" s="7" t="inlineStr"/>
      <c r="R564" s="7" t="inlineStr">
        <is>
          <t>open</t>
        </is>
      </c>
      <c r="S564" s="7" t="inlineStr">
        <is>
          <t>full text read</t>
        </is>
      </c>
      <c r="T564" s="7" t="inlineStr">
        <is>
          <t>2026-10-10</t>
        </is>
      </c>
      <c r="U564" s="7" t="inlineStr">
        <is>
          <t>https://eur-lex.europa.eu/legal-content/EN/TXT/?uri=CELEX:52022SC0394</t>
        </is>
      </c>
      <c r="V564" s="7" t="inlineStr"/>
      <c r="W564" s="7" t="inlineStr"/>
    </row>
    <row r="565">
      <c r="A565" s="7" t="n">
        <v>90</v>
      </c>
      <c r="B565" s="7" t="inlineStr">
        <is>
          <t>VAT in the Digital Age (ViDA)</t>
        </is>
      </c>
      <c r="C565" s="7" t="inlineStr">
        <is>
          <t>evidence</t>
        </is>
      </c>
      <c r="D565" s="7" t="inlineStr">
        <is>
          <t>official</t>
        </is>
      </c>
      <c r="E565" s="7" t="inlineStr">
        <is>
          <t>initial review</t>
        </is>
      </c>
      <c r="F565" s="7" t="inlineStr">
        <is>
          <t>case-2022-vida-study</t>
        </is>
      </c>
      <c r="G565" s="7" t="inlineStr">
        <is>
          <t>Economisti Associati, Oxford Research, CASE, Wavestone et al. (2022), VAT in the digital age: final report (Vol. 1 Digital Reporting Requirements), Study for DG TAXUD, Publications Office of the EU</t>
        </is>
      </c>
      <c r="H565" s="7" t="n">
        <v>2022</v>
      </c>
      <c r="I565" s="7" t="inlineStr">
        <is>
          <t>Commission-contracted study</t>
        </is>
      </c>
      <c r="J565" s="7" t="inlineStr">
        <is>
          <t>ex-ante / comparative review of national DRRs</t>
        </is>
      </c>
      <c r="K565" s="7" t="inlineStr">
        <is>
          <t>VAT revenue; compliance costs</t>
        </is>
      </c>
      <c r="L565" s="7" t="inlineStr">
        <is>
          <t>positive (forecast)</t>
        </is>
      </c>
      <c r="M565" s="7" t="inlineStr">
        <is>
          <t>12 Member States had digital reporting requirements by Sept 2021; these showed positive net impacts as extra VAT revenue exceeded set-up and compliance costs; fragmentation of national systems identified as core problem</t>
        </is>
      </c>
      <c r="N565" s="7" t="inlineStr">
        <is>
          <t>The study behind the impact assessment found that national digital VAT reporting schemes raised more revenue than they cost, but that their patchwork burdens cross-border firms.</t>
        </is>
      </c>
      <c r="O565" s="7" t="inlineStr">
        <is>
          <t>EU-27, to 2021</t>
        </is>
      </c>
      <c r="P565" s="7" t="inlineStr">
        <is>
          <t>contracted study; underpins IA</t>
        </is>
      </c>
      <c r="Q565" s="7" t="inlineStr">
        <is>
          <t>Commissioned by DG TAXUD</t>
        </is>
      </c>
      <c r="R565" s="7" t="inlineStr">
        <is>
          <t>open</t>
        </is>
      </c>
      <c r="S565" s="7" t="inlineStr">
        <is>
          <t>page summary via search</t>
        </is>
      </c>
      <c r="T565" s="7" t="inlineStr">
        <is>
          <t>2026-10-10</t>
        </is>
      </c>
      <c r="U565" s="7" t="inlineStr">
        <is>
          <t>https://case-research.eu/en/vat-in-the-digital-age-102154</t>
        </is>
      </c>
      <c r="V565" s="7" t="inlineStr"/>
      <c r="W565" s="7" t="inlineStr">
        <is>
          <t>http://web.archive.org/web/20240529053042/http://www.case-research.eu/en/vat-in-the-digital-age-102154</t>
        </is>
      </c>
    </row>
    <row r="566">
      <c r="A566" s="7" t="n">
        <v>90</v>
      </c>
      <c r="B566" s="7" t="inlineStr">
        <is>
          <t>VAT in the Digital Age (ViDA)</t>
        </is>
      </c>
      <c r="C566" s="7" t="inlineStr">
        <is>
          <t>evidence</t>
        </is>
      </c>
      <c r="D566" s="7" t="inlineStr">
        <is>
          <t>official</t>
        </is>
      </c>
      <c r="E566" s="7" t="inlineStr">
        <is>
          <t>initial review</t>
        </is>
      </c>
      <c r="F566" s="7" t="inlineStr">
        <is>
          <t>ec-2025-vat-gap</t>
        </is>
      </c>
      <c r="G566" s="7" t="inlineStr">
        <is>
          <t>European Commission (DG TAXUD) (2025), VAT Gap in the EU - 2025 report, Commission report and data hub</t>
        </is>
      </c>
      <c r="H566" s="7" t="n">
        <v>2025</v>
      </c>
      <c r="I566" s="7" t="inlineStr">
        <is>
          <t>Commission statistics</t>
        </is>
      </c>
      <c r="J566" s="7" t="inlineStr">
        <is>
          <t>descriptive (top-down gap estimate)</t>
        </is>
      </c>
      <c r="K566" s="7" t="inlineStr">
        <is>
          <t>VAT compliance gap (baseline)</t>
        </is>
      </c>
      <c r="L566" s="7" t="inlineStr">
        <is>
          <t>n/a</t>
        </is>
      </c>
      <c r="M566" s="7" t="inlineStr">
        <is>
          <t>VAT compliance gap EUR 128bn in 2023 (+1.6 pp on 2022); actionable policy gap EUR 742bn</t>
        </is>
      </c>
      <c r="N566" s="7" t="inlineStr">
        <is>
          <t>Before ViDA takes effect, about EUR 128 billion of VAT due in 2023 went uncollected; this is the baseline ViDA aims to cut.</t>
        </is>
      </c>
      <c r="O566" s="7" t="inlineStr">
        <is>
          <t>EU-27, 2023</t>
        </is>
      </c>
      <c r="P566" s="7" t="inlineStr">
        <is>
          <t>official baseline</t>
        </is>
      </c>
      <c r="Q566" s="7" t="inlineStr"/>
      <c r="R566" s="7" t="inlineStr">
        <is>
          <t>open</t>
        </is>
      </c>
      <c r="S566" s="7" t="inlineStr">
        <is>
          <t>full text read</t>
        </is>
      </c>
      <c r="T566" s="7" t="inlineStr">
        <is>
          <t>2026-10-10</t>
        </is>
      </c>
      <c r="U566" s="7" t="inlineStr">
        <is>
          <t>https://taxation-customs.ec.europa.eu/taxation/vat/fight-against-vat-fraud/vat-gap_en</t>
        </is>
      </c>
      <c r="V566" s="7" t="inlineStr"/>
      <c r="W566" s="7" t="inlineStr">
        <is>
          <t>http://web.archive.org/web/20261008142928/https://taxation-customs.ec.europa.eu/taxation/vat/fight-against-vat-fraud/vat-gap_en</t>
        </is>
      </c>
    </row>
    <row r="567">
      <c r="A567" s="7" t="n">
        <v>90</v>
      </c>
      <c r="B567" s="7" t="inlineStr">
        <is>
          <t>VAT in the Digital Age (ViDA)</t>
        </is>
      </c>
      <c r="C567" s="7" t="inlineStr">
        <is>
          <t>evidence</t>
        </is>
      </c>
      <c r="D567" s="7" t="inlineStr">
        <is>
          <t>official</t>
        </is>
      </c>
      <c r="E567" s="7" t="inlineStr">
        <is>
          <t>initial review</t>
        </is>
      </c>
      <c r="F567" s="7" t="inlineStr">
        <is>
          <t>ec-2025-vida-implementation</t>
        </is>
      </c>
      <c r="G567" s="7" t="inlineStr">
        <is>
          <t>European Commission (DG TAXUD) (2025), VAT in the Digital Age: implementation strategy to support businesses and Member States, News item, 24 September 2025</t>
        </is>
      </c>
      <c r="H567" s="7" t="n">
        <v>2025</v>
      </c>
      <c r="I567" s="7" t="inlineStr">
        <is>
          <t>Commission implementation document</t>
        </is>
      </c>
      <c r="J567" s="7" t="inlineStr">
        <is>
          <t>roadmap</t>
        </is>
      </c>
      <c r="K567" s="7" t="inlineStr">
        <is>
          <t>implementation</t>
        </is>
      </c>
      <c r="L567" s="7" t="inlineStr">
        <is>
          <t>positive (forecast)</t>
        </is>
      </c>
      <c r="M567" s="7" t="inlineStr">
        <is>
          <t>Restates expected benefits of EUR 172-214bn over a decade including EUR 51bn savings for businesses; sets roadmap of action points to 2035</t>
        </is>
      </c>
      <c r="N567" s="7" t="inlineStr">
        <is>
          <t>The Commission's implementation plan restates the impact-assessment forecasts and sets out steps to 2035; no results yet.</t>
        </is>
      </c>
      <c r="O567" s="7" t="inlineStr">
        <is>
          <t>EU</t>
        </is>
      </c>
      <c r="P567" s="7" t="inlineStr">
        <is>
          <t>official claim</t>
        </is>
      </c>
      <c r="Q567" s="7" t="inlineStr"/>
      <c r="R567" s="7" t="inlineStr">
        <is>
          <t>open</t>
        </is>
      </c>
      <c r="S567" s="7" t="inlineStr">
        <is>
          <t>full text read</t>
        </is>
      </c>
      <c r="T567" s="7" t="inlineStr">
        <is>
          <t>2026-10-10</t>
        </is>
      </c>
      <c r="U567" s="7" t="inlineStr">
        <is>
          <t>https://taxation-customs.ec.europa.eu/news/vat-digital-age-implementation-strategy-support-businesses-and-member-states-2025-09-24_en</t>
        </is>
      </c>
      <c r="V567" s="7" t="inlineStr"/>
      <c r="W567" s="7" t="inlineStr">
        <is>
          <t>http://web.archive.org/web/20260411234629/https://taxation-customs.ec.europa.eu/news/vat-digital-age-implementation-strategy-support-businesses-and-member-states-2025-09-24_en</t>
        </is>
      </c>
    </row>
    <row r="568">
      <c r="A568" s="7" t="n">
        <v>90</v>
      </c>
      <c r="B568" s="7" t="inlineStr">
        <is>
          <t>VAT in the Digital Age (ViDA)</t>
        </is>
      </c>
      <c r="C568" s="7" t="inlineStr">
        <is>
          <t>evidence</t>
        </is>
      </c>
      <c r="D568" s="7" t="inlineStr">
        <is>
          <t>academic</t>
        </is>
      </c>
      <c r="E568" s="7" t="inlineStr">
        <is>
          <t>2026-10 broadened search</t>
        </is>
      </c>
      <c r="F568" s="7" t="inlineStr">
        <is>
          <t>heinemann-2023-einvoicing-italy</t>
        </is>
      </c>
      <c r="G568" s="7" t="inlineStr">
        <is>
          <t>Marwin Heinemann, Wojciech Stiller (2023), Digitalization and Cross-Border Tax Fraud: Evidence from E-Invoicing in Italy, CESifo Working Paper No. 10227</t>
        </is>
      </c>
      <c r="H568" s="7" t="n">
        <v>2023</v>
      </c>
      <c r="I568" s="7" t="inlineStr">
        <is>
          <t>academic working paper</t>
        </is>
      </c>
      <c r="J568" s="7" t="inlineStr">
        <is>
          <t>difference-in-differences on product-level intra-EU trade gaps (mirror trade data) around Italy's 2019 mandatory e-invoicing</t>
        </is>
      </c>
      <c r="K568" s="7" t="inlineStr">
        <is>
          <t>cross-border VAT fraud proxied by trade gaps; revenue loss</t>
        </is>
      </c>
      <c r="L568" s="7" t="inlineStr">
        <is>
          <t>positive</t>
        </is>
      </c>
      <c r="M568" s="7" t="inlineStr">
        <is>
          <t>Mandatory e-invoicing in Italy significantly reduced cross-border VAT fraud, cutting Italian revenue loss by an estimated EUR 0.6-1 billion in 2019.</t>
        </is>
      </c>
      <c r="N568" s="7" t="inlineStr">
        <is>
          <t>When Italy made electronic invoices compulsory, signs of cross-border VAT fraud fell noticeably, saving the state up to about a billion euros in the first year.</t>
        </is>
      </c>
      <c r="O568" s="7" t="inlineStr">
        <is>
          <t>around 2019; Italy vs other EU countries</t>
        </is>
      </c>
      <c r="P568" s="7" t="inlineStr">
        <is>
          <t>Credible quasi-experimental design on a national predecessor of ViDA's e-invoicing/digital reporting requirements, not ViDA itself</t>
        </is>
      </c>
      <c r="Q568" s="7" t="inlineStr"/>
      <c r="R568" s="7" t="inlineStr">
        <is>
          <t>open</t>
        </is>
      </c>
      <c r="S568" s="7" t="inlineStr">
        <is>
          <t>abstract read</t>
        </is>
      </c>
      <c r="T568" s="7" t="inlineStr">
        <is>
          <t>2026-10-10</t>
        </is>
      </c>
      <c r="U568" s="7" t="inlineStr">
        <is>
          <t>https://ideas.repec.org/p/ces/ceswps/_10227.html</t>
        </is>
      </c>
      <c r="V568" s="7" t="inlineStr">
        <is>
          <t>https://www.cesifo.org/DocDL/cesifo1_wp10227.pdf</t>
        </is>
      </c>
      <c r="W568" s="7" t="inlineStr"/>
    </row>
    <row r="569">
      <c r="A569" s="7" t="n">
        <v>95</v>
      </c>
      <c r="B569" s="7" t="inlineStr">
        <is>
          <t>Cyber Solidarity Act</t>
        </is>
      </c>
      <c r="C569" s="7" t="inlineStr">
        <is>
          <t>evidence</t>
        </is>
      </c>
      <c r="D569" s="7" t="inlineStr">
        <is>
          <t>official</t>
        </is>
      </c>
      <c r="E569" s="7" t="inlineStr">
        <is>
          <t>initial review</t>
        </is>
      </c>
      <c r="F569" s="7" t="inlineStr">
        <is>
          <t>eca-2023-cyber-solidarity-opinion</t>
        </is>
      </c>
      <c r="G569" s="7" t="inlineStr">
        <is>
          <t>European Court of Auditors (2023), Opinion 02/2023 concerning the proposal for a Regulation laying down measures to strengthen solidarity and capacities in the Union to detect, prepare for and respond to cybersecurity threats and incidents, ECA Opinion 02/2023</t>
        </is>
      </c>
      <c r="H569" s="7" t="n">
        <v>2023</v>
      </c>
      <c r="I569" s="7" t="inlineStr">
        <is>
          <t>audit body opinion</t>
        </is>
      </c>
      <c r="J569" s="7" t="inlineStr">
        <is>
          <t>ex-ante review</t>
        </is>
      </c>
      <c r="K569" s="7" t="inlineStr">
        <is>
          <t>costs; governance; performance monitoring</t>
        </is>
      </c>
      <c r="L569" s="7" t="inlineStr">
        <is>
          <t>critical</t>
        </is>
      </c>
      <c r="M569" s="7" t="inlineStr">
        <is>
          <t>No impact assessment and no estimate of total costs; DEP IA does not cover the new measures; risk of added complexity and overlap in the EU cybersecurity landscape; proposed indicator measures output only</t>
        </is>
      </c>
      <c r="N569" s="7" t="inlineStr">
        <is>
          <t>The EU's auditors criticised the absence of an impact assessment or cost estimate and warned the new structures add complexity and that the planned indicator would only count activities, not results.</t>
        </is>
      </c>
      <c r="O569" s="7" t="inlineStr">
        <is>
          <t>EU</t>
        </is>
      </c>
      <c r="P569" s="7" t="inlineStr">
        <is>
          <t>official audit opinion</t>
        </is>
      </c>
      <c r="Q569" s="7" t="inlineStr"/>
      <c r="R569" s="7" t="inlineStr">
        <is>
          <t>open</t>
        </is>
      </c>
      <c r="S569" s="7" t="inlineStr">
        <is>
          <t>full text read</t>
        </is>
      </c>
      <c r="T569" s="7" t="inlineStr">
        <is>
          <t>2026-10-10</t>
        </is>
      </c>
      <c r="U569" s="7" t="inlineStr">
        <is>
          <t>https://www.eca.europa.eu/ECAPublications/OP-2023-02/OP-2023-02_EN.pdf</t>
        </is>
      </c>
      <c r="V569" s="7" t="inlineStr">
        <is>
          <t>https://www.eca.europa.eu/ECAPublications/OP-2023-02/OP-2023-02_EN.pdf</t>
        </is>
      </c>
      <c r="W569" s="7" t="inlineStr">
        <is>
          <t>http://web.archive.org/web/20250921122905/https://www.eca.europa.eu/ECAPublications/OP-2023-02/OP-2023-02_EN.pdf</t>
        </is>
      </c>
    </row>
    <row r="570">
      <c r="A570" s="7" t="n">
        <v>95</v>
      </c>
      <c r="B570" s="7" t="inlineStr">
        <is>
          <t>Cyber Solidarity Act</t>
        </is>
      </c>
      <c r="C570" s="7" t="inlineStr">
        <is>
          <t>evidence</t>
        </is>
      </c>
      <c r="D570" s="7" t="inlineStr">
        <is>
          <t>official</t>
        </is>
      </c>
      <c r="E570" s="7" t="inlineStr">
        <is>
          <t>initial review</t>
        </is>
      </c>
      <c r="F570" s="7" t="inlineStr">
        <is>
          <t>ec-2025-dep-interim-evaluation</t>
        </is>
      </c>
      <c r="G570" s="7" t="inlineStr">
        <is>
          <t>European Commission (2025), The Digital Europe Programme: Main findings of the interim evaluation, COM(2025) 771</t>
        </is>
      </c>
      <c r="H570" s="7" t="n">
        <v>2025</v>
      </c>
      <c r="I570" s="7" t="inlineStr">
        <is>
          <t>Commission evaluation</t>
        </is>
      </c>
      <c r="J570" s="7" t="inlineStr">
        <is>
          <t>programme evaluation (monitoring data, stakeholder consultation)</t>
        </is>
      </c>
      <c r="K570" s="7" t="inlineStr">
        <is>
          <t>cybersecurity infrastructure outputs</t>
        </is>
      </c>
      <c r="L570" s="7" t="inlineStr">
        <is>
          <t>positive (activity)</t>
        </is>
      </c>
      <c r="M570" s="7" t="inlineStr">
        <is>
          <t>26 cybersecurity infrastructures (CyberHubs) procured including two cross-border CyberHubs, in line with targets; Cyber Solidarity Act introduced the Cyber Emergency Mechanism into Digital Europe</t>
        </is>
      </c>
      <c r="N570" s="7" t="inlineStr">
        <is>
          <t>The Commission reports that 26 security-operations hubs, two of them cross-border, have been funded on target, but gives no measure of whether they detect threats better.</t>
        </is>
      </c>
      <c r="O570" s="7" t="inlineStr">
        <is>
          <t>EU, 2021-2025</t>
        </is>
      </c>
      <c r="P570" s="7" t="inlineStr">
        <is>
          <t>self-evaluation; outputs only</t>
        </is>
      </c>
      <c r="Q570" s="7" t="inlineStr"/>
      <c r="R570" s="7" t="inlineStr">
        <is>
          <t>open</t>
        </is>
      </c>
      <c r="S570" s="7" t="inlineStr">
        <is>
          <t>full text read</t>
        </is>
      </c>
      <c r="T570" s="7" t="inlineStr">
        <is>
          <t>2026-10-10</t>
        </is>
      </c>
      <c r="U570" s="7" t="inlineStr">
        <is>
          <t>https://eur-lex.europa.eu/legal-content/EN/TXT/?uri=CELEX:52025DC0771</t>
        </is>
      </c>
      <c r="V570" s="7" t="inlineStr"/>
      <c r="W570" s="7" t="inlineStr"/>
    </row>
    <row r="571">
      <c r="A571" s="7" t="n">
        <v>81</v>
      </c>
      <c r="B571" s="7" t="inlineStr">
        <is>
          <t>European Health Data Space</t>
        </is>
      </c>
      <c r="C571" s="7" t="inlineStr">
        <is>
          <t>ex-ante assessment</t>
        </is>
      </c>
      <c r="D571" s="7" t="inlineStr">
        <is>
          <t>official</t>
        </is>
      </c>
      <c r="E571" s="7" t="inlineStr">
        <is>
          <t>initial review</t>
        </is>
      </c>
      <c r="F571" s="7" t="inlineStr">
        <is>
          <t>ec-2022-ehds-ia</t>
        </is>
      </c>
      <c r="G571" s="7" t="inlineStr">
        <is>
          <t>European Commission (2022), Impact assessment accompanying the proposal on the European Health Data Space (executive summary SWD(2022) 132), SWD(2022) 131</t>
        </is>
      </c>
      <c r="H571" s="7" t="n">
        <v>2022</v>
      </c>
      <c r="I571" s="7" t="inlineStr">
        <is>
          <t>Commission impact assessment</t>
        </is>
      </c>
      <c r="J571" s="7" t="inlineStr">
        <is>
          <t>ex-ante</t>
        </is>
      </c>
      <c r="K571" s="7" t="inlineStr">
        <is>
          <t>economic benefits; costs; SMEs; access to health data</t>
        </is>
      </c>
      <c r="L571" s="7" t="inlineStr">
        <is>
          <t>positive (forecast)</t>
        </is>
      </c>
      <c r="M571" s="7" t="inlineStr">
        <is>
          <t>Preferred option: total economic benefits above EUR 11bn over 10 years; costs EUR 0.7-2.5bn above baseline over 10 years, mainly digital infrastructure (MyHealth@EU, health data access bodies) and certification</t>
        </is>
      </c>
      <c r="N571" s="7" t="inlineStr">
        <is>
          <t>The Commission expected the health data space to bring more than EUR 11 billion in benefits over ten years for EUR 0.7-2.5 billion of costs.</t>
        </is>
      </c>
      <c r="O571" s="7" t="inlineStr">
        <is>
          <t>EU-27, 10-year forecast</t>
        </is>
      </c>
      <c r="P571" s="7" t="inlineStr">
        <is>
          <t>forecast</t>
        </is>
      </c>
      <c r="Q571" s="7" t="inlineStr"/>
      <c r="R571" s="7" t="inlineStr">
        <is>
          <t>open</t>
        </is>
      </c>
      <c r="S571" s="7" t="inlineStr">
        <is>
          <t>full text read</t>
        </is>
      </c>
      <c r="T571" s="7" t="inlineStr">
        <is>
          <t>2026-10-10</t>
        </is>
      </c>
      <c r="U571" s="7" t="inlineStr">
        <is>
          <t>https://eur-lex.europa.eu/legal-content/EN/TXT/?uri=CELEX:52022SC0132</t>
        </is>
      </c>
      <c r="V571" s="7" t="inlineStr"/>
      <c r="W571" s="7" t="inlineStr">
        <is>
          <t>http://web.archive.org/web/20240713074117/https://eur-lex.europa.eu/legal-content/EN/TXT/?uri=celex%3A52022SC0132</t>
        </is>
      </c>
    </row>
    <row r="572">
      <c r="A572" s="7" t="n">
        <v>81</v>
      </c>
      <c r="B572" s="7" t="inlineStr">
        <is>
          <t>European Health Data Space</t>
        </is>
      </c>
      <c r="C572" s="7" t="inlineStr">
        <is>
          <t>evidence</t>
        </is>
      </c>
      <c r="D572" s="7" t="inlineStr">
        <is>
          <t>official</t>
        </is>
      </c>
      <c r="E572" s="7" t="inlineStr">
        <is>
          <t>initial review</t>
        </is>
      </c>
      <c r="F572" s="7" t="inlineStr">
        <is>
          <t>marcus-et-al-2022-ehds</t>
        </is>
      </c>
      <c r="G572" s="7" t="inlineStr">
        <is>
          <t>Marcus, Martens, Carugati, Bucher &amp; Godlovitch (2022), The European Health Data Space, Study for the European Parliament ITRE committee (Policy Department for Economic, Scientific and Quality of Life Policies); SSRN 4300393</t>
        </is>
      </c>
      <c r="H572" s="7" t="n">
        <v>2022</v>
      </c>
      <c r="I572" s="7" t="inlineStr">
        <is>
          <t>Parliament-commissioned study</t>
        </is>
      </c>
      <c r="J572" s="7" t="inlineStr">
        <is>
          <t>legal and economic analysis (ex-ante)</t>
        </is>
      </c>
      <c r="K572" s="7" t="inlineStr">
        <is>
          <t>implementation costs; incentives for healthcare providers; governance</t>
        </is>
      </c>
      <c r="L572" s="7" t="inlineStr">
        <is>
          <t>mixed</t>
        </is>
      </c>
      <c r="M572" s="7" t="inlineStr">
        <is>
          <t>Examines legal and economic challenges to implementing the proposed EHDS, including costs and incentives for health care providers and EU/Member State institutional interaction; recommends design improvements</t>
        </is>
      </c>
      <c r="N572" s="7" t="inlineStr">
        <is>
          <t>A study for the European Parliament found that providers' costs and weak incentives, and the split between EU and national bodies, could hold back the health data space, and proposed design changes.</t>
        </is>
      </c>
      <c r="O572" s="7" t="inlineStr">
        <is>
          <t>EU, 2022</t>
        </is>
      </c>
      <c r="P572" s="7" t="inlineStr">
        <is>
          <t>qualitative ex-ante analysis</t>
        </is>
      </c>
      <c r="Q572" s="7" t="inlineStr"/>
      <c r="R572" s="7" t="inlineStr">
        <is>
          <t>open</t>
        </is>
      </c>
      <c r="S572" s="7" t="inlineStr">
        <is>
          <t>abstract read</t>
        </is>
      </c>
      <c r="T572" s="7" t="inlineStr">
        <is>
          <t>2026-10-10</t>
        </is>
      </c>
      <c r="U572" s="7" t="inlineStr">
        <is>
          <t>https://doi.org/10.2139/ssrn.4300393</t>
        </is>
      </c>
      <c r="V572" s="7" t="inlineStr"/>
      <c r="W572" s="7" t="inlineStr"/>
    </row>
    <row r="573">
      <c r="A573" s="7" t="n">
        <v>81</v>
      </c>
      <c r="B573" s="7" t="inlineStr">
        <is>
          <t>European Health Data Space</t>
        </is>
      </c>
      <c r="C573" s="7" t="inlineStr">
        <is>
          <t>evidence</t>
        </is>
      </c>
      <c r="D573" s="7" t="inlineStr">
        <is>
          <t>think tank</t>
        </is>
      </c>
      <c r="E573" s="7" t="inlineStr">
        <is>
          <t>initial review</t>
        </is>
      </c>
      <c r="F573" s="7" t="inlineStr">
        <is>
          <t>eit-health-2024-ehds-funding</t>
        </is>
      </c>
      <c r="G573" s="7" t="inlineStr">
        <is>
          <t>EIT Health Think Tank (2024), Report on implementing the European Health Data Space (released at EIT Health Summit, May 2024), EIT Health (as reported by Pulse IT and Research Professional News)</t>
        </is>
      </c>
      <c r="H573" s="7" t="n">
        <v>2024</v>
      </c>
      <c r="I573" s="7" t="inlineStr">
        <is>
          <t>think tank report (secondary report)</t>
        </is>
      </c>
      <c r="J573" s="7" t="inlineStr">
        <is>
          <t>expert consultation</t>
        </is>
      </c>
      <c r="K573" s="7" t="inlineStr">
        <is>
          <t>implementation funding</t>
        </is>
      </c>
      <c r="L573" s="7" t="inlineStr">
        <is>
          <t>critical</t>
        </is>
      </c>
      <c r="M573" s="7" t="inlineStr">
        <is>
          <t>Commission implementation budget 'significantly misaligned with the ambition level' of the regulation; Member States must increase their commitment to funding</t>
        </is>
      </c>
      <c r="N573" s="7" t="inlineStr">
        <is>
          <t>A health-innovation think tank warned that the money set aside to implement the health data space falls short of its ambitions and called on national governments to contribute more.</t>
        </is>
      </c>
      <c r="O573" s="7" t="inlineStr">
        <is>
          <t>EU, 2024</t>
        </is>
      </c>
      <c r="P573" s="7" t="inlineStr">
        <is>
          <t>expert opinion; report not read directly</t>
        </is>
      </c>
      <c r="Q573" s="7" t="inlineStr">
        <is>
          <t>EIT Health network includes industry partners that would use health data</t>
        </is>
      </c>
      <c r="R573" s="7" t="inlineStr">
        <is>
          <t>open</t>
        </is>
      </c>
      <c r="S573" s="7" t="inlineStr">
        <is>
          <t>page summary via search</t>
        </is>
      </c>
      <c r="T573" s="7" t="inlineStr">
        <is>
          <t>2026-10-10</t>
        </is>
      </c>
      <c r="U573" s="7" t="inlineStr">
        <is>
          <t>https://www.researchprofessionalnews.com/rr-news-europe-innovation-2024-4-more-commitment-needed-for-european-health-data-space/</t>
        </is>
      </c>
      <c r="V573" s="7" t="inlineStr"/>
      <c r="W573" s="7" t="inlineStr">
        <is>
          <t>http://web.archive.org/web/20240521223823/https://www.researchprofessionalnews.com/rr-news-europe-innovation-2024-4-more-commitment-needed-for-european-health-data-space/</t>
        </is>
      </c>
    </row>
    <row r="574">
      <c r="A574" s="7" t="n">
        <v>81</v>
      </c>
      <c r="B574" s="7" t="inlineStr">
        <is>
          <t>European Health Data Space</t>
        </is>
      </c>
      <c r="C574" s="7" t="inlineStr">
        <is>
          <t>evidence</t>
        </is>
      </c>
      <c r="D574" s="7" t="inlineStr">
        <is>
          <t>official</t>
        </is>
      </c>
      <c r="E574" s="7" t="inlineStr">
        <is>
          <t>initial review</t>
        </is>
      </c>
      <c r="F574" s="7" t="inlineStr">
        <is>
          <t>ec-2025-myhealth-status</t>
        </is>
      </c>
      <c r="G574" s="7" t="inlineStr">
        <is>
          <t>European Commission (DG SANTE) (2025), My rights over my health data, Commission web page</t>
        </is>
      </c>
      <c r="H574" s="7" t="n">
        <v>2025</v>
      </c>
      <c r="I574" s="7" t="inlineStr">
        <is>
          <t>Commission statistics</t>
        </is>
      </c>
      <c r="J574" s="7" t="inlineStr">
        <is>
          <t>descriptive</t>
        </is>
      </c>
      <c r="K574" s="7" t="inlineStr">
        <is>
          <t>cross-border exchange of health data (baseline)</t>
        </is>
      </c>
      <c r="L574" s="7" t="inlineStr">
        <is>
          <t>n/a</t>
        </is>
      </c>
      <c r="M574" s="7" t="inlineStr">
        <is>
          <t>15 Member States support sharing patient summaries and ePrescriptions via MyHealth@EU; only a few countries can send or receive data digitally across borders in early 2025; 10 countries still use paper prescriptions</t>
        </is>
      </c>
      <c r="N574" s="7" t="inlineStr">
        <is>
          <t>In early 2025, 15 EU countries could share patient summaries and e-prescriptions across borders; the EHDS requires all to do so by 2029.</t>
        </is>
      </c>
      <c r="O574" s="7" t="inlineStr">
        <is>
          <t>EU, early 2025</t>
        </is>
      </c>
      <c r="P574" s="7" t="inlineStr">
        <is>
          <t>official baseline</t>
        </is>
      </c>
      <c r="Q574" s="7" t="inlineStr"/>
      <c r="R574" s="7" t="inlineStr">
        <is>
          <t>open</t>
        </is>
      </c>
      <c r="S574" s="7" t="inlineStr">
        <is>
          <t>full text read</t>
        </is>
      </c>
      <c r="T574" s="7" t="inlineStr">
        <is>
          <t>2026-10-10</t>
        </is>
      </c>
      <c r="U574" s="7" t="inlineStr">
        <is>
          <t>https://health.ec.europa.eu/ehealth-digital-health-and-care/my-rights-over-my-health-data_en</t>
        </is>
      </c>
      <c r="V574" s="7" t="inlineStr"/>
      <c r="W574" s="7" t="inlineStr"/>
    </row>
    <row r="575">
      <c r="A575" s="7" t="n">
        <v>81</v>
      </c>
      <c r="B575" s="7" t="inlineStr">
        <is>
          <t>European Health Data Space</t>
        </is>
      </c>
      <c r="C575" s="7" t="inlineStr">
        <is>
          <t>evidence</t>
        </is>
      </c>
      <c r="D575" s="7" t="inlineStr">
        <is>
          <t>official</t>
        </is>
      </c>
      <c r="E575" s="7" t="inlineStr">
        <is>
          <t>2026-10 broadened search</t>
        </is>
      </c>
      <c r="F575" s="7" t="inlineStr">
        <is>
          <t>hiqa-2026-ehds-readiness</t>
        </is>
      </c>
      <c r="G575" s="7" t="inlineStr">
        <is>
          <t>Health Information and Quality Authority (HIQA), HealthData@IE project (with Department of Health and Health Research Board) (2026), Report on the findings of a readiness assessment of data holders in Ireland in relation to health data access body services (HealthData@IE Deliverable 8.12), HIQA / HealthData@IE (EU4Health-funded project), March 2026</t>
        </is>
      </c>
      <c r="H575" s="7" t="n">
        <v>2026</v>
      </c>
      <c r="I575" s="7" t="inlineStr">
        <is>
          <t>agency report</t>
        </is>
      </c>
      <c r="J575" s="7" t="inlineStr">
        <is>
          <t>national readiness survey of 16 data holders covering 21 datasets (100% response rate), plus focus groups, analysed with descriptive statistics and content analysis, built around three use cases (influenza, diabetes, colorectal cancer)</t>
        </is>
      </c>
      <c r="K575" s="7" t="inlineStr">
        <is>
          <t>data holders' readiness for EHDS secondary-use obligations: unique identifiers, data linkage, anonymisation, data quality, information-management maturity</t>
        </is>
      </c>
      <c r="L575" s="7" t="inlineStr">
        <is>
          <t>descriptive</t>
        </is>
      </c>
      <c r="M575" s="7" t="inlineStr">
        <is>
          <t>Only 57% of surveyed datasets use the Individual Health Identifier and 48% the PPS number; a third do not link with other datasets at all, and only 38% use anonymisation techniques.</t>
        </is>
      </c>
      <c r="N575" s="7" t="inlineStr">
        <is>
          <t>Ireland's health quality authority surveyed its main health data holders to see how ready they are for the new EU health data rules. Many are not ready yet: no common patient ID is used across them, data are often not linked, and few anonymise data, so a lot of work is needed before 2029.</t>
        </is>
      </c>
      <c r="O575" s="7" t="inlineStr">
        <is>
          <t>2025 survey; Ireland</t>
        </is>
      </c>
      <c r="P575" s="7" t="inlineStr">
        <is>
          <t>Early implementation baseline from a national authority; small, purposive sample of mostly well-established national collections; descriptive only, no counterfactual; single country.</t>
        </is>
      </c>
      <c r="Q575" s="7" t="inlineStr">
        <is>
          <t>National body tasked with setting up EHDS health data access services; EU-funded project</t>
        </is>
      </c>
      <c r="R575" s="7" t="inlineStr">
        <is>
          <t>open</t>
        </is>
      </c>
      <c r="S575" s="7" t="inlineStr">
        <is>
          <t>full text read</t>
        </is>
      </c>
      <c r="T575" s="7" t="inlineStr">
        <is>
          <t>2026-10-10</t>
        </is>
      </c>
      <c r="U575" s="7" t="inlineStr">
        <is>
          <t>https://www.hiqa.ie/sites/default/files/2026-03/Report-on-the-findings-of-a-readiness-assessment-of-data-holders-in-Ireland.pdf</t>
        </is>
      </c>
      <c r="V575" s="7" t="inlineStr">
        <is>
          <t>https://www.hiqa.ie/sites/default/files/2026-03/Report-on-the-findings-of-a-readiness-assessment-of-data-holders-in-Ireland.pdf</t>
        </is>
      </c>
      <c r="W575" s="7" t="inlineStr"/>
    </row>
    <row r="576">
      <c r="A576" s="7" t="n">
        <v>103</v>
      </c>
      <c r="B576" s="7" t="inlineStr">
        <is>
          <t>Toys Safety Regulation</t>
        </is>
      </c>
      <c r="C576" s="7" t="inlineStr">
        <is>
          <t>ex-ante assessment</t>
        </is>
      </c>
      <c r="D576" s="7" t="inlineStr">
        <is>
          <t>official</t>
        </is>
      </c>
      <c r="E576" s="7" t="inlineStr">
        <is>
          <t>initial review</t>
        </is>
      </c>
      <c r="F576" s="7" t="inlineStr">
        <is>
          <t>ec-2023-toys-ia</t>
        </is>
      </c>
      <c r="G576" s="7" t="inlineStr">
        <is>
          <t>European Commission (2023), Impact assessment accompanying the proposal for a Regulation on the safety of toys (executive summary SWD(2023) 270), SWD(2023) 269</t>
        </is>
      </c>
      <c r="H576" s="7" t="n">
        <v>2023</v>
      </c>
      <c r="I576" s="7" t="inlineStr">
        <is>
          <t>Commission impact assessment</t>
        </is>
      </c>
      <c r="J576" s="7" t="inlineStr">
        <is>
          <t>ex-ante</t>
        </is>
      </c>
      <c r="K576" s="7" t="inlineStr">
        <is>
          <t>child health; compliance costs; market surveillance</t>
        </is>
      </c>
      <c r="L576" s="7" t="inlineStr">
        <is>
          <t>positive (forecast)</t>
        </is>
      </c>
      <c r="M576" s="7" t="inlineStr">
        <is>
          <t>Health benefits EUR 240m-1.2bn/yr from endocrine-disruptor ban alone; one-off redesign costs EUR 23.5-397m; EUR 249-367m worth of products affected; product passport EUR 18m one-off + EUR 10.5m/yr, offset by EUR 13-20m/yr inspection savings and EUR 2.6-3.9m/yr digital information savings</t>
        </is>
      </c>
      <c r="N576" s="7" t="inlineStr">
        <is>
          <t>The Commission expected the new chemical bans to avoid EUR 240 million to 1.2 billion a year in health damage, at one-off costs to industry of up to about EUR 400 million.</t>
        </is>
      </c>
      <c r="O576" s="7" t="inlineStr">
        <is>
          <t>EU-27, forecast</t>
        </is>
      </c>
      <c r="P576" s="7" t="inlineStr">
        <is>
          <t>forecast</t>
        </is>
      </c>
      <c r="Q576" s="7" t="inlineStr"/>
      <c r="R576" s="7" t="inlineStr">
        <is>
          <t>open</t>
        </is>
      </c>
      <c r="S576" s="7" t="inlineStr">
        <is>
          <t>full text read</t>
        </is>
      </c>
      <c r="T576" s="7" t="inlineStr">
        <is>
          <t>2026-10-10</t>
        </is>
      </c>
      <c r="U576" s="7" t="inlineStr">
        <is>
          <t>https://eur-lex.europa.eu/legal-content/EN/TXT/?uri=CELEX:52023SC0270</t>
        </is>
      </c>
      <c r="V576" s="7" t="inlineStr"/>
      <c r="W576" s="7" t="inlineStr">
        <is>
          <t>http://web.archive.org/web/20231210004816/https://eur-lex.europa.eu/legal-content/EN/TXT/?uri=CELEX%3A52023SC0270</t>
        </is>
      </c>
    </row>
    <row r="577">
      <c r="A577" s="7" t="n">
        <v>103</v>
      </c>
      <c r="B577" s="7" t="inlineStr">
        <is>
          <t>Toys Safety Regulation</t>
        </is>
      </c>
      <c r="C577" s="7" t="inlineStr">
        <is>
          <t>evidence</t>
        </is>
      </c>
      <c r="D577" s="7" t="inlineStr">
        <is>
          <t>official</t>
        </is>
      </c>
      <c r="E577" s="7" t="inlineStr">
        <is>
          <t>initial review</t>
        </is>
      </c>
      <c r="F577" s="7" t="inlineStr">
        <is>
          <t>ec-2025-safety-gate-2024</t>
        </is>
      </c>
      <c r="G577" s="7" t="inlineStr">
        <is>
          <t>European Commission (2025), Safety Gate: 2024 results, Commission annual report (as summarised by UL and SGS)</t>
        </is>
      </c>
      <c r="H577" s="7" t="n">
        <v>2025</v>
      </c>
      <c r="I577" s="7" t="inlineStr">
        <is>
          <t>Commission statistics (secondary report)</t>
        </is>
      </c>
      <c r="J577" s="7" t="inlineStr">
        <is>
          <t>descriptive</t>
        </is>
      </c>
      <c r="K577" s="7" t="inlineStr">
        <is>
          <t>dangerous product alerts (baseline)</t>
        </is>
      </c>
      <c r="L577" s="7" t="inlineStr">
        <is>
          <t>n/a</t>
        </is>
      </c>
      <c r="M577" s="7" t="inlineStr">
        <is>
          <t>Record 4,137 alerts in 2024; toys 15% of alerts, second after cosmetics (36%); chemical risks 49% of all alerts</t>
        </is>
      </c>
      <c r="N577" s="7" t="inlineStr">
        <is>
          <t>Toys made up 15% of the EU's record 4,137 alerts on dangerous products in 2024, a baseline the new rules aim to reduce.</t>
        </is>
      </c>
      <c r="O577" s="7" t="inlineStr">
        <is>
          <t>EU, 2024</t>
        </is>
      </c>
      <c r="P577" s="7" t="inlineStr">
        <is>
          <t>official statistics, secondary summary</t>
        </is>
      </c>
      <c r="Q577" s="7" t="inlineStr"/>
      <c r="R577" s="7" t="inlineStr">
        <is>
          <t>open</t>
        </is>
      </c>
      <c r="S577" s="7" t="inlineStr">
        <is>
          <t>page summary via search</t>
        </is>
      </c>
      <c r="T577" s="7" t="inlineStr">
        <is>
          <t>2026-10-10</t>
        </is>
      </c>
      <c r="U577" s="7" t="inlineStr">
        <is>
          <t>https://www.ul.com/news/consumer-products-eu-commission-publishes-2024-safety-gate-report</t>
        </is>
      </c>
      <c r="V577" s="7" t="inlineStr"/>
      <c r="W577" s="7" t="inlineStr">
        <is>
          <t>http://web.archive.org/web/20260511235541/https://www.ul.com/news/consumer-products-eu-commission-publishes-2024-safety-gate-report</t>
        </is>
      </c>
    </row>
    <row r="578">
      <c r="A578" s="7" t="n">
        <v>103</v>
      </c>
      <c r="B578" s="7" t="inlineStr">
        <is>
          <t>Toys Safety Regulation</t>
        </is>
      </c>
      <c r="C578" s="7" t="inlineStr">
        <is>
          <t>evidence</t>
        </is>
      </c>
      <c r="D578" s="7" t="inlineStr">
        <is>
          <t>consultancy or industry</t>
        </is>
      </c>
      <c r="E578" s="7" t="inlineStr">
        <is>
          <t>initial review</t>
        </is>
      </c>
      <c r="F578" s="7" t="inlineStr">
        <is>
          <t>tie-2024-marketplace-toys</t>
        </is>
      </c>
      <c r="G578" s="7" t="inlineStr">
        <is>
          <t>Toy Industries of Europe (2024), 80% of toys bought from third-party traders on online marketplaces fail EU safety standards, TIE press release (October 2024)</t>
        </is>
      </c>
      <c r="H578" s="7" t="n">
        <v>2024</v>
      </c>
      <c r="I578" s="7" t="inlineStr">
        <is>
          <t>industry study</t>
        </is>
      </c>
      <c r="J578" s="7" t="inlineStr">
        <is>
          <t>test purchases (100+ toys, 10 marketplaces)</t>
        </is>
      </c>
      <c r="K578" s="7" t="inlineStr">
        <is>
          <t>non-compliance of toys sold online (baseline)</t>
        </is>
      </c>
      <c r="L578" s="7" t="inlineStr">
        <is>
          <t>n/a</t>
        </is>
      </c>
      <c r="M578" s="7" t="inlineStr">
        <is>
          <t>80% of toys bought from third-party traders on 10 online marketplaces failed EU safety standards; no well-known brands tested; 2025 follow-up reported 86% of 70 toys posed direct safety risks</t>
        </is>
      </c>
      <c r="N578" s="7" t="inlineStr">
        <is>
          <t>An industry test of more than 100 toys bought from third-party sellers online found 80% broke EU safety rules, the problem the passport and marketplace duties are meant to address.</t>
        </is>
      </c>
      <c r="O578" s="7" t="inlineStr">
        <is>
          <t>EU marketplaces, 2024</t>
        </is>
      </c>
      <c r="P578" s="7" t="inlineStr">
        <is>
          <t>small non-random sample</t>
        </is>
      </c>
      <c r="Q578" s="7" t="inlineStr">
        <is>
          <t>EU toy manufacturers' association; competes with non-EU online sellers</t>
        </is>
      </c>
      <c r="R578" s="7" t="inlineStr">
        <is>
          <t>open</t>
        </is>
      </c>
      <c r="S578" s="7" t="inlineStr">
        <is>
          <t>page summary via search</t>
        </is>
      </c>
      <c r="T578" s="7" t="inlineStr">
        <is>
          <t>2026-10-10</t>
        </is>
      </c>
      <c r="U578" s="7" t="inlineStr">
        <is>
          <t>https://toyindustries.eu/80-of-toys-bought-from-third-party-traders-on-online-marketplaces-fail-eu-safety-standards-and-could-be-a-danger-to-children</t>
        </is>
      </c>
      <c r="V578" s="7" t="inlineStr"/>
      <c r="W578" s="7" t="inlineStr">
        <is>
          <t>http://web.archive.org/web/20260807081840/https://www.toyindustries.eu/80-of-toys-bought-from-third-party-traders-on-online-marketplaces-fail-eu-safety-standards-and-could-be-a-danger-to-children/</t>
        </is>
      </c>
    </row>
    <row r="579">
      <c r="A579" s="7" t="n">
        <v>102</v>
      </c>
      <c r="B579" s="7" t="inlineStr">
        <is>
          <t>GDPR Procedural Regulation</t>
        </is>
      </c>
      <c r="C579" s="7" t="inlineStr">
        <is>
          <t>evidence</t>
        </is>
      </c>
      <c r="D579" s="7" t="inlineStr">
        <is>
          <t>official</t>
        </is>
      </c>
      <c r="E579" s="7" t="inlineStr">
        <is>
          <t>initial review</t>
        </is>
      </c>
      <c r="F579" s="7" t="inlineStr">
        <is>
          <t>ec-2024-gdpr-second-report</t>
        </is>
      </c>
      <c r="G579" s="7" t="inlineStr">
        <is>
          <t>European Commission (2024), Second Report on the application of the General Data Protection Regulation, COM(2024) 357</t>
        </is>
      </c>
      <c r="H579" s="7" t="n">
        <v>2024</v>
      </c>
      <c r="I579" s="7" t="inlineStr">
        <is>
          <t>Commission evaluation/review report</t>
        </is>
      </c>
      <c r="J579" s="7" t="inlineStr">
        <is>
          <t>review (DPA and stakeholder input)</t>
        </is>
      </c>
      <c r="K579" s="7" t="inlineStr">
        <is>
          <t>cross-border enforcement (baseline)</t>
        </is>
      </c>
      <c r="L579" s="7" t="inlineStr">
        <is>
          <t>n/a</t>
        </is>
      </c>
      <c r="M579" s="7" t="inlineStr">
        <is>
          <t>Almost 2,400 cross-border case entries; ~1,500 draft decisions, 990 final infringement decisions (Nov 2023); DPAs receive 100,000+ complaints a year; calls for swift adoption of the procedural rules proposal to deliver quick remedies</t>
        </is>
      </c>
      <c r="N579" s="7" t="inlineStr">
        <is>
          <t>The Commission's 2024 GDPR review described slow, uneven cross-border enforcement and urged adoption of the procedural rules to speed it up.</t>
        </is>
      </c>
      <c r="O579" s="7" t="inlineStr">
        <is>
          <t>EU, 2018-2023</t>
        </is>
      </c>
      <c r="P579" s="7" t="inlineStr">
        <is>
          <t>official review</t>
        </is>
      </c>
      <c r="Q579" s="7" t="inlineStr"/>
      <c r="R579" s="7" t="inlineStr">
        <is>
          <t>open</t>
        </is>
      </c>
      <c r="S579" s="7" t="inlineStr">
        <is>
          <t>full text read</t>
        </is>
      </c>
      <c r="T579" s="7" t="inlineStr">
        <is>
          <t>2026-10-10</t>
        </is>
      </c>
      <c r="U579" s="7" t="inlineStr">
        <is>
          <t>https://eur-lex.europa.eu/legal-content/EN/TXT/?uri=CELEX:52024DC0357</t>
        </is>
      </c>
      <c r="V579" s="7" t="inlineStr"/>
      <c r="W579" s="7" t="inlineStr"/>
    </row>
    <row r="580">
      <c r="A580" s="7" t="n">
        <v>102</v>
      </c>
      <c r="B580" s="7" t="inlineStr">
        <is>
          <t>GDPR Procedural Regulation</t>
        </is>
      </c>
      <c r="C580" s="7" t="inlineStr">
        <is>
          <t>evidence</t>
        </is>
      </c>
      <c r="D580" s="7" t="inlineStr">
        <is>
          <t>official</t>
        </is>
      </c>
      <c r="E580" s="7" t="inlineStr">
        <is>
          <t>initial review</t>
        </is>
      </c>
      <c r="F580" s="7" t="inlineStr">
        <is>
          <t>edpb-edps-2023-joint-opinion-procedural</t>
        </is>
      </c>
      <c r="G580" s="7" t="inlineStr">
        <is>
          <t>EDPB &amp; EDPS (2023), Joint Opinion 01/2023 on the Proposal for a Regulation laying down additional procedural rules relating to the enforcement of Regulation (EU) 2016/679, EDPB-EDPS Joint Opinion, September 2023</t>
        </is>
      </c>
      <c r="H580" s="7" t="n">
        <v>2023</v>
      </c>
      <c r="I580" s="7" t="inlineStr">
        <is>
          <t>regulator opinion</t>
        </is>
      </c>
      <c r="J580" s="7" t="inlineStr">
        <is>
          <t>legal analysis (ex-ante)</t>
        </is>
      </c>
      <c r="K580" s="7" t="inlineStr">
        <is>
          <t>procedural efficiency; complainants' rights</t>
        </is>
      </c>
      <c r="L580" s="7" t="inlineStr">
        <is>
          <t>positive (forecast)</t>
        </is>
      </c>
      <c r="M580" s="7" t="inlineStr">
        <is>
          <t>Welcomes harmonised complaint admissibility and streamlining of cooperation; calls for swift adoption; stresses complainants' procedural rights</t>
        </is>
      </c>
      <c r="N580" s="7" t="inlineStr">
        <is>
          <t>Europe's data protection regulators backed the proposal as a way to speed up cross-border cases, while asking for stronger rights for complainants.</t>
        </is>
      </c>
      <c r="O580" s="7" t="inlineStr">
        <is>
          <t>EU</t>
        </is>
      </c>
      <c r="P580" s="7" t="inlineStr">
        <is>
          <t>expert opinion</t>
        </is>
      </c>
      <c r="Q580" s="7" t="inlineStr">
        <is>
          <t>The regulators who apply the rules (the proposal followed the EDPB's own 2022 wish list)</t>
        </is>
      </c>
      <c r="R580" s="7" t="inlineStr">
        <is>
          <t>open</t>
        </is>
      </c>
      <c r="S580" s="7" t="inlineStr">
        <is>
          <t>page summary via search</t>
        </is>
      </c>
      <c r="T580" s="7" t="inlineStr">
        <is>
          <t>2026-10-10</t>
        </is>
      </c>
      <c r="U580" s="7" t="inlineStr">
        <is>
          <t>https://edps.europa.eu/system/files/2023-09/EDPS-EDPB-2023-10-Joint-Opinion-Procedural-Rules-GDPR_EN.pdf</t>
        </is>
      </c>
      <c r="V580" s="7" t="inlineStr"/>
      <c r="W580" s="7" t="inlineStr">
        <is>
          <t>http://web.archive.org/web/20260306021907/https://www.edps.europa.eu/system/files/2023-09/EDPS-EDPB-2023-10-Joint-Opinion-Procedural-Rules-GDPR_EN.pdf</t>
        </is>
      </c>
    </row>
    <row r="581">
      <c r="A581" s="7" t="n">
        <v>102</v>
      </c>
      <c r="B581" s="7" t="inlineStr">
        <is>
          <t>GDPR Procedural Regulation</t>
        </is>
      </c>
      <c r="C581" s="7" t="inlineStr">
        <is>
          <t>evidence</t>
        </is>
      </c>
      <c r="D581" s="7" t="inlineStr">
        <is>
          <t>think tank</t>
        </is>
      </c>
      <c r="E581" s="7" t="inlineStr">
        <is>
          <t>initial review</t>
        </is>
      </c>
      <c r="F581" s="7" t="inlineStr">
        <is>
          <t>euronews-2025-noyb-procedural</t>
        </is>
      </c>
      <c r="G581" s="7" t="inlineStr">
        <is>
          <t>Euronews (reporting noyb) (2025), EU plans to reform data protection rules are 'tangled mess', privacy advocates warn, Euronews, 18 April 2025</t>
        </is>
      </c>
      <c r="H581" s="7" t="n">
        <v>2025</v>
      </c>
      <c r="I581" s="7" t="inlineStr">
        <is>
          <t>NGO critique (press report)</t>
        </is>
      </c>
      <c r="J581" s="7" t="inlineStr">
        <is>
          <t>commentary</t>
        </is>
      </c>
      <c r="K581" s="7" t="inlineStr">
        <is>
          <t>procedural complexity; enforcement speed</t>
        </is>
      </c>
      <c r="L581" s="7" t="inlineStr">
        <is>
          <t>negative (forecast)</t>
        </is>
      </c>
      <c r="M581" s="7" t="inlineStr">
        <is>
          <t>noyb argued the trilogue draft would create around ten types of GDPR procedure and could lengthen investigations; Max Schrems called it 'the biggest legislative mess I have seen in a long time'</t>
        </is>
      </c>
      <c r="N581" s="7" t="inlineStr">
        <is>
          <t>Privacy group noyb warned that the negotiated text was so complex it could slow, rather than speed up, cross-border GDPR enforcement.</t>
        </is>
      </c>
      <c r="O581" s="7" t="inlineStr">
        <is>
          <t>EU, 2025 (pre-final text)</t>
        </is>
      </c>
      <c r="P581" s="7" t="inlineStr">
        <is>
          <t>advocacy view on draft text</t>
        </is>
      </c>
      <c r="Q581" s="7" t="inlineStr">
        <is>
          <t>noyb files many cross-border GDPR complaints</t>
        </is>
      </c>
      <c r="R581" s="7" t="inlineStr">
        <is>
          <t>open</t>
        </is>
      </c>
      <c r="S581" s="7" t="inlineStr">
        <is>
          <t>page summary via search</t>
        </is>
      </c>
      <c r="T581" s="7" t="inlineStr">
        <is>
          <t>2026-10-10</t>
        </is>
      </c>
      <c r="U581" s="7" t="inlineStr">
        <is>
          <t>https://www.euronews.com/next/2025/04/18/eu-plans-to-reform-data-protection-rules-are-tangled-mess-privacy-advocates-warn</t>
        </is>
      </c>
      <c r="V581" s="7" t="inlineStr"/>
      <c r="W581" s="7" t="inlineStr">
        <is>
          <t>http://web.archive.org/web/20251226081717/https://www.euronews.com/next/2025/04/18/eu-plans-to-reform-data-protection-rules-are-tangled-mess-privacy-advocates-warn</t>
        </is>
      </c>
    </row>
    <row r="582">
      <c r="A582" s="7" t="n">
        <v>96</v>
      </c>
      <c r="B582" s="7" t="inlineStr">
        <is>
          <t>Compulsory licensing of patents Regulation</t>
        </is>
      </c>
      <c r="C582" s="7" t="inlineStr">
        <is>
          <t>ex-ante assessment</t>
        </is>
      </c>
      <c r="D582" s="7" t="inlineStr">
        <is>
          <t>official</t>
        </is>
      </c>
      <c r="E582" s="7" t="inlineStr">
        <is>
          <t>initial review</t>
        </is>
      </c>
      <c r="F582" s="7" t="inlineStr">
        <is>
          <t>ec-2023-compulsory-licensing-ia</t>
        </is>
      </c>
      <c r="G582" s="7" t="inlineStr">
        <is>
          <t>European Commission (2023), Impact assessment accompanying the proposal on compulsory licensing for crisis management (executive summary SWD(2023) 122), SWD(2023) 121</t>
        </is>
      </c>
      <c r="H582" s="7" t="n">
        <v>2023</v>
      </c>
      <c r="I582" s="7" t="inlineStr">
        <is>
          <t>Commission impact assessment</t>
        </is>
      </c>
      <c r="J582" s="7" t="inlineStr">
        <is>
          <t>ex-ante (qualitative scoring)</t>
        </is>
      </c>
      <c r="K582" s="7" t="inlineStr">
        <is>
          <t>crisis supply; negotiation costs; legal certainty; patent owners' control</t>
        </is>
      </c>
      <c r="L582" s="7" t="inlineStr">
        <is>
          <t>positive (forecast)</t>
        </is>
      </c>
      <c r="M582" s="7" t="inlineStr">
        <is>
          <t>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is>
      </c>
      <c r="N582" s="7" t="inlineStr">
        <is>
          <t>The Commission expected an EU-wide compulsory licence to get critical products to people faster in a crisis, but gave no monetary estimates and expected the tool to be used rarely.</t>
        </is>
      </c>
      <c r="O582" s="7" t="inlineStr">
        <is>
          <t>EU, forecast</t>
        </is>
      </c>
      <c r="P582" s="7" t="inlineStr">
        <is>
          <t>qualitative forecast</t>
        </is>
      </c>
      <c r="Q582" s="7" t="inlineStr"/>
      <c r="R582" s="7" t="inlineStr">
        <is>
          <t>open</t>
        </is>
      </c>
      <c r="S582" s="7" t="inlineStr">
        <is>
          <t>full text read</t>
        </is>
      </c>
      <c r="T582" s="7" t="inlineStr">
        <is>
          <t>2026-10-10</t>
        </is>
      </c>
      <c r="U582" s="7" t="inlineStr">
        <is>
          <t>https://eur-lex.europa.eu/legal-content/EN/TXT/?uri=CELEX:52023SC0122</t>
        </is>
      </c>
      <c r="V582" s="7" t="inlineStr"/>
      <c r="W582" s="7" t="inlineStr">
        <is>
          <t>http://web.archive.org/web/20250723082015/https://eur-lex.europa.eu/legal-content/EN/TXT/?uri=CELEX:52023SC0122</t>
        </is>
      </c>
    </row>
    <row r="583">
      <c r="A583" s="7" t="n">
        <v>96</v>
      </c>
      <c r="B583" s="7" t="inlineStr">
        <is>
          <t>Compulsory licensing of patents Regulation</t>
        </is>
      </c>
      <c r="C583" s="7" t="inlineStr">
        <is>
          <t>evidence</t>
        </is>
      </c>
      <c r="D583" s="7" t="inlineStr">
        <is>
          <t>official</t>
        </is>
      </c>
      <c r="E583" s="7" t="inlineStr">
        <is>
          <t>initial review</t>
        </is>
      </c>
      <c r="F583" s="7" t="inlineStr">
        <is>
          <t>eprs-2025-compulsory-licensing</t>
        </is>
      </c>
      <c r="G583" s="7" t="inlineStr">
        <is>
          <t>European Parliamentary Research Service (2025), Union compulsory licensing of patents for crisis management (EU Legislation in Progress briefing, 4th edition), EPRS_BRI(2024)757634</t>
        </is>
      </c>
      <c r="H583" s="7" t="n">
        <v>2025</v>
      </c>
      <c r="I583" s="7" t="inlineStr">
        <is>
          <t>Parliament research briefing</t>
        </is>
      </c>
      <c r="J583" s="7" t="inlineStr">
        <is>
          <t>legislative analysis</t>
        </is>
      </c>
      <c r="K583" s="7" t="inlineStr">
        <is>
          <t>scope; stakeholder positions</t>
        </is>
      </c>
      <c r="L583" s="7" t="inlineStr">
        <is>
          <t>n/a</t>
        </is>
      </c>
      <c r="M583" s="7" t="inlineStr">
        <is>
          <t>Civil society backed broad application, industry a narrow scope; the 21 May 2025 provisional agreement largely amended the proposal in favour of rights-holders, excluding semiconductor, gas supply and defence crises and dropping the proposed cap on licence fees</t>
        </is>
      </c>
      <c r="N583" s="7" t="inlineStr">
        <is>
          <t>The Parliament's researchers report that the final deal narrowed the tool in rights-holders' favour, excluding some crises and dropping a cap on royalties.</t>
        </is>
      </c>
      <c r="O583" s="7" t="inlineStr">
        <is>
          <t>EU, 2023-2025</t>
        </is>
      </c>
      <c r="P583" s="7" t="inlineStr">
        <is>
          <t>descriptive</t>
        </is>
      </c>
      <c r="Q583" s="7" t="inlineStr"/>
      <c r="R583" s="7" t="inlineStr">
        <is>
          <t>open</t>
        </is>
      </c>
      <c r="S583" s="7" t="inlineStr">
        <is>
          <t>page summary via search</t>
        </is>
      </c>
      <c r="T583" s="7" t="inlineStr">
        <is>
          <t>2026-10-10</t>
        </is>
      </c>
      <c r="U583" s="7" t="inlineStr">
        <is>
          <t>https://www.europarl.europa.eu/thinktank/en/document/EPRS_BRI(2024)757634</t>
        </is>
      </c>
      <c r="V583" s="7" t="inlineStr"/>
      <c r="W583" s="7" t="inlineStr">
        <is>
          <t>http://web.archive.org/web/20260617174349/https://www.europarl.europa.eu/thinktank/en/document/EPRS_BRI(2024)757634</t>
        </is>
      </c>
    </row>
    <row r="584">
      <c r="A584" s="7" t="n">
        <v>79</v>
      </c>
      <c r="B584" s="7" t="inlineStr">
        <is>
          <t>Information Security Regulation</t>
        </is>
      </c>
      <c r="C584" s="7" t="inlineStr">
        <is>
          <t>ex-ante assessment</t>
        </is>
      </c>
      <c r="D584" s="7" t="inlineStr">
        <is>
          <t>official</t>
        </is>
      </c>
      <c r="E584" s="7" t="inlineStr">
        <is>
          <t>initial review</t>
        </is>
      </c>
      <c r="F584" s="7" t="inlineStr">
        <is>
          <t>ec-2022-infosec-ia</t>
        </is>
      </c>
      <c r="G584" s="7" t="inlineStr">
        <is>
          <t>European Commission (2022), Executive summary of the impact analysis report accompanying the proposal for a Regulation on information security in the institutions, bodies, offices and agencies of the Union, SWD(2022) 65</t>
        </is>
      </c>
      <c r="H584" s="7" t="n">
        <v>2022</v>
      </c>
      <c r="I584" s="7" t="inlineStr">
        <is>
          <t>Commission impact assessment</t>
        </is>
      </c>
      <c r="J584" s="7" t="inlineStr">
        <is>
          <t>ex-ante (qualitative)</t>
        </is>
      </c>
      <c r="K584" s="7" t="inlineStr">
        <is>
          <t>information security level; administrative efficiency</t>
        </is>
      </c>
      <c r="L584" s="7" t="inlineStr">
        <is>
          <t>positive (forecast)</t>
        </is>
      </c>
      <c r="M584" s="7" t="inlineStr">
        <is>
          <t>Baseline rules expected to raise overall information security and remove weak links; implementation effort compensated by efficiency gains from common tasks (clearances, accreditation); 1 AD + 1 AST for secretariat; no economic impact on Member States or private sector</t>
        </is>
      </c>
      <c r="N584" s="7" t="inlineStr">
        <is>
          <t>The Commission expected common security rules to close weak links between EU bodies at little net cost, but gave no measurable targets.</t>
        </is>
      </c>
      <c r="O584" s="7" t="inlineStr">
        <is>
          <t>EU institutions</t>
        </is>
      </c>
      <c r="P584" s="7" t="inlineStr">
        <is>
          <t>qualitative forecast</t>
        </is>
      </c>
      <c r="Q584" s="7" t="inlineStr"/>
      <c r="R584" s="7" t="inlineStr">
        <is>
          <t>open</t>
        </is>
      </c>
      <c r="S584" s="7" t="inlineStr">
        <is>
          <t>full text read</t>
        </is>
      </c>
      <c r="T584" s="7" t="inlineStr">
        <is>
          <t>2026-10-10</t>
        </is>
      </c>
      <c r="U584" s="7" t="inlineStr">
        <is>
          <t>https://eur-lex.europa.eu/legal-content/EN/TXT/?uri=CELEX:52022SC0065</t>
        </is>
      </c>
      <c r="V584" s="7" t="inlineStr"/>
      <c r="W584" s="7" t="inlineStr">
        <is>
          <t>http://web.archive.org/web/20240619005429/https://eur-lex.europa.eu/legal-content/EN/TXT/?uri=celex%3A52022SC0065</t>
        </is>
      </c>
    </row>
    <row r="585">
      <c r="A585" s="7" t="n">
        <v>79</v>
      </c>
      <c r="B585" s="7" t="inlineStr">
        <is>
          <t>Information Security Regulation</t>
        </is>
      </c>
      <c r="C585" s="7" t="inlineStr">
        <is>
          <t>evidence</t>
        </is>
      </c>
      <c r="D585" s="7" t="inlineStr">
        <is>
          <t>official</t>
        </is>
      </c>
      <c r="E585" s="7" t="inlineStr">
        <is>
          <t>initial review</t>
        </is>
      </c>
      <c r="F585" s="7" t="inlineStr">
        <is>
          <t>eca-2022-cybersecurity-euibas</t>
        </is>
      </c>
      <c r="G585" s="7" t="inlineStr">
        <is>
          <t>European Court of Auditors (2022), Cybersecurity of EU institutions, bodies and agencies: Level of preparedness overall not commensurate with the threats, Special report 05/2022</t>
        </is>
      </c>
      <c r="H585" s="7" t="n">
        <v>2022</v>
      </c>
      <c r="I585" s="7" t="inlineStr">
        <is>
          <t>audit report</t>
        </is>
      </c>
      <c r="J585" s="7" t="inlineStr">
        <is>
          <t>performance audit</t>
        </is>
      </c>
      <c r="K585" s="7" t="inlineStr">
        <is>
          <t>cybersecurity preparedness (baseline)</t>
        </is>
      </c>
      <c r="L585" s="7" t="inlineStr">
        <is>
          <t>n/a</t>
        </is>
      </c>
      <c r="M585" s="7" t="inlineStr">
        <is>
          <t>EU bodies' preparedness not commensurate with threats and maturity varies widely; significant incidents rose more than tenfold 2018-2021; recommends binding common rules and more resources for CERT-EU</t>
        </is>
      </c>
      <c r="N585" s="7" t="inlineStr">
        <is>
          <t>EU auditors found that many EU bodies were poorly prepared for cyberattacks, which had increased more than tenfold, and called for binding common rules.</t>
        </is>
      </c>
      <c r="O585" s="7" t="inlineStr">
        <is>
          <t>EU institutions, 2018-2021</t>
        </is>
      </c>
      <c r="P585" s="7" t="inlineStr">
        <is>
          <t>official audit</t>
        </is>
      </c>
      <c r="Q585" s="7" t="inlineStr"/>
      <c r="R585" s="7" t="inlineStr">
        <is>
          <t>open</t>
        </is>
      </c>
      <c r="S585" s="7" t="inlineStr">
        <is>
          <t>page summary via search</t>
        </is>
      </c>
      <c r="T585" s="7" t="inlineStr">
        <is>
          <t>2026-10-10</t>
        </is>
      </c>
      <c r="U585" s="7" t="inlineStr">
        <is>
          <t>https://op.europa.eu/webpub/eca/special-reports/hack-proofing-eu-institutions-05-2022/en</t>
        </is>
      </c>
      <c r="V585" s="7" t="inlineStr"/>
      <c r="W585" s="7" t="inlineStr">
        <is>
          <t>http://web.archive.org/web/20260313155014/https://op.europa.eu/webpub/eca/special-reports/hack-proofing-eu-institutions-05-2022/en/</t>
        </is>
      </c>
    </row>
    <row r="586">
      <c r="A586" s="7" t="n">
        <v>82</v>
      </c>
      <c r="B586" s="7" t="inlineStr">
        <is>
          <t>Child Sexual Abuse Regulation (CSAR)</t>
        </is>
      </c>
      <c r="C586" s="7" t="inlineStr">
        <is>
          <t>ex-ante assessment</t>
        </is>
      </c>
      <c r="D586" s="7" t="inlineStr">
        <is>
          <t>official</t>
        </is>
      </c>
      <c r="E586" s="7" t="inlineStr">
        <is>
          <t>initial review</t>
        </is>
      </c>
      <c r="F586" s="7" t="inlineStr">
        <is>
          <t>ec-2022-csar-ia</t>
        </is>
      </c>
      <c r="G586" s="7" t="inlineStr">
        <is>
          <t>European Commission (2022), Impact assessment accompanying the proposal laying down rules to prevent and combat child sexual abuse (executive summary SWD(2022) 210), SWD(2022) 209</t>
        </is>
      </c>
      <c r="H586" s="7" t="n">
        <v>2022</v>
      </c>
      <c r="I586" s="7" t="inlineStr">
        <is>
          <t>Commission impact assessment</t>
        </is>
      </c>
      <c r="J586" s="7" t="inlineStr">
        <is>
          <t>ex-ante</t>
        </is>
      </c>
      <c r="K586" s="7" t="inlineStr">
        <is>
          <t>detection and reporting; costs; fundamental rights</t>
        </is>
      </c>
      <c r="L586" s="7" t="inlineStr">
        <is>
          <t>positive (forecast)</t>
        </is>
      </c>
      <c r="M586" s="7" t="inlineStr">
        <is>
          <t>Costs: providers EUR 1.6bn one-off and EUR 1.5bn/yr; public authorities EUR 5.4m one-off and EUR 825.6m/yr; EU Centre EUR 5m one-off and EUR 25.7m/yr; benefits described qualitatively (more reports, less fragmentation, better victim support)</t>
        </is>
      </c>
      <c r="N586" s="7" t="inlineStr">
        <is>
          <t>The Commission estimated the rules would cost online services about EUR 1.5 billion a year and public authorities about EUR 0.8 billion a year, in return for more detection and reporting of abuse.</t>
        </is>
      </c>
      <c r="O586" s="7" t="inlineStr">
        <is>
          <t>EU, forecast</t>
        </is>
      </c>
      <c r="P586" s="7" t="inlineStr">
        <is>
          <t>forecast; benefits not monetised in summary</t>
        </is>
      </c>
      <c r="Q586" s="7" t="inlineStr"/>
      <c r="R586" s="7" t="inlineStr">
        <is>
          <t>open</t>
        </is>
      </c>
      <c r="S586" s="7" t="inlineStr">
        <is>
          <t>full text read</t>
        </is>
      </c>
      <c r="T586" s="7" t="inlineStr">
        <is>
          <t>2026-10-10</t>
        </is>
      </c>
      <c r="U586" s="7" t="inlineStr">
        <is>
          <t>https://eur-lex.europa.eu/legal-content/EN/TXT/?uri=CELEX:52022SC0210</t>
        </is>
      </c>
      <c r="V586" s="7" t="inlineStr"/>
      <c r="W586" s="7" t="inlineStr">
        <is>
          <t>http://web.archive.org/web/20250816235506/https://eur-lex.europa.eu/legal-content/EN/TXT/?uri=celex%3A52022SC0210</t>
        </is>
      </c>
    </row>
    <row r="587">
      <c r="A587" s="7" t="n">
        <v>82</v>
      </c>
      <c r="B587" s="7" t="inlineStr">
        <is>
          <t>Child Sexual Abuse Regulation (CSAR)</t>
        </is>
      </c>
      <c r="C587" s="7" t="inlineStr">
        <is>
          <t>ex-ante assessment</t>
        </is>
      </c>
      <c r="D587" s="7" t="inlineStr">
        <is>
          <t>official</t>
        </is>
      </c>
      <c r="E587" s="7" t="inlineStr">
        <is>
          <t>initial review</t>
        </is>
      </c>
      <c r="F587" s="7" t="inlineStr">
        <is>
          <t>eprs-2023-csar-complementary-ia</t>
        </is>
      </c>
      <c r="G587" s="7" t="inlineStr">
        <is>
          <t>Ecorys, Queen Mary University London et al. for EPRS (2023), Proposal for a regulation laying down rules to prevent and combat child sexual abuse: Complementary impact assessment, EPRS study PE 740.248 (requested by LIBE)</t>
        </is>
      </c>
      <c r="H587" s="7" t="n">
        <v>2023</v>
      </c>
      <c r="I587" s="7" t="inlineStr">
        <is>
          <t>Parliament complementary impact assessment</t>
        </is>
      </c>
      <c r="J587" s="7" t="inlineStr">
        <is>
          <t>ex-ante review (legal, technical and cost-benefit analysis)</t>
        </is>
      </c>
      <c r="K587" s="7" t="inlineStr">
        <is>
          <t>detection accuracy; fundamental rights; EU Centre cost-efficiency</t>
        </is>
      </c>
      <c r="L587" s="7" t="inlineStr">
        <is>
          <t>critical</t>
        </is>
      </c>
      <c r="M587" s="7" t="inlineStr">
        <is>
          <t>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is>
      </c>
      <c r="N587" s="7" t="inlineStr">
        <is>
          <t>An independent study for the European Parliament found that scanning for previously unknown abuse images and grooming is too inaccurate and intrusive to be proportionate, and that the Commission underplayed encryption.</t>
        </is>
      </c>
      <c r="O587" s="7" t="inlineStr">
        <is>
          <t>EU, 2023</t>
        </is>
      </c>
      <c r="P587" s="7" t="inlineStr">
        <is>
          <t>independent expert review</t>
        </is>
      </c>
      <c r="Q587" s="7" t="inlineStr"/>
      <c r="R587" s="7" t="inlineStr">
        <is>
          <t>open</t>
        </is>
      </c>
      <c r="S587" s="7" t="inlineStr">
        <is>
          <t>full text read</t>
        </is>
      </c>
      <c r="T587" s="7" t="inlineStr">
        <is>
          <t>2026-10-10</t>
        </is>
      </c>
      <c r="U587" s="7" t="inlineStr">
        <is>
          <t>https://www.europarl.europa.eu/thinktank/en/document/EPRS_STU(2023)740248</t>
        </is>
      </c>
      <c r="V587" s="7" t="inlineStr">
        <is>
          <t>https://edri.org/wp-content/uploads/2023/07/EPRS_STU2023740248_EN.pdf</t>
        </is>
      </c>
      <c r="W587" s="7" t="inlineStr"/>
    </row>
    <row r="588">
      <c r="A588" s="7" t="n">
        <v>82</v>
      </c>
      <c r="B588" s="7" t="inlineStr">
        <is>
          <t>Child Sexual Abuse Regulation (CSAR)</t>
        </is>
      </c>
      <c r="C588" s="7" t="inlineStr">
        <is>
          <t>evidence</t>
        </is>
      </c>
      <c r="D588" s="7" t="inlineStr">
        <is>
          <t>official</t>
        </is>
      </c>
      <c r="E588" s="7" t="inlineStr">
        <is>
          <t>initial review</t>
        </is>
      </c>
      <c r="F588" s="7" t="inlineStr">
        <is>
          <t>edpb-edps-2022-csam-opinion</t>
        </is>
      </c>
      <c r="G588" s="7" t="inlineStr">
        <is>
          <t>EDPB &amp; EDPS (2022), Joint Opinion 04/2022 on the Proposal for a Regulation laying down rules to prevent and combat child sexual abuse, EDPB-EDPS Joint Opinion, 28 July 2022</t>
        </is>
      </c>
      <c r="H588" s="7" t="n">
        <v>2022</v>
      </c>
      <c r="I588" s="7" t="inlineStr">
        <is>
          <t>regulator opinion</t>
        </is>
      </c>
      <c r="J588" s="7" t="inlineStr">
        <is>
          <t>legal analysis (ex-ante)</t>
        </is>
      </c>
      <c r="K588" s="7" t="inlineStr">
        <is>
          <t>privacy; data protection; confidentiality of communications</t>
        </is>
      </c>
      <c r="L588" s="7" t="inlineStr">
        <is>
          <t>negative (forecast)</t>
        </is>
      </c>
      <c r="M588" s="7" t="inlineStr">
        <is>
          <t>Vague conditions for detection orders risk generalised and indiscriminate scanning; substantial degradation of confidentiality of communications; proposal may present more risks to individuals and society than to criminals pursued</t>
        </is>
      </c>
      <c r="N588" s="7" t="inlineStr">
        <is>
          <t>Europe's data protection authorities warned the proposal could lead to indiscriminate scanning of private messages and weaken confidentiality for everyone, children included.</t>
        </is>
      </c>
      <c r="O588" s="7" t="inlineStr">
        <is>
          <t>EU, 2022</t>
        </is>
      </c>
      <c r="P588" s="7" t="inlineStr">
        <is>
          <t>expert opinion</t>
        </is>
      </c>
      <c r="Q588" s="7" t="inlineStr"/>
      <c r="R588" s="7" t="inlineStr">
        <is>
          <t>open</t>
        </is>
      </c>
      <c r="S588" s="7" t="inlineStr">
        <is>
          <t>page summary via search</t>
        </is>
      </c>
      <c r="T588" s="7" t="inlineStr">
        <is>
          <t>2026-10-10</t>
        </is>
      </c>
      <c r="U588" s="7" t="inlineStr">
        <is>
          <t>https://edps.europa.eu/system/files/2022-07/22-07-28_edpb-edps-joint-opinion-csam_en.pdf</t>
        </is>
      </c>
      <c r="V588" s="7" t="inlineStr"/>
      <c r="W588" s="7" t="inlineStr"/>
    </row>
    <row r="589">
      <c r="A589" s="7" t="n">
        <v>98</v>
      </c>
      <c r="B589" s="7" t="inlineStr">
        <is>
          <t>Financial Data Access Regulation (FiDA)</t>
        </is>
      </c>
      <c r="C589" s="7" t="inlineStr">
        <is>
          <t>ex-ante assessment</t>
        </is>
      </c>
      <c r="D589" s="7" t="inlineStr">
        <is>
          <t>official</t>
        </is>
      </c>
      <c r="E589" s="7" t="inlineStr">
        <is>
          <t>initial review</t>
        </is>
      </c>
      <c r="F589" s="7" t="inlineStr">
        <is>
          <t>ec-2023-fida-ia</t>
        </is>
      </c>
      <c r="G589" s="7" t="inlineStr">
        <is>
          <t>European Commission (2023), Impact Assessment accompanying the proposal for a framework for Financial Data Access, SWD(2023) 224 (executive summary SWD(2023) 230)</t>
        </is>
      </c>
      <c r="H589" s="7" t="n">
        <v>2023</v>
      </c>
      <c r="I589" s="7" t="inlineStr">
        <is>
          <t>Commission impact assessment</t>
        </is>
      </c>
      <c r="J589" s="7" t="inlineStr">
        <is>
          <t>ex-ante</t>
        </is>
      </c>
      <c r="K589" s="7" t="inlineStr">
        <is>
          <t>compliance costs; competition; innovation</t>
        </is>
      </c>
      <c r="L589" s="7" t="inlineStr">
        <is>
          <t>positive (forecast)</t>
        </is>
      </c>
      <c r="M589" s="7" t="inlineStr">
        <is>
          <t>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is>
      </c>
      <c r="N589" s="7" t="inlineStr">
        <is>
          <t>The Commission expected FiDA to cost financial firms about EUR 2.2-2.4 billion up front to build data interfaces, in return for more competition and new data-driven services, which it did not put a figure on.</t>
        </is>
      </c>
      <c r="O589" s="7" t="inlineStr">
        <is>
          <t>EU, forecast</t>
        </is>
      </c>
      <c r="P589" s="7" t="inlineStr">
        <is>
          <t>forecast</t>
        </is>
      </c>
      <c r="Q589" s="7" t="inlineStr"/>
      <c r="R589" s="7" t="inlineStr">
        <is>
          <t>open</t>
        </is>
      </c>
      <c r="S589" s="7" t="inlineStr">
        <is>
          <t>executive summary read; full text searched</t>
        </is>
      </c>
      <c r="T589" s="7" t="inlineStr">
        <is>
          <t>2026-10-10</t>
        </is>
      </c>
      <c r="U589" s="7" t="inlineStr">
        <is>
          <t>https://eur-lex.europa.eu/legal-content/EN/TXT/?uri=CELEX:52023SC0224</t>
        </is>
      </c>
      <c r="V589" s="7" t="inlineStr"/>
      <c r="W589" s="7" t="inlineStr">
        <is>
          <t>http://web.archive.org/web/20260517133706/https://eur-lex.europa.eu/legal-content/EN/TXT/?uri=CELEX%3A52023SC0224</t>
        </is>
      </c>
    </row>
    <row r="590">
      <c r="A590" s="7" t="n">
        <v>98</v>
      </c>
      <c r="B590" s="7" t="inlineStr">
        <is>
          <t>Financial Data Access Regulation (FiDA)</t>
        </is>
      </c>
      <c r="C590" s="7" t="inlineStr">
        <is>
          <t>evidence</t>
        </is>
      </c>
      <c r="D590" s="7" t="inlineStr">
        <is>
          <t>official</t>
        </is>
      </c>
      <c r="E590" s="7" t="inlineStr">
        <is>
          <t>initial review</t>
        </is>
      </c>
      <c r="F590" s="7" t="inlineStr">
        <is>
          <t>ec-2023-psd2-review</t>
        </is>
      </c>
      <c r="G590" s="7" t="inlineStr">
        <is>
          <t>European Commission (2023), Report on the review of Directive 2015/2366/EU on payment services (PSD2), COM(2023) 365</t>
        </is>
      </c>
      <c r="H590" s="7" t="n">
        <v>2023</v>
      </c>
      <c r="I590" s="7" t="inlineStr">
        <is>
          <t>Commission review report</t>
        </is>
      </c>
      <c r="J590" s="7" t="inlineStr">
        <is>
          <t>evaluation (ex-post, of predecessor open banking rules)</t>
        </is>
      </c>
      <c r="K590" s="7" t="inlineStr">
        <is>
          <t>open banking; competition</t>
        </is>
      </c>
      <c r="L590" s="7" t="inlineStr">
        <is>
          <t>mixed</t>
        </is>
      </c>
      <c r="M590" s="7" t="inlineStr">
        <is>
          <t>PSD2 objectives only partly achieved; open banking grew but was hampered by poor-quality data interfaces - the experience FiDA builds on</t>
        </is>
      </c>
      <c r="N590" s="7" t="inlineStr">
        <is>
          <t>The Commission's review of the existing open banking rules found they helped new services grow but that banks' data interfaces were often poor, a lesson used in designing FiDA.</t>
        </is>
      </c>
      <c r="O590" s="7" t="inlineStr">
        <is>
          <t>EU, 2018-2022</t>
        </is>
      </c>
      <c r="P590" s="7" t="inlineStr">
        <is>
          <t>Commission self-assessment</t>
        </is>
      </c>
      <c r="Q590" s="7" t="inlineStr"/>
      <c r="R590" s="7" t="inlineStr">
        <is>
          <t>open</t>
        </is>
      </c>
      <c r="S590" s="7" t="inlineStr">
        <is>
          <t>page summary via search</t>
        </is>
      </c>
      <c r="T590" s="7" t="inlineStr">
        <is>
          <t>2026-10-10</t>
        </is>
      </c>
      <c r="U590" s="7" t="inlineStr">
        <is>
          <t>https://eur-lex.europa.eu/legal-content/EN/TXT/?uri=CELEX:52023DC0365</t>
        </is>
      </c>
      <c r="V590" s="7" t="inlineStr"/>
      <c r="W590" s="7" t="inlineStr"/>
    </row>
    <row r="591">
      <c r="A591" s="7" t="n">
        <v>100</v>
      </c>
      <c r="B591" s="7" t="inlineStr">
        <is>
          <t>Payment Services Directive 3 (PSD3)</t>
        </is>
      </c>
      <c r="C591" s="7" t="inlineStr">
        <is>
          <t>ex-ante assessment</t>
        </is>
      </c>
      <c r="D591" s="7" t="inlineStr">
        <is>
          <t>official</t>
        </is>
      </c>
      <c r="E591" s="7" t="inlineStr">
        <is>
          <t>initial review</t>
        </is>
      </c>
      <c r="F591" s="7" t="inlineStr">
        <is>
          <t>ec-2023-psd3-psr-ia</t>
        </is>
      </c>
      <c r="G591" s="7" t="inlineStr">
        <is>
          <t>European Commission (2023), Impact Assessment accompanying the proposals for a Payment Services Regulation and a Payment Services Directive (PSD3), SWD(2023) 231 (executive summary SWD(2023) 232) - joint impact assessment for PSD3 and PSR</t>
        </is>
      </c>
      <c r="H591" s="7" t="n">
        <v>2023</v>
      </c>
      <c r="I591" s="7" t="inlineStr">
        <is>
          <t>Commission impact assessment</t>
        </is>
      </c>
      <c r="J591" s="7" t="inlineStr">
        <is>
          <t>ex-ante</t>
        </is>
      </c>
      <c r="K591" s="7" t="inlineStr">
        <is>
          <t>fraud; open banking; competition; compliance costs</t>
        </is>
      </c>
      <c r="L591" s="7" t="inlineStr">
        <is>
          <t>positive (forecast)</t>
        </is>
      </c>
      <c r="M591" s="7" t="inlineStr">
        <is>
          <t>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is>
      </c>
      <c r="N591" s="7" t="inlineStr">
        <is>
          <t>The Commission expected the payments package to cut fraud in which customers are tricked into paying scammers (put at about EUR 323 million a year) and to boost open banking, at one-off costs of a few hundred million euros.</t>
        </is>
      </c>
      <c r="O591" s="7" t="inlineStr">
        <is>
          <t>EU, forecast</t>
        </is>
      </c>
      <c r="P591" s="7" t="inlineStr">
        <is>
          <t>forecast</t>
        </is>
      </c>
      <c r="Q591" s="7" t="inlineStr"/>
      <c r="R591" s="7" t="inlineStr">
        <is>
          <t>open</t>
        </is>
      </c>
      <c r="S591" s="7" t="inlineStr">
        <is>
          <t>executive summary read; full text searched</t>
        </is>
      </c>
      <c r="T591" s="7" t="inlineStr">
        <is>
          <t>2026-10-10</t>
        </is>
      </c>
      <c r="U591" s="7" t="inlineStr">
        <is>
          <t>https://eur-lex.europa.eu/legal-content/EN/TXT/?uri=CELEX:52023SC0231</t>
        </is>
      </c>
      <c r="V591" s="7" t="inlineStr"/>
      <c r="W591" s="7" t="inlineStr"/>
    </row>
    <row r="592">
      <c r="A592" s="7" t="n">
        <v>100</v>
      </c>
      <c r="B592" s="7" t="inlineStr">
        <is>
          <t>Payment Services Directive 3 (PSD3)</t>
        </is>
      </c>
      <c r="C592" s="7" t="inlineStr">
        <is>
          <t>evidence</t>
        </is>
      </c>
      <c r="D592" s="7" t="inlineStr">
        <is>
          <t>official</t>
        </is>
      </c>
      <c r="E592" s="7" t="inlineStr">
        <is>
          <t>initial review</t>
        </is>
      </c>
      <c r="F592" s="7" t="inlineStr">
        <is>
          <t>ec-2023-psd2-review</t>
        </is>
      </c>
      <c r="G592" s="7" t="inlineStr">
        <is>
          <t>European Commission (2023), Report on the review of Directive 2015/2366/EU on payment services (PSD2), COM(2023) 365</t>
        </is>
      </c>
      <c r="H592" s="7" t="n">
        <v>2023</v>
      </c>
      <c r="I592" s="7" t="inlineStr">
        <is>
          <t>Commission review report</t>
        </is>
      </c>
      <c r="J592" s="7" t="inlineStr">
        <is>
          <t>evaluation (ex-post, of PSD2)</t>
        </is>
      </c>
      <c r="K592" s="7" t="inlineStr">
        <is>
          <t>fraud; open banking; competition</t>
        </is>
      </c>
      <c r="L592" s="7" t="inlineStr">
        <is>
          <t>mixed</t>
        </is>
      </c>
      <c r="M592" s="7" t="inlineStr">
        <is>
          <t>PSD2 objectives only partly achieved: strong customer authentication cut fraud on authenticated payments, but social engineering fraud persists and open banking is hampered by inadequate interfaces</t>
        </is>
      </c>
      <c r="N592" s="7" t="inlineStr">
        <is>
          <t>The Commission's review of the previous payments directive found that strong authentication cut card fraud but scams and poor bank data interfaces remained problems.</t>
        </is>
      </c>
      <c r="O592" s="7" t="inlineStr">
        <is>
          <t>EU, 2018-2022</t>
        </is>
      </c>
      <c r="P592" s="7" t="inlineStr">
        <is>
          <t>Commission self-assessment</t>
        </is>
      </c>
      <c r="Q592" s="7" t="inlineStr"/>
      <c r="R592" s="7" t="inlineStr">
        <is>
          <t>open</t>
        </is>
      </c>
      <c r="S592" s="7" t="inlineStr">
        <is>
          <t>page summary via search</t>
        </is>
      </c>
      <c r="T592" s="7" t="inlineStr">
        <is>
          <t>2026-10-10</t>
        </is>
      </c>
      <c r="U592" s="7" t="inlineStr">
        <is>
          <t>https://eur-lex.europa.eu/legal-content/EN/TXT/?uri=CELEX:52023DC0365</t>
        </is>
      </c>
      <c r="V592" s="7" t="inlineStr"/>
      <c r="W592" s="7" t="inlineStr"/>
    </row>
    <row r="593">
      <c r="A593" s="7" t="n">
        <v>100</v>
      </c>
      <c r="B593" s="7" t="inlineStr">
        <is>
          <t>Payment Services Directive 3 (PSD3)</t>
        </is>
      </c>
      <c r="C593" s="7" t="inlineStr">
        <is>
          <t>evidence</t>
        </is>
      </c>
      <c r="D593" s="7" t="inlineStr">
        <is>
          <t>official</t>
        </is>
      </c>
      <c r="E593" s="7" t="inlineStr">
        <is>
          <t>initial review</t>
        </is>
      </c>
      <c r="F593" s="7" t="inlineStr">
        <is>
          <t>eba-ecb-2025-payment-fraud</t>
        </is>
      </c>
      <c r="G593" s="7" t="inlineStr">
        <is>
          <t>European Banking Authority &amp; European Central Bank (2025), 2025 Report on payment fraud, EBA-ECB joint report, 15 December 2025</t>
        </is>
      </c>
      <c r="H593" s="7" t="n">
        <v>2025</v>
      </c>
      <c r="I593" s="7" t="inlineStr">
        <is>
          <t>supervisory statistics</t>
        </is>
      </c>
      <c r="J593" s="7" t="inlineStr">
        <is>
          <t>descriptive (reported fraud data, EEA)</t>
        </is>
      </c>
      <c r="K593" s="7" t="inlineStr">
        <is>
          <t>payment fraud</t>
        </is>
      </c>
      <c r="L593" s="7" t="inlineStr">
        <is>
          <t>n/a (baseline)</t>
        </is>
      </c>
      <c r="M593" s="7" t="inlineStr">
        <is>
          <t>EEA payment fraud EUR 3.4bn (2022), 3.5bn (2023), 4.2bn (2024); credit transfer fraud EUR 2.2bn in 2024 (+16%), ~85% borne by users, mainly manipulation scams; SCA still effective against fraud it targets</t>
        </is>
      </c>
      <c r="N593" s="7" t="inlineStr">
        <is>
          <t>Payment fraud in Europe rose to EUR 4.2 billion in 2024, with customers bearing most losses from scams - the baseline the new rules aim to improve.</t>
        </is>
      </c>
      <c r="O593" s="7" t="inlineStr">
        <is>
          <t>EEA, 2022-2024</t>
        </is>
      </c>
      <c r="P593" s="7" t="inlineStr">
        <is>
          <t>official statistics; pre-application baseline</t>
        </is>
      </c>
      <c r="Q593" s="7" t="inlineStr"/>
      <c r="R593" s="7" t="inlineStr">
        <is>
          <t>open</t>
        </is>
      </c>
      <c r="S593" s="7" t="inlineStr">
        <is>
          <t>page summary via search</t>
        </is>
      </c>
      <c r="T593" s="7" t="inlineStr">
        <is>
          <t>2026-10-10</t>
        </is>
      </c>
      <c r="U593" s="7" t="inlineStr">
        <is>
          <t>https://www.eba.europa.eu/publications-and-media/press-releases/joint-eba-ecb-report-payment-fraud-strong-authentication-remains-effective-fraudsters-are-adapting</t>
        </is>
      </c>
      <c r="V593" s="7" t="inlineStr"/>
      <c r="W593" s="7" t="inlineStr">
        <is>
          <t>http://web.archive.org/web/20260711113023/https://www.eba.europa.eu/publications-and-media/press-releases/joint-eba-ecb-report-payment-fraud-strong-authentication-remains-effective-fraudsters-are-adapting</t>
        </is>
      </c>
    </row>
    <row r="594">
      <c r="A594" s="7" t="n">
        <v>99</v>
      </c>
      <c r="B594" s="7" t="inlineStr">
        <is>
          <t>Payment Services Regulation (PSR)</t>
        </is>
      </c>
      <c r="C594" s="7" t="inlineStr">
        <is>
          <t>ex-ante assessment</t>
        </is>
      </c>
      <c r="D594" s="7" t="inlineStr">
        <is>
          <t>official</t>
        </is>
      </c>
      <c r="E594" s="7" t="inlineStr">
        <is>
          <t>initial review</t>
        </is>
      </c>
      <c r="F594" s="7" t="inlineStr">
        <is>
          <t>ec-2023-psd3-psr-ia</t>
        </is>
      </c>
      <c r="G594" s="7" t="inlineStr">
        <is>
          <t>European Commission (2023), Impact Assessment accompanying the proposals for a Payment Services Regulation and a Payment Services Directive (PSD3), SWD(2023) 231 (executive summary SWD(2023) 232) - joint impact assessment for PSD3 and PSR</t>
        </is>
      </c>
      <c r="H594" s="7" t="n">
        <v>2023</v>
      </c>
      <c r="I594" s="7" t="inlineStr">
        <is>
          <t>Commission impact assessment</t>
        </is>
      </c>
      <c r="J594" s="7" t="inlineStr">
        <is>
          <t>ex-ante</t>
        </is>
      </c>
      <c r="K594" s="7" t="inlineStr">
        <is>
          <t>fraud; open banking; competition; compliance costs</t>
        </is>
      </c>
      <c r="L594" s="7" t="inlineStr">
        <is>
          <t>positive (forecast)</t>
        </is>
      </c>
      <c r="M594" s="7" t="inlineStr">
        <is>
          <t>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is>
      </c>
      <c r="N594" s="7" t="inlineStr">
        <is>
          <t>The Commission expected the payments package to cut fraud in which customers are tricked into paying scammers (put at about EUR 323 million a year) and to boost open banking, at one-off costs of a few hundred million euros.</t>
        </is>
      </c>
      <c r="O594" s="7" t="inlineStr">
        <is>
          <t>EU, forecast</t>
        </is>
      </c>
      <c r="P594" s="7" t="inlineStr">
        <is>
          <t>forecast</t>
        </is>
      </c>
      <c r="Q594" s="7" t="inlineStr"/>
      <c r="R594" s="7" t="inlineStr">
        <is>
          <t>open</t>
        </is>
      </c>
      <c r="S594" s="7" t="inlineStr">
        <is>
          <t>executive summary read; full text searched</t>
        </is>
      </c>
      <c r="T594" s="7" t="inlineStr">
        <is>
          <t>2026-10-10</t>
        </is>
      </c>
      <c r="U594" s="7" t="inlineStr">
        <is>
          <t>https://eur-lex.europa.eu/legal-content/EN/TXT/?uri=CELEX:52023SC0231</t>
        </is>
      </c>
      <c r="V594" s="7" t="inlineStr"/>
      <c r="W594" s="7" t="inlineStr"/>
    </row>
    <row r="595">
      <c r="A595" s="7" t="n">
        <v>99</v>
      </c>
      <c r="B595" s="7" t="inlineStr">
        <is>
          <t>Payment Services Regulation (PSR)</t>
        </is>
      </c>
      <c r="C595" s="7" t="inlineStr">
        <is>
          <t>evidence</t>
        </is>
      </c>
      <c r="D595" s="7" t="inlineStr">
        <is>
          <t>official</t>
        </is>
      </c>
      <c r="E595" s="7" t="inlineStr">
        <is>
          <t>initial review</t>
        </is>
      </c>
      <c r="F595" s="7" t="inlineStr">
        <is>
          <t>ec-2023-psd2-review</t>
        </is>
      </c>
      <c r="G595" s="7" t="inlineStr">
        <is>
          <t>European Commission (2023), Report on the review of Directive 2015/2366/EU on payment services (PSD2), COM(2023) 365</t>
        </is>
      </c>
      <c r="H595" s="7" t="n">
        <v>2023</v>
      </c>
      <c r="I595" s="7" t="inlineStr">
        <is>
          <t>Commission review report</t>
        </is>
      </c>
      <c r="J595" s="7" t="inlineStr">
        <is>
          <t>evaluation (ex-post, of PSD2)</t>
        </is>
      </c>
      <c r="K595" s="7" t="inlineStr">
        <is>
          <t>fraud; open banking; competition</t>
        </is>
      </c>
      <c r="L595" s="7" t="inlineStr">
        <is>
          <t>mixed</t>
        </is>
      </c>
      <c r="M595" s="7" t="inlineStr">
        <is>
          <t>PSD2 objectives only partly achieved: strong customer authentication cut fraud on authenticated payments, but social engineering fraud persists and open banking is hampered by inadequate interfaces</t>
        </is>
      </c>
      <c r="N595" s="7" t="inlineStr">
        <is>
          <t>The Commission's review of the previous payments directive found that strong authentication cut card fraud but scams and poor bank data interfaces remained problems.</t>
        </is>
      </c>
      <c r="O595" s="7" t="inlineStr">
        <is>
          <t>EU, 2018-2022</t>
        </is>
      </c>
      <c r="P595" s="7" t="inlineStr">
        <is>
          <t>Commission self-assessment</t>
        </is>
      </c>
      <c r="Q595" s="7" t="inlineStr"/>
      <c r="R595" s="7" t="inlineStr">
        <is>
          <t>open</t>
        </is>
      </c>
      <c r="S595" s="7" t="inlineStr">
        <is>
          <t>page summary via search</t>
        </is>
      </c>
      <c r="T595" s="7" t="inlineStr">
        <is>
          <t>2026-10-10</t>
        </is>
      </c>
      <c r="U595" s="7" t="inlineStr">
        <is>
          <t>https://eur-lex.europa.eu/legal-content/EN/TXT/?uri=CELEX:52023DC0365</t>
        </is>
      </c>
      <c r="V595" s="7" t="inlineStr"/>
      <c r="W595" s="7" t="inlineStr"/>
    </row>
    <row r="596">
      <c r="A596" s="7" t="n">
        <v>99</v>
      </c>
      <c r="B596" s="7" t="inlineStr">
        <is>
          <t>Payment Services Regulation (PSR)</t>
        </is>
      </c>
      <c r="C596" s="7" t="inlineStr">
        <is>
          <t>evidence</t>
        </is>
      </c>
      <c r="D596" s="7" t="inlineStr">
        <is>
          <t>official</t>
        </is>
      </c>
      <c r="E596" s="7" t="inlineStr">
        <is>
          <t>initial review</t>
        </is>
      </c>
      <c r="F596" s="7" t="inlineStr">
        <is>
          <t>eba-ecb-2025-payment-fraud</t>
        </is>
      </c>
      <c r="G596" s="7" t="inlineStr">
        <is>
          <t>European Banking Authority &amp; European Central Bank (2025), 2025 Report on payment fraud, EBA-ECB joint report, 15 December 2025</t>
        </is>
      </c>
      <c r="H596" s="7" t="n">
        <v>2025</v>
      </c>
      <c r="I596" s="7" t="inlineStr">
        <is>
          <t>supervisory statistics</t>
        </is>
      </c>
      <c r="J596" s="7" t="inlineStr">
        <is>
          <t>descriptive (reported fraud data, EEA)</t>
        </is>
      </c>
      <c r="K596" s="7" t="inlineStr">
        <is>
          <t>payment fraud</t>
        </is>
      </c>
      <c r="L596" s="7" t="inlineStr">
        <is>
          <t>n/a (baseline)</t>
        </is>
      </c>
      <c r="M596" s="7" t="inlineStr">
        <is>
          <t>EEA payment fraud EUR 3.4bn (2022), 3.5bn (2023), 4.2bn (2024); credit transfer fraud EUR 2.2bn in 2024 (+16%), ~85% borne by users, mainly manipulation scams; SCA still effective against fraud it targets</t>
        </is>
      </c>
      <c r="N596" s="7" t="inlineStr">
        <is>
          <t>Payment fraud in Europe rose to EUR 4.2 billion in 2024, with customers bearing most losses from scams - the baseline the new rules aim to improve.</t>
        </is>
      </c>
      <c r="O596" s="7" t="inlineStr">
        <is>
          <t>EEA, 2022-2024</t>
        </is>
      </c>
      <c r="P596" s="7" t="inlineStr">
        <is>
          <t>official statistics; pre-application baseline</t>
        </is>
      </c>
      <c r="Q596" s="7" t="inlineStr"/>
      <c r="R596" s="7" t="inlineStr">
        <is>
          <t>open</t>
        </is>
      </c>
      <c r="S596" s="7" t="inlineStr">
        <is>
          <t>page summary via search</t>
        </is>
      </c>
      <c r="T596" s="7" t="inlineStr">
        <is>
          <t>2026-10-10</t>
        </is>
      </c>
      <c r="U596" s="7" t="inlineStr">
        <is>
          <t>https://www.eba.europa.eu/publications-and-media/press-releases/joint-eba-ecb-report-payment-fraud-strong-authentication-remains-effective-fraudsters-are-adapting</t>
        </is>
      </c>
      <c r="V596" s="7" t="inlineStr"/>
      <c r="W596" s="7" t="inlineStr">
        <is>
          <t>http://web.archive.org/web/20260711113023/https://www.eba.europa.eu/publications-and-media/press-releases/joint-eba-ecb-report-payment-fraud-strong-authentication-remains-effective-fraudsters-are-adapting</t>
        </is>
      </c>
    </row>
    <row r="597">
      <c r="A597" s="7" t="n">
        <v>101</v>
      </c>
      <c r="B597" s="7" t="inlineStr">
        <is>
          <t>Digital Euro Regulation</t>
        </is>
      </c>
      <c r="C597" s="7" t="inlineStr">
        <is>
          <t>ex-ante assessment</t>
        </is>
      </c>
      <c r="D597" s="7" t="inlineStr">
        <is>
          <t>official</t>
        </is>
      </c>
      <c r="E597" s="7" t="inlineStr">
        <is>
          <t>initial review</t>
        </is>
      </c>
      <c r="F597" s="7" t="inlineStr">
        <is>
          <t>ec-2023-digital-euro-ia</t>
        </is>
      </c>
      <c r="G597" s="7" t="inlineStr">
        <is>
          <t>European Commission (2023), Impact Assessment accompanying the proposals on the establishment of the digital euro and on digital euro services, SWD(2023) 233 (executive summary SWD(2023) 234)</t>
        </is>
      </c>
      <c r="H597" s="7" t="n">
        <v>2023</v>
      </c>
      <c r="I597" s="7" t="inlineStr">
        <is>
          <t>Commission impact assessment</t>
        </is>
      </c>
      <c r="J597" s="7" t="inlineStr">
        <is>
          <t>ex-ante</t>
        </is>
      </c>
      <c r="K597" s="7" t="inlineStr">
        <is>
          <t>financial stability; payment choice; strategic autonomy; costs</t>
        </is>
      </c>
      <c r="L597" s="7" t="inlineStr">
        <is>
          <t>positive (forecast)</t>
        </is>
      </c>
      <c r="M597" s="7" t="inlineStr">
        <is>
          <t>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is>
      </c>
      <c r="N597" s="7" t="inlineStr">
        <is>
          <t>The Commission judged that a digital euro's long-term benefits - payment choice, a public anchor for money and less reliance on foreign card schemes - outweigh set-up costs of several billion euros, provided holding limits protect banks.</t>
        </is>
      </c>
      <c r="O597" s="7" t="inlineStr">
        <is>
          <t>euro area, forecast</t>
        </is>
      </c>
      <c r="P597" s="7" t="inlineStr">
        <is>
          <t>forecast; benefits largely qualitative</t>
        </is>
      </c>
      <c r="Q597" s="7" t="inlineStr"/>
      <c r="R597" s="7" t="inlineStr">
        <is>
          <t>open</t>
        </is>
      </c>
      <c r="S597" s="7" t="inlineStr">
        <is>
          <t>executive summary read; full text searched</t>
        </is>
      </c>
      <c r="T597" s="7" t="inlineStr">
        <is>
          <t>2026-10-10</t>
        </is>
      </c>
      <c r="U597" s="7" t="inlineStr">
        <is>
          <t>https://eur-lex.europa.eu/legal-content/EN/TXT/?uri=CELEX:52023SC0233</t>
        </is>
      </c>
      <c r="V597" s="7" t="inlineStr"/>
      <c r="W597" s="7" t="inlineStr">
        <is>
          <t>http://web.archive.org/web/20261004132438/https://eur-lex.europa.eu/legal-content/EN/TXT/?uri=CELEX%3A52023SC0233</t>
        </is>
      </c>
    </row>
    <row r="598">
      <c r="A598" s="7" t="n">
        <v>101</v>
      </c>
      <c r="B598" s="7" t="inlineStr">
        <is>
          <t>Digital Euro Regulation</t>
        </is>
      </c>
      <c r="C598" s="7" t="inlineStr">
        <is>
          <t>evidence</t>
        </is>
      </c>
      <c r="D598" s="7" t="inlineStr">
        <is>
          <t>official</t>
        </is>
      </c>
      <c r="E598" s="7" t="inlineStr">
        <is>
          <t>initial review</t>
        </is>
      </c>
      <c r="F598" s="7" t="inlineStr">
        <is>
          <t>adalid-et-al-2022-ecb-op293</t>
        </is>
      </c>
      <c r="G598" s="7" t="inlineStr">
        <is>
          <t>Adalid, Álvarez-Blázquez, Assenmacher et al. (2022), Central bank digital currency and bank intermediation, ECB Occasional Paper No 293</t>
        </is>
      </c>
      <c r="H598" s="7" t="n">
        <v>2022</v>
      </c>
      <c r="I598" s="7" t="inlineStr">
        <is>
          <t>central bank research</t>
        </is>
      </c>
      <c r="J598" s="7" t="inlineStr">
        <is>
          <t>simulation (bank-level balance sheets, take-up scenarios)</t>
        </is>
      </c>
      <c r="K598" s="7" t="inlineStr">
        <is>
          <t>bank deposits; liquidity; bank runs</t>
        </is>
      </c>
      <c r="L598" s="7" t="inlineStr">
        <is>
          <t>mixed</t>
        </is>
      </c>
      <c r="M598" s="7" t="inlineStr">
        <is>
          <t>Illustrative take-up scenarios from just under EUR 500bn to just over EUR 7tn; effects on bank intermediation vary across banks in normal times and are potentially larger in stress; impact on bank-run dynamics depends on remuneration and usage limits</t>
        </is>
      </c>
      <c r="N598" s="7" t="inlineStr">
        <is>
          <t>ECB staff simulations found a digital euro's effect on bank funding would differ a lot between banks and could be bigger in a crisis, which is why holding limits matter.</t>
        </is>
      </c>
      <c r="O598" s="7" t="inlineStr">
        <is>
          <t>euro area, 2021 data</t>
        </is>
      </c>
      <c r="P598" s="7" t="inlineStr">
        <is>
          <t>ECB staff simulation; views of authors</t>
        </is>
      </c>
      <c r="Q598" s="7" t="inlineStr">
        <is>
          <t>ECB is the prospective issuer of the digital euro</t>
        </is>
      </c>
      <c r="R598" s="7" t="inlineStr">
        <is>
          <t>open</t>
        </is>
      </c>
      <c r="S598" s="7" t="inlineStr">
        <is>
          <t>abstract and executive summary read</t>
        </is>
      </c>
      <c r="T598" s="7" t="inlineStr">
        <is>
          <t>2026-10-10</t>
        </is>
      </c>
      <c r="U598" s="7" t="inlineStr">
        <is>
          <t>https://www.ecb.europa.eu/pub/pdf/scpops/ecb.op293~652cf2b1aa.en.pdf</t>
        </is>
      </c>
      <c r="V598" s="7" t="inlineStr">
        <is>
          <t>https://www.ecb.europa.eu/pub/pdf/scpops/ecb.op293~652cf2b1aa.en.pdf</t>
        </is>
      </c>
      <c r="W598" s="7" t="inlineStr">
        <is>
          <t>http://web.archive.org/web/20260331231428/https://www.ecb.europa.eu/pub/pdf/scpops/ecb.op293%7E652cf2b1aa.en.pdf</t>
        </is>
      </c>
    </row>
    <row r="599">
      <c r="A599" s="7" t="n">
        <v>101</v>
      </c>
      <c r="B599" s="7" t="inlineStr">
        <is>
          <t>Digital Euro Regulation</t>
        </is>
      </c>
      <c r="C599" s="7" t="inlineStr">
        <is>
          <t>evidence</t>
        </is>
      </c>
      <c r="D599" s="7" t="inlineStr">
        <is>
          <t>official</t>
        </is>
      </c>
      <c r="E599" s="7" t="inlineStr">
        <is>
          <t>initial review</t>
        </is>
      </c>
      <c r="F599" s="7" t="inlineStr">
        <is>
          <t>ecb-2025-holding-limits-technical</t>
        </is>
      </c>
      <c r="G599" s="7" t="inlineStr">
        <is>
          <t>European Central Bank (2025), Technical data on the financial stability impact of the digital euro, ECB technical annex for co-legislators, 10 October 2025</t>
        </is>
      </c>
      <c r="H599" s="7" t="n">
        <v>2025</v>
      </c>
      <c r="I599" s="7" t="inlineStr">
        <is>
          <t>central bank analysis</t>
        </is>
      </c>
      <c r="J599" s="7" t="inlineStr">
        <is>
          <t>simulation (supervisory deposit data, business-as-usual and flight-to-safety scenarios)</t>
        </is>
      </c>
      <c r="K599" s="7" t="inlineStr">
        <is>
          <t>bank deposits; liquidity; profitability</t>
        </is>
      </c>
      <c r="L599" s="7" t="inlineStr">
        <is>
          <t>mixed</t>
        </is>
      </c>
      <c r="M599" s="7" t="inlineStr">
        <is>
          <t>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is>
      </c>
      <c r="N599" s="7" t="inlineStr">
        <is>
          <t>The ECB estimates that with a EUR 3,000 holding limit, a severe crisis could move up to EUR 699 billion of deposits into digital euros, but only a handful of small banks would run short of liquidity; in normal times the effect is small.</t>
        </is>
      </c>
      <c r="O599" s="7" t="inlineStr">
        <is>
          <t>euro area, 2025 data</t>
        </is>
      </c>
      <c r="P599" s="7" t="inlineStr">
        <is>
          <t>illustrative; ECB says not its full methodology</t>
        </is>
      </c>
      <c r="Q599" s="7" t="inlineStr">
        <is>
          <t>ECB is the prospective issuer of the digital euro</t>
        </is>
      </c>
      <c r="R599" s="7" t="inlineStr">
        <is>
          <t>open</t>
        </is>
      </c>
      <c r="S599" s="7" t="inlineStr">
        <is>
          <t>full text read</t>
        </is>
      </c>
      <c r="T599" s="7" t="inlineStr">
        <is>
          <t>2026-10-10</t>
        </is>
      </c>
      <c r="U599" s="7" t="inlineStr">
        <is>
          <t>https://www.ecb.europa.eu/euro/digital_euro/timeline/profuse/shared/pdf/ecb.deprep251010_technical_annex_financial_stability_impact_digital_euro.en.pdf</t>
        </is>
      </c>
      <c r="V599" s="7" t="inlineStr">
        <is>
          <t>https://www.ecb.europa.eu/euro/digital_euro/timeline/profuse/shared/pdf/ecb.deprep251010_technical_annex_financial_stability_impact_digital_euro.en.pdf</t>
        </is>
      </c>
      <c r="W599" s="7" t="inlineStr"/>
    </row>
    <row r="600">
      <c r="A600" s="7" t="n">
        <v>101</v>
      </c>
      <c r="B600" s="7" t="inlineStr">
        <is>
          <t>Digital Euro Regulation</t>
        </is>
      </c>
      <c r="C600" s="7" t="inlineStr">
        <is>
          <t>evidence</t>
        </is>
      </c>
      <c r="D600" s="7" t="inlineStr">
        <is>
          <t>official</t>
        </is>
      </c>
      <c r="E600" s="7" t="inlineStr">
        <is>
          <t>initial review</t>
        </is>
      </c>
      <c r="F600" s="7" t="inlineStr">
        <is>
          <t>pwc-2025-digital-euro-cost</t>
        </is>
      </c>
      <c r="G600" s="7" t="inlineStr">
        <is>
          <t>PwC (for EACB, EBF and ESBG) (2025), Digital Euro Cost Study, Study commissioned by European bank associations, June 2025</t>
        </is>
      </c>
      <c r="H600" s="7" t="n">
        <v>2025</v>
      </c>
      <c r="I600" s="7" t="inlineStr">
        <is>
          <t>industry-commissioned study</t>
        </is>
      </c>
      <c r="J600" s="7" t="inlineStr">
        <is>
          <t>survey of 19 euro-area retail banks, extrapolated</t>
        </is>
      </c>
      <c r="K600" s="7" t="inlineStr">
        <is>
          <t>bank implementation costs</t>
        </is>
      </c>
      <c r="L600" s="7" t="inlineStr">
        <is>
          <t>negative</t>
        </is>
      </c>
      <c r="M600" s="7" t="inlineStr">
        <is>
          <t>Change costs of over EUR 2bn for 19 surveyed banks; extrapolated EUR 18-30bn across the euro area over the first four years (average ~EUR 110m per bank); ECB later put initial investment at roughly EUR 4-5.8bn</t>
        </is>
      </c>
      <c r="N600" s="7" t="inlineStr">
        <is>
          <t>A study paid for by bank associations estimated the digital euro would cost euro-area banks about EUR 18 billion or more to introduce, far above the ECB's own estimate.</t>
        </is>
      </c>
      <c r="O600" s="7" t="inlineStr">
        <is>
          <t>euro area, 2025</t>
        </is>
      </c>
      <c r="P600" s="7" t="inlineStr">
        <is>
          <t>industry survey extrapolation</t>
        </is>
      </c>
      <c r="Q600" s="7" t="inlineStr">
        <is>
          <t>Commissioned by bank associations (EACB, EBF, ESBG) opposed to current design</t>
        </is>
      </c>
      <c r="R600" s="7" t="inlineStr">
        <is>
          <t>open</t>
        </is>
      </c>
      <c r="S600" s="7" t="inlineStr">
        <is>
          <t>page summary via search</t>
        </is>
      </c>
      <c r="T600" s="7" t="inlineStr">
        <is>
          <t>2026-10-10</t>
        </is>
      </c>
      <c r="U600" s="7" t="inlineStr">
        <is>
          <t>https://www.ebf.eu/digital-euro-cost-study/</t>
        </is>
      </c>
      <c r="V600" s="7" t="inlineStr"/>
      <c r="W600" s="7" t="inlineStr"/>
    </row>
    <row r="601">
      <c r="A601" s="7" t="n">
        <v>104</v>
      </c>
      <c r="B601" s="7" t="inlineStr">
        <is>
          <t>Late Payment Regulation</t>
        </is>
      </c>
      <c r="C601" s="7" t="inlineStr">
        <is>
          <t>ex-ante assessment</t>
        </is>
      </c>
      <c r="D601" s="7" t="inlineStr">
        <is>
          <t>official</t>
        </is>
      </c>
      <c r="E601" s="7" t="inlineStr">
        <is>
          <t>initial review</t>
        </is>
      </c>
      <c r="F601" s="7" t="inlineStr">
        <is>
          <t>ec-2023-late-payment-ia</t>
        </is>
      </c>
      <c r="G601" s="7" t="inlineStr">
        <is>
          <t>European Commission (2023), Impact Assessment accompanying the proposal for a Regulation on combating late payment in commercial transactions, SWD(2023) 314 (executive summary SWD(2023) 313)</t>
        </is>
      </c>
      <c r="H601" s="7" t="n">
        <v>2023</v>
      </c>
      <c r="I601" s="7" t="inlineStr">
        <is>
          <t>Commission impact assessment</t>
        </is>
      </c>
      <c r="J601" s="7" t="inlineStr">
        <is>
          <t>ex-ante</t>
        </is>
      </c>
      <c r="K601" s="7" t="inlineStr">
        <is>
          <t>payment times; administrative burden; SME cash flow</t>
        </is>
      </c>
      <c r="L601" s="7" t="inlineStr">
        <is>
          <t>positive (forecast)</t>
        </is>
      </c>
      <c r="M601" s="7" t="inlineStr">
        <is>
          <t>Payment times reduced by an estimated 35%; hassle costs of chasing debtors (340.2m hours, EUR 8.74bn) significantly reduced; mediation saves EUR 27m a year in court cases; one-off costs EUR 243m; public enforcement and mediation EUR 70-105m a year; ~41% of SMEs benefit from 30-day cap</t>
        </is>
      </c>
      <c r="N601" s="7" t="inlineStr">
        <is>
          <t>The Commission expected a hard 30-day payment limit to shorten payment times by about 35% and save firms much of the EUR 8.7 billion a year they spend chasing late payers, at one-off costs of about EUR 243 million.</t>
        </is>
      </c>
      <c r="O601" s="7" t="inlineStr">
        <is>
          <t>EU, forecast</t>
        </is>
      </c>
      <c r="P601" s="7" t="inlineStr">
        <is>
          <t>forecast</t>
        </is>
      </c>
      <c r="Q601" s="7" t="inlineStr"/>
      <c r="R601" s="7" t="inlineStr">
        <is>
          <t>open</t>
        </is>
      </c>
      <c r="S601" s="7" t="inlineStr">
        <is>
          <t>executive summary read</t>
        </is>
      </c>
      <c r="T601" s="7" t="inlineStr">
        <is>
          <t>2026-10-10</t>
        </is>
      </c>
      <c r="U601" s="7" t="inlineStr">
        <is>
          <t>https://eur-lex.europa.eu/legal-content/EN/TXT/?uri=CELEX:52023SC0314</t>
        </is>
      </c>
      <c r="V601" s="7" t="inlineStr"/>
      <c r="W601" s="7" t="inlineStr"/>
    </row>
    <row r="602">
      <c r="A602" s="7" t="n">
        <v>104</v>
      </c>
      <c r="B602" s="7" t="inlineStr">
        <is>
          <t>Late Payment Regulation</t>
        </is>
      </c>
      <c r="C602" s="7" t="inlineStr">
        <is>
          <t>evidence</t>
        </is>
      </c>
      <c r="D602" s="7" t="inlineStr">
        <is>
          <t>official</t>
        </is>
      </c>
      <c r="E602" s="7" t="inlineStr">
        <is>
          <t>initial review</t>
        </is>
      </c>
      <c r="F602" s="7" t="inlineStr">
        <is>
          <t>eesc-2024-late-payment-opinion</t>
        </is>
      </c>
      <c r="G602" s="7" t="inlineStr">
        <is>
          <t>European Economic and Social Committee (2024), Opinion on the revision of the Late Payments Directive, EESC opinion INT/1041, adopted 17 January 2024</t>
        </is>
      </c>
      <c r="H602" s="7" t="n">
        <v>2024</v>
      </c>
      <c r="I602" s="7" t="inlineStr">
        <is>
          <t>advisory body opinion</t>
        </is>
      </c>
      <c r="J602" s="7" t="inlineStr">
        <is>
          <t>qualitative</t>
        </is>
      </c>
      <c r="K602" s="7" t="inlineStr">
        <is>
          <t>contractual freedom; business impact</t>
        </is>
      </c>
      <c r="L602" s="7" t="inlineStr">
        <is>
          <t>mixed</t>
        </is>
      </c>
      <c r="M602" s="7" t="inlineStr">
        <is>
          <t>Strong concerns that the 30-day cap for business-to-business payments eliminates contractual freedom; welcomes 30 days for public authorities paying businesses; sees potential benefit in national enforcement bodies</t>
        </is>
      </c>
      <c r="N602" s="7" t="inlineStr">
        <is>
          <t>The EU's advisory committee of employers, unions and civil society backed a 30-day limit for public bodies but found a strict 30-day cap between businesses too rigid.</t>
        </is>
      </c>
      <c r="O602" s="7" t="inlineStr">
        <is>
          <t>EU</t>
        </is>
      </c>
      <c r="P602" s="7" t="inlineStr">
        <is>
          <t>stakeholder opinion</t>
        </is>
      </c>
      <c r="Q602" s="7" t="inlineStr"/>
      <c r="R602" s="7" t="inlineStr">
        <is>
          <t>open</t>
        </is>
      </c>
      <c r="S602" s="7" t="inlineStr">
        <is>
          <t>opinion summary page read</t>
        </is>
      </c>
      <c r="T602" s="7" t="inlineStr">
        <is>
          <t>2026-10-10</t>
        </is>
      </c>
      <c r="U602" s="7" t="inlineStr">
        <is>
          <t>https://www.eesc.europa.eu/en/our-work/opinions-information-reports/opinions/revision-late-payments-directive</t>
        </is>
      </c>
      <c r="V602" s="7" t="inlineStr"/>
      <c r="W602" s="7" t="inlineStr"/>
    </row>
    <row r="603">
      <c r="A603" s="7" t="n">
        <v>104</v>
      </c>
      <c r="B603" s="7" t="inlineStr">
        <is>
          <t>Late Payment Regulation</t>
        </is>
      </c>
      <c r="C603" s="7" t="inlineStr">
        <is>
          <t>evidence</t>
        </is>
      </c>
      <c r="D603" s="7" t="inlineStr">
        <is>
          <t>consultancy or industry</t>
        </is>
      </c>
      <c r="E603" s="7" t="inlineStr">
        <is>
          <t>initial review</t>
        </is>
      </c>
      <c r="F603" s="7" t="inlineStr">
        <is>
          <t>icisa-2024-late-payment</t>
        </is>
      </c>
      <c r="G603" s="7" t="inlineStr">
        <is>
          <t>International Credit Insurance &amp; Surety Association (ICISA) (2024), EU Late Payment Regulation: Blocking majority forms in European Council, ICISA news, 6 June 2024</t>
        </is>
      </c>
      <c r="H603" s="7" t="n">
        <v>2024</v>
      </c>
      <c r="I603" s="7" t="inlineStr">
        <is>
          <t>industry position</t>
        </is>
      </c>
      <c r="J603" s="7" t="inlineStr">
        <is>
          <t>industry estimate (method not published)</t>
        </is>
      </c>
      <c r="K603" s="7" t="inlineStr">
        <is>
          <t>trade credit; financing needs</t>
        </is>
      </c>
      <c r="L603" s="7" t="inlineStr">
        <is>
          <t>negative</t>
        </is>
      </c>
      <c r="M603" s="7" t="inlineStr">
        <is>
          <t>Claims a strict 30-day term for B2B transactions would create a new financing requirement of up to EUR 2tn; reports a blocking majority forming in Council</t>
        </is>
      </c>
      <c r="N603" s="7" t="inlineStr">
        <is>
          <t>Trade credit insurers argue the 30-day cap would force firms to find up to EUR 2 trillion in extra financing; the figure is the industry's own and unverified.</t>
        </is>
      </c>
      <c r="O603" s="7" t="inlineStr">
        <is>
          <t>EU</t>
        </is>
      </c>
      <c r="P603" s="7" t="inlineStr">
        <is>
          <t>advocacy; unverified estimate</t>
        </is>
      </c>
      <c r="Q603" s="7" t="inlineStr">
        <is>
          <t>Trade credit insurers' association whose business depends on payment terms</t>
        </is>
      </c>
      <c r="R603" s="7" t="inlineStr">
        <is>
          <t>open</t>
        </is>
      </c>
      <c r="S603" s="7" t="inlineStr">
        <is>
          <t>page read</t>
        </is>
      </c>
      <c r="T603" s="7" t="inlineStr">
        <is>
          <t>2026-10-10</t>
        </is>
      </c>
      <c r="U603" s="7" t="inlineStr">
        <is>
          <t>https://icisa.org/news/update-on-eu-late-payment-regulation-blocking-majority-forms-in-european-council/</t>
        </is>
      </c>
      <c r="V603" s="7" t="inlineStr"/>
      <c r="W603" s="7" t="inlineStr"/>
    </row>
    <row r="604">
      <c r="A604" s="7" t="n">
        <v>105</v>
      </c>
      <c r="B604" s="7" t="inlineStr">
        <is>
          <t>Child Sexual Abuse Directive (recast)</t>
        </is>
      </c>
      <c r="C604" s="7" t="inlineStr">
        <is>
          <t>ex-ante assessment</t>
        </is>
      </c>
      <c r="D604" s="7" t="inlineStr">
        <is>
          <t>official</t>
        </is>
      </c>
      <c r="E604" s="7" t="inlineStr">
        <is>
          <t>initial review</t>
        </is>
      </c>
      <c r="F604" s="7" t="inlineStr">
        <is>
          <t>ec-2024-csa-directive-ia</t>
        </is>
      </c>
      <c r="G604" s="7" t="inlineStr">
        <is>
          <t>European Commission (2024), Impact Assessment accompanying the proposal for a Directive on combating the sexual abuse and sexual exploitation of children and child sexual abuse material (recast), SWD(2024) 33 (executive summary SWD(2024) 34)</t>
        </is>
      </c>
      <c r="H604" s="7" t="n">
        <v>2024</v>
      </c>
      <c r="I604" s="7" t="inlineStr">
        <is>
          <t>Commission impact assessment</t>
        </is>
      </c>
      <c r="J604" s="7" t="inlineStr">
        <is>
          <t>ex-ante (includes 2022 evaluation of Directive 2011/93/EU)</t>
        </is>
      </c>
      <c r="K604" s="7" t="inlineStr">
        <is>
          <t>victim protection; investigations; prevention</t>
        </is>
      </c>
      <c r="L604" s="7" t="inlineStr">
        <is>
          <t>positive (forecast)</t>
        </is>
      </c>
      <c r="M604" s="7" t="inlineStr">
        <is>
          <t>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is>
      </c>
      <c r="N604" s="7" t="inlineStr">
        <is>
          <t>The Commission expected the updated rules to help find and support more victims and prosecute more offenders, including for live-streamed abuse, at limited cost to national governments; it gave no numerical forecasts.</t>
        </is>
      </c>
      <c r="O604" s="7" t="inlineStr">
        <is>
          <t>EU, forecast</t>
        </is>
      </c>
      <c r="P604" s="7" t="inlineStr">
        <is>
          <t>forecast; qualitative</t>
        </is>
      </c>
      <c r="Q604" s="7" t="inlineStr"/>
      <c r="R604" s="7" t="inlineStr">
        <is>
          <t>open</t>
        </is>
      </c>
      <c r="S604" s="7" t="inlineStr">
        <is>
          <t>executive summary read; full text searched</t>
        </is>
      </c>
      <c r="T604" s="7" t="inlineStr">
        <is>
          <t>2026-10-10</t>
        </is>
      </c>
      <c r="U604" s="7" t="inlineStr">
        <is>
          <t>https://eur-lex.europa.eu/legal-content/EN/TXT/?uri=CELEX:52024SC0033</t>
        </is>
      </c>
      <c r="V604" s="7" t="inlineStr"/>
      <c r="W604" s="7" t="inlineStr"/>
    </row>
    <row r="605">
      <c r="A605" s="7" t="n">
        <v>106</v>
      </c>
      <c r="B605" s="7" t="inlineStr">
        <is>
          <t>EU Digital Travel Application Regulation</t>
        </is>
      </c>
      <c r="C605" s="7" t="inlineStr">
        <is>
          <t>ex-ante assessment</t>
        </is>
      </c>
      <c r="D605" s="7" t="inlineStr">
        <is>
          <t>official</t>
        </is>
      </c>
      <c r="E605" s="7" t="inlineStr">
        <is>
          <t>initial review</t>
        </is>
      </c>
      <c r="F605" s="7" t="inlineStr">
        <is>
          <t>ec-2024-digital-travel-ia</t>
        </is>
      </c>
      <c r="G605" s="7" t="inlineStr">
        <is>
          <t>European Commission (2024), Impact Assessment accompanying the proposal establishing an application for the electronic submission of travel data (EU Digital Travel application), SWD(2024) 671 (executive summary SWD(2024) 672)</t>
        </is>
      </c>
      <c r="H605" s="7" t="n">
        <v>2024</v>
      </c>
      <c r="I605" s="7" t="inlineStr">
        <is>
          <t>Commission impact assessment</t>
        </is>
      </c>
      <c r="J605" s="7" t="inlineStr">
        <is>
          <t>ex-ante</t>
        </is>
      </c>
      <c r="K605" s="7" t="inlineStr">
        <is>
          <t>border security; waiting times; public costs</t>
        </is>
      </c>
      <c r="L605" s="7" t="inlineStr">
        <is>
          <t>positive (forecast)</t>
        </is>
      </c>
      <c r="M605" s="7" t="inlineStr">
        <is>
          <t>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is>
      </c>
      <c r="N605" s="7" t="inlineStr">
        <is>
          <t>The Commission expected a common EU travel app for digital passports to speed up border checks and improve security, at about EUR 2 million per country plus EUR 49.5 million for the EU agency that would build it.</t>
        </is>
      </c>
      <c r="O605" s="7" t="inlineStr">
        <is>
          <t>EU/Schengen, forecast</t>
        </is>
      </c>
      <c r="P605" s="7" t="inlineStr">
        <is>
          <t>forecast; benefits not quantified</t>
        </is>
      </c>
      <c r="Q605" s="7" t="inlineStr"/>
      <c r="R605" s="7" t="inlineStr">
        <is>
          <t>open</t>
        </is>
      </c>
      <c r="S605" s="7" t="inlineStr">
        <is>
          <t>executive summary read; full text searched</t>
        </is>
      </c>
      <c r="T605" s="7" t="inlineStr">
        <is>
          <t>2026-10-10</t>
        </is>
      </c>
      <c r="U605" s="7" t="inlineStr">
        <is>
          <t>https://eur-lex.europa.eu/legal-content/EN/TXT/?uri=CELEX:52024SC0671</t>
        </is>
      </c>
      <c r="V605" s="7" t="inlineStr"/>
      <c r="W605" s="7" t="inlineStr">
        <is>
          <t>http://web.archive.org/web/20250520235220/https://eur-lex.europa.eu/legal-content/EN/TXT/?uri=celex%3A52024SC0671</t>
        </is>
      </c>
    </row>
    <row r="606">
      <c r="A606" s="7" t="n">
        <v>107</v>
      </c>
      <c r="B606" s="7" t="inlineStr">
        <is>
          <t>EU Space Act</t>
        </is>
      </c>
      <c r="C606" s="7" t="inlineStr">
        <is>
          <t>ex-ante assessment</t>
        </is>
      </c>
      <c r="D606" s="7" t="inlineStr">
        <is>
          <t>official</t>
        </is>
      </c>
      <c r="E606" s="7" t="inlineStr">
        <is>
          <t>initial review</t>
        </is>
      </c>
      <c r="F606" s="7" t="inlineStr">
        <is>
          <t>ec-2025-space-act-ia</t>
        </is>
      </c>
      <c r="G606" s="7" t="inlineStr">
        <is>
          <t>European Commission (2025), Impact Assessment accompanying the proposal for a Regulation on the safety, resilience and sustainability of space activities in the Union (EU Space Act), SWD(2025) 335 (executive summary SWD(2025) 336)</t>
        </is>
      </c>
      <c r="H606" s="7" t="n">
        <v>2025</v>
      </c>
      <c r="I606" s="7" t="inlineStr">
        <is>
          <t>Commission impact assessment</t>
        </is>
      </c>
      <c r="J606" s="7" t="inlineStr">
        <is>
          <t>ex-ante</t>
        </is>
      </c>
      <c r="K606" s="7" t="inlineStr">
        <is>
          <t>compliance costs; single market; competitiveness; space debris</t>
        </is>
      </c>
      <c r="L606" s="7" t="inlineStr">
        <is>
          <t>positive (forecast)</t>
        </is>
      </c>
      <c r="M606" s="7" t="inlineStr">
        <is>
          <t>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is>
      </c>
      <c r="N606" s="7" t="inlineStr">
        <is>
          <t>The Commission expected a single EU licensing regime to cut red tape and make space safer and greener, while raising satellite manufacturing costs by 3-10%.</t>
        </is>
      </c>
      <c r="O606" s="7" t="inlineStr">
        <is>
          <t>EU, forecast</t>
        </is>
      </c>
      <c r="P606" s="7" t="inlineStr">
        <is>
          <t>forecast; benefits not quantified</t>
        </is>
      </c>
      <c r="Q606" s="7" t="inlineStr"/>
      <c r="R606" s="7" t="inlineStr">
        <is>
          <t>open</t>
        </is>
      </c>
      <c r="S606" s="7" t="inlineStr">
        <is>
          <t>executive summary read; full text searched</t>
        </is>
      </c>
      <c r="T606" s="7" t="inlineStr">
        <is>
          <t>2026-10-10</t>
        </is>
      </c>
      <c r="U606" s="7" t="inlineStr">
        <is>
          <t>https://eur-lex.europa.eu/legal-content/EN/TXT/?uri=CELEX:52025SC0335</t>
        </is>
      </c>
      <c r="V606" s="7" t="inlineStr"/>
      <c r="W606" s="7" t="inlineStr">
        <is>
          <t>http://web.archive.org/web/20251226052323/https://eur-lex.europa.eu/legal-content/EN/TXT/?uri=celex:52025SC0335</t>
        </is>
      </c>
    </row>
    <row r="607">
      <c r="A607" s="7" t="n">
        <v>107</v>
      </c>
      <c r="B607" s="7" t="inlineStr">
        <is>
          <t>EU Space Act</t>
        </is>
      </c>
      <c r="C607" s="7" t="inlineStr">
        <is>
          <t>evidence</t>
        </is>
      </c>
      <c r="D607" s="7" t="inlineStr">
        <is>
          <t>official</t>
        </is>
      </c>
      <c r="E607" s="7" t="inlineStr">
        <is>
          <t>initial review</t>
        </is>
      </c>
      <c r="F607" s="7" t="inlineStr">
        <is>
          <t>usg-2025-space-act-comments</t>
        </is>
      </c>
      <c r="G607" s="7" t="inlineStr">
        <is>
          <t>US Departments of State and Commerce (2025), U.S. Government feedback on the draft EU Space Act, Comments released 4 November 2025</t>
        </is>
      </c>
      <c r="H607" s="7" t="n">
        <v>2025</v>
      </c>
      <c r="I607" s="7" t="inlineStr">
        <is>
          <t>government position</t>
        </is>
      </c>
      <c r="J607" s="7" t="inlineStr">
        <is>
          <t>qualitative (drawing on input from 70+ companies and trade associations)</t>
        </is>
      </c>
      <c r="K607" s="7" t="inlineStr">
        <is>
          <t>compliance costs; market access</t>
        </is>
      </c>
      <c r="L607" s="7" t="inlineStr">
        <is>
          <t>negative</t>
        </is>
      </c>
      <c r="M607" s="7" t="inlineStr">
        <is>
          <t>Argues the act would impose unacceptable regulatory burdens and drive up costs, especially via environmental requirements, and that some provisions (e.g. on large constellations) unfairly target non-EU operators; no quantified cost estimate</t>
        </is>
      </c>
      <c r="N607" s="7" t="inlineStr">
        <is>
          <t>The US government said the EU Space Act would raise costs and unfairly burden American satellite operators, but gave no cost figures.</t>
        </is>
      </c>
      <c r="O607" s="7" t="inlineStr">
        <is>
          <t>EU/US, 2025</t>
        </is>
      </c>
      <c r="P607" s="7" t="inlineStr">
        <is>
          <t>stakeholder position</t>
        </is>
      </c>
      <c r="Q607" s="7" t="inlineStr">
        <is>
          <t>Government representing affected non-EU (US) operators</t>
        </is>
      </c>
      <c r="R607" s="7" t="inlineStr">
        <is>
          <t>open</t>
        </is>
      </c>
      <c r="S607" s="7" t="inlineStr">
        <is>
          <t>page summary via search</t>
        </is>
      </c>
      <c r="T607" s="7" t="inlineStr">
        <is>
          <t>2026-10-10</t>
        </is>
      </c>
      <c r="U607" s="7" t="inlineStr">
        <is>
          <t>https://space.commerce.gov/wp-content/uploads/2025/11/090166e52487d15d.pdf</t>
        </is>
      </c>
      <c r="V607" s="7" t="inlineStr"/>
      <c r="W607" s="7" t="inlineStr">
        <is>
          <t>http://web.archive.org/web/20260307042558/https://space.commerce.gov/wp-content/uploads/2025/11/090166e52487d15d.pdf</t>
        </is>
      </c>
    </row>
  </sheetData>
  <autoFilter ref="A1:W60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6" customWidth="1" min="4" max="4"/>
    <col width="36" customWidth="1" min="5" max="5"/>
    <col width="26" customWidth="1" min="6" max="6"/>
    <col width="11" customWidth="1" min="7" max="7"/>
    <col width="18" customWidth="1" min="8" max="8"/>
    <col width="60" customWidth="1" min="9" max="9"/>
    <col width="26" customWidth="1" min="10" max="10"/>
    <col width="36" customWidth="1" min="11" max="11"/>
    <col width="40" customWidth="1" min="12" max="12"/>
    <col width="24" customWidth="1" min="13" max="13"/>
    <col width="40" customWidth="1" min="14" max="14"/>
  </cols>
  <sheetData>
    <row r="1" ht="45" customHeight="1">
      <c r="A1" s="1" t="inlineStr">
        <is>
          <t>row_id</t>
        </is>
      </c>
      <c r="B1" s="1" t="inlineStr">
        <is>
          <t>eu_instrument</t>
        </is>
      </c>
      <c r="C1" s="1" t="inlineStr">
        <is>
          <t>match_quality</t>
        </is>
      </c>
      <c r="D1" s="1" t="inlineStr">
        <is>
          <t>level</t>
        </is>
      </c>
      <c r="E1" s="1" t="inlineStr">
        <is>
          <t>us_counterpart</t>
        </is>
      </c>
      <c r="F1" s="1" t="inlineStr">
        <is>
          <t>us_citation</t>
        </is>
      </c>
      <c r="G1" s="1" t="inlineStr">
        <is>
          <t>us_date</t>
        </is>
      </c>
      <c r="H1" s="1" t="inlineStr">
        <is>
          <t>us_status</t>
        </is>
      </c>
      <c r="I1" s="1" t="inlineStr">
        <is>
          <t>rationale</t>
        </is>
      </c>
      <c r="J1" s="1" t="inlineStr">
        <is>
          <t>us_key_rules</t>
        </is>
      </c>
      <c r="K1" s="1" t="inlineStr">
        <is>
          <t>alternatives</t>
        </is>
      </c>
      <c r="L1" s="1" t="inlineStr">
        <is>
          <t>us_text_url</t>
        </is>
      </c>
      <c r="M1" s="1" t="inlineStr">
        <is>
          <t>verified</t>
        </is>
      </c>
      <c r="N1" s="1" t="inlineStr">
        <is>
          <t>notes</t>
        </is>
      </c>
    </row>
    <row r="2">
      <c r="A2" s="7" t="n">
        <v>1</v>
      </c>
      <c r="B2" s="7" t="inlineStr">
        <is>
          <t>Frequency Bands Directive (GSM)</t>
        </is>
      </c>
      <c r="C2" s="7" t="inlineStr">
        <is>
          <t>agency rule only</t>
        </is>
      </c>
      <c r="D2" s="7" t="inlineStr">
        <is>
          <t>federal agency rule</t>
        </is>
      </c>
      <c r="E2" s="7" t="inlineStr">
        <is>
          <t>FCC Cellular Radiotelephone Service rules (47 CFR Part 22, Subpart H)</t>
        </is>
      </c>
      <c r="F2" s="7" t="inlineStr">
        <is>
          <t>47 CFR Part 22, Subpart H</t>
        </is>
      </c>
      <c r="G2" s="7" t="inlineStr">
        <is>
          <t>1981</t>
        </is>
      </c>
      <c r="H2" s="7" t="inlineStr">
        <is>
          <t>in force (amended many times)</t>
        </is>
      </c>
      <c r="I2" s="7" t="inlineStr">
        <is>
          <t>The FCC set aside the 800 MHz cellular bands by rule under its general Communications Act powers, but unlike the EU directive it did not mandate a single technology standard such as GSM.</t>
        </is>
      </c>
      <c r="J2" s="7" t="inlineStr">
        <is>
          <t>47 CFR Part 22 Subpart H; 47 CFR Part 2 (Table of Frequency Allocations)</t>
        </is>
      </c>
      <c r="K2" s="7" t="inlineStr">
        <is>
          <t>Communications Act of 1934, 47 U.S.C. 151 et seq. (general FCC spectrum authority); 47 CFR Part 24 (PCS bands)</t>
        </is>
      </c>
      <c r="L2" s="7" t="inlineStr">
        <is>
          <t>https://www.ecfr.gov/current/title-47/chapter-I/subchapter-B/part-22/subpart-H</t>
        </is>
      </c>
      <c r="M2" s="7" t="inlineStr">
        <is>
          <t>eCFR structure checked (Part 22 Subpart H Cellular Radiotelephone Service exists); original 1981 Report and Order (CC Docket 79-318) FR cite not verified, left out</t>
        </is>
      </c>
      <c r="N2" s="7" t="inlineStr">
        <is>
          <t>US deliberately left technology choice to the market; date is the 1981 cellular allocation order, year only.</t>
        </is>
      </c>
    </row>
    <row r="3">
      <c r="A3" s="7" t="n">
        <v>2</v>
      </c>
      <c r="B3" s="7" t="inlineStr">
        <is>
          <t>Unfair Contract Terms Directive</t>
        </is>
      </c>
      <c r="C3" s="7" t="inlineStr">
        <is>
          <t>partial</t>
        </is>
      </c>
      <c r="D3" s="7" t="inlineStr">
        <is>
          <t>federal statute</t>
        </is>
      </c>
      <c r="E3" s="7" t="inlineStr">
        <is>
          <t>Consumer Review Fairness Act of 2016</t>
        </is>
      </c>
      <c r="F3" s="7" t="inlineStr">
        <is>
          <t>Pub. L. 114-258, 130 Stat. 1355</t>
        </is>
      </c>
      <c r="G3" s="7" t="inlineStr">
        <is>
          <t>2016-12-14</t>
        </is>
      </c>
      <c r="H3" s="7" t="inlineStr">
        <is>
          <t>in force</t>
        </is>
      </c>
      <c r="I3" s="7" t="inlineStr">
        <is>
          <t>The CRFA voids form-contract clauses that restrict consumer reviews, a single banned term, whereas the EU directive sets a general unfairness test for all non-negotiated consumer terms.</t>
        </is>
      </c>
      <c r="J3" s="7" t="inlineStr"/>
      <c r="K3" s="7" t="inlineStr">
        <is>
          <t>UCC 2-302 unconscionability (state law); FTC Credit Practices Rule, 16 CFR Part 444; FTC Act s5, 15 U.S.C. 45 (unfairness)</t>
        </is>
      </c>
      <c r="L3" s="7" t="inlineStr">
        <is>
          <t>https://www.govinfo.gov/app/details/PLAW-114publ258</t>
        </is>
      </c>
      <c r="M3" s="7" t="inlineStr">
        <is>
          <t>govinfo PLAW text opened (title, Stat. page, Dec. 14, 2016 confirmed); 16 CFR 444 checked in eCFR</t>
        </is>
      </c>
      <c r="N3" s="7" t="inlineStr">
        <is>
          <t>No general federal unfair-terms statute; general unconscionability doctrine is state common law and UCC.</t>
        </is>
      </c>
    </row>
    <row r="4">
      <c r="A4" s="7" t="n">
        <v>3</v>
      </c>
      <c r="B4" s="7" t="inlineStr">
        <is>
          <t>Satellite and Cable Directive</t>
        </is>
      </c>
      <c r="C4" s="7" t="inlineStr">
        <is>
          <t>partial</t>
        </is>
      </c>
      <c r="D4" s="7" t="inlineStr">
        <is>
          <t>federal statute</t>
        </is>
      </c>
      <c r="E4" s="7" t="inlineStr">
        <is>
          <t>Satellite Home Viewer Act of 1988</t>
        </is>
      </c>
      <c r="F4" s="7" t="inlineStr">
        <is>
          <t>Pub. L. 100-667, title II, 102 Stat. 3949</t>
        </is>
      </c>
      <c r="G4" s="7" t="inlineStr">
        <is>
          <t>1988-11-16</t>
        </is>
      </c>
      <c r="H4" s="7" t="inlineStr">
        <is>
          <t>in force as amended (17 U.S.C. 119, last extended by the Satellite Television Community Protection and Promotion Act of 2019)</t>
        </is>
      </c>
      <c r="I4" s="7" t="inlineStr">
        <is>
          <t>SHVA created the statutory licence for satellite retransmission of broadcast signals (17 U.S.C. 119), paralleling the cable compulsory licence in 17 U.S.C. 111, but it uses compulsory licences rather than the EU's country-of-origin rule and collective cable rights management.</t>
        </is>
      </c>
      <c r="J4" s="7" t="inlineStr">
        <is>
          <t>37 CFR Part 201 (Copyright Office licence rules)</t>
        </is>
      </c>
      <c r="K4" s="7" t="inlineStr">
        <is>
          <t>Copyright Act of 1976, 17 U.S.C. 111 (cable compulsory licence); Satellite Television Community Protection and Promotion Act of 2019</t>
        </is>
      </c>
      <c r="L4" s="7" t="inlineStr">
        <is>
          <t>https://www.govinfo.gov/app/details/STATUTE-102/STATUTE-102-Pg3949</t>
        </is>
      </c>
      <c r="M4" s="7" t="inlineStr">
        <is>
          <t>govinfo Statutes at Large PDF opened; Title II 'Satellite Home Viewer Act' confirmed at 102 Stat. 3949, Pub. L. 100-667 dated Nov. 16, 1988</t>
        </is>
      </c>
      <c r="N4" s="7" t="inlineStr"/>
    </row>
    <row r="5">
      <c r="A5" s="7" t="n">
        <v>4</v>
      </c>
      <c r="B5" s="7" t="inlineStr">
        <is>
          <t>Database Directive</t>
        </is>
      </c>
      <c r="C5" s="7" t="inlineStr">
        <is>
          <t>proposed only</t>
        </is>
      </c>
      <c r="D5" s="7" t="inlineStr">
        <is>
          <t>proposed federal bill</t>
        </is>
      </c>
      <c r="E5" s="7" t="inlineStr">
        <is>
          <t>Database Investment and Intellectual Property Antipiracy Act of 1996 (H.R. 3531, 104th Congress)</t>
        </is>
      </c>
      <c r="F5" s="7" t="inlineStr">
        <is>
          <t>H.R. 3531, 104th Congress</t>
        </is>
      </c>
      <c r="G5" s="7" t="inlineStr">
        <is>
          <t>1996-05-23</t>
        </is>
      </c>
      <c r="H5" s="7" t="inlineStr">
        <is>
          <t>never enacted</t>
        </is>
      </c>
      <c r="I5" s="7" t="inlineStr">
        <is>
          <t>This bill would have created a sui generis database right like the EU's, but it and later versions failed; US databases are protected only by copyright in original selection (Feist) and contract.</t>
        </is>
      </c>
      <c r="J5" s="7" t="inlineStr"/>
      <c r="K5" s="7" t="inlineStr">
        <is>
          <t>Collections of Information Antipiracy Act, H.R. 354, 106th Congress (1999); Copyright Act, 17 U.S.C. 103 (compilations)</t>
        </is>
      </c>
      <c r="L5" s="7" t="inlineStr">
        <is>
          <t>https://www.govinfo.gov/app/details/BILLS-104hr3531ih</t>
        </is>
      </c>
      <c r="M5" s="7" t="inlineStr">
        <is>
          <t>govinfo BILLS text opened (title, introduced May 23, 1996); H.R. 354 (106th) text opened, Jan. 19, 1999</t>
        </is>
      </c>
      <c r="N5" s="7" t="inlineStr"/>
    </row>
    <row r="6">
      <c r="A6" s="7" t="n">
        <v>5</v>
      </c>
      <c r="B6" s="7" t="inlineStr">
        <is>
          <t>Community Design Regulation</t>
        </is>
      </c>
      <c r="C6" s="7" t="inlineStr">
        <is>
          <t>partial</t>
        </is>
      </c>
      <c r="D6" s="7" t="inlineStr">
        <is>
          <t>federal statute</t>
        </is>
      </c>
      <c r="E6" s="7" t="inlineStr">
        <is>
          <t>Patent Act of 1952 (design patents, 35 U.S.C. 171-173)</t>
        </is>
      </c>
      <c r="F6" s="7" t="inlineStr">
        <is>
          <t>Pub. L. 82-593, 66 Stat. 792</t>
        </is>
      </c>
      <c r="G6" s="7" t="inlineStr">
        <is>
          <t>1952-07-19</t>
        </is>
      </c>
      <c r="H6" s="7" t="inlineStr">
        <is>
          <t>in force as amended</t>
        </is>
      </c>
      <c r="I6" s="7" t="inlineStr">
        <is>
          <t>US design patents protect new ornamental designs after examination, but there is no unregistered design right and no unitary registration system like the Community design.</t>
        </is>
      </c>
      <c r="J6" s="7" t="inlineStr">
        <is>
          <t>37 CFR Part 1 (patent rules, design applications)</t>
        </is>
      </c>
      <c r="K6" s="7" t="inlineStr">
        <is>
          <t>Vessel Hull Design Protection Act (DMCA title V, Pub. L. 105-304), 17 U.S.C. ch. 13; Lanham Act trade dress protection</t>
        </is>
      </c>
      <c r="L6" s="7" t="inlineStr">
        <is>
          <t>https://www.govinfo.gov/app/details/STATUTE-66/STATUTE-66-Pg792</t>
        </is>
      </c>
      <c r="M6" s="7" t="inlineStr">
        <is>
          <t>govinfo Statutes at Large PDF opened (Public Law 593, July 19, 1952); uscode 35 U.S.C. 171 page loaded</t>
        </is>
      </c>
      <c r="N6" s="7" t="inlineStr">
        <is>
          <t>Design patent protection predates 1952; 1952 Act is the current codification.</t>
        </is>
      </c>
    </row>
    <row r="7">
      <c r="A7" s="7" t="n">
        <v>6</v>
      </c>
      <c r="B7" s="7" t="inlineStr">
        <is>
          <t>Price Indication Directive</t>
        </is>
      </c>
      <c r="C7" s="7" t="inlineStr">
        <is>
          <t>agency rule only</t>
        </is>
      </c>
      <c r="D7" s="7" t="inlineStr">
        <is>
          <t>federal agency rule</t>
        </is>
      </c>
      <c r="E7" s="7" t="inlineStr">
        <is>
          <t>FTC Trade Regulation Rule on Unfair or Deceptive Fees</t>
        </is>
      </c>
      <c r="F7" s="7" t="inlineStr">
        <is>
          <t>16 CFR Part 464; 90 FR 2066</t>
        </is>
      </c>
      <c r="G7" s="7" t="inlineStr">
        <is>
          <t>2025-01-10</t>
        </is>
      </c>
      <c r="H7" s="7" t="inlineStr">
        <is>
          <t>in force (effective 2025)</t>
        </is>
      </c>
      <c r="I7" s="7" t="inlineStr">
        <is>
          <t>The FTC rule requires the total price to be shown up front, but only for live-event tickets and short-term lodging, while the EU directive requires selling and unit prices for all consumer goods.</t>
        </is>
      </c>
      <c r="J7" s="7" t="inlineStr">
        <is>
          <t>16 CFR Part 464</t>
        </is>
      </c>
      <c r="K7" s="7" t="inlineStr">
        <is>
          <t>Fair Packaging and Labeling Act, Pub. L. 89-755, 80 Stat. 1296 (net quantity, not price); NIST Handbook 130 Uniform Unit Pricing Regulation, adopted by some states</t>
        </is>
      </c>
      <c r="L7" s="7" t="inlineStr">
        <is>
          <t>https://www.federalregister.gov/documents/2025/01/10/2024-30293/trade-regulation-rule-on-unfair-or-deceptive-fees</t>
        </is>
      </c>
      <c r="M7" s="7" t="inlineStr">
        <is>
          <t>federalregister.gov API checked (90 FR 2066, 2025-01-10, 16 CFR 464); eCFR Part 464 exists; FPLA Statutes at Large PDF opened</t>
        </is>
      </c>
      <c r="N7" s="7" t="inlineStr">
        <is>
          <t>Unit pricing is left to the states in the US.</t>
        </is>
      </c>
    </row>
    <row r="8">
      <c r="A8" s="7" t="n">
        <v>7</v>
      </c>
      <c r="B8" s="7" t="inlineStr">
        <is>
          <t>Information Society (InfoSoc) Directive</t>
        </is>
      </c>
      <c r="C8" s="7" t="inlineStr">
        <is>
          <t>close</t>
        </is>
      </c>
      <c r="D8" s="7" t="inlineStr">
        <is>
          <t>federal statute</t>
        </is>
      </c>
      <c r="E8" s="7" t="inlineStr">
        <is>
          <t>Digital Millennium Copyright Act</t>
        </is>
      </c>
      <c r="F8" s="7" t="inlineStr">
        <is>
          <t>Pub. L. 105-304, 112 Stat. 2860</t>
        </is>
      </c>
      <c r="G8" s="7" t="inlineStr">
        <is>
          <t>1998-10-28</t>
        </is>
      </c>
      <c r="H8" s="7" t="inlineStr">
        <is>
          <t>in force</t>
        </is>
      </c>
      <c r="I8" s="7" t="inlineStr">
        <is>
          <t>Both implement the 1996 WIPO Copyright Treaty, including anti-circumvention rules; the US relies on flexible fair use instead of the EU's closed list of exceptions.</t>
        </is>
      </c>
      <c r="J8" s="7" t="inlineStr">
        <is>
          <t>37 CFR Part 201.40 (triennial anti-circumvention exemptions)</t>
        </is>
      </c>
      <c r="K8" s="7" t="inlineStr">
        <is>
          <t>Copyright Act of 1976, 17 U.S.C. 106-122</t>
        </is>
      </c>
      <c r="L8" s="7" t="inlineStr">
        <is>
          <t>https://www.govinfo.gov/app/details/PLAW-105publ304</t>
        </is>
      </c>
      <c r="M8" s="7" t="inlineStr">
        <is>
          <t>govinfo PLAW text opened (title, 112 Stat. 2860)</t>
        </is>
      </c>
      <c r="N8" s="7" t="inlineStr"/>
    </row>
    <row r="9">
      <c r="A9" s="7" t="n">
        <v>8</v>
      </c>
      <c r="B9" s="7" t="inlineStr">
        <is>
          <t>E-commerce Directive</t>
        </is>
      </c>
      <c r="C9" s="7" t="inlineStr">
        <is>
          <t>partial</t>
        </is>
      </c>
      <c r="D9" s="7" t="inlineStr">
        <is>
          <t>federal statute</t>
        </is>
      </c>
      <c r="E9" s="7" t="inlineStr">
        <is>
          <t>Telecommunications Act of 1996, title V (Communications Decency Act, s230)</t>
        </is>
      </c>
      <c r="F9" s="7" t="inlineStr">
        <is>
          <t>Pub. L. 104-104, 110 Stat. 56</t>
        </is>
      </c>
      <c r="G9" s="7" t="inlineStr">
        <is>
          <t>1996-02-08</t>
        </is>
      </c>
      <c r="H9" s="7" t="inlineStr">
        <is>
          <t>in force (47 U.S.C. 230)</t>
        </is>
      </c>
      <c r="I9" s="7" t="inlineStr">
        <is>
          <t>Section 230 gives online intermediaries liability protection like the directive's safe harbours, but it is broader (no notice-and-takedown condition) and the US has no country-of-origin or information-duty rules.</t>
        </is>
      </c>
      <c r="J9" s="7" t="inlineStr"/>
      <c r="K9" s="7" t="inlineStr">
        <is>
          <t>DMCA s512 safe harbours, Pub. L. 105-304; E-SIGN Act, Pub. L. 106-229 (electronic contracts)</t>
        </is>
      </c>
      <c r="L9" s="7" t="inlineStr">
        <is>
          <t>https://www.govinfo.gov/app/details/PLAW-104publ104</t>
        </is>
      </c>
      <c r="M9" s="7" t="inlineStr">
        <is>
          <t>govinfo PLAW text opened (110 Stat. 56, Feb. 8, 1996)</t>
        </is>
      </c>
      <c r="N9" s="7" t="inlineStr"/>
    </row>
    <row r="10">
      <c r="A10" s="7" t="n">
        <v>9</v>
      </c>
      <c r="B10" s="7" t="inlineStr">
        <is>
          <t>ePrivacy Directive</t>
        </is>
      </c>
      <c r="C10" s="7" t="inlineStr">
        <is>
          <t>partial</t>
        </is>
      </c>
      <c r="D10" s="7" t="inlineStr">
        <is>
          <t>federal statute</t>
        </is>
      </c>
      <c r="E10" s="7" t="inlineStr">
        <is>
          <t>Electronic Communications Privacy Act of 1986</t>
        </is>
      </c>
      <c r="F10" s="7" t="inlineStr">
        <is>
          <t>Pub. L. 99-508, 100 Stat. 1848</t>
        </is>
      </c>
      <c r="G10" s="7" t="inlineStr">
        <is>
          <t>1986-10-21</t>
        </is>
      </c>
      <c r="H10" s="7" t="inlineStr">
        <is>
          <t>in force as amended</t>
        </is>
      </c>
      <c r="I10" s="7" t="inlineStr">
        <is>
          <t>ECPA protects the confidentiality of communications against interception and stored-communications access, but the US splits the other ePrivacy topics (spam, telemarketing, telecom customer data) across separate laws and has no cookie consent rule.</t>
        </is>
      </c>
      <c r="J10" s="7" t="inlineStr"/>
      <c r="K10" s="7" t="inlineStr">
        <is>
          <t>CAN-SPAM Act of 2003, Pub. L. 108-187, 117 Stat. 2699; Telephone Consumer Protection Act of 1991, 47 U.S.C. 227; 47 U.S.C. 222 (CPNI) and 47 CFR Part 64 Subpart U</t>
        </is>
      </c>
      <c r="L10" s="7" t="inlineStr">
        <is>
          <t>https://www.govinfo.gov/app/details/STATUTE-100/STATUTE-100-Pg1848</t>
        </is>
      </c>
      <c r="M10" s="7" t="inlineStr">
        <is>
          <t>govinfo Statutes at Large PDF opened (ECPA, Oct. 21, 1986); CAN-SPAM PLAW text opened</t>
        </is>
      </c>
      <c r="N10" s="7" t="inlineStr"/>
    </row>
    <row r="11">
      <c r="A11" s="7" t="n">
        <v>10</v>
      </c>
      <c r="B11" s="7" t="inlineStr">
        <is>
          <t>Radio Spectrum Decision</t>
        </is>
      </c>
      <c r="C11" s="7" t="inlineStr">
        <is>
          <t>partial</t>
        </is>
      </c>
      <c r="D11" s="7" t="inlineStr">
        <is>
          <t>federal statute</t>
        </is>
      </c>
      <c r="E11" s="7" t="inlineStr">
        <is>
          <t>National Telecommunications and Information Administration Organization Act (Telecommunications Authorization Act of 1992, title I)</t>
        </is>
      </c>
      <c r="F11" s="7" t="inlineStr">
        <is>
          <t>Pub. L. 102-538, title I, 106 Stat. 3533</t>
        </is>
      </c>
      <c r="G11" s="7" t="inlineStr">
        <is>
          <t>1992-10-27</t>
        </is>
      </c>
      <c r="H11" s="7" t="inlineStr">
        <is>
          <t>in force as amended (47 U.S.C. 901 et seq.)</t>
        </is>
      </c>
      <c r="I11" s="7" t="inlineStr">
        <is>
          <t>The NTIA Organization Act sets how federal spectrum is managed and coordinated with the FCC, while the EU decision creates a framework for harmonising spectrum across member states.</t>
        </is>
      </c>
      <c r="J11" s="7" t="inlineStr">
        <is>
          <t>47 CFR Part 2; NTIA Manual (federal spectrum)</t>
        </is>
      </c>
      <c r="K11" s="7" t="inlineStr">
        <is>
          <t>Communications Act of 1934, 47 U.S.C. 151 et seq.; Spectrum Pipeline Act of 2015</t>
        </is>
      </c>
      <c r="L11" s="7" t="inlineStr">
        <is>
          <t>https://www.govinfo.gov/app/details/STATUTE-106/STATUTE-106-Pg3533</t>
        </is>
      </c>
      <c r="M11" s="7" t="inlineStr">
        <is>
          <t>govinfo Statutes at Large PDF opened; Title I NTIA Organization Act at 106 Stat. 3533, Oct. 27, 1992</t>
        </is>
      </c>
      <c r="N11" s="7" t="inlineStr">
        <is>
          <t>Partly an EU single-market coordination mechanism with no exact US equivalent.</t>
        </is>
      </c>
    </row>
    <row r="12">
      <c r="A12" s="7" t="n">
        <v>11</v>
      </c>
      <c r="B12" s="7" t="inlineStr">
        <is>
          <t>EC Merger Regulation</t>
        </is>
      </c>
      <c r="C12" s="7" t="inlineStr">
        <is>
          <t>close</t>
        </is>
      </c>
      <c r="D12" s="7" t="inlineStr">
        <is>
          <t>federal statute</t>
        </is>
      </c>
      <c r="E12" s="7" t="inlineStr">
        <is>
          <t>Hart-Scott-Rodino Antitrust Improvements Act of 1976</t>
        </is>
      </c>
      <c r="F12" s="7" t="inlineStr">
        <is>
          <t>Pub. L. 94-435, 90 Stat. 1383</t>
        </is>
      </c>
      <c r="G12" s="7" t="inlineStr">
        <is>
          <t>1976-09-30</t>
        </is>
      </c>
      <c r="H12" s="7" t="inlineStr">
        <is>
          <t>in force (15 U.S.C. 18a)</t>
        </is>
      </c>
      <c r="I12" s="7" t="inlineStr">
        <is>
          <t>HSR sets up pre-merger notification and waiting periods for large deals reviewed under Clayton Act s7, which matches the EUMR's notification and review system; the substantive test is a court-applied standard rather than a Commission decision.</t>
        </is>
      </c>
      <c r="J12" s="7" t="inlineStr">
        <is>
          <t>16 CFR Parts 801-803</t>
        </is>
      </c>
      <c r="K12" s="7" t="inlineStr">
        <is>
          <t>Clayton Act s7, 15 U.S.C. 18</t>
        </is>
      </c>
      <c r="L12" s="7" t="inlineStr">
        <is>
          <t>https://www.govinfo.gov/app/details/STATUTE-90/STATUTE-90-Pg1383</t>
        </is>
      </c>
      <c r="M12" s="7" t="inlineStr">
        <is>
          <t>govinfo Statutes at Large PDF opened (Pub. L. 94-435, Sept. 30, 1976); 16 CFR 801-803 in eCFR</t>
        </is>
      </c>
      <c r="N12" s="7" t="inlineStr"/>
    </row>
    <row r="13">
      <c r="A13" s="7" t="n">
        <v>12</v>
      </c>
      <c r="B13" s="7" t="inlineStr">
        <is>
          <t>IPR Enforcement Directive</t>
        </is>
      </c>
      <c r="C13" s="7" t="inlineStr">
        <is>
          <t>partial</t>
        </is>
      </c>
      <c r="D13" s="7" t="inlineStr">
        <is>
          <t>federal statute</t>
        </is>
      </c>
      <c r="E13" s="7" t="inlineStr">
        <is>
          <t>Prioritizing Resources and Organization for Intellectual Property Act of 2008 (PRO-IP Act)</t>
        </is>
      </c>
      <c r="F13" s="7" t="inlineStr">
        <is>
          <t>Pub. L. 110-403, 122 Stat. 4256</t>
        </is>
      </c>
      <c r="G13" s="7" t="inlineStr">
        <is>
          <t>2008-10-13</t>
        </is>
      </c>
      <c r="H13" s="7" t="inlineStr">
        <is>
          <t>in force</t>
        </is>
      </c>
      <c r="I13" s="7" t="inlineStr">
        <is>
          <t>PRO-IP strengthened civil and criminal IP remedies and enforcement coordination, but most US civil remedies sit in the separate copyright, patent and trademark statutes rather than one cross-cutting law.</t>
        </is>
      </c>
      <c r="J13" s="7" t="inlineStr"/>
      <c r="K13" s="7" t="inlineStr">
        <is>
          <t>Copyright Act remedies, 17 U.S.C. 501-505; Lanham Act remedies, 15 U.S.C. 1116-1117; Patent Act remedies, 35 U.S.C. 281-285</t>
        </is>
      </c>
      <c r="L13" s="7" t="inlineStr">
        <is>
          <t>https://www.govinfo.gov/app/details/PLAW-110publ403</t>
        </is>
      </c>
      <c r="M13" s="7" t="inlineStr">
        <is>
          <t>govinfo PLAW text opened (122 Stat. 4256, Oct. 13, 2008)</t>
        </is>
      </c>
      <c r="N13" s="7" t="inlineStr"/>
    </row>
    <row r="14">
      <c r="A14" s="7" t="n">
        <v>13</v>
      </c>
      <c r="B14" s="7" t="inlineStr">
        <is>
          <t>Unfair Commercial Practices Directive</t>
        </is>
      </c>
      <c r="C14" s="7" t="inlineStr">
        <is>
          <t>close</t>
        </is>
      </c>
      <c r="D14" s="7" t="inlineStr">
        <is>
          <t>federal statute</t>
        </is>
      </c>
      <c r="E14" s="7" t="inlineStr">
        <is>
          <t>Federal Trade Commission Act s5 (as amended by the Wheeler-Lea Act)</t>
        </is>
      </c>
      <c r="F14" s="7" t="inlineStr">
        <is>
          <t>15 U.S.C. 45; Wheeler-Lea Act, Pub. L. 75-447, 52 Stat. 111</t>
        </is>
      </c>
      <c r="G14" s="7" t="inlineStr">
        <is>
          <t>1938-03-21</t>
        </is>
      </c>
      <c r="H14" s="7" t="inlineStr">
        <is>
          <t>in force</t>
        </is>
      </c>
      <c r="I14" s="7" t="inlineStr">
        <is>
          <t>Section 5 bans unfair or deceptive acts or practices in commerce, enforced by the FTC, which matches the directive's general ban; the US has no blacklist of practices that are always unfair.</t>
        </is>
      </c>
      <c r="J14" s="7" t="inlineStr">
        <is>
          <t>16 CFR Part 255 (endorsement guides) and other FTC rules</t>
        </is>
      </c>
      <c r="K14" s="7" t="inlineStr">
        <is>
          <t>State UDAP statutes, e.g. California Unfair Competition Law, Bus. &amp; Prof. Code 17200</t>
        </is>
      </c>
      <c r="L14" s="7" t="inlineStr">
        <is>
          <t>https://uscode.house.gov/view.xhtml?req=granuleid:USC-prelim-title15-section45&amp;num=0&amp;edition=prelim</t>
        </is>
      </c>
      <c r="M14" s="7" t="inlineStr">
        <is>
          <t>Statutes at Large PDF opened (Mar. 21, 1938, Public No. 447, 75th Congress, 52 Stat. 111); uscode 15 U.S.C. 45 page loaded</t>
        </is>
      </c>
      <c r="N14" s="7" t="inlineStr">
        <is>
          <t>FTC Act itself dates from 1914 (38 Stat. 717); 'unfair or deceptive acts' added in 1938.</t>
        </is>
      </c>
    </row>
    <row r="15">
      <c r="A15" s="7" t="n">
        <v>14</v>
      </c>
      <c r="B15" s="7" t="inlineStr">
        <is>
          <t>Common VAT system Directive</t>
        </is>
      </c>
      <c r="C15" s="7" t="inlineStr">
        <is>
          <t>none</t>
        </is>
      </c>
      <c r="D15" s="7" t="inlineStr">
        <is>
          <t>none</t>
        </is>
      </c>
      <c r="E15" s="7" t="inlineStr"/>
      <c r="F15" s="7" t="inlineStr"/>
      <c r="G15" s="7" t="inlineStr"/>
      <c r="H15" s="7" t="inlineStr"/>
      <c r="I15" s="7" t="inlineStr">
        <is>
          <t>The US has no federal VAT or general consumption tax; sales taxes are set by each state, so no federal measure does the job of the directive.</t>
        </is>
      </c>
      <c r="J15" s="7" t="inlineStr"/>
      <c r="K15" s="7" t="inlineStr">
        <is>
          <t>State sales and use tax laws (post South Dakota v. Wayfair, 2018); Internet Tax Freedom Act, 47 U.S.C. 151 note; Marketplace Fairness Act (unenacted bills)</t>
        </is>
      </c>
      <c r="L15" s="7" t="inlineStr"/>
      <c r="M15" s="7" t="inlineStr">
        <is>
          <t>no counterpart; nothing to verify</t>
        </is>
      </c>
      <c r="N15" s="7" t="inlineStr">
        <is>
          <t>Reason: US has no federal VAT.</t>
        </is>
      </c>
    </row>
    <row r="16">
      <c r="A16" s="7" t="n">
        <v>15</v>
      </c>
      <c r="B16" s="7" t="inlineStr">
        <is>
          <t>Audiovisual Media Services Directive</t>
        </is>
      </c>
      <c r="C16" s="7" t="inlineStr">
        <is>
          <t>partial</t>
        </is>
      </c>
      <c r="D16" s="7" t="inlineStr">
        <is>
          <t>federal statute</t>
        </is>
      </c>
      <c r="E16" s="7" t="inlineStr">
        <is>
          <t>Children's Television Act of 1990</t>
        </is>
      </c>
      <c r="F16" s="7" t="inlineStr">
        <is>
          <t>Pub. L. 101-437, 104 Stat. 996</t>
        </is>
      </c>
      <c r="G16" s="7" t="inlineStr">
        <is>
          <t>1990-10-17</t>
        </is>
      </c>
      <c r="H16" s="7" t="inlineStr">
        <is>
          <t>in force</t>
        </is>
      </c>
      <c r="I16" s="7" t="inlineStr">
        <is>
          <t>The CTA limits advertising minutes in children's TV programmes, overlapping with AVMSD's ad and minors rules, but the US has no rules for on-demand services or content quotas.</t>
        </is>
      </c>
      <c r="J16" s="7" t="inlineStr">
        <is>
          <t>47 CFR 73.670-73.671</t>
        </is>
      </c>
      <c r="K16" s="7" t="inlineStr">
        <is>
          <t>Communications Act broadcast indecency rules, 18 U.S.C. 1464; CALM Act of 2010</t>
        </is>
      </c>
      <c r="L16" s="7" t="inlineStr">
        <is>
          <t>https://www.govinfo.gov/app/details/STATUTE-104/STATUTE-104-Pg996</t>
        </is>
      </c>
      <c r="M16" s="7" t="inlineStr">
        <is>
          <t>govinfo Statutes at Large PDF opened (Pub. L. 101-437, Oct. 17, 1990)</t>
        </is>
      </c>
      <c r="N16" s="7" t="inlineStr">
        <is>
          <t>US broadcast content regulation is limited by the First Amendment.</t>
        </is>
      </c>
    </row>
    <row r="17">
      <c r="A17" s="7" t="n">
        <v>16</v>
      </c>
      <c r="B17" s="7" t="inlineStr">
        <is>
          <t>European Statistics Regulation</t>
        </is>
      </c>
      <c r="C17" s="7" t="inlineStr">
        <is>
          <t>partial</t>
        </is>
      </c>
      <c r="D17" s="7" t="inlineStr">
        <is>
          <t>federal statute</t>
        </is>
      </c>
      <c r="E17" s="7" t="inlineStr">
        <is>
          <t>Foundations for Evidence-Based Policymaking Act of 2018</t>
        </is>
      </c>
      <c r="F17" s="7" t="inlineStr">
        <is>
          <t>Pub. L. 115-435, 132 Stat. 5529</t>
        </is>
      </c>
      <c r="G17" s="7" t="inlineStr">
        <is>
          <t>2019-01-14</t>
        </is>
      </c>
      <c r="H17" s="7" t="inlineStr">
        <is>
          <t>in force</t>
        </is>
      </c>
      <c r="I17" s="7" t="inlineStr">
        <is>
          <t>Its title III (CIPSEA 2018) sets confidentiality and duties for federal statistical agencies, similar to the European Statistical System rules, but there is no central statistical authority like Eurostat.</t>
        </is>
      </c>
      <c r="J17" s="7" t="inlineStr">
        <is>
          <t>5 CFR Part 1321 (statistical agency responsibilities)</t>
        </is>
      </c>
      <c r="K17" s="7" t="inlineStr">
        <is>
          <t>Confidential Information Protection and Statistical Efficiency Act of 2002 (E-Government Act title V, Pub. L. 107-347, 116 Stat. 2899)</t>
        </is>
      </c>
      <c r="L17" s="7" t="inlineStr">
        <is>
          <t>https://www.govinfo.gov/app/details/PLAW-115publ435</t>
        </is>
      </c>
      <c r="M17" s="7" t="inlineStr">
        <is>
          <t>govinfo PLAW texts opened for Pub. L. 115-435 (Jan. 14, 2019) and 107-347 (Dec. 17, 2002); 5 CFR 1321 not checked</t>
        </is>
      </c>
      <c r="N17" s="7" t="inlineStr"/>
    </row>
    <row r="18">
      <c r="A18" s="7" t="n">
        <v>17</v>
      </c>
      <c r="B18" s="7" t="inlineStr">
        <is>
          <t>Toys Safety Directive</t>
        </is>
      </c>
      <c r="C18" s="7" t="inlineStr">
        <is>
          <t>close</t>
        </is>
      </c>
      <c r="D18" s="7" t="inlineStr">
        <is>
          <t>federal statute</t>
        </is>
      </c>
      <c r="E18" s="7" t="inlineStr">
        <is>
          <t>Consumer Product Safety Improvement Act of 2008</t>
        </is>
      </c>
      <c r="F18" s="7" t="inlineStr">
        <is>
          <t>Pub. L. 110-314, 122 Stat. 3016</t>
        </is>
      </c>
      <c r="G18" s="7" t="inlineStr">
        <is>
          <t>2008-08-14</t>
        </is>
      </c>
      <c r="H18" s="7" t="inlineStr">
        <is>
          <t>in force</t>
        </is>
      </c>
      <c r="I18" s="7" t="inlineStr">
        <is>
          <t>CPSIA made the ASTM F963 toy standard mandatory and set lead and phthalate limits and third-party testing, matching the directive's safety and conformity rules; the US uses certification rather than CE marking.</t>
        </is>
      </c>
      <c r="J18" s="7" t="inlineStr">
        <is>
          <t>16 CFR Part 1250 (Safety Standard for Toys)</t>
        </is>
      </c>
      <c r="K18" s="7" t="inlineStr">
        <is>
          <t>Federal Hazardous Substances Act, 15 U.S.C. 1261 et seq.</t>
        </is>
      </c>
      <c r="L18" s="7" t="inlineStr">
        <is>
          <t>https://www.govinfo.gov/app/details/PLAW-110publ314</t>
        </is>
      </c>
      <c r="M18" s="7" t="inlineStr">
        <is>
          <t>govinfo PLAW text opened (122 Stat. 3016, Aug. 14, 2008); 16 CFR 1250 in eCFR</t>
        </is>
      </c>
      <c r="N18" s="7" t="inlineStr"/>
    </row>
    <row r="19">
      <c r="A19" s="7" t="n">
        <v>18</v>
      </c>
      <c r="B19" s="7" t="inlineStr">
        <is>
          <t>Consumer Rights Directive</t>
        </is>
      </c>
      <c r="C19" s="7" t="inlineStr">
        <is>
          <t>partial</t>
        </is>
      </c>
      <c r="D19" s="7" t="inlineStr">
        <is>
          <t>federal statute</t>
        </is>
      </c>
      <c r="E19" s="7" t="inlineStr">
        <is>
          <t>Restore Online Shoppers' Confidence Act</t>
        </is>
      </c>
      <c r="F19" s="7" t="inlineStr">
        <is>
          <t>Pub. L. 111-345, 124 Stat. 3618</t>
        </is>
      </c>
      <c r="G19" s="7" t="inlineStr">
        <is>
          <t>2010-12-29</t>
        </is>
      </c>
      <c r="H19" s="7" t="inlineStr">
        <is>
          <t>in force (15 U.S.C. 8401-8405)</t>
        </is>
      </c>
      <c r="I19" s="7" t="inlineStr">
        <is>
          <t>ROSCA requires clear disclosure and consent for online negative-option sales, overlapping with the directive's distance-selling information rules, but the US has no general 14-day withdrawal right.</t>
        </is>
      </c>
      <c r="J19" s="7" t="inlineStr"/>
      <c r="K19" s="7" t="inlineStr">
        <is>
          <t>FTC Cooling-Off Rule, 16 CFR Part 429 (3-day cancellation for off-premises sales); FTC Mail, Internet, or Telephone Order Merchandise Rule, 16 CFR Part 435</t>
        </is>
      </c>
      <c r="L19" s="7" t="inlineStr">
        <is>
          <t>https://www.govinfo.gov/app/details/PLAW-111publ345</t>
        </is>
      </c>
      <c r="M19" s="7" t="inlineStr">
        <is>
          <t>govinfo PLAW text opened (124 Stat. 3618, Dec. 29, 2010); 16 CFR 429 and 435 in eCFR</t>
        </is>
      </c>
      <c r="N19" s="7" t="inlineStr"/>
    </row>
    <row r="20">
      <c r="A20" s="7" t="n">
        <v>19</v>
      </c>
      <c r="B20" s="7" t="inlineStr">
        <is>
          <t>Administrative cooperation in taxation (DAC)</t>
        </is>
      </c>
      <c r="C20" s="7" t="inlineStr">
        <is>
          <t>partial</t>
        </is>
      </c>
      <c r="D20" s="7" t="inlineStr">
        <is>
          <t>federal statute</t>
        </is>
      </c>
      <c r="E20" s="7" t="inlineStr">
        <is>
          <t>Foreign Account Tax Compliance Act (HIRE Act, title V)</t>
        </is>
      </c>
      <c r="F20" s="7" t="inlineStr">
        <is>
          <t>Pub. L. 111-147, 124 Stat. 71</t>
        </is>
      </c>
      <c r="G20" s="7" t="inlineStr">
        <is>
          <t>2010-03-18</t>
        </is>
      </c>
      <c r="H20" s="7" t="inlineStr">
        <is>
          <t>in force (26 U.S.C. 1471-1474)</t>
        </is>
      </c>
      <c r="I20" s="7" t="inlineStr">
        <is>
          <t>FATCA requires automatic reporting of foreign financial accounts of US taxpayers, implemented through intergovernmental exchange agreements, but it is unilateral rather than mutual cooperation among tax authorities.</t>
        </is>
      </c>
      <c r="J20" s="7" t="inlineStr">
        <is>
          <t>26 CFR 1.1471-1 to 1.1474-7</t>
        </is>
      </c>
      <c r="K20" s="7" t="inlineStr">
        <is>
          <t>Tax treaties and Tax Information Exchange Agreements</t>
        </is>
      </c>
      <c r="L20" s="7" t="inlineStr">
        <is>
          <t>https://www.govinfo.gov/app/details/PLAW-111publ147</t>
        </is>
      </c>
      <c r="M20" s="7" t="inlineStr">
        <is>
          <t>govinfo PLAW text opened (124 Stat. 71, Mar. 18, 2010); FATCA is title V of the HIRE Act (from knowledge)</t>
        </is>
      </c>
      <c r="N20" s="7" t="inlineStr"/>
    </row>
    <row r="21">
      <c r="A21" s="7" t="n">
        <v>20</v>
      </c>
      <c r="B21" s="7" t="inlineStr">
        <is>
          <t>General Data Protection Regulation</t>
        </is>
      </c>
      <c r="C21" s="7" t="inlineStr">
        <is>
          <t>state only</t>
        </is>
      </c>
      <c r="D21" s="7" t="inlineStr">
        <is>
          <t>state law</t>
        </is>
      </c>
      <c r="E21" s="7" t="inlineStr">
        <is>
          <t>California Consumer Privacy Act of 2018 (as amended by the CPRA)</t>
        </is>
      </c>
      <c r="F21" s="7" t="inlineStr">
        <is>
          <t>Cal. Civ. Code 1798.100-1798.199.100</t>
        </is>
      </c>
      <c r="G21" s="7" t="inlineStr">
        <is>
          <t>2018-06-28</t>
        </is>
      </c>
      <c r="H21" s="7" t="inlineStr">
        <is>
          <t>in force (amended by Proposition 24, 2020)</t>
        </is>
      </c>
      <c r="I21" s="7" t="inlineStr">
        <is>
          <t>The CCPA gives California residents rights to know, delete, correct and opt out of the sale or sharing of personal data, but it is an opt-out regime without a lawful-basis requirement, unlike the GDPR.</t>
        </is>
      </c>
      <c r="J21" s="7" t="inlineStr">
        <is>
          <t>Cal. Code Regs. tit. 11, 7000 et seq. (CPPA regulations)</t>
        </is>
      </c>
      <c r="K21" s="7" t="inlineStr">
        <is>
          <t>American Data Privacy and Protection Act, H.R. 8152, 117th Congress (unenacted); American Privacy Rights Act draft (2024, unenacted); Sectoral federal laws: HIPAA, GLBA, COPPA</t>
        </is>
      </c>
      <c r="L21" s="7" t="inlineStr">
        <is>
          <t>https://leginfo.legislature.ca.gov/faces/codes_displayText.xhtml?division=3.&amp;part=4.&amp;lawCode=CIV&amp;title=1.81.5</t>
        </is>
      </c>
      <c r="M21" s="7" t="inlineStr">
        <is>
          <t>leginfo URL returned 403 to curl; citation and date from knowledge (AB 375 signed June 28, 2018), not re-verified</t>
        </is>
      </c>
      <c r="N21" s="7" t="inlineStr">
        <is>
          <t>No comprehensive federal privacy statute.</t>
        </is>
      </c>
    </row>
    <row r="22">
      <c r="A22" s="7" t="n">
        <v>21</v>
      </c>
      <c r="B22" s="7" t="inlineStr">
        <is>
          <t>Law Enforcement Directive</t>
        </is>
      </c>
      <c r="C22" s="7" t="inlineStr">
        <is>
          <t>partial</t>
        </is>
      </c>
      <c r="D22" s="7" t="inlineStr">
        <is>
          <t>federal statute</t>
        </is>
      </c>
      <c r="E22" s="7" t="inlineStr">
        <is>
          <t>Privacy Act of 1974</t>
        </is>
      </c>
      <c r="F22" s="7" t="inlineStr">
        <is>
          <t>Pub. L. 93-579, 88 Stat. 1896</t>
        </is>
      </c>
      <c r="G22" s="7" t="inlineStr">
        <is>
          <t>1974-12-31</t>
        </is>
      </c>
      <c r="H22" s="7" t="inlineStr">
        <is>
          <t>in force (5 U.S.C. 552a)</t>
        </is>
      </c>
      <c r="I22" s="7" t="inlineStr">
        <is>
          <t>The Privacy Act sets fair-information rules for federal agency records, including law enforcement, but it covers only federal agencies and lets them exempt criminal-law systems.</t>
        </is>
      </c>
      <c r="J22" s="7" t="inlineStr">
        <is>
          <t>28 CFR Part 16 (DOJ Privacy Act rules)</t>
        </is>
      </c>
      <c r="K22" s="7" t="inlineStr">
        <is>
          <t>Judicial Redress Act of 2015; Criminal Justice Information Services rules, 28 CFR Part 20</t>
        </is>
      </c>
      <c r="L22" s="7" t="inlineStr">
        <is>
          <t>https://www.govinfo.gov/app/details/STATUTE-88/STATUTE-88-Pg1896</t>
        </is>
      </c>
      <c r="M22" s="7" t="inlineStr">
        <is>
          <t>govinfo Statutes at Large PDF opened (Pub. L. 93-579, Dec. 31, 1974)</t>
        </is>
      </c>
      <c r="N22" s="7" t="inlineStr"/>
    </row>
    <row r="23">
      <c r="A23" s="7" t="n">
        <v>22</v>
      </c>
      <c r="B23" s="7" t="inlineStr">
        <is>
          <t>eIDAS Regulation</t>
        </is>
      </c>
      <c r="C23" s="7" t="inlineStr">
        <is>
          <t>partial</t>
        </is>
      </c>
      <c r="D23" s="7" t="inlineStr">
        <is>
          <t>federal statute</t>
        </is>
      </c>
      <c r="E23" s="7" t="inlineStr">
        <is>
          <t>Electronic Signatures in Global and National Commerce Act (E-SIGN)</t>
        </is>
      </c>
      <c r="F23" s="7" t="inlineStr">
        <is>
          <t>Pub. L. 106-229, 114 Stat. 464</t>
        </is>
      </c>
      <c r="G23" s="7" t="inlineStr">
        <is>
          <t>2000-06-30</t>
        </is>
      </c>
      <c r="H23" s="7" t="inlineStr">
        <is>
          <t>in force (15 U.S.C. 7001 et seq.)</t>
        </is>
      </c>
      <c r="I23" s="7" t="inlineStr">
        <is>
          <t>E-SIGN gives electronic signatures and records legal effect, like eIDAS's signature rules, but it has no electronic ID scheme, trust-service supervision or qualified signature tier.</t>
        </is>
      </c>
      <c r="J23" s="7" t="inlineStr"/>
      <c r="K23" s="7" t="inlineStr">
        <is>
          <t>Uniform Electronic Transactions Act (state law); NIST SP 800-63 Digital Identity Guidelines; Improving Digital Identity Act (unenacted bills)</t>
        </is>
      </c>
      <c r="L23" s="7" t="inlineStr">
        <is>
          <t>https://www.govinfo.gov/app/details/PLAW-106publ229</t>
        </is>
      </c>
      <c r="M23" s="7" t="inlineStr">
        <is>
          <t>govinfo PLAW text opened (114 Stat. 464, June 30, 2000)</t>
        </is>
      </c>
      <c r="N23" s="7" t="inlineStr"/>
    </row>
    <row r="24">
      <c r="A24" s="7" t="n">
        <v>23</v>
      </c>
      <c r="B24" s="7" t="inlineStr">
        <is>
          <t>Payment Services Directive 2 (PSD2)</t>
        </is>
      </c>
      <c r="C24" s="7" t="inlineStr">
        <is>
          <t>partial</t>
        </is>
      </c>
      <c r="D24" s="7" t="inlineStr">
        <is>
          <t>federal statute</t>
        </is>
      </c>
      <c r="E24" s="7" t="inlineStr">
        <is>
          <t>Electronic Fund Transfer Act</t>
        </is>
      </c>
      <c r="F24" s="7" t="inlineStr">
        <is>
          <t>Pub. L. 95-630, title XX, 92 Stat. 3728</t>
        </is>
      </c>
      <c r="G24" s="7" t="inlineStr">
        <is>
          <t>1978-11-10</t>
        </is>
      </c>
      <c r="H24" s="7" t="inlineStr">
        <is>
          <t>in force (15 U.S.C. 1693 et seq.)</t>
        </is>
      </c>
      <c r="I24" s="7" t="inlineStr">
        <is>
          <t>EFTA and Regulation E set consumer rights and liability rules for electronic payments, overlapping with PSD2's conduct rules, but payment firms are licensed by states and open-banking access came only through the CFPB's 2024 s1033 rule.</t>
        </is>
      </c>
      <c r="J24" s="7" t="inlineStr">
        <is>
          <t>12 CFR Part 1005 (Regulation E); 12 CFR Part 1033 (Personal Financial Data Rights, 89 FR 90838)</t>
        </is>
      </c>
      <c r="K24" s="7" t="inlineStr">
        <is>
          <t>Dodd-Frank Act s1033, Pub. L. 111-203, 124 Stat. 1376, and CFPB rule 12 CFR Part 1033 (2024-11-18, under reconsideration); State money transmitter laws</t>
        </is>
      </c>
      <c r="L24" s="7" t="inlineStr">
        <is>
          <t>https://www.govinfo.gov/app/details/STATUTE-92/STATUTE-92-Pg3728</t>
        </is>
      </c>
      <c r="M24" s="7" t="inlineStr">
        <is>
          <t>Statutes at Large PDF of Pub. L. 95-630 opened; 'Electronic Fund Transfer Act' title confirmed at 92 Stat. 3728; FR API confirmed 89 FR 90838; 12 CFR 1005 and 1033 in eCFR</t>
        </is>
      </c>
      <c r="N24" s="7" t="inlineStr">
        <is>
          <t>Status of the 1033 rule as of 2026 not checked.</t>
        </is>
      </c>
    </row>
    <row r="25">
      <c r="A25" s="7" t="n">
        <v>24</v>
      </c>
      <c r="B25" s="7" t="inlineStr">
        <is>
          <t>Open Internet Access Regulation</t>
        </is>
      </c>
      <c r="C25" s="7" t="inlineStr">
        <is>
          <t>agency rule only</t>
        </is>
      </c>
      <c r="D25" s="7" t="inlineStr">
        <is>
          <t>federal agency rule</t>
        </is>
      </c>
      <c r="E25" s="7" t="inlineStr">
        <is>
          <t>FCC Protecting and Promoting the Open Internet Order (2015)</t>
        </is>
      </c>
      <c r="F25" s="7" t="inlineStr">
        <is>
          <t>47 CFR Part 8; 80 FR 19738</t>
        </is>
      </c>
      <c r="G25" s="7" t="inlineStr">
        <is>
          <t>2015-04-13</t>
        </is>
      </c>
      <c r="H25" s="7" t="inlineStr">
        <is>
          <t>repealed 2018</t>
        </is>
      </c>
      <c r="I25" s="7" t="inlineStr">
        <is>
          <t>The 2015 order banned blocking, throttling and paid prioritisation by broadband providers, the same core rules as the EU regulation, but it was repealed in 2018 and a 2024 revival was vacated in court.</t>
        </is>
      </c>
      <c r="J25" s="7" t="inlineStr">
        <is>
          <t>47 CFR Part 8 (now transparency only)</t>
        </is>
      </c>
      <c r="K25" s="7" t="inlineStr">
        <is>
          <t>Restoring Internet Freedom Order, 83 FR 7852 (2018-02-22) (repeal); Safeguarding and Securing the Open Internet Order, 89 FR 45404 (2024-05-22), vacated 2025 by the Sixth Circuit; California Internet Consumer Protection and Net Neutrality Act of 2018 (SB 822), Cal. Civ. Code 3100-3104</t>
        </is>
      </c>
      <c r="L25" s="7" t="inlineStr">
        <is>
          <t>https://www.federalregister.gov/documents/2015/04/13/2015-07841/protecting-and-promoting-the-open-internet</t>
        </is>
      </c>
      <c r="M25" s="7" t="inlineStr">
        <is>
          <t>federalregister.gov API checked for 80 FR 19738, 83 FR 7852, 89 FR 45404 and the 2025 deletion order 90 FR 38406</t>
        </is>
      </c>
      <c r="N25" s="7" t="inlineStr">
        <is>
          <t>No net neutrality statute; California SB 822 is the main law in force.</t>
        </is>
      </c>
    </row>
    <row r="26">
      <c r="A26" s="7" t="n">
        <v>25</v>
      </c>
      <c r="B26" s="7" t="inlineStr">
        <is>
          <t>Technology Transfer Block Exemption</t>
        </is>
      </c>
      <c r="C26" s="7" t="inlineStr">
        <is>
          <t>agency rule only</t>
        </is>
      </c>
      <c r="D26" s="7" t="inlineStr">
        <is>
          <t>federal agency rule</t>
        </is>
      </c>
      <c r="E26" s="7" t="inlineStr">
        <is>
          <t>DOJ/FTC Antitrust Guidelines for the Licensing of Intellectual Property</t>
        </is>
      </c>
      <c r="F26" s="7" t="inlineStr">
        <is>
          <t>Agency guidance (no CFR part)</t>
        </is>
      </c>
      <c r="G26" s="7" t="inlineStr">
        <is>
          <t>2017-01-12</t>
        </is>
      </c>
      <c r="H26" s="7" t="inlineStr">
        <is>
          <t>in force (guidance)</t>
        </is>
      </c>
      <c r="I26" s="7" t="inlineStr">
        <is>
          <t>The guidelines describe how the agencies assess IP licences, including a safety zone, much like the block exemption, but they are non-binding enforcement guidance rather than a legal exemption.</t>
        </is>
      </c>
      <c r="J26" s="7" t="inlineStr"/>
      <c r="K26" s="7" t="inlineStr">
        <is>
          <t>Sherman Act ss1-2, 15 U.S.C. 1-2</t>
        </is>
      </c>
      <c r="L26" s="7" t="inlineStr">
        <is>
          <t>https://www.justice.gov/atr/IPguidelines/download</t>
        </is>
      </c>
      <c r="M26" s="7" t="inlineStr">
        <is>
          <t>justice.gov PDF opened (title and date January 12, 2017 confirmed)</t>
        </is>
      </c>
      <c r="N26" s="7" t="inlineStr">
        <is>
          <t>Guidance, not a rule; listed under federal agency rule for lack of a better level.</t>
        </is>
      </c>
    </row>
    <row r="27">
      <c r="A27" s="7" t="n">
        <v>26</v>
      </c>
      <c r="B27" s="7" t="inlineStr">
        <is>
          <t>Trade Secrets Directive</t>
        </is>
      </c>
      <c r="C27" s="7" t="inlineStr">
        <is>
          <t>close</t>
        </is>
      </c>
      <c r="D27" s="7" t="inlineStr">
        <is>
          <t>federal statute</t>
        </is>
      </c>
      <c r="E27" s="7" t="inlineStr">
        <is>
          <t>Defend Trade Secrets Act of 2016</t>
        </is>
      </c>
      <c r="F27" s="7" t="inlineStr">
        <is>
          <t>Pub. L. 114-153, 130 Stat. 376</t>
        </is>
      </c>
      <c r="G27" s="7" t="inlineStr">
        <is>
          <t>2016-05-11</t>
        </is>
      </c>
      <c r="H27" s="7" t="inlineStr">
        <is>
          <t>in force (18 U.S.C. 1836)</t>
        </is>
      </c>
      <c r="I27" s="7" t="inlineStr">
        <is>
          <t>Both give trade-secret owners civil remedies against misappropriation; the DTSA adds an ex parte civil seizure remedy and sits beside state UTSA laws.</t>
        </is>
      </c>
      <c r="J27" s="7" t="inlineStr"/>
      <c r="K27" s="7" t="inlineStr">
        <is>
          <t>Uniform Trade Secrets Act (state law); Economic Espionage Act of 1996</t>
        </is>
      </c>
      <c r="L27" s="7" t="inlineStr">
        <is>
          <t>https://www.govinfo.gov/app/details/PLAW-114publ153</t>
        </is>
      </c>
      <c r="M27" s="7" t="inlineStr">
        <is>
          <t>govinfo PLAW text opened (130 Stat. 376, May 11, 2016)</t>
        </is>
      </c>
      <c r="N27" s="7" t="inlineStr"/>
    </row>
    <row r="28">
      <c r="A28" s="7" t="n">
        <v>27</v>
      </c>
      <c r="B28" s="7" t="inlineStr">
        <is>
          <t>Digital Content Directive</t>
        </is>
      </c>
      <c r="C28" s="7" t="inlineStr">
        <is>
          <t>state only</t>
        </is>
      </c>
      <c r="D28" s="7" t="inlineStr">
        <is>
          <t>state law</t>
        </is>
      </c>
      <c r="E28" s="7" t="inlineStr">
        <is>
          <t>Virginia Uniform Computer Information Transactions Act</t>
        </is>
      </c>
      <c r="F28" s="7" t="inlineStr">
        <is>
          <t>Va. Code 59.1-501.1 et seq.</t>
        </is>
      </c>
      <c r="G28" s="7" t="inlineStr">
        <is>
          <t>2000</t>
        </is>
      </c>
      <c r="H28" s="7" t="inlineStr">
        <is>
          <t>in force</t>
        </is>
      </c>
      <c r="I28" s="7" t="inlineStr">
        <is>
          <t>Virginia's UCITA sets contract and warranty rules for software and other computer information, but it was enacted in only two states and is more licensor-friendly than the EU's consumer conformity rules.</t>
        </is>
      </c>
      <c r="J28" s="7" t="inlineStr"/>
      <c r="K28" s="7" t="inlineStr">
        <is>
          <t>Maryland UCITA, Md. Code Com. Law 22-101 et seq.; California AB 2426 (2024) on disclosures for digital goods 'purchases'; Magnuson-Moss Warranty Act (tangible goods only)</t>
        </is>
      </c>
      <c r="L28" s="7" t="inlineStr">
        <is>
          <t>https://law.lis.virginia.gov/vacodefull/title59.1/chapter43/</t>
        </is>
      </c>
      <c r="M28" s="7" t="inlineStr">
        <is>
          <t>Virginia Code chapter 43 page opened (title confirmed; history 2000, cc. 101, 996); exact enactment day not verified</t>
        </is>
      </c>
      <c r="N28" s="7" t="inlineStr">
        <is>
          <t>No federal law on digital content conformity.</t>
        </is>
      </c>
    </row>
    <row r="29">
      <c r="A29" s="7" t="n">
        <v>28</v>
      </c>
      <c r="B29" s="7" t="inlineStr">
        <is>
          <t>Sale of Goods Directive</t>
        </is>
      </c>
      <c r="C29" s="7" t="inlineStr">
        <is>
          <t>partial</t>
        </is>
      </c>
      <c r="D29" s="7" t="inlineStr">
        <is>
          <t>federal statute</t>
        </is>
      </c>
      <c r="E29" s="7" t="inlineStr">
        <is>
          <t>Magnuson-Moss Warranty Act</t>
        </is>
      </c>
      <c r="F29" s="7" t="inlineStr">
        <is>
          <t>Pub. L. 93-637, 88 Stat. 2183</t>
        </is>
      </c>
      <c r="G29" s="7" t="inlineStr">
        <is>
          <t>1975-01-04</t>
        </is>
      </c>
      <c r="H29" s="7" t="inlineStr">
        <is>
          <t>in force (15 U.S.C. 2301 et seq.)</t>
        </is>
      </c>
      <c r="I29" s="7" t="inlineStr">
        <is>
          <t>Magnuson-Moss regulates written consumer product warranties and protects implied warranties, but it does not create a mandatory legal guarantee period; core sales warranty rules are in the state UCC Article 2.</t>
        </is>
      </c>
      <c r="J29" s="7" t="inlineStr">
        <is>
          <t>16 CFR Parts 700-703</t>
        </is>
      </c>
      <c r="K29" s="7" t="inlineStr">
        <is>
          <t>Uniform Commercial Code Article 2 (state law)</t>
        </is>
      </c>
      <c r="L29" s="7" t="inlineStr">
        <is>
          <t>https://www.govinfo.gov/app/details/STATUTE-88/STATUTE-88-Pg2183</t>
        </is>
      </c>
      <c r="M29" s="7" t="inlineStr">
        <is>
          <t>govinfo Statutes at Large PDF opened (Pub. L. 93-637, Jan. 4, 1975; title confirmed)</t>
        </is>
      </c>
      <c r="N29" s="7" t="inlineStr"/>
    </row>
    <row r="30">
      <c r="A30" s="7" t="n">
        <v>29</v>
      </c>
      <c r="B30" s="7" t="inlineStr">
        <is>
          <t>Company Law Directive</t>
        </is>
      </c>
      <c r="C30" s="7" t="inlineStr">
        <is>
          <t>state only</t>
        </is>
      </c>
      <c r="D30" s="7" t="inlineStr">
        <is>
          <t>state law</t>
        </is>
      </c>
      <c r="E30" s="7" t="inlineStr">
        <is>
          <t>Delaware General Corporation Law</t>
        </is>
      </c>
      <c r="F30" s="7" t="inlineStr">
        <is>
          <t>Del. Code Ann. tit. 8, ch. 1</t>
        </is>
      </c>
      <c r="G30" s="7" t="inlineStr">
        <is>
          <t>1899</t>
        </is>
      </c>
      <c r="H30" s="7" t="inlineStr">
        <is>
          <t>in force (amended yearly)</t>
        </is>
      </c>
      <c r="I30" s="7" t="inlineStr">
        <is>
          <t>US company formation, mergers and corporate governance are governed by state law, with Delaware the leading model, while the EU directive harmonises member-state company law and registers.</t>
        </is>
      </c>
      <c r="J30" s="7" t="inlineStr"/>
      <c r="K30" s="7" t="inlineStr">
        <is>
          <t>Corporate Transparency Act (NDAA FY2021, Pub. L. 116-283, div. F), beneficial ownership reporting, narrowed for domestic companies in 2025; Model Business Corporation Act (adopted by many states); Securities Exchange Act of 1934 (listed companies)</t>
        </is>
      </c>
      <c r="L30" s="7" t="inlineStr">
        <is>
          <t>https://delcode.delaware.gov/title8/c001/index.html</t>
        </is>
      </c>
      <c r="M30" s="7" t="inlineStr">
        <is>
          <t>delcode.delaware.gov Title 8 ch. 1 page opened; NDAA FY2021 PLAW page opened (134 Stat. 3388); original enactment year 1899 from knowledge, day not verified</t>
        </is>
      </c>
      <c r="N30" s="7" t="inlineStr"/>
    </row>
    <row r="31">
      <c r="A31" s="7" t="n">
        <v>30</v>
      </c>
      <c r="B31" s="7" t="inlineStr">
        <is>
          <t>Geo-blocking Regulation</t>
        </is>
      </c>
      <c r="C31" s="7" t="inlineStr">
        <is>
          <t>none</t>
        </is>
      </c>
      <c r="D31" s="7" t="inlineStr">
        <is>
          <t>none</t>
        </is>
      </c>
      <c r="E31" s="7" t="inlineStr"/>
      <c r="F31" s="7" t="inlineStr"/>
      <c r="G31" s="7" t="inlineStr"/>
      <c r="H31" s="7" t="inlineStr"/>
      <c r="I31" s="7" t="inlineStr">
        <is>
          <t>none: EU single-market mechanism banning unjustified discrimination by customers' nationality or residence across Member States; the US has no equivalent inter-state rule beyond the dormant Commerce Clause.</t>
        </is>
      </c>
      <c r="J31" s="7" t="inlineStr"/>
      <c r="K31" s="7" t="inlineStr">
        <is>
          <t>Dormant Commerce Clause doctrine (constitutional, not statute)</t>
        </is>
      </c>
      <c r="L31" s="7" t="inlineStr"/>
      <c r="M31" s="7" t="inlineStr">
        <is>
          <t>reasoned from knowledge; no counterpart to verify</t>
        </is>
      </c>
      <c r="N31" s="7" t="inlineStr"/>
    </row>
    <row r="32">
      <c r="A32" s="7" t="n">
        <v>31</v>
      </c>
      <c r="B32" s="7" t="inlineStr">
        <is>
          <t>Consumer Protection Cooperation Regulation</t>
        </is>
      </c>
      <c r="C32" s="7" t="inlineStr">
        <is>
          <t>partial</t>
        </is>
      </c>
      <c r="D32" s="7" t="inlineStr">
        <is>
          <t>federal statute</t>
        </is>
      </c>
      <c r="E32" s="7" t="inlineStr">
        <is>
          <t>U.S. SAFE WEB Act of 2006</t>
        </is>
      </c>
      <c r="F32" s="7" t="inlineStr">
        <is>
          <t>Pub. L. 109-455, 120 Stat. 3372</t>
        </is>
      </c>
      <c r="G32" s="7" t="inlineStr">
        <is>
          <t>2006-12-22</t>
        </is>
      </c>
      <c r="H32" s="7" t="inlineStr">
        <is>
          <t>in force (sunset repeatedly extended)</t>
        </is>
      </c>
      <c r="I32" s="7" t="inlineStr">
        <is>
          <t>The SAFE WEB Act empowers the FTC to share information and cooperate with foreign consumer-protection authorities on cross-border fraud, whereas the CPC Regulation builds a binding enforcement network of national authorities with mutual-assistance and coordinated-action duties.</t>
        </is>
      </c>
      <c r="J32" s="7" t="inlineStr"/>
      <c r="K32" s="7" t="inlineStr">
        <is>
          <t>FTC Act (15 U.S.C. 41 et seq.); State attorney general cooperation via NAAG (informal)</t>
        </is>
      </c>
      <c r="L32" s="7" t="inlineStr">
        <is>
          <t>https://www.govinfo.gov/app/details/PLAW-109publ455</t>
        </is>
      </c>
      <c r="M32" s="7" t="inlineStr">
        <is>
          <t>govinfo page and MODS metadata opened (title, date, Stat. cite checked)</t>
        </is>
      </c>
      <c r="N32" s="7" t="inlineStr"/>
    </row>
    <row r="33">
      <c r="A33" s="7" t="n">
        <v>32</v>
      </c>
      <c r="B33" s="7" t="inlineStr">
        <is>
          <t>European Electronic Communications Code</t>
        </is>
      </c>
      <c r="C33" s="7" t="inlineStr">
        <is>
          <t>partial</t>
        </is>
      </c>
      <c r="D33" s="7" t="inlineStr">
        <is>
          <t>federal statute</t>
        </is>
      </c>
      <c r="E33" s="7" t="inlineStr">
        <is>
          <t>Telecommunications Act of 1996</t>
        </is>
      </c>
      <c r="F33" s="7" t="inlineStr">
        <is>
          <t>Pub. L. 104-104, 110 Stat. 56</t>
        </is>
      </c>
      <c r="G33" s="7" t="inlineStr">
        <is>
          <t>1996-02-08</t>
        </is>
      </c>
      <c r="H33" s="7" t="inlineStr">
        <is>
          <t>in force</t>
        </is>
      </c>
      <c r="I33" s="7" t="inlineStr">
        <is>
          <t>The 1996 Act amends the Communications Act of 1934 to open telecom markets, set interconnection, universal service and spectrum rules, as the EECC does, but US broadband is largely outside common-carrier regulation and there is no EU-style SMP framework.</t>
        </is>
      </c>
      <c r="J33" s="7" t="inlineStr">
        <is>
          <t>47 CFR parts 1, 20, 51, 54, 64</t>
        </is>
      </c>
      <c r="K33" s="7" t="inlineStr">
        <is>
          <t>Communications Act of 1934 (47 U.S.C. 151 et seq.); Infrastructure Investment and Jobs Act broadband provisions (Pub. L. 117-58)</t>
        </is>
      </c>
      <c r="L33" s="7" t="inlineStr">
        <is>
          <t>https://www.govinfo.gov/app/details/PLAW-104publ104</t>
        </is>
      </c>
      <c r="M33" s="7" t="inlineStr">
        <is>
          <t>govinfo page and MODS metadata opened (title, date, Stat. cite checked)</t>
        </is>
      </c>
      <c r="N33" s="7" t="inlineStr"/>
    </row>
    <row r="34">
      <c r="A34" s="7" t="n">
        <v>33</v>
      </c>
      <c r="B34" s="7" t="inlineStr">
        <is>
          <t>Copyright in the Digital Single Market Directive</t>
        </is>
      </c>
      <c r="C34" s="7" t="inlineStr">
        <is>
          <t>partial</t>
        </is>
      </c>
      <c r="D34" s="7" t="inlineStr">
        <is>
          <t>federal statute</t>
        </is>
      </c>
      <c r="E34" s="7" t="inlineStr">
        <is>
          <t>Digital Millennium Copyright Act</t>
        </is>
      </c>
      <c r="F34" s="7" t="inlineStr">
        <is>
          <t>Pub. L. 105-304, 112 Stat. 2860</t>
        </is>
      </c>
      <c r="G34" s="7" t="inlineStr">
        <is>
          <t>1998-10-28</t>
        </is>
      </c>
      <c r="H34" s="7" t="inlineStr">
        <is>
          <t>in force</t>
        </is>
      </c>
      <c r="I34" s="7" t="inlineStr">
        <is>
          <t>The DMCA sets the online copyright framework (notice-and-takedown safe harbours, anti-circumvention), while the CDSM Directive goes further with TDM exceptions, a press publishers' right and Article 17 platform licensing duties that reverse the safe-harbour logic.</t>
        </is>
      </c>
      <c r="J34" s="7" t="inlineStr">
        <is>
          <t>37 CFR part 201 (DMCA agent designation, 1201 exemptions)</t>
        </is>
      </c>
      <c r="K34" s="7" t="inlineStr">
        <is>
          <t>Orrin G. Hatch-Bob Goodlatte Music Modernization Act (Pub. L. 115-264, 132 Stat. 3676); Copyright Act of 1976 fair use (17 U.S.C. 107)</t>
        </is>
      </c>
      <c r="L34" s="7" t="inlineStr">
        <is>
          <t>https://www.govinfo.gov/app/details/PLAW-105publ304</t>
        </is>
      </c>
      <c r="M34" s="7" t="inlineStr">
        <is>
          <t>govinfo page and MODS metadata opened (title, date, Stat. cite checked)</t>
        </is>
      </c>
      <c r="N34" s="7" t="inlineStr">
        <is>
          <t>No US press publishers' right or text-and-data-mining exception; fair use plays that role.</t>
        </is>
      </c>
    </row>
    <row r="35">
      <c r="A35" s="7" t="n">
        <v>34</v>
      </c>
      <c r="B35" s="7" t="inlineStr">
        <is>
          <t>Satellite and Cable II Directive</t>
        </is>
      </c>
      <c r="C35" s="7" t="inlineStr">
        <is>
          <t>partial</t>
        </is>
      </c>
      <c r="D35" s="7" t="inlineStr">
        <is>
          <t>federal statute</t>
        </is>
      </c>
      <c r="E35" s="7" t="inlineStr">
        <is>
          <t>STELA Reauthorization Act of 2014</t>
        </is>
      </c>
      <c r="F35" s="7" t="inlineStr">
        <is>
          <t>Pub. L. 113-200, 128 Stat. 2059</t>
        </is>
      </c>
      <c r="G35" s="7" t="inlineStr">
        <is>
          <t>2014-12-04</t>
        </is>
      </c>
      <c r="H35" s="7" t="inlineStr">
        <is>
          <t>in force (distant-signal licence made permanent in 2019)</t>
        </is>
      </c>
      <c r="I35" s="7" t="inlineStr">
        <is>
          <t>STELAR renewed the statutory licences for satellite and cable retransmission of broadcast signals (17 U.S.C. 111, 119), comparable to the Directive's retransmission and direct-injection rules, but the US has no country-of-origin rule for online ancillary services.</t>
        </is>
      </c>
      <c r="J35" s="7" t="inlineStr">
        <is>
          <t>37 CFR part 201; 47 CFR part 76</t>
        </is>
      </c>
      <c r="K35" s="7" t="inlineStr">
        <is>
          <t>Satellite Television Community Protection and Promotion Act of 2019 (Pub. L. 116-94, div. P, title XI, 133 Stat. 3201); Copyright Act of 1976 s.111 cable licence</t>
        </is>
      </c>
      <c r="L35" s="7" t="inlineStr">
        <is>
          <t>https://www.govinfo.gov/app/details/PLAW-113publ200</t>
        </is>
      </c>
      <c r="M35" s="7" t="inlineStr">
        <is>
          <t>govinfo page and MODS metadata opened (title, date, Stat. cite checked)</t>
        </is>
      </c>
      <c r="N35" s="7" t="inlineStr"/>
    </row>
    <row r="36">
      <c r="A36" s="7" t="n">
        <v>35</v>
      </c>
      <c r="B36" s="7" t="inlineStr">
        <is>
          <t>Data protection by EU institutions Regulation</t>
        </is>
      </c>
      <c r="C36" s="7" t="inlineStr">
        <is>
          <t>close</t>
        </is>
      </c>
      <c r="D36" s="7" t="inlineStr">
        <is>
          <t>federal statute</t>
        </is>
      </c>
      <c r="E36" s="7" t="inlineStr">
        <is>
          <t>Privacy Act of 1974</t>
        </is>
      </c>
      <c r="F36" s="7" t="inlineStr">
        <is>
          <t>Pub. L. 93-579, 88 Stat. 1896</t>
        </is>
      </c>
      <c r="G36" s="7" t="inlineStr">
        <is>
          <t>1974-12-31</t>
        </is>
      </c>
      <c r="H36" s="7" t="inlineStr">
        <is>
          <t>in force</t>
        </is>
      </c>
      <c r="I36" s="7" t="inlineStr">
        <is>
          <t>Both regulate how the government's own institutions collect, use and disclose personal data and give individuals access and correction rights; the Privacy Act is older and narrower (records systems, no independent supervisor like the EDPS).</t>
        </is>
      </c>
      <c r="J36" s="7" t="inlineStr">
        <is>
          <t>OMB Circular A-130; agency Privacy Act rules in CFR</t>
        </is>
      </c>
      <c r="K36" s="7" t="inlineStr">
        <is>
          <t>E-Government Act of 2002 s.208 (privacy impact assessments); Computer Matching and Privacy Protection Act of 1988</t>
        </is>
      </c>
      <c r="L36" s="7" t="inlineStr">
        <is>
          <t>https://www.law.cornell.edu/uscode/text/5/552a</t>
        </is>
      </c>
      <c r="M36" s="7" t="inlineStr">
        <is>
          <t>law.cornell.edu 5 U.S.C. 552a source credit opened (Pub. L. 93-579, Dec. 31, 1974; s.3 at 88 Stat. 1897); govinfo has no PLAW text for 1974</t>
        </is>
      </c>
      <c r="N36" s="7" t="inlineStr">
        <is>
          <t>Act begins at 88 Stat. 1896.</t>
        </is>
      </c>
    </row>
    <row r="37">
      <c r="A37" s="7" t="n">
        <v>36</v>
      </c>
      <c r="B37" s="7" t="inlineStr">
        <is>
          <t>Single Digital Gateway Regulation</t>
        </is>
      </c>
      <c r="C37" s="7" t="inlineStr">
        <is>
          <t>partial</t>
        </is>
      </c>
      <c r="D37" s="7" t="inlineStr">
        <is>
          <t>federal statute</t>
        </is>
      </c>
      <c r="E37" s="7" t="inlineStr">
        <is>
          <t>21st Century Integrated Digital Experience Act</t>
        </is>
      </c>
      <c r="F37" s="7" t="inlineStr">
        <is>
          <t>Pub. L. 115-336, 132 Stat. 5025</t>
        </is>
      </c>
      <c r="G37" s="7" t="inlineStr">
        <is>
          <t>2018-12-20</t>
        </is>
      </c>
      <c r="H37" s="7" t="inlineStr">
        <is>
          <t>in force</t>
        </is>
      </c>
      <c r="I37" s="7" t="inlineStr">
        <is>
          <t>21st Century IDEA requires federal agencies to digitise forms and services and modernise websites, overlapping with the SDG's online-procedures goal, but it lacks the SDG's single EU portal, once-only cross-border evidence exchange and assistance-service network.</t>
        </is>
      </c>
      <c r="J37" s="7" t="inlineStr"/>
      <c r="K37" s="7" t="inlineStr">
        <is>
          <t>E-Government Act of 2002; Paperwork Reduction Act</t>
        </is>
      </c>
      <c r="L37" s="7" t="inlineStr">
        <is>
          <t>https://www.govinfo.gov/app/details/PLAW-115publ336</t>
        </is>
      </c>
      <c r="M37" s="7" t="inlineStr">
        <is>
          <t>govinfo page and MODS metadata opened (title, date, Stat. cite checked)</t>
        </is>
      </c>
      <c r="N37" s="7" t="inlineStr"/>
    </row>
    <row r="38">
      <c r="A38" s="7" t="n">
        <v>37</v>
      </c>
      <c r="B38" s="7" t="inlineStr">
        <is>
          <t>Cybersecurity Act</t>
        </is>
      </c>
      <c r="C38" s="7" t="inlineStr">
        <is>
          <t>partial</t>
        </is>
      </c>
      <c r="D38" s="7" t="inlineStr">
        <is>
          <t>federal statute</t>
        </is>
      </c>
      <c r="E38" s="7" t="inlineStr">
        <is>
          <t>Cybersecurity and Infrastructure Security Agency Act of 2018</t>
        </is>
      </c>
      <c r="F38" s="7" t="inlineStr">
        <is>
          <t>Pub. L. 115-278, 132 Stat. 4168</t>
        </is>
      </c>
      <c r="G38" s="7" t="inlineStr">
        <is>
          <t>2018-11-16</t>
        </is>
      </c>
      <c r="H38" s="7" t="inlineStr">
        <is>
          <t>in force</t>
        </is>
      </c>
      <c r="I38" s="7" t="inlineStr">
        <is>
          <t>The CISA Act creates a standing federal cybersecurity agency as the Cybersecurity Act does for ENISA, but the US has no statutory product cybersecurity certification framework; certification is voluntary (NIST, FCC Cyber Trust Mark).</t>
        </is>
      </c>
      <c r="J38" s="7" t="inlineStr"/>
      <c r="K38" s="7" t="inlineStr">
        <is>
          <t>Internet of Things Cybersecurity Improvement Act of 2020 (Pub. L. 116-207, 134 Stat. 1001); FCC IoT Cyber Trust Mark labelling programme (47 CFR part 8, 2024)</t>
        </is>
      </c>
      <c r="L38" s="7" t="inlineStr">
        <is>
          <t>https://www.govinfo.gov/app/details/PLAW-115publ278</t>
        </is>
      </c>
      <c r="M38" s="7" t="inlineStr">
        <is>
          <t>govinfo page and MODS metadata opened (title, date, Stat. cite checked)</t>
        </is>
      </c>
      <c r="N38" s="7" t="inlineStr"/>
    </row>
    <row r="39">
      <c r="A39" s="7" t="n">
        <v>38</v>
      </c>
      <c r="B39" s="7" t="inlineStr">
        <is>
          <t>Free Flow of Non-Personal Data Regulation</t>
        </is>
      </c>
      <c r="C39" s="7" t="inlineStr">
        <is>
          <t>none</t>
        </is>
      </c>
      <c r="D39" s="7" t="inlineStr">
        <is>
          <t>none</t>
        </is>
      </c>
      <c r="E39" s="7" t="inlineStr"/>
      <c r="F39" s="7" t="inlineStr"/>
      <c r="G39" s="7" t="inlineStr"/>
      <c r="H39" s="7" t="inlineStr"/>
      <c r="I39" s="7" t="inlineStr">
        <is>
          <t>none: EU single-market mechanism prohibiting data-localisation requirements between Member States; US states do not impose such requirements and no federal statute addresses it.</t>
        </is>
      </c>
      <c r="J39" s="7" t="inlineStr"/>
      <c r="K39" s="7" t="inlineStr">
        <is>
          <t>USMCA digital trade chapter (data-localisation ban, trade agreement)</t>
        </is>
      </c>
      <c r="L39" s="7" t="inlineStr"/>
      <c r="M39" s="7" t="inlineStr">
        <is>
          <t>reasoned from knowledge; no counterpart to verify</t>
        </is>
      </c>
      <c r="N39" s="7" t="inlineStr"/>
    </row>
    <row r="40">
      <c r="A40" s="7" t="n">
        <v>39</v>
      </c>
      <c r="B40" s="7" t="inlineStr">
        <is>
          <t>FDI Screening Regulation</t>
        </is>
      </c>
      <c r="C40" s="7" t="inlineStr">
        <is>
          <t>partial</t>
        </is>
      </c>
      <c r="D40" s="7" t="inlineStr">
        <is>
          <t>federal statute</t>
        </is>
      </c>
      <c r="E40" s="7" t="inlineStr">
        <is>
          <t>Foreign Investment Risk Review Modernization Act of 2018 (FIRRMA)</t>
        </is>
      </c>
      <c r="F40" s="7" t="inlineStr">
        <is>
          <t>Pub. L. 115-232, div. A, title XVII, 132 Stat. 2173</t>
        </is>
      </c>
      <c r="G40" s="7" t="inlineStr">
        <is>
          <t>2018-08-13</t>
        </is>
      </c>
      <c r="H40" s="7" t="inlineStr">
        <is>
          <t>in force</t>
        </is>
      </c>
      <c r="I40" s="7" t="inlineStr">
        <is>
          <t>FIRRMA expanded CFIUS review of foreign investments on national-security grounds, including critical technology and sensitive data; the EU Regulation only sets a cooperation framework for national screening and gives the Commission advisory opinions, not a blocking power.</t>
        </is>
      </c>
      <c r="J40" s="7" t="inlineStr">
        <is>
          <t>31 CFR parts 800 and 802</t>
        </is>
      </c>
      <c r="K40" s="7" t="inlineStr">
        <is>
          <t>Defense Production Act of 1950 s.721 (50 U.S.C. 4565); Outbound investment rules (31 CFR part 850)</t>
        </is>
      </c>
      <c r="L40" s="7" t="inlineStr">
        <is>
          <t>https://www.govinfo.gov/app/details/PLAW-115publ232</t>
        </is>
      </c>
      <c r="M40" s="7" t="inlineStr">
        <is>
          <t>govinfo page and MODS metadata opened (title, date, Stat. cite checked); FIRRMA located in NDAA FY2019 text at 132 Stat. 2173</t>
        </is>
      </c>
      <c r="N40" s="7" t="inlineStr">
        <is>
          <t>FIRRMA is title XVII of the John S. McCain NDAA for FY2019 (Pub. L. 115-232, 132 Stat. 1636).</t>
        </is>
      </c>
    </row>
    <row r="41">
      <c r="A41" s="7" t="n">
        <v>40</v>
      </c>
      <c r="B41" s="7" t="inlineStr">
        <is>
          <t>Non-cash payment fraud Directive</t>
        </is>
      </c>
      <c r="C41" s="7" t="inlineStr">
        <is>
          <t>close</t>
        </is>
      </c>
      <c r="D41" s="7" t="inlineStr">
        <is>
          <t>federal statute</t>
        </is>
      </c>
      <c r="E41" s="7" t="inlineStr">
        <is>
          <t>Counterfeit Access Device and Computer Fraud and Abuse Act of 1984 (18 U.S.C. 1029)</t>
        </is>
      </c>
      <c r="F41" s="7" t="inlineStr">
        <is>
          <t>Pub. L. 98-473, title II, s.1602(a), 98 Stat. 2183</t>
        </is>
      </c>
      <c r="G41" s="7" t="inlineStr">
        <is>
          <t>1984-10-12</t>
        </is>
      </c>
      <c r="H41" s="7" t="inlineStr">
        <is>
          <t>in force</t>
        </is>
      </c>
      <c r="I41" s="7" t="inlineStr">
        <is>
          <t>18 U.S.C. 1029 criminalises producing, trafficking and using counterfeit or unauthorised access devices (cards, codes, account numbers), the same core offences the Directive harmonises for non-cash payment instruments.</t>
        </is>
      </c>
      <c r="J41" s="7" t="inlineStr"/>
      <c r="K41" s="7" t="inlineStr">
        <is>
          <t>Identity Theft and Assumption Deterrence Act of 1998; Wire fraud (18 U.S.C. 1343); Computer Fraud and Abuse Act (18 U.S.C. 1030)</t>
        </is>
      </c>
      <c r="L41" s="7" t="inlineStr">
        <is>
          <t>https://www.law.cornell.edu/uscode/text/18/1029</t>
        </is>
      </c>
      <c r="M41" s="7" t="inlineStr">
        <is>
          <t>law.cornell.edu 18 U.S.C. 1029 source credit opened; govinfo has no PLAW text for 1984</t>
        </is>
      </c>
      <c r="N41" s="7" t="inlineStr">
        <is>
          <t>Enacted within the Comprehensive Crime Control Act of 1984.</t>
        </is>
      </c>
    </row>
    <row r="42">
      <c r="A42" s="7" t="n">
        <v>41</v>
      </c>
      <c r="B42" s="7" t="inlineStr">
        <is>
          <t>Market Surveillance Regulation</t>
        </is>
      </c>
      <c r="C42" s="7" t="inlineStr">
        <is>
          <t>partial</t>
        </is>
      </c>
      <c r="D42" s="7" t="inlineStr">
        <is>
          <t>federal statute</t>
        </is>
      </c>
      <c r="E42" s="7" t="inlineStr">
        <is>
          <t>Consumer Product Safety Improvement Act of 2008</t>
        </is>
      </c>
      <c r="F42" s="7" t="inlineStr">
        <is>
          <t>Pub. L. 110-314, 122 Stat. 3016</t>
        </is>
      </c>
      <c r="G42" s="7" t="inlineStr">
        <is>
          <t>2008-08-14</t>
        </is>
      </c>
      <c r="H42" s="7" t="inlineStr">
        <is>
          <t>in force</t>
        </is>
      </c>
      <c r="I42" s="7" t="inlineStr">
        <is>
          <t>CPSIA strengthened CPSC powers over product safety compliance, testing, import inspection and recalls, overlapping with EU market surveillance, but it covers consumer products only and not the full range of harmonised product legislation or a responsible-economic-operator rule.</t>
        </is>
      </c>
      <c r="J42" s="7" t="inlineStr">
        <is>
          <t>16 CFR parts 1107, 1110</t>
        </is>
      </c>
      <c r="K42" s="7" t="inlineStr">
        <is>
          <t>Consumer Product Safety Act of 1972; INFORM Consumers Act (2022, online marketplace seller verification)</t>
        </is>
      </c>
      <c r="L42" s="7" t="inlineStr">
        <is>
          <t>https://www.govinfo.gov/app/details/PLAW-110publ314</t>
        </is>
      </c>
      <c r="M42" s="7" t="inlineStr">
        <is>
          <t>govinfo page and MODS metadata opened (title, date, Stat. cite checked)</t>
        </is>
      </c>
      <c r="N42" s="7" t="inlineStr"/>
    </row>
    <row r="43">
      <c r="A43" s="7" t="n">
        <v>42</v>
      </c>
      <c r="B43" s="7" t="inlineStr">
        <is>
          <t>E-evidence Regulation</t>
        </is>
      </c>
      <c r="C43" s="7" t="inlineStr">
        <is>
          <t>close</t>
        </is>
      </c>
      <c r="D43" s="7" t="inlineStr">
        <is>
          <t>federal statute</t>
        </is>
      </c>
      <c r="E43" s="7" t="inlineStr">
        <is>
          <t>Clarifying Lawful Overseas Use of Data Act (CLOUD Act)</t>
        </is>
      </c>
      <c r="F43" s="7" t="inlineStr">
        <is>
          <t>Pub. L. 115-141, div. V, 132 Stat. 1213</t>
        </is>
      </c>
      <c r="G43" s="7" t="inlineStr">
        <is>
          <t>2018-03-23</t>
        </is>
      </c>
      <c r="H43" s="7" t="inlineStr">
        <is>
          <t>in force</t>
        </is>
      </c>
      <c r="I43" s="7" t="inlineStr">
        <is>
          <t>The CLOUD Act requires US providers to disclose data under their control regardless of storage location and authorises executive agreements for foreign direct orders, the same cross-border e-evidence problem the EU Regulation addresses with production and preservation orders.</t>
        </is>
      </c>
      <c r="J43" s="7" t="inlineStr"/>
      <c r="K43" s="7" t="inlineStr">
        <is>
          <t>Stored Communications Act (18 U.S.C. 2701 et seq.)</t>
        </is>
      </c>
      <c r="L43" s="7" t="inlineStr">
        <is>
          <t>https://www.govinfo.gov/app/details/PLAW-115publ141</t>
        </is>
      </c>
      <c r="M43" s="7" t="inlineStr">
        <is>
          <t>govinfo page and MODS metadata opened (title, date, Stat. cite checked); CLOUD Act division located at 132 Stat. 1213; 18 U.S.C. 2523 source credit checked on law.cornell.edu</t>
        </is>
      </c>
      <c r="N43" s="7" t="inlineStr">
        <is>
          <t>Division V of the Consolidated Appropriations Act, 2018 (Pub. L. 115-141, 132 Stat. 348).</t>
        </is>
      </c>
    </row>
    <row r="44">
      <c r="A44" s="7" t="n">
        <v>43</v>
      </c>
      <c r="B44" s="7" t="inlineStr">
        <is>
          <t>Open Data Directive (PSI)</t>
        </is>
      </c>
      <c r="C44" s="7" t="inlineStr">
        <is>
          <t>close</t>
        </is>
      </c>
      <c r="D44" s="7" t="inlineStr">
        <is>
          <t>federal statute</t>
        </is>
      </c>
      <c r="E44" s="7" t="inlineStr">
        <is>
          <t>OPEN Government Data Act (title II of the Foundations for Evidence-Based Policymaking Act of 2018)</t>
        </is>
      </c>
      <c r="F44" s="7" t="inlineStr">
        <is>
          <t>Pub. L. 115-435, title II, 132 Stat. 5529</t>
        </is>
      </c>
      <c r="G44" s="7" t="inlineStr">
        <is>
          <t>2019-01-14</t>
        </is>
      </c>
      <c r="H44" s="7" t="inlineStr">
        <is>
          <t>in force</t>
        </is>
      </c>
      <c r="I44" s="7" t="inlineStr">
        <is>
          <t>Both require public-sector data to be published by default in open, machine-readable formats for reuse; the US law covers federal agencies only while the Directive also covers public undertakings and high-value datasets.</t>
        </is>
      </c>
      <c r="J44" s="7" t="inlineStr"/>
      <c r="K44" s="7" t="inlineStr">
        <is>
          <t>Federal Data Strategy (OMB M-19-18); E-Government Act of 2002</t>
        </is>
      </c>
      <c r="L44" s="7" t="inlineStr">
        <is>
          <t>https://www.govinfo.gov/app/details/PLAW-115publ435</t>
        </is>
      </c>
      <c r="M44" s="7" t="inlineStr">
        <is>
          <t>govinfo page and MODS metadata opened (title, date, Stat. cite checked)</t>
        </is>
      </c>
      <c r="N44" s="7" t="inlineStr">
        <is>
          <t>Pub. L. 115-435 begins at 132 Stat. 5529; title II page not separately checked.</t>
        </is>
      </c>
    </row>
    <row r="45">
      <c r="A45" s="7" t="n">
        <v>44</v>
      </c>
      <c r="B45" s="7" t="inlineStr">
        <is>
          <t>Platform-to-Business (P2B) Regulation</t>
        </is>
      </c>
      <c r="C45" s="7" t="inlineStr">
        <is>
          <t>none</t>
        </is>
      </c>
      <c r="D45" s="7" t="inlineStr">
        <is>
          <t>none</t>
        </is>
      </c>
      <c r="E45" s="7" t="inlineStr"/>
      <c r="F45" s="7" t="inlineStr"/>
      <c r="G45" s="7" t="inlineStr"/>
      <c r="H45" s="7" t="inlineStr"/>
      <c r="I45" s="7" t="inlineStr">
        <is>
          <t>none: no US rule imposes transparency and redress duties on platforms toward business users; the US relies on general antitrust law and FTC Act s.5.</t>
        </is>
      </c>
      <c r="J45" s="7" t="inlineStr"/>
      <c r="K45" s="7" t="inlineStr">
        <is>
          <t>American Innovation and Choice Online Act (S. 2992, 117th Congress, never enacted); FTC Act s.5 (15 U.S.C. 45)</t>
        </is>
      </c>
      <c r="L45" s="7" t="inlineStr"/>
      <c r="M45" s="7" t="inlineStr">
        <is>
          <t>reasoned from knowledge; no counterpart to verify</t>
        </is>
      </c>
      <c r="N45" s="7" t="inlineStr"/>
    </row>
    <row r="46">
      <c r="A46" s="7" t="n">
        <v>45</v>
      </c>
      <c r="B46" s="7" t="inlineStr">
        <is>
          <t>Digital Europe Programme</t>
        </is>
      </c>
      <c r="C46" s="7" t="inlineStr">
        <is>
          <t>partial</t>
        </is>
      </c>
      <c r="D46" s="7" t="inlineStr">
        <is>
          <t>federal statute</t>
        </is>
      </c>
      <c r="E46" s="7" t="inlineStr">
        <is>
          <t>CHIPS and Science Act</t>
        </is>
      </c>
      <c r="F46" s="7" t="inlineStr">
        <is>
          <t>Pub. L. 117-167, 136 Stat. 1366</t>
        </is>
      </c>
      <c r="G46" s="7" t="inlineStr">
        <is>
          <t>2022-08-09</t>
        </is>
      </c>
      <c r="H46" s="7" t="inlineStr">
        <is>
          <t>in force</t>
        </is>
      </c>
      <c r="I46" s="7" t="inlineStr">
        <is>
          <t>CHIPS and Science funds semiconductors, AI, quantum and advanced computing research and deployment, overlapping with Digital Europe's capacity-building aims, but it is research and industrial-policy funding rather than a deployment programme for digital skills and EDIHs.</t>
        </is>
      </c>
      <c r="J46" s="7" t="inlineStr">
        <is>
          <t>15 CFR part 231 (CHIPS incentives)</t>
        </is>
      </c>
      <c r="K46" s="7" t="inlineStr">
        <is>
          <t>Infrastructure Investment and Jobs Act (Pub. L. 117-58)</t>
        </is>
      </c>
      <c r="L46" s="7" t="inlineStr">
        <is>
          <t>https://www.govinfo.gov/app/details/PLAW-117publ167</t>
        </is>
      </c>
      <c r="M46" s="7" t="inlineStr">
        <is>
          <t>govinfo page and MODS metadata opened (title, date, Stat. cite checked)</t>
        </is>
      </c>
      <c r="N46" s="7" t="inlineStr">
        <is>
          <t>'CHIPS and Science Act' is the popular name; the law's text has division short titles (e.g. CHIPS Act of 2022) but no overall short title.</t>
        </is>
      </c>
    </row>
    <row r="47">
      <c r="A47" s="7" t="n">
        <v>46</v>
      </c>
      <c r="B47" s="7" t="inlineStr">
        <is>
          <t>InvestEU Programme</t>
        </is>
      </c>
      <c r="C47" s="7" t="inlineStr">
        <is>
          <t>partial</t>
        </is>
      </c>
      <c r="D47" s="7" t="inlineStr">
        <is>
          <t>federal statute</t>
        </is>
      </c>
      <c r="E47" s="7" t="inlineStr">
        <is>
          <t>Infrastructure Investment and Jobs Act</t>
        </is>
      </c>
      <c r="F47" s="7" t="inlineStr">
        <is>
          <t>Pub. L. 117-58, 135 Stat. 429</t>
        </is>
      </c>
      <c r="G47" s="7" t="inlineStr">
        <is>
          <t>2021-11-15</t>
        </is>
      </c>
      <c r="H47" s="7" t="inlineStr">
        <is>
          <t>in force</t>
        </is>
      </c>
      <c r="I47" s="7" t="inlineStr">
        <is>
          <t>IIJA finances infrastructure through grants and federal credit programmes, overlapping with InvestEU's mobilisation of investment, but InvestEU is an EU budget guarantee implemented through the EIB and partners with no direct US equivalent.</t>
        </is>
      </c>
      <c r="J47" s="7" t="inlineStr"/>
      <c r="K47" s="7" t="inlineStr">
        <is>
          <t>Inflation Reduction Act of 2022 (loan guarantee authority); Small Business Investment Act of 1958</t>
        </is>
      </c>
      <c r="L47" s="7" t="inlineStr">
        <is>
          <t>https://www.govinfo.gov/app/details/PLAW-117publ58</t>
        </is>
      </c>
      <c r="M47" s="7" t="inlineStr">
        <is>
          <t>govinfo page and MODS metadata opened (title, date, Stat. cite checked)</t>
        </is>
      </c>
      <c r="N47" s="7" t="inlineStr"/>
    </row>
    <row r="48">
      <c r="A48" s="7" t="n">
        <v>47</v>
      </c>
      <c r="B48" s="7" t="inlineStr">
        <is>
          <t>Connecting Europe Facility</t>
        </is>
      </c>
      <c r="C48" s="7" t="inlineStr">
        <is>
          <t>partial</t>
        </is>
      </c>
      <c r="D48" s="7" t="inlineStr">
        <is>
          <t>federal statute</t>
        </is>
      </c>
      <c r="E48" s="7" t="inlineStr">
        <is>
          <t>Infrastructure Investment and Jobs Act</t>
        </is>
      </c>
      <c r="F48" s="7" t="inlineStr">
        <is>
          <t>Pub. L. 117-58, 135 Stat. 429</t>
        </is>
      </c>
      <c r="G48" s="7" t="inlineStr">
        <is>
          <t>2021-11-15</t>
        </is>
      </c>
      <c r="H48" s="7" t="inlineStr">
        <is>
          <t>in force</t>
        </is>
      </c>
      <c r="I48" s="7" t="inlineStr">
        <is>
          <t>IIJA funds transport, energy and broadband networks, the same three sectors as CEF, though it is national infrastructure spending rather than funding of cross-border trans-European networks.</t>
        </is>
      </c>
      <c r="J48" s="7" t="inlineStr">
        <is>
          <t>47 CFR part 54; NTIA BEAD programme rules</t>
        </is>
      </c>
      <c r="K48" s="7" t="inlineStr">
        <is>
          <t>American Rescue Plan Act of 2021 (broadband funds)</t>
        </is>
      </c>
      <c r="L48" s="7" t="inlineStr">
        <is>
          <t>https://www.govinfo.gov/app/details/PLAW-117publ58</t>
        </is>
      </c>
      <c r="M48" s="7" t="inlineStr">
        <is>
          <t>govinfo page and MODS metadata opened (title, date, Stat. cite checked)</t>
        </is>
      </c>
      <c r="N48" s="7" t="inlineStr"/>
    </row>
    <row r="49">
      <c r="A49" s="7" t="n">
        <v>48</v>
      </c>
      <c r="B49" s="7" t="inlineStr">
        <is>
          <t>Horizon Europe</t>
        </is>
      </c>
      <c r="C49" s="7" t="inlineStr">
        <is>
          <t>partial</t>
        </is>
      </c>
      <c r="D49" s="7" t="inlineStr">
        <is>
          <t>federal statute</t>
        </is>
      </c>
      <c r="E49" s="7" t="inlineStr">
        <is>
          <t>CHIPS and Science Act</t>
        </is>
      </c>
      <c r="F49" s="7" t="inlineStr">
        <is>
          <t>Pub. L. 117-167, 136 Stat. 1366</t>
        </is>
      </c>
      <c r="G49" s="7" t="inlineStr">
        <is>
          <t>2022-08-09</t>
        </is>
      </c>
      <c r="H49" s="7" t="inlineStr">
        <is>
          <t>in force</t>
        </is>
      </c>
      <c r="I49" s="7" t="inlineStr">
        <is>
          <t>CHIPS and Science authorises large NSF, DOE and NIST research programmes, overlapping with Horizon Europe's framework funding of research and innovation, but US research funding is spread across agencies and annual appropriations.</t>
        </is>
      </c>
      <c r="J49" s="7" t="inlineStr"/>
      <c r="K49" s="7" t="inlineStr">
        <is>
          <t>America COMPETES Act (2007)</t>
        </is>
      </c>
      <c r="L49" s="7" t="inlineStr">
        <is>
          <t>https://www.govinfo.gov/app/details/PLAW-117publ167</t>
        </is>
      </c>
      <c r="M49" s="7" t="inlineStr">
        <is>
          <t>govinfo page and MODS metadata opened (title, date, Stat. cite checked)</t>
        </is>
      </c>
      <c r="N49" s="7" t="inlineStr">
        <is>
          <t>'CHIPS and Science Act' is the popular name; no overall short title in the text.</t>
        </is>
      </c>
    </row>
    <row r="50">
      <c r="A50" s="7" t="n">
        <v>49</v>
      </c>
      <c r="B50" s="7" t="inlineStr">
        <is>
          <t>Single Market Programme</t>
        </is>
      </c>
      <c r="C50" s="7" t="inlineStr">
        <is>
          <t>none</t>
        </is>
      </c>
      <c r="D50" s="7" t="inlineStr">
        <is>
          <t>none</t>
        </is>
      </c>
      <c r="E50" s="7" t="inlineStr"/>
      <c r="F50" s="7" t="inlineStr"/>
      <c r="G50" s="7" t="inlineStr"/>
      <c r="H50" s="7" t="inlineStr"/>
      <c r="I50" s="7" t="inlineStr">
        <is>
          <t>none: EU budget programme supporting single-market governance, SME support, standardisation and consumer policy across Member States.</t>
        </is>
      </c>
      <c r="J50" s="7" t="inlineStr"/>
      <c r="K50" s="7" t="inlineStr">
        <is>
          <t>Small Business Act programmes (partial overlap on SME support)</t>
        </is>
      </c>
      <c r="L50" s="7" t="inlineStr"/>
      <c r="M50" s="7" t="inlineStr">
        <is>
          <t>reasoned from knowledge; no counterpart to verify</t>
        </is>
      </c>
      <c r="N50" s="7" t="inlineStr"/>
    </row>
    <row r="51">
      <c r="A51" s="7" t="n">
        <v>50</v>
      </c>
      <c r="B51" s="7" t="inlineStr">
        <is>
          <t>European Cybersecurity Competence Centre</t>
        </is>
      </c>
      <c r="C51" s="7" t="inlineStr">
        <is>
          <t>partial</t>
        </is>
      </c>
      <c r="D51" s="7" t="inlineStr">
        <is>
          <t>federal statute</t>
        </is>
      </c>
      <c r="E51" s="7" t="inlineStr">
        <is>
          <t>Cybersecurity Enhancement Act of 2014</t>
        </is>
      </c>
      <c r="F51" s="7" t="inlineStr">
        <is>
          <t>Pub. L. 113-274, 128 Stat. 2971</t>
        </is>
      </c>
      <c r="G51" s="7" t="inlineStr">
        <is>
          <t>2014-12-18</t>
        </is>
      </c>
      <c r="H51" s="7" t="inlineStr">
        <is>
          <t>in force</t>
        </is>
      </c>
      <c r="I51" s="7" t="inlineStr">
        <is>
          <t>The 2014 Act directs NIST and NSF to fund cybersecurity research, education and standards work, overlapping with the ECCC's research-and-competence mission, but it creates no joint funding body pooling national centres.</t>
        </is>
      </c>
      <c r="J51" s="7" t="inlineStr"/>
      <c r="K51" s="7" t="inlineStr">
        <is>
          <t>Cybersecurity and Infrastructure Security Agency Act of 2018 (Pub. L. 115-278); NIST National Cybersecurity Center of Excellence (administrative)</t>
        </is>
      </c>
      <c r="L51" s="7" t="inlineStr">
        <is>
          <t>https://www.govinfo.gov/app/details/PLAW-113publ274</t>
        </is>
      </c>
      <c r="M51" s="7" t="inlineStr">
        <is>
          <t>govinfo page and MODS metadata opened (title, date, Stat. cite checked)</t>
        </is>
      </c>
      <c r="N51" s="7" t="inlineStr"/>
    </row>
    <row r="52">
      <c r="A52" s="7" t="n">
        <v>51</v>
      </c>
      <c r="B52" s="7" t="inlineStr">
        <is>
          <t>Terrorist Content Online Regulation</t>
        </is>
      </c>
      <c r="C52" s="7" t="inlineStr">
        <is>
          <t>none</t>
        </is>
      </c>
      <c r="D52" s="7" t="inlineStr">
        <is>
          <t>none</t>
        </is>
      </c>
      <c r="E52" s="7" t="inlineStr"/>
      <c r="F52" s="7" t="inlineStr"/>
      <c r="G52" s="7" t="inlineStr"/>
      <c r="H52" s="7" t="inlineStr"/>
      <c r="I52" s="7" t="inlineStr">
        <is>
          <t>none: the First Amendment and Section 230 of the Communications Act preclude mandatory one-hour removal orders for terrorist content; US relies on voluntary platform moderation.</t>
        </is>
      </c>
      <c r="J52" s="7" t="inlineStr"/>
      <c r="K52" s="7" t="inlineStr">
        <is>
          <t>47 U.S.C. 230; 18 U.S.C. 2339B (material support, criminal law)</t>
        </is>
      </c>
      <c r="L52" s="7" t="inlineStr"/>
      <c r="M52" s="7" t="inlineStr">
        <is>
          <t>reasoned from knowledge; no counterpart to verify</t>
        </is>
      </c>
      <c r="N52" s="7" t="inlineStr"/>
    </row>
    <row r="53">
      <c r="A53" s="7" t="n">
        <v>52</v>
      </c>
      <c r="B53" s="7" t="inlineStr">
        <is>
          <t>Recovery and Resilience Facility</t>
        </is>
      </c>
      <c r="C53" s="7" t="inlineStr">
        <is>
          <t>partial</t>
        </is>
      </c>
      <c r="D53" s="7" t="inlineStr">
        <is>
          <t>federal statute</t>
        </is>
      </c>
      <c r="E53" s="7" t="inlineStr">
        <is>
          <t>American Rescue Plan Act of 2021</t>
        </is>
      </c>
      <c r="F53" s="7" t="inlineStr">
        <is>
          <t>Pub. L. 117-2, 135 Stat. 4</t>
        </is>
      </c>
      <c r="G53" s="7" t="inlineStr">
        <is>
          <t>2021-03-11</t>
        </is>
      </c>
      <c r="H53" s="7" t="inlineStr">
        <is>
          <t>in force (funds largely obligated)</t>
        </is>
      </c>
      <c r="I53" s="7" t="inlineStr">
        <is>
          <t>ARPA is the US post-COVID recovery package, including state and local fiscal recovery funds, as the RRF is for the EU, but the RRF ties grants and loans to reform milestones and green and digital spending targets.</t>
        </is>
      </c>
      <c r="J53" s="7" t="inlineStr">
        <is>
          <t>31 CFR part 35 (state and local fiscal recovery funds)</t>
        </is>
      </c>
      <c r="K53" s="7" t="inlineStr">
        <is>
          <t>Infrastructure Investment and Jobs Act (Pub. L. 117-58); CARES Act (2020)</t>
        </is>
      </c>
      <c r="L53" s="7" t="inlineStr">
        <is>
          <t>https://www.govinfo.gov/app/details/PLAW-117publ2</t>
        </is>
      </c>
      <c r="M53" s="7" t="inlineStr">
        <is>
          <t>govinfo page and MODS metadata opened (title, date, Stat. cite checked)</t>
        </is>
      </c>
      <c r="N53" s="7" t="inlineStr"/>
    </row>
    <row r="54">
      <c r="A54" s="7" t="n">
        <v>53</v>
      </c>
      <c r="B54" s="7" t="inlineStr">
        <is>
          <t>Temporary CSAM Derogation Regulation</t>
        </is>
      </c>
      <c r="C54" s="7" t="inlineStr">
        <is>
          <t>partial</t>
        </is>
      </c>
      <c r="D54" s="7" t="inlineStr">
        <is>
          <t>federal statute</t>
        </is>
      </c>
      <c r="E54" s="7" t="inlineStr">
        <is>
          <t>PROTECT Our Children Act of 2008 (18 U.S.C. 2258A)</t>
        </is>
      </c>
      <c r="F54" s="7" t="inlineStr">
        <is>
          <t>Pub. L. 110-401, 122 Stat. 4229</t>
        </is>
      </c>
      <c r="G54" s="7" t="inlineStr">
        <is>
          <t>2008-10-13</t>
        </is>
      </c>
      <c r="H54" s="7" t="inlineStr">
        <is>
          <t>in force</t>
        </is>
      </c>
      <c r="I54" s="7" t="inlineStr">
        <is>
          <t>18 U.S.C. 2258A requires providers to report CSAM they find to NCMEC and makes clear they have no duty to monitor, which lets voluntary scanning proceed, whereas the EU Regulation is a temporary ePrivacy derogation that permits voluntary detection under conditions.</t>
        </is>
      </c>
      <c r="J54" s="7" t="inlineStr"/>
      <c r="K54" s="7" t="inlineStr">
        <is>
          <t>REPORT Act (2024, expanded reporting); EARN IT Act (proposed, never enacted)</t>
        </is>
      </c>
      <c r="L54" s="7" t="inlineStr">
        <is>
          <t>https://www.govinfo.gov/app/details/PLAW-110publ401</t>
        </is>
      </c>
      <c r="M54" s="7" t="inlineStr">
        <is>
          <t>govinfo page and MODS metadata opened (title, date, Stat. cite checked); 18 U.S.C. 2258A source credit checked on law.cornell.edu (122 Stat. 4243)</t>
        </is>
      </c>
      <c r="N54" s="7" t="inlineStr"/>
    </row>
    <row r="55">
      <c r="A55" s="7" t="n">
        <v>54</v>
      </c>
      <c r="B55" s="7" t="inlineStr">
        <is>
          <t>EuroHPC Joint Undertaking Regulation</t>
        </is>
      </c>
      <c r="C55" s="7" t="inlineStr">
        <is>
          <t>partial</t>
        </is>
      </c>
      <c r="D55" s="7" t="inlineStr">
        <is>
          <t>federal statute</t>
        </is>
      </c>
      <c r="E55" s="7" t="inlineStr">
        <is>
          <t>Department of Energy High-End Computing Revitalization Act of 2004</t>
        </is>
      </c>
      <c r="F55" s="7" t="inlineStr">
        <is>
          <t>Pub. L. 108-423, 118 Stat. 2400</t>
        </is>
      </c>
      <c r="G55" s="7" t="inlineStr">
        <is>
          <t>2004-11-30</t>
        </is>
      </c>
      <c r="H55" s="7" t="inlineStr">
        <is>
          <t>in force (amended 2017 by the American Super Computing Leadership Act)</t>
        </is>
      </c>
      <c r="I55" s="7" t="inlineStr">
        <is>
          <t>The Act directs DOE to run a high-end computing research programme and leadership computing facilities, comparable to EuroHPC's procurement of supercomputers, but EuroHPC is a joint EU-national funding body.</t>
        </is>
      </c>
      <c r="J55" s="7" t="inlineStr"/>
      <c r="K55" s="7" t="inlineStr">
        <is>
          <t>CHIPS and Science Act (Pub. L. 117-167); National Strategic Computing Initiative (Executive Order 13702, 2015)</t>
        </is>
      </c>
      <c r="L55" s="7" t="inlineStr">
        <is>
          <t>https://www.govinfo.gov/app/details/PLAW-108publ423</t>
        </is>
      </c>
      <c r="M55" s="7" t="inlineStr">
        <is>
          <t>govinfo page and MODS metadata opened (title, date, Stat. cite checked)</t>
        </is>
      </c>
      <c r="N55" s="7" t="inlineStr"/>
    </row>
    <row r="56">
      <c r="A56" s="7" t="n">
        <v>55</v>
      </c>
      <c r="B56" s="7" t="inlineStr">
        <is>
          <t>DLT Pilot Regime Regulation</t>
        </is>
      </c>
      <c r="C56" s="7" t="inlineStr">
        <is>
          <t>none</t>
        </is>
      </c>
      <c r="D56" s="7" t="inlineStr">
        <is>
          <t>none</t>
        </is>
      </c>
      <c r="E56" s="7" t="inlineStr"/>
      <c r="F56" s="7" t="inlineStr"/>
      <c r="G56" s="7" t="inlineStr"/>
      <c r="H56" s="7" t="inlineStr"/>
      <c r="I56" s="7" t="inlineStr">
        <is>
          <t>none: no US statutory sandbox exempting DLT market infrastructures from securities-market rules; the SEC handles this case by case through no-action letters and exemptive relief.</t>
        </is>
      </c>
      <c r="J56" s="7" t="inlineStr"/>
      <c r="K56" s="7" t="inlineStr">
        <is>
          <t>Digital Asset Market Clarity Act of 2025 (H.R. 3633, 119th Congress, pending); SEC Regulation ATS (17 CFR 242.300 et seq.)</t>
        </is>
      </c>
      <c r="L56" s="7" t="inlineStr"/>
      <c r="M56" s="7" t="inlineStr">
        <is>
          <t>reasoned from knowledge; no counterpart to verify</t>
        </is>
      </c>
      <c r="N56" s="7" t="inlineStr"/>
    </row>
    <row r="57">
      <c r="A57" s="7" t="n">
        <v>56</v>
      </c>
      <c r="B57" s="7" t="inlineStr">
        <is>
          <t>Markets in Crypto-Assets (MiCA)</t>
        </is>
      </c>
      <c r="C57" s="7" t="inlineStr">
        <is>
          <t>partial</t>
        </is>
      </c>
      <c r="D57" s="7" t="inlineStr">
        <is>
          <t>federal statute</t>
        </is>
      </c>
      <c r="E57" s="7" t="inlineStr">
        <is>
          <t>GENIUS Act</t>
        </is>
      </c>
      <c r="F57" s="7" t="inlineStr">
        <is>
          <t>Pub. L. 119-27, 139 Stat. 419</t>
        </is>
      </c>
      <c r="G57" s="7" t="inlineStr">
        <is>
          <t>2025-07-18</t>
        </is>
      </c>
      <c r="H57" s="7" t="inlineStr">
        <is>
          <t>in force (implementing rules pending)</t>
        </is>
      </c>
      <c r="I57" s="7" t="inlineStr">
        <is>
          <t>The GENIUS Act licenses and regulates payment-stablecoin issuers, matching MiCA's e-money and asset-referenced token titles, but it does not cover other crypto-asset issuance or service providers, which the pending CLARITY Act would address.</t>
        </is>
      </c>
      <c r="J57" s="7" t="inlineStr"/>
      <c r="K57" s="7" t="inlineStr">
        <is>
          <t>Digital Asset Market Clarity Act of 2025 (H.R. 3633, 119th Congress; passed House, pending in Senate); New York BitLicense (23 NYCRR part 200)</t>
        </is>
      </c>
      <c r="L57" s="7" t="inlineStr">
        <is>
          <t>https://www.govinfo.gov/app/details/PLAW-119publ27</t>
        </is>
      </c>
      <c r="M57" s="7" t="inlineStr">
        <is>
          <t>govinfo page and MODS metadata opened (title, date, Stat. cite checked); CLARITY Act ih/eh/rfs versions found on govinfo, no enrolled version</t>
        </is>
      </c>
      <c r="N57" s="7" t="inlineStr">
        <is>
          <t>Senate status of CLARITY Act not confirmed beyond govinfo bill versions.</t>
        </is>
      </c>
    </row>
    <row r="58">
      <c r="A58" s="7" t="n">
        <v>57</v>
      </c>
      <c r="B58" s="7" t="inlineStr">
        <is>
          <t>Digital Operational Resilience Act (DORA)</t>
        </is>
      </c>
      <c r="C58" s="7" t="inlineStr">
        <is>
          <t>agency rule only</t>
        </is>
      </c>
      <c r="D58" s="7" t="inlineStr">
        <is>
          <t>federal agency rule</t>
        </is>
      </c>
      <c r="E58" s="7" t="inlineStr">
        <is>
          <t>Computer-Security Incident Notification Requirements for Banking Organizations and Their Bank Service Providers</t>
        </is>
      </c>
      <c r="F58" s="7" t="inlineStr">
        <is>
          <t>86 FR 66424; 12 CFR parts 53, 225, 304</t>
        </is>
      </c>
      <c r="G58" s="7" t="inlineStr">
        <is>
          <t>2021-11-23</t>
        </is>
      </c>
      <c r="H58" s="7" t="inlineStr">
        <is>
          <t>in force</t>
        </is>
      </c>
      <c r="I58" s="7" t="inlineStr">
        <is>
          <t>The OCC, Fed and FDIC rule requires banks and their service providers to notify regulators of significant cyber incidents, one element of DORA, but the US has no statute covering ICT risk management, testing and third-party provider oversight for the whole financial sector.</t>
        </is>
      </c>
      <c r="J58" s="7" t="inlineStr">
        <is>
          <t>12 CFR parts 53, 225, 304</t>
        </is>
      </c>
      <c r="K58" s="7" t="inlineStr">
        <is>
          <t>Bank Service Company Act (third-party examination authority); GLBA Safeguards Rule (16 CFR part 314); NCUA cyber incident notification rule (12 CFR part 748, 2023); NYDFS Cybersecurity Regulation (23 NYCRR part 500)</t>
        </is>
      </c>
      <c r="L58" s="7" t="inlineStr">
        <is>
          <t>https://www.federalregister.gov/documents/2021/11/23/2021-25510/computer-security-incident-notification-requirements-for-banking-organizations-and-their-bank</t>
        </is>
      </c>
      <c r="M58" s="7" t="inlineStr">
        <is>
          <t>federalregister.gov API checked (citation, date, CFR parts)</t>
        </is>
      </c>
      <c r="N58" s="7" t="inlineStr"/>
    </row>
    <row r="59">
      <c r="A59" s="7" t="n">
        <v>58</v>
      </c>
      <c r="B59" s="7" t="inlineStr">
        <is>
          <t>Data Governance Act</t>
        </is>
      </c>
      <c r="C59" s="7" t="inlineStr">
        <is>
          <t>partial</t>
        </is>
      </c>
      <c r="D59" s="7" t="inlineStr">
        <is>
          <t>federal statute</t>
        </is>
      </c>
      <c r="E59" s="7" t="inlineStr">
        <is>
          <t>Foundations for Evidence-Based Policymaking Act of 2018 (Evidence Act)</t>
        </is>
      </c>
      <c r="F59" s="7" t="inlineStr">
        <is>
          <t>Pub. L. 115-435, 132 Stat. 5529</t>
        </is>
      </c>
      <c r="G59" s="7" t="inlineStr">
        <is>
          <t>2019-01-14</t>
        </is>
      </c>
      <c r="H59" s="7" t="inlineStr">
        <is>
          <t>in force</t>
        </is>
      </c>
      <c r="I59" s="7" t="inlineStr">
        <is>
          <t>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is>
      </c>
      <c r="J59" s="7" t="inlineStr"/>
      <c r="K59" s="7" t="inlineStr">
        <is>
          <t>National Secure Data Service demonstration (CHIPS and Science Act)</t>
        </is>
      </c>
      <c r="L59" s="7" t="inlineStr">
        <is>
          <t>https://www.govinfo.gov/app/details/PLAW-115publ435</t>
        </is>
      </c>
      <c r="M59" s="7" t="inlineStr">
        <is>
          <t>govinfo page and MODS metadata opened (title, date, Stat. cite checked)</t>
        </is>
      </c>
      <c r="N59" s="7" t="inlineStr">
        <is>
          <t>Same act as row 43 counterpart; different titles are relevant.</t>
        </is>
      </c>
    </row>
    <row r="60">
      <c r="A60" s="7" t="n">
        <v>59</v>
      </c>
      <c r="B60" s="7" t="inlineStr">
        <is>
          <t>Digital Markets Act</t>
        </is>
      </c>
      <c r="C60" s="7" t="inlineStr">
        <is>
          <t>proposed only</t>
        </is>
      </c>
      <c r="D60" s="7" t="inlineStr">
        <is>
          <t>proposed federal bill</t>
        </is>
      </c>
      <c r="E60" s="7" t="inlineStr">
        <is>
          <t>American Innovation and Choice Online Act</t>
        </is>
      </c>
      <c r="F60" s="7" t="inlineStr">
        <is>
          <t>S. 2992, 117th Congress</t>
        </is>
      </c>
      <c r="G60" s="7" t="inlineStr">
        <is>
          <t>2021-10-18</t>
        </is>
      </c>
      <c r="H60" s="7" t="inlineStr">
        <is>
          <t>never enacted (died with 117th Congress, 2023)</t>
        </is>
      </c>
      <c r="I60" s="7" t="inlineStr">
        <is>
          <t>The bill would have imposed self-preferencing and discrimination bans on designated large online platforms, close to DMA gatekeeper obligations, but it was never enacted.</t>
        </is>
      </c>
      <c r="J60" s="7" t="inlineStr"/>
      <c r="K60" s="7" t="inlineStr">
        <is>
          <t>American Choice and Innovation Online Act (H.R. 3816, 117th, introduced 2021-06-11); Open App Markets Act (S. 2710, 117th); Sherman Act section 2 (general antitrust law)</t>
        </is>
      </c>
      <c r="L60" s="7" t="inlineStr">
        <is>
          <t>https://www.govinfo.gov/app/details/BILLS-117s2992is</t>
        </is>
      </c>
      <c r="M60" s="7" t="inlineStr">
        <is>
          <t>govinfo BILLS MODS opened for S. 2992 and H.R. 3816 (titles and introduction dates confirmed)</t>
        </is>
      </c>
      <c r="N60" s="7" t="inlineStr">
        <is>
          <t>Enacted US law relies on case-by-case antitrust (e.g. US v. Google).</t>
        </is>
      </c>
    </row>
    <row r="61">
      <c r="A61" s="7" t="n">
        <v>60</v>
      </c>
      <c r="B61" s="7" t="inlineStr">
        <is>
          <t>Digital Services Act</t>
        </is>
      </c>
      <c r="C61" s="7" t="inlineStr">
        <is>
          <t>partial</t>
        </is>
      </c>
      <c r="D61" s="7" t="inlineStr">
        <is>
          <t>federal statute</t>
        </is>
      </c>
      <c r="E61" s="7" t="inlineStr">
        <is>
          <t>Communications Decency Act Section 230 (47 U.S.C. 230)</t>
        </is>
      </c>
      <c r="F61" s="7" t="inlineStr">
        <is>
          <t>Pub. L. 104-104, title V, sec. 509, 110 Stat. 56 (Telecommunications Act of 1996); 47 U.S.C. 230</t>
        </is>
      </c>
      <c r="G61" s="7" t="inlineStr">
        <is>
          <t>1996-02-08</t>
        </is>
      </c>
      <c r="H61" s="7" t="inlineStr">
        <is>
          <t>in force</t>
        </is>
      </c>
      <c r="I61" s="7" t="inlineStr">
        <is>
          <t>Section 230 sets the intermediary-liability regime for online platforms, like the DSA's liability safe harbours, but it grants immunity and imposes none of the DSA's due-diligence, transparency or risk-assessment duties.</t>
        </is>
      </c>
      <c r="J61" s="7" t="inlineStr"/>
      <c r="K61" s="7" t="inlineStr">
        <is>
          <t>TAKE IT DOWN Act (Pub. L. 119-12, 139 Stat. 55, 2025-05-19; notice-and-removal for intimate images); California AB 587 (2022) social media content moderation transparency; Kids Internet and Digital Safety Act (H.R. 7757, 119th; passed House 2026, pending)</t>
        </is>
      </c>
      <c r="L61" s="7" t="inlineStr">
        <is>
          <t>https://www.govinfo.gov/app/details/PLAW-104publ104</t>
        </is>
      </c>
      <c r="M61" s="7" t="inlineStr">
        <is>
          <t>govinfo MODS metadata and Public Law HTML opened (date and Stat. page confirmed); LII page for 47 U.S.C. 230 opened</t>
        </is>
      </c>
      <c r="N61" s="7" t="inlineStr">
        <is>
          <t>Section 230 sits in the Telecommunications Act of 1996 (Stat. cite is for the whole Act).</t>
        </is>
      </c>
    </row>
    <row r="62">
      <c r="A62" s="7" t="n">
        <v>61</v>
      </c>
      <c r="B62" s="7" t="inlineStr">
        <is>
          <t>NIS 2 Directive</t>
        </is>
      </c>
      <c r="C62" s="7" t="inlineStr">
        <is>
          <t>partial</t>
        </is>
      </c>
      <c r="D62" s="7" t="inlineStr">
        <is>
          <t>federal statute</t>
        </is>
      </c>
      <c r="E62" s="7" t="inlineStr">
        <is>
          <t>Cyber Incident Reporting for Critical Infrastructure Act of 2022 (CIRCIA)</t>
        </is>
      </c>
      <c r="F62" s="7" t="inlineStr">
        <is>
          <t>Pub. L. 117-103, div. Y, 136 Stat. 1038; 6 U.S.C. 681-681g</t>
        </is>
      </c>
      <c r="G62" s="7" t="inlineStr">
        <is>
          <t>2022-03-15</t>
        </is>
      </c>
      <c r="H62" s="7" t="inlineStr">
        <is>
          <t>in force (implementing rule not yet final as of 2026)</t>
        </is>
      </c>
      <c r="I62" s="7" t="inlineStr">
        <is>
          <t>CIRCIA mandates incident and ransom-payment reporting by critical-infrastructure entities to CISA, matching NIS2's reporting duties, but it sets no general cybersecurity risk-management obligations.</t>
        </is>
      </c>
      <c r="J62" s="7" t="inlineStr">
        <is>
          <t>Proposed 6 CFR part 226 (89 FR 23644, 2024-04-04); final rule pending</t>
        </is>
      </c>
      <c r="K62" s="7" t="inlineStr">
        <is>
          <t>Federal Information Security Modernization Act of 2014 (federal agencies only); Cybersecurity Information Sharing Act of 2015; TSA pipeline/rail security directives; EO 14028 Improving the Nation's Cybersecurity (86 FR 26633)</t>
        </is>
      </c>
      <c r="L62" s="7" t="inlineStr">
        <is>
          <t>https://www.govinfo.gov/app/details/PLAW-117publ103</t>
        </is>
      </c>
      <c r="M62" s="7" t="inlineStr">
        <is>
          <t>govinfo MODS metadata and Public Law HTML opened (date and Stat. page confirmed); division Y located in Pub. L. 117-103 text at 136 Stat. 1038; federalregister.gov API for proposed rule; LII 6 U.S.C. 681b</t>
        </is>
      </c>
      <c r="N62" s="7" t="inlineStr">
        <is>
          <t>CIRCIA is a division of the Consolidated Appropriations Act, 2022.</t>
        </is>
      </c>
    </row>
    <row r="63">
      <c r="A63" s="7" t="n">
        <v>62</v>
      </c>
      <c r="B63" s="7" t="inlineStr">
        <is>
          <t>Joint Undertakings under Horizon Europe</t>
        </is>
      </c>
      <c r="C63" s="7" t="inlineStr">
        <is>
          <t>partial</t>
        </is>
      </c>
      <c r="D63" s="7" t="inlineStr">
        <is>
          <t>federal statute</t>
        </is>
      </c>
      <c r="E63" s="7" t="inlineStr">
        <is>
          <t>CHIPS and Science Act</t>
        </is>
      </c>
      <c r="F63" s="7" t="inlineStr">
        <is>
          <t>Pub. L. 117-167, 136 Stat. 1366</t>
        </is>
      </c>
      <c r="G63" s="7" t="inlineStr">
        <is>
          <t>2022-08-09</t>
        </is>
      </c>
      <c r="H63" s="7" t="inlineStr">
        <is>
          <t>in force</t>
        </is>
      </c>
      <c r="I63" s="7" t="inlineStr">
        <is>
          <t>The Act authorises large public research and innovation funding programmes (NSF, DOE, NIST, Manufacturing USA) that overlap the purpose of the Horizon Europe public-private partnerships, but uses agency programmes rather than joint-undertaking bodies.</t>
        </is>
      </c>
      <c r="J63" s="7" t="inlineStr"/>
      <c r="K63" s="7" t="inlineStr">
        <is>
          <t>Manufacturing USA institutes (Revitalize American Manufacturing and Innovation Act of 2014); National Quantum Initiative Act (2018)</t>
        </is>
      </c>
      <c r="L63" s="7" t="inlineStr">
        <is>
          <t>https://www.govinfo.gov/app/details/PLAW-117publ167</t>
        </is>
      </c>
      <c r="M63" s="7" t="inlineStr">
        <is>
          <t>govinfo MODS metadata and Public Law HTML opened (date and Stat. page confirmed)</t>
        </is>
      </c>
      <c r="N63" s="7" t="inlineStr">
        <is>
          <t>EU budget/research programme; overlap is in purpose only.</t>
        </is>
      </c>
    </row>
    <row r="64">
      <c r="A64" s="7" t="n">
        <v>63</v>
      </c>
      <c r="B64" s="7" t="inlineStr">
        <is>
          <t>Roaming Regulation</t>
        </is>
      </c>
      <c r="C64" s="7" t="inlineStr">
        <is>
          <t>none</t>
        </is>
      </c>
      <c r="D64" s="7" t="inlineStr">
        <is>
          <t>none</t>
        </is>
      </c>
      <c r="E64" s="7" t="inlineStr"/>
      <c r="F64" s="7" t="inlineStr"/>
      <c r="G64" s="7" t="inlineStr"/>
      <c r="H64" s="7" t="inlineStr"/>
      <c r="I64" s="7" t="inlineStr">
        <is>
          <t>No meaningful counterpart: EU single-market mechanism capping intra-EU retail roaming charges; US carriers offer nationwide plans and the FCC only imposes a wholesale roaming duty.</t>
        </is>
      </c>
      <c r="J64" s="7" t="inlineStr"/>
      <c r="K64" s="7" t="inlineStr">
        <is>
          <t>47 CFR 20.12 Resale and roaming (FCC automatic and data roaming obligations)</t>
        </is>
      </c>
      <c r="L64" s="7" t="inlineStr"/>
      <c r="M64" s="7" t="inlineStr">
        <is>
          <t>eCFR section 47 CFR 20.12 heading opened</t>
        </is>
      </c>
      <c r="N64" s="7" t="inlineStr"/>
    </row>
    <row r="65">
      <c r="A65" s="7" t="n">
        <v>64</v>
      </c>
      <c r="B65" s="7" t="inlineStr">
        <is>
          <t>Artificial Intelligence Act</t>
        </is>
      </c>
      <c r="C65" s="7" t="inlineStr">
        <is>
          <t>state only</t>
        </is>
      </c>
      <c r="D65" s="7" t="inlineStr">
        <is>
          <t>state law</t>
        </is>
      </c>
      <c r="E65" s="7" t="inlineStr">
        <is>
          <t>Colorado Artificial Intelligence Act (SB 24-205)</t>
        </is>
      </c>
      <c r="F65" s="7" t="inlineStr">
        <is>
          <t>Colo. Rev. Stat. 6-1-1701 et seq. (SB 24-205, 2024)</t>
        </is>
      </c>
      <c r="G65" s="7" t="inlineStr">
        <is>
          <t>2024-05-17</t>
        </is>
      </c>
      <c r="H65" s="7" t="inlineStr">
        <is>
          <t>repealed 2026 before taking effect (replaced by SB 26-189, effective 2027-01-01)</t>
        </is>
      </c>
      <c r="I65" s="7" t="inlineStr">
        <is>
          <t>Colorado's act was the closest US analogue to the AI Act's risk-based regime, imposing duties on developers and deployers of high-risk AI systems to avoid algorithmic discrimination, but it covered only consequential decisions and never took effect.</t>
        </is>
      </c>
      <c r="J65" s="7" t="inlineStr"/>
      <c r="K65" s="7" t="inlineStr">
        <is>
          <t>Colorado SB 26-189 (2026, narrower notice-based replacement); California SB 53 Transparency in Frontier AI Act (2025); EO 14110 (88 FR 75191, 2023; revoked 2025); EO 14365 Ensuring a National Policy Framework for AI (2025)</t>
        </is>
      </c>
      <c r="L65" s="7" t="inlineStr">
        <is>
          <t>https://leg.colorado.gov/bills/sb24-205</t>
        </is>
      </c>
      <c r="M65" s="7" t="inlineStr">
        <is>
          <t>web search summary (signing date, 2026 repeal/replacement, enforcement blocked April 2026); Colorado legislature page did not load; EO 14110 on federalregister.gov API</t>
        </is>
      </c>
      <c r="N65" s="7" t="inlineStr">
        <is>
          <t>No federal AI statute; federal AI preemption bills pending in 2026. Signing date 2024-05-17 from search summary.</t>
        </is>
      </c>
    </row>
    <row r="66">
      <c r="A66" s="7" t="n">
        <v>65</v>
      </c>
      <c r="B66" s="7" t="inlineStr">
        <is>
          <t>Machinery Regulation</t>
        </is>
      </c>
      <c r="C66" s="7" t="inlineStr">
        <is>
          <t>partial</t>
        </is>
      </c>
      <c r="D66" s="7" t="inlineStr">
        <is>
          <t>federal statute</t>
        </is>
      </c>
      <c r="E66" s="7" t="inlineStr">
        <is>
          <t>Occupational Safety and Health Act of 1970</t>
        </is>
      </c>
      <c r="F66" s="7" t="inlineStr">
        <is>
          <t>Pub. L. 91-596, 84 Stat. 1590; 29 U.S.C. 651 et seq.</t>
        </is>
      </c>
      <c r="G66" s="7" t="inlineStr">
        <is>
          <t>1970-12-29</t>
        </is>
      </c>
      <c r="H66" s="7" t="inlineStr">
        <is>
          <t>in force</t>
        </is>
      </c>
      <c r="I66" s="7" t="inlineStr">
        <is>
          <t>The OSH Act and OSHA's machine-guarding standards regulate machinery safety at the workplace (user side) rather than setting product design and conformity-assessment requirements for manufacturers as the EU regulation does.</t>
        </is>
      </c>
      <c r="J66" s="7" t="inlineStr">
        <is>
          <t>29 CFR part 1910 subpart O (Machinery and Machine Guarding)</t>
        </is>
      </c>
      <c r="K66" s="7" t="inlineStr">
        <is>
          <t>Consumer Product Safety Act (consumer machinery); ANSI B11 voluntary machine safety standards</t>
        </is>
      </c>
      <c r="L66" s="7" t="inlineStr">
        <is>
          <t>https://www.govinfo.gov/app/details/STATUTE-84/STATUTE-84-Pg1590</t>
        </is>
      </c>
      <c r="M66" s="7" t="inlineStr">
        <is>
          <t>govinfo STATUTE MODS opened (Pub. L. 91-596, approval 1970-12-29); eCFR 29 CFR 1910 subpart O heading opened</t>
        </is>
      </c>
      <c r="N66" s="7" t="inlineStr"/>
    </row>
    <row r="67">
      <c r="A67" s="7" t="n">
        <v>66</v>
      </c>
      <c r="B67" s="7" t="inlineStr">
        <is>
          <t>Foreign Subsidies Regulation</t>
        </is>
      </c>
      <c r="C67" s="7" t="inlineStr">
        <is>
          <t>partial</t>
        </is>
      </c>
      <c r="D67" s="7" t="inlineStr">
        <is>
          <t>federal statute</t>
        </is>
      </c>
      <c r="E67" s="7" t="inlineStr">
        <is>
          <t>Merger Filing Fee Modernization Act of 2022, title II (disclosure of foreign subsidies)</t>
        </is>
      </c>
      <c r="F67" s="7" t="inlineStr">
        <is>
          <t>Pub. L. 117-328, div. GG, title II, 136 Stat. 5969; 15 U.S.C. 18b</t>
        </is>
      </c>
      <c r="G67" s="7" t="inlineStr">
        <is>
          <t>2022-12-29</t>
        </is>
      </c>
      <c r="H67" s="7" t="inlineStr">
        <is>
          <t>in force; implementing HSR form rule vacated 2026</t>
        </is>
      </c>
      <c r="I67" s="7" t="inlineStr">
        <is>
          <t>Title II requires merging parties to disclose subsidies from foreign entities of concern in premerger filings, echoing the FSR's notification of subsidised acquisitions, but it does not assess or remedy distortions and does not cover public procurement.</t>
        </is>
      </c>
      <c r="J67" s="7" t="inlineStr">
        <is>
          <t>16 CFR parts 801-803 (HSR form rule 89 FR 89216, 2024-11-12; vacated by E.D. Tex. 2026)</t>
        </is>
      </c>
      <c r="K67" s="7" t="inlineStr">
        <is>
          <t>Foreign Investment Risk Review Modernization Act of 2018 (Pub. L. 115-232, title XVII, 132 Stat. 2173); Countervailing duty law (Tariff Act of 1930, title VII)</t>
        </is>
      </c>
      <c r="L67" s="7" t="inlineStr">
        <is>
          <t>https://www.govinfo.gov/app/details/PLAW-117publ328</t>
        </is>
      </c>
      <c r="M67" s="7" t="inlineStr">
        <is>
          <t>govinfo MODS metadata and Public Law HTML opened (date and Stat. page confirmed); division GG title II located at 136 Stat. 5969; LII 15 U.S.C. 18b; federalregister.gov API; web search on 2026 vacatur</t>
        </is>
      </c>
      <c r="N67" s="7" t="inlineStr">
        <is>
          <t>Disclosure is limited to subsidies from foreign adversary countries.</t>
        </is>
      </c>
    </row>
    <row r="68">
      <c r="A68" s="7" t="n">
        <v>67</v>
      </c>
      <c r="B68" s="7" t="inlineStr">
        <is>
          <t>General Product Safety Regulation</t>
        </is>
      </c>
      <c r="C68" s="7" t="inlineStr">
        <is>
          <t>close</t>
        </is>
      </c>
      <c r="D68" s="7" t="inlineStr">
        <is>
          <t>federal statute</t>
        </is>
      </c>
      <c r="E68" s="7" t="inlineStr">
        <is>
          <t>Consumer Product Safety Act</t>
        </is>
      </c>
      <c r="F68" s="7" t="inlineStr">
        <is>
          <t>Pub. L. 92-573, 86 Stat. 1207; 15 U.S.C. 2051 et seq.</t>
        </is>
      </c>
      <c r="G68" s="7" t="inlineStr">
        <is>
          <t>1972-10-27</t>
        </is>
      </c>
      <c r="H68" s="7" t="inlineStr">
        <is>
          <t>in force</t>
        </is>
      </c>
      <c r="I68" s="7" t="inlineStr">
        <is>
          <t>The CPSA is the general US consumer product safety law, with safety standards, hazard reporting and recall powers comparable to the GPSR.</t>
        </is>
      </c>
      <c r="J68" s="7" t="inlineStr">
        <is>
          <t>16 CFR part 1115 (substantial product hazard reports)</t>
        </is>
      </c>
      <c r="K68" s="7" t="inlineStr">
        <is>
          <t>Consumer Product Safety Improvement Act of 2008 (Pub. L. 110-314, 122 Stat. 3016); INFORM Consumers Act (in Pub. L. 117-328, online marketplaces)</t>
        </is>
      </c>
      <c r="L68" s="7" t="inlineStr">
        <is>
          <t>https://www.govinfo.gov/app/details/STATUTE-86/STATUTE-86-Pg1207</t>
        </is>
      </c>
      <c r="M68" s="7" t="inlineStr">
        <is>
          <t>govinfo STATUTE MODS opened (approval 1972-10-27); eCFR 16 CFR 1115 heading opened; LII 15 U.S.C. 2051</t>
        </is>
      </c>
      <c r="N68" s="7" t="inlineStr"/>
    </row>
    <row r="69">
      <c r="A69" s="7" t="n">
        <v>68</v>
      </c>
      <c r="B69" s="7" t="inlineStr">
        <is>
          <t>Anti-Money Laundering Regulation</t>
        </is>
      </c>
      <c r="C69" s="7" t="inlineStr">
        <is>
          <t>close</t>
        </is>
      </c>
      <c r="D69" s="7" t="inlineStr">
        <is>
          <t>federal statute</t>
        </is>
      </c>
      <c r="E69" s="7" t="inlineStr">
        <is>
          <t>Bank Secrecy Act</t>
        </is>
      </c>
      <c r="F69" s="7" t="inlineStr">
        <is>
          <t>Pub. L. 91-508, titles I-II, 84 Stat. 1114; 31 U.S.C. 5311 et seq.</t>
        </is>
      </c>
      <c r="G69" s="7" t="inlineStr">
        <is>
          <t>1970-10-26</t>
        </is>
      </c>
      <c r="H69" s="7" t="inlineStr">
        <is>
          <t>in force (as amended)</t>
        </is>
      </c>
      <c r="I69" s="7" t="inlineStr">
        <is>
          <t>The BSA, as amended, sets the US AML/CFT rulebook of customer due diligence, recordkeeping and suspicious-activity reporting for financial institutions, the same job as the single EU AML rulebook.</t>
        </is>
      </c>
      <c r="J69" s="7" t="inlineStr">
        <is>
          <t>31 CFR chapter X (parts 1010-1060)</t>
        </is>
      </c>
      <c r="K69" s="7" t="inlineStr">
        <is>
          <t>Anti-Money Laundering Act of 2020 (Pub. L. 116-283, div. F, 134 Stat. 4547); Corporate Transparency Act (Pub. L. 116-283, div. F, title LXIV); USA PATRIOT Act title III (2001)</t>
        </is>
      </c>
      <c r="L69" s="7" t="inlineStr">
        <is>
          <t>https://www.govinfo.gov/app/details/STATUTE-84/STATUTE-84-Pg1114-2</t>
        </is>
      </c>
      <c r="M69" s="7" t="inlineStr">
        <is>
          <t>govinfo STATUTE MODS opened (Pub. L. 91-508, approval 1970-10-26); AMLA division F located at 134 Stat. 4547; eCFR 31 CFR 1010; LII 31 U.S.C. 5311</t>
        </is>
      </c>
      <c r="N69" s="7" t="inlineStr"/>
    </row>
    <row r="70">
      <c r="A70" s="7" t="n">
        <v>69</v>
      </c>
      <c r="B70" s="7" t="inlineStr">
        <is>
          <t>Vertical Block Exemption Regulation</t>
        </is>
      </c>
      <c r="C70" s="7" t="inlineStr">
        <is>
          <t>none</t>
        </is>
      </c>
      <c r="D70" s="7" t="inlineStr">
        <is>
          <t>none</t>
        </is>
      </c>
      <c r="E70" s="7" t="inlineStr"/>
      <c r="F70" s="7" t="inlineStr"/>
      <c r="G70" s="7" t="inlineStr"/>
      <c r="H70" s="7" t="inlineStr"/>
      <c r="I70" s="7" t="inlineStr">
        <is>
          <t>No counterpart: US relies on general antitrust law, judging vertical restraints case by case under the Sherman Act rule of reason (Leegin, 2007) with no safe-harbour regulation.</t>
        </is>
      </c>
      <c r="J70" s="7" t="inlineStr"/>
      <c r="K70" s="7" t="inlineStr">
        <is>
          <t>Sherman Act section 1 (15 U.S.C. 1); Robinson-Patman Act (price discrimination)</t>
        </is>
      </c>
      <c r="L70" s="7" t="inlineStr"/>
      <c r="M70" s="7" t="inlineStr">
        <is>
          <t>no source needed; general knowledge</t>
        </is>
      </c>
      <c r="N70" s="7" t="inlineStr"/>
    </row>
    <row r="71">
      <c r="A71" s="7" t="n">
        <v>70</v>
      </c>
      <c r="B71" s="7" t="inlineStr">
        <is>
          <t>Digital Decade Policy Programme Decision</t>
        </is>
      </c>
      <c r="C71" s="7" t="inlineStr">
        <is>
          <t>partial</t>
        </is>
      </c>
      <c r="D71" s="7" t="inlineStr">
        <is>
          <t>federal statute</t>
        </is>
      </c>
      <c r="E71" s="7" t="inlineStr">
        <is>
          <t>Infrastructure Investment and Jobs Act</t>
        </is>
      </c>
      <c r="F71" s="7" t="inlineStr">
        <is>
          <t>Pub. L. 117-58, 135 Stat. 429</t>
        </is>
      </c>
      <c r="G71" s="7" t="inlineStr">
        <is>
          <t>2021-11-15</t>
        </is>
      </c>
      <c r="H71" s="7" t="inlineStr">
        <is>
          <t>in force</t>
        </is>
      </c>
      <c r="I71" s="7" t="inlineStr">
        <is>
          <t>The IIJA funds universal broadband (BEAD) and digital-equity programmes, overlapping the Digital Decade connectivity and skills targets, but it is a spending law without a target-setting and monitoring framework.</t>
        </is>
      </c>
      <c r="J71" s="7" t="inlineStr"/>
      <c r="K71" s="7" t="inlineStr">
        <is>
          <t>CHIPS and Science Act (Pub. L. 117-167); Digital Equity Act of 2021 (IIJA div. F, title III)</t>
        </is>
      </c>
      <c r="L71" s="7" t="inlineStr">
        <is>
          <t>https://www.govinfo.gov/app/details/PLAW-117publ58</t>
        </is>
      </c>
      <c r="M71" s="7" t="inlineStr">
        <is>
          <t>govinfo MODS metadata and Public Law HTML opened (date and Stat. page confirmed)</t>
        </is>
      </c>
      <c r="N71" s="7" t="inlineStr"/>
    </row>
    <row r="72">
      <c r="A72" s="7" t="n">
        <v>71</v>
      </c>
      <c r="B72" s="7" t="inlineStr">
        <is>
          <t>Political Advertising Regulation</t>
        </is>
      </c>
      <c r="C72" s="7" t="inlineStr">
        <is>
          <t>partial</t>
        </is>
      </c>
      <c r="D72" s="7" t="inlineStr">
        <is>
          <t>federal statute</t>
        </is>
      </c>
      <c r="E72" s="7" t="inlineStr">
        <is>
          <t>Federal Election Campaign Act of 1971</t>
        </is>
      </c>
      <c r="F72" s="7" t="inlineStr">
        <is>
          <t>Pub. L. 92-225, 86 Stat. 3; 52 U.S.C. 30101 et seq.</t>
        </is>
      </c>
      <c r="G72" s="7" t="inlineStr">
        <is>
          <t>1972-02-07</t>
        </is>
      </c>
      <c r="H72" s="7" t="inlineStr">
        <is>
          <t>in force (as amended)</t>
        </is>
      </c>
      <c r="I72" s="7" t="inlineStr">
        <is>
          <t>FECA, as amended, requires sponsor disclaimers and spending disclosure for federal political communications, but it has no rules on ad repositories or the targeting and amplification of political ads.</t>
        </is>
      </c>
      <c r="J72" s="7" t="inlineStr">
        <is>
          <t>11 CFR 110.11 (disclaimers; internet communications rule 87 FR 77467, 2022-12-19)</t>
        </is>
      </c>
      <c r="K72" s="7" t="inlineStr">
        <is>
          <t>Bipartisan Campaign Reform Act of 2002 (Pub. L. 107-155, 116 Stat. 81); Honest Ads Act (proposed, never enacted); California Political Reform Act / DISCLOSE Act (online ad disclosure)</t>
        </is>
      </c>
      <c r="L72" s="7" t="inlineStr">
        <is>
          <t>https://www.govinfo.gov/app/details/STATUTE-86/STATUTE-86-Pg3</t>
        </is>
      </c>
      <c r="M72" s="7" t="inlineStr">
        <is>
          <t>govinfo STATUTE MODS opened (Pub. L. 92-225, approval 1972-02-07); BCRA PLAW MODS; eCFR 11 CFR 110.11; federalregister.gov API; LII 52 U.S.C. 30120</t>
        </is>
      </c>
      <c r="N72" s="7" t="inlineStr"/>
    </row>
    <row r="73">
      <c r="A73" s="7" t="n">
        <v>72</v>
      </c>
      <c r="B73" s="7" t="inlineStr">
        <is>
          <t>Digitalisation of judicial cooperation Regulation</t>
        </is>
      </c>
      <c r="C73" s="7" t="inlineStr">
        <is>
          <t>none</t>
        </is>
      </c>
      <c r="D73" s="7" t="inlineStr">
        <is>
          <t>none</t>
        </is>
      </c>
      <c r="E73" s="7" t="inlineStr"/>
      <c r="F73" s="7" t="inlineStr"/>
      <c r="G73" s="7" t="inlineStr"/>
      <c r="H73" s="7" t="inlineStr"/>
      <c r="I73" s="7" t="inlineStr">
        <is>
          <t>No counterpart: EU cross-border judicial cooperation mechanism between member-state courts; US federal courts digitised filing (CM/ECF) through court rules, not a statute.</t>
        </is>
      </c>
      <c r="J73" s="7" t="inlineStr"/>
      <c r="K73" s="7" t="inlineStr">
        <is>
          <t>Federal Rules of Civil Procedure electronic filing rule (Rule 5(d)(3))</t>
        </is>
      </c>
      <c r="L73" s="7" t="inlineStr"/>
      <c r="M73" s="7" t="inlineStr">
        <is>
          <t>no source needed; general knowledge</t>
        </is>
      </c>
      <c r="N73" s="7" t="inlineStr"/>
    </row>
    <row r="74">
      <c r="A74" s="7" t="n">
        <v>73</v>
      </c>
      <c r="B74" s="7" t="inlineStr">
        <is>
          <t>Platform Work Directive</t>
        </is>
      </c>
      <c r="C74" s="7" t="inlineStr">
        <is>
          <t>agency rule only</t>
        </is>
      </c>
      <c r="D74" s="7" t="inlineStr">
        <is>
          <t>federal agency rule</t>
        </is>
      </c>
      <c r="E74" s="7" t="inlineStr">
        <is>
          <t>DOL rule on Employee or Independent Contractor Classification Under the FLSA</t>
        </is>
      </c>
      <c r="F74" s="7" t="inlineStr">
        <is>
          <t>29 CFR part 795; 89 FR 1638</t>
        </is>
      </c>
      <c r="G74" s="7" t="inlineStr">
        <is>
          <t>2024-01-10</t>
        </is>
      </c>
      <c r="H74" s="7" t="inlineStr">
        <is>
          <t>in force but not enforced; rescission proposed 2026 (91 FR 9932)</t>
        </is>
      </c>
      <c r="I74" s="7" t="inlineStr">
        <is>
          <t>The DOL rule sets the economic-reality test for whether workers, including app-based gig workers, are employees, overlapping the directive's employment-status provisions, but it has no legal presumption of employment and no algorithmic-management rules.</t>
        </is>
      </c>
      <c r="J74" s="7" t="inlineStr">
        <is>
          <t>29 CFR part 795</t>
        </is>
      </c>
      <c r="K74" s="7" t="inlineStr">
        <is>
          <t>California AB 5 (2019, ABC-test presumption of employment, Lab. Code 2775); California Proposition 22 (2020, app-based drivers); NYC delivery-worker minimum pay rule</t>
        </is>
      </c>
      <c r="L74" s="7" t="inlineStr">
        <is>
          <t>https://www.federalregister.gov/documents/2024/01/10/2024-00067/employee-or-independent-contractor-classification-under-the-fair-labor-standards-act</t>
        </is>
      </c>
      <c r="M74" s="7" t="inlineStr">
        <is>
          <t>federalregister.gov API (89 FR 1638 and 2026 proposed rescission); eCFR 29 CFR 795 heading opened; web search on 2026 status</t>
        </is>
      </c>
      <c r="N74" s="7" t="inlineStr">
        <is>
          <t>California AB 5 is closer on the presumption of employment but state law ranks below a federal rule under the brief.</t>
        </is>
      </c>
    </row>
    <row r="75">
      <c r="A75" s="7" t="n">
        <v>74</v>
      </c>
      <c r="B75" s="7" t="inlineStr">
        <is>
          <t>European Chips Act</t>
        </is>
      </c>
      <c r="C75" s="7" t="inlineStr">
        <is>
          <t>close</t>
        </is>
      </c>
      <c r="D75" s="7" t="inlineStr">
        <is>
          <t>federal statute</t>
        </is>
      </c>
      <c r="E75" s="7" t="inlineStr">
        <is>
          <t>CHIPS Act of 2022 (Division A of the CHIPS and Science Act)</t>
        </is>
      </c>
      <c r="F75" s="7" t="inlineStr">
        <is>
          <t>Pub. L. 117-167, div. A, 136 Stat. 1366</t>
        </is>
      </c>
      <c r="G75" s="7" t="inlineStr">
        <is>
          <t>2022-08-09</t>
        </is>
      </c>
      <c r="H75" s="7" t="inlineStr">
        <is>
          <t>in force</t>
        </is>
      </c>
      <c r="I75" s="7" t="inlineStr">
        <is>
          <t>Both laws fund domestic semiconductor manufacturing and research to strengthen supply-chain resilience; the US act relies more on direct incentives and tax credits, the EU act adds a crisis-monitoring mechanism.</t>
        </is>
      </c>
      <c r="J75" s="7" t="inlineStr">
        <is>
          <t>15 CFR part 231 (CHIPS funding guardrails, 88 FR 65600, 2023-09-25)</t>
        </is>
      </c>
      <c r="K75" s="7" t="inlineStr">
        <is>
          <t>Advanced manufacturing investment credit (26 U.S.C. 48D)</t>
        </is>
      </c>
      <c r="L75" s="7" t="inlineStr">
        <is>
          <t>https://www.govinfo.gov/app/details/PLAW-117publ167</t>
        </is>
      </c>
      <c r="M75" s="7" t="inlineStr">
        <is>
          <t>govinfo MODS metadata and Public Law HTML opened (date and Stat. page confirmed); eCFR 15 CFR 231; federalregister.gov API</t>
        </is>
      </c>
      <c r="N75" s="7" t="inlineStr"/>
    </row>
    <row r="76">
      <c r="A76" s="7" t="n">
        <v>75</v>
      </c>
      <c r="B76" s="7" t="inlineStr">
        <is>
          <t>Union Secure Connectivity Programme</t>
        </is>
      </c>
      <c r="C76" s="7" t="inlineStr">
        <is>
          <t>none</t>
        </is>
      </c>
      <c r="D76" s="7" t="inlineStr">
        <is>
          <t>none</t>
        </is>
      </c>
      <c r="E76" s="7" t="inlineStr"/>
      <c r="F76" s="7" t="inlineStr"/>
      <c r="G76" s="7" t="inlineStr"/>
      <c r="H76" s="7" t="inlineStr"/>
      <c r="I76" s="7" t="inlineStr">
        <is>
          <t>No counterpart: EU budget programme for a sovereign satellite constellation (IRIS2); the US relies on defence procurement and commercial constellations rather than a dedicated statute.</t>
        </is>
      </c>
      <c r="J76" s="7" t="inlineStr"/>
      <c r="K76" s="7" t="inlineStr">
        <is>
          <t>Space Development Agency Proliferated Warfighter Space Architecture (DoD procurement)</t>
        </is>
      </c>
      <c r="L76" s="7" t="inlineStr"/>
      <c r="M76" s="7" t="inlineStr">
        <is>
          <t>no source needed; general knowledge</t>
        </is>
      </c>
      <c r="N76" s="7" t="inlineStr"/>
    </row>
    <row r="77">
      <c r="A77" s="7" t="n">
        <v>76</v>
      </c>
      <c r="B77" s="7" t="inlineStr">
        <is>
          <t>Data Act</t>
        </is>
      </c>
      <c r="C77" s="7" t="inlineStr">
        <is>
          <t>agency rule only</t>
        </is>
      </c>
      <c r="D77" s="7" t="inlineStr">
        <is>
          <t>federal agency rule</t>
        </is>
      </c>
      <c r="E77" s="7" t="inlineStr">
        <is>
          <t>CFPB Personal Financial Data Rights rule (section 1033)</t>
        </is>
      </c>
      <c r="F77" s="7" t="inlineStr">
        <is>
          <t>12 CFR part 1033; 89 FR 90838</t>
        </is>
      </c>
      <c r="G77" s="7" t="inlineStr">
        <is>
          <t>2024-11-18</t>
        </is>
      </c>
      <c r="H77" s="7" t="inlineStr">
        <is>
          <t>in force on paper; enforcement enjoined and under reconsideration 2025-26</t>
        </is>
      </c>
      <c r="I77" s="7" t="inlineStr">
        <is>
          <t>The rule gives consumers a right to access and port their financial data to third parties, like the Data Act's user data-access right, but only for financial accounts, not connected products or cloud switching.</t>
        </is>
      </c>
      <c r="J77" s="7" t="inlineStr">
        <is>
          <t>12 CFR part 1033</t>
        </is>
      </c>
      <c r="K77" s="7" t="inlineStr">
        <is>
          <t>Dodd-Frank Act section 1033 (12 U.S.C. 5533); Massachusetts vehicle telematics data access law (2020 ballot Question 1); California Consumer Privacy Act (right of access and portability)</t>
        </is>
      </c>
      <c r="L77" s="7" t="inlineStr">
        <is>
          <t>https://www.federalregister.gov/documents/2024/11/18/2024-25079/required-rulemaking-on-personal-financial-data-rights</t>
        </is>
      </c>
      <c r="M77" s="7" t="inlineStr">
        <is>
          <t>federalregister.gov API (rule and 2025 reconsideration ANPR); eCFR 12 CFR 1033 heading; web search on 2026 injunction</t>
        </is>
      </c>
      <c r="N77" s="7" t="inlineStr"/>
    </row>
    <row r="78">
      <c r="A78" s="7" t="n">
        <v>77</v>
      </c>
      <c r="B78" s="7" t="inlineStr">
        <is>
          <t>Violence Against Women Directive</t>
        </is>
      </c>
      <c r="C78" s="7" t="inlineStr">
        <is>
          <t>partial</t>
        </is>
      </c>
      <c r="D78" s="7" t="inlineStr">
        <is>
          <t>federal statute</t>
        </is>
      </c>
      <c r="E78" s="7" t="inlineStr">
        <is>
          <t>Violence Against Women Act Reauthorization Act of 2022</t>
        </is>
      </c>
      <c r="F78" s="7" t="inlineStr">
        <is>
          <t>Pub. L. 117-103, div. W, 136 Stat. 840</t>
        </is>
      </c>
      <c r="G78" s="7" t="inlineStr">
        <is>
          <t>2022-03-15</t>
        </is>
      </c>
      <c r="H78" s="7" t="inlineStr">
        <is>
          <t>in force</t>
        </is>
      </c>
      <c r="I78" s="7" t="inlineStr">
        <is>
          <t>The 2022 reauthorization funds measures against gender-based violence and created a federal civil action for non-consensual disclosure of intimate images (15 U.S.C. 6851), but it does not harmonise criminal offences as the directive does.</t>
        </is>
      </c>
      <c r="J78" s="7" t="inlineStr"/>
      <c r="K78" s="7" t="inlineStr">
        <is>
          <t>TAKE IT DOWN Act (Pub. L. 119-12, 139 Stat. 55, 2025-05-19); Violence Against Women Act of 1994 (Pub. L. 103-322, title IV)</t>
        </is>
      </c>
      <c r="L78" s="7" t="inlineStr">
        <is>
          <t>https://www.govinfo.gov/app/details/PLAW-117publ103</t>
        </is>
      </c>
      <c r="M78" s="7" t="inlineStr">
        <is>
          <t>govinfo MODS metadata and Public Law HTML opened (date and Stat. page confirmed); division W located at 136 Stat. 840; LII 15 U.S.C. 6851; TAKE IT DOWN Act PLAW MODS</t>
        </is>
      </c>
      <c r="N78" s="7" t="inlineStr"/>
    </row>
    <row r="79">
      <c r="A79" s="7" t="n">
        <v>78</v>
      </c>
      <c r="B79" s="7" t="inlineStr">
        <is>
          <t>Cybersecurity Regulation (EU institutions)</t>
        </is>
      </c>
      <c r="C79" s="7" t="inlineStr">
        <is>
          <t>close</t>
        </is>
      </c>
      <c r="D79" s="7" t="inlineStr">
        <is>
          <t>federal statute</t>
        </is>
      </c>
      <c r="E79" s="7" t="inlineStr">
        <is>
          <t>Federal Information Security Modernization Act of 2014</t>
        </is>
      </c>
      <c r="F79" s="7" t="inlineStr">
        <is>
          <t>Pub. L. 113-283, 128 Stat. 3073; 44 U.S.C. 3551 et seq.</t>
        </is>
      </c>
      <c r="G79" s="7" t="inlineStr">
        <is>
          <t>2014-12-18</t>
        </is>
      </c>
      <c r="H79" s="7" t="inlineStr">
        <is>
          <t>in force</t>
        </is>
      </c>
      <c r="I79" s="7" t="inlineStr">
        <is>
          <t>FISMA requires federal agencies to run risk-based information security programmes and report incidents under central oversight (OMB, CISA), the same job the EU regulation does for EU institutions.</t>
        </is>
      </c>
      <c r="J79" s="7" t="inlineStr"/>
      <c r="K79" s="7" t="inlineStr">
        <is>
          <t>EO 14028 Improving the Nation's Cybersecurity (86 FR 26633, 2021); Federal Cybersecurity Enhancement Act of 2015</t>
        </is>
      </c>
      <c r="L79" s="7" t="inlineStr">
        <is>
          <t>https://www.govinfo.gov/app/details/PLAW-113publ283</t>
        </is>
      </c>
      <c r="M79" s="7" t="inlineStr">
        <is>
          <t>govinfo MODS metadata and Public Law HTML opened (date and Stat. page confirmed); LII 44 U.S.C. 3551</t>
        </is>
      </c>
      <c r="N79" s="7" t="inlineStr"/>
    </row>
    <row r="80">
      <c r="A80" s="7" t="n">
        <v>79</v>
      </c>
      <c r="B80" s="7" t="inlineStr">
        <is>
          <t>Information Security Regulation</t>
        </is>
      </c>
      <c r="C80" s="7" t="inlineStr">
        <is>
          <t>partial</t>
        </is>
      </c>
      <c r="D80" s="7" t="inlineStr">
        <is>
          <t>executive order</t>
        </is>
      </c>
      <c r="E80" s="7" t="inlineStr">
        <is>
          <t>Executive Order 13526, Classified National Security Information</t>
        </is>
      </c>
      <c r="F80" s="7" t="inlineStr">
        <is>
          <t>EO 13526, 75 FR 707</t>
        </is>
      </c>
      <c r="G80" s="7" t="inlineStr">
        <is>
          <t>2009-12-29</t>
        </is>
      </c>
      <c r="H80" s="7" t="inlineStr">
        <is>
          <t>in force</t>
        </is>
      </c>
      <c r="I80" s="7" t="inlineStr">
        <is>
          <t>EO 13526 sets classification levels and safeguarding rules for classified information across federal agencies, like the proposal's rules for EU classified information, while sensitive unclassified information is covered separately by the CUI order.</t>
        </is>
      </c>
      <c r="J80" s="7" t="inlineStr">
        <is>
          <t>32 CFR part 2001 (classified national security information); 32 CFR part 2002 (CUI)</t>
        </is>
      </c>
      <c r="K80" s="7" t="inlineStr">
        <is>
          <t>EO 13556 Controlled Unclassified Information (75 FR 68675, 2010); Federal Information Security Modernization Act of 2014</t>
        </is>
      </c>
      <c r="L80" s="7" t="inlineStr">
        <is>
          <t>https://www.federalregister.gov/documents/2010/01/05/E9-31418/classified-national-security-information</t>
        </is>
      </c>
      <c r="M80" s="7" t="inlineStr">
        <is>
          <t>federalregister.gov API (signing 2009-12-29, published 2010-01-05); eCFR 32 CFR 2001 and 2002 headings opened</t>
        </is>
      </c>
      <c r="N80" s="7" t="inlineStr">
        <is>
          <t>EU act is a pending proposal applying to EU institutions.</t>
        </is>
      </c>
    </row>
    <row r="81">
      <c r="A81" s="7" t="n">
        <v>80</v>
      </c>
      <c r="B81" s="7" t="inlineStr">
        <is>
          <t>Ecodesign for Sustainable Products Regulation</t>
        </is>
      </c>
      <c r="C81" s="7" t="inlineStr">
        <is>
          <t>partial</t>
        </is>
      </c>
      <c r="D81" s="7" t="inlineStr">
        <is>
          <t>federal statute</t>
        </is>
      </c>
      <c r="E81" s="7" t="inlineStr">
        <is>
          <t>Energy Policy and Conservation Act</t>
        </is>
      </c>
      <c r="F81" s="7" t="inlineStr">
        <is>
          <t>Pub. L. 94-163, 89 Stat. 871; 42 U.S.C. 6291 et seq.</t>
        </is>
      </c>
      <c r="G81" s="7" t="inlineStr">
        <is>
          <t>1975-12-22</t>
        </is>
      </c>
      <c r="H81" s="7" t="inlineStr">
        <is>
          <t>in force (as amended)</t>
        </is>
      </c>
      <c r="I81" s="7" t="inlineStr">
        <is>
          <t>EPCA's appliance and equipment efficiency standards and labelling resemble the energy side of ecodesign, but the US has no federal rules on durability, repairability, recycled content or digital product passports.</t>
        </is>
      </c>
      <c r="J81" s="7" t="inlineStr">
        <is>
          <t>10 CFR parts 430 and 431</t>
        </is>
      </c>
      <c r="K81" s="7" t="inlineStr">
        <is>
          <t>Energy Independence and Security Act of 2007; State extended producer responsibility and right-to-repair laws</t>
        </is>
      </c>
      <c r="L81" s="7" t="inlineStr">
        <is>
          <t>https://www.govinfo.gov/app/details/STATUTE-89/STATUTE-89-Pg871</t>
        </is>
      </c>
      <c r="M81" s="7" t="inlineStr">
        <is>
          <t>govinfo STATUTE MODS opened (approval 1975-12-22); eCFR 10 CFR 430 heading; LII 42 U.S.C. 6291</t>
        </is>
      </c>
      <c r="N81" s="7" t="inlineStr"/>
    </row>
    <row r="82">
      <c r="A82" s="7" t="n">
        <v>81</v>
      </c>
      <c r="B82" s="7" t="inlineStr">
        <is>
          <t>European Health Data Space</t>
        </is>
      </c>
      <c r="C82" s="7" t="inlineStr">
        <is>
          <t>partial</t>
        </is>
      </c>
      <c r="D82" s="7" t="inlineStr">
        <is>
          <t>federal statute</t>
        </is>
      </c>
      <c r="E82" s="7" t="inlineStr">
        <is>
          <t>21st Century Cures Act</t>
        </is>
      </c>
      <c r="F82" s="7" t="inlineStr">
        <is>
          <t>Pub. L. 114-255, 130 Stat. 1033</t>
        </is>
      </c>
      <c r="G82" s="7" t="inlineStr">
        <is>
          <t>2016-12-13</t>
        </is>
      </c>
      <c r="H82" s="7" t="inlineStr">
        <is>
          <t>in force</t>
        </is>
      </c>
      <c r="I82" s="7" t="inlineStr">
        <is>
          <t>The Cures Act mandates health IT interoperability and patient access to electronic health information and bans information blocking, overlapping the EHDS primary-use rules, but it has no secondary-use data permit system.</t>
        </is>
      </c>
      <c r="J82" s="7" t="inlineStr">
        <is>
          <t>45 CFR parts 170 and 171</t>
        </is>
      </c>
      <c r="K82" s="7" t="inlineStr">
        <is>
          <t>HIPAA (Pub. L. 104-191, 1996) and its Privacy and Security Rules (45 CFR parts 160, 164); TEFCA rule (89 FR 101772, 2024)</t>
        </is>
      </c>
      <c r="L82" s="7" t="inlineStr">
        <is>
          <t>https://www.govinfo.gov/app/details/PLAW-114publ255</t>
        </is>
      </c>
      <c r="M82" s="7" t="inlineStr">
        <is>
          <t>govinfo MODS metadata and Public Law HTML opened (date and Stat. page confirmed); eCFR 45 CFR 170, 171 headings; LII 42 U.S.C. 300jj-52</t>
        </is>
      </c>
      <c r="N82" s="7" t="inlineStr"/>
    </row>
    <row r="83">
      <c r="A83" s="7" t="n">
        <v>82</v>
      </c>
      <c r="B83" s="7" t="inlineStr">
        <is>
          <t>Child Sexual Abuse Regulation (CSAR)</t>
        </is>
      </c>
      <c r="C83" s="7" t="inlineStr">
        <is>
          <t>partial</t>
        </is>
      </c>
      <c r="D83" s="7" t="inlineStr">
        <is>
          <t>federal statute</t>
        </is>
      </c>
      <c r="E83" s="7" t="inlineStr">
        <is>
          <t>Provider reporting requirements, 18 U.S.C. 2258A (PROTECT Our Children Act of 2008)</t>
        </is>
      </c>
      <c r="F83" s="7" t="inlineStr">
        <is>
          <t>Pub. L. 110-401, 122 Stat. 4229; 18 U.S.C. 2258A</t>
        </is>
      </c>
      <c r="G83" s="7" t="inlineStr">
        <is>
          <t>2008-10-13</t>
        </is>
      </c>
      <c r="H83" s="7" t="inlineStr">
        <is>
          <t>in force (amended 2024)</t>
        </is>
      </c>
      <c r="I83" s="7" t="inlineStr">
        <is>
          <t>Section 2258A obliges online providers to report known child sexual abuse material to NCMEC, like the CSAR reporting duties, but explicitly imposes no duty to scan or detect, unlike the proposed detection orders.</t>
        </is>
      </c>
      <c r="J83" s="7" t="inlineStr"/>
      <c r="K83" s="7" t="inlineStr">
        <is>
          <t>REPORT Act (Pub. L. 118-59, 138 Stat. 1014, 2024-05-07); EARN IT Act (proposed, never enacted); STOP CSAM Act (proposed)</t>
        </is>
      </c>
      <c r="L83" s="7" t="inlineStr">
        <is>
          <t>https://www.govinfo.gov/app/details/PLAW-110publ401</t>
        </is>
      </c>
      <c r="M83" s="7" t="inlineStr">
        <is>
          <t>govinfo MODS metadata and Public Law HTML opened (date and Stat. page confirmed); LII 18 U.S.C. 2258A</t>
        </is>
      </c>
      <c r="N83" s="7" t="inlineStr">
        <is>
          <t>EU act is a pending proposal.</t>
        </is>
      </c>
    </row>
    <row r="84">
      <c r="A84" s="7" t="n">
        <v>83</v>
      </c>
      <c r="B84" s="7" t="inlineStr">
        <is>
          <t>Cyber Resilience Act</t>
        </is>
      </c>
      <c r="C84" s="7" t="inlineStr">
        <is>
          <t>partial</t>
        </is>
      </c>
      <c r="D84" s="7" t="inlineStr">
        <is>
          <t>federal statute</t>
        </is>
      </c>
      <c r="E84" s="7" t="inlineStr">
        <is>
          <t>Internet of Things Cybersecurity Improvement Act of 2020</t>
        </is>
      </c>
      <c r="F84" s="7" t="inlineStr">
        <is>
          <t>Pub. L. 116-207, 134 Stat. 1001</t>
        </is>
      </c>
      <c r="G84" s="7" t="inlineStr">
        <is>
          <t>2020-12-04</t>
        </is>
      </c>
      <c r="H84" s="7" t="inlineStr">
        <is>
          <t>in force</t>
        </is>
      </c>
      <c r="I84" s="7" t="inlineStr">
        <is>
          <t>The Act sets security standards for IoT devices bought by federal agencies, a procurement lever, whereas the CRA imposes mandatory security requirements on all products with digital elements sold on the market.</t>
        </is>
      </c>
      <c r="J84" s="7" t="inlineStr"/>
      <c r="K84" s="7" t="inlineStr">
        <is>
          <t>FCC Cyber Trust Mark voluntary IoT labelling (47 CFR part 8, 89 FR 61242, 2024); California SB 327 IoT security law (Civ. Code 1798.91.04, 2018); EO 14028 secure software development</t>
        </is>
      </c>
      <c r="L84" s="7" t="inlineStr">
        <is>
          <t>https://www.govinfo.gov/app/details/PLAW-116publ207</t>
        </is>
      </c>
      <c r="M84" s="7" t="inlineStr">
        <is>
          <t>govinfo MODS metadata and Public Law HTML opened (date and Stat. page confirmed); federalregister.gov API; LII 15 U.S.C. 278g-3a</t>
        </is>
      </c>
      <c r="N84" s="7" t="inlineStr"/>
    </row>
    <row r="85">
      <c r="A85" s="7" t="n">
        <v>84</v>
      </c>
      <c r="B85" s="7" t="inlineStr">
        <is>
          <t>European Media Freedom Act</t>
        </is>
      </c>
      <c r="C85" s="7" t="inlineStr">
        <is>
          <t>none</t>
        </is>
      </c>
      <c r="D85" s="7" t="inlineStr">
        <is>
          <t>none</t>
        </is>
      </c>
      <c r="E85" s="7" t="inlineStr"/>
      <c r="F85" s="7" t="inlineStr"/>
      <c r="G85" s="7" t="inlineStr"/>
      <c r="H85" s="7" t="inlineStr"/>
      <c r="I85" s="7" t="inlineStr">
        <is>
          <t>No meaningful counterpart: US media freedom rests on the First Amendment, and there is no federal statute on editorial independence, public-service media or media-market plurality reviews.</t>
        </is>
      </c>
      <c r="J85" s="7" t="inlineStr"/>
      <c r="K85" s="7" t="inlineStr">
        <is>
          <t>PRESS Act (journalist source protection; proposed, never enacted); FCC broadcast ownership rules (47 CFR 73.3555)</t>
        </is>
      </c>
      <c r="L85" s="7" t="inlineStr"/>
      <c r="M85" s="7" t="inlineStr">
        <is>
          <t>no source needed; general knowledge</t>
        </is>
      </c>
      <c r="N85" s="7" t="inlineStr"/>
    </row>
    <row r="86">
      <c r="A86" s="7" t="n">
        <v>85</v>
      </c>
      <c r="B86" s="7" t="inlineStr">
        <is>
          <t>Single Market Emergency Instrument (IMERA)</t>
        </is>
      </c>
      <c r="C86" s="7" t="inlineStr">
        <is>
          <t>partial</t>
        </is>
      </c>
      <c r="D86" s="7" t="inlineStr">
        <is>
          <t>federal statute</t>
        </is>
      </c>
      <c r="E86" s="7" t="inlineStr">
        <is>
          <t>Defense Production Act of 1950</t>
        </is>
      </c>
      <c r="F86" s="7" t="inlineStr">
        <is>
          <t>Pub. L. 81-774, 64 Stat. 798; 50 U.S.C. 4501 et seq.</t>
        </is>
      </c>
      <c r="G86" s="7" t="inlineStr">
        <is>
          <t>1950-09-08</t>
        </is>
      </c>
      <c r="H86" s="7" t="inlineStr">
        <is>
          <t>in force (as amended)</t>
        </is>
      </c>
      <c r="I86" s="7" t="inlineStr">
        <is>
          <t>The DPA lets the President prioritise contracts, allocate materials and expand supply in emergencies, like IMERA's crisis tools, but it is national-security based and has no single-market free-movement component.</t>
        </is>
      </c>
      <c r="J86" s="7" t="inlineStr">
        <is>
          <t>15 CFR part 700 (Defense Priorities and Allocations System)</t>
        </is>
      </c>
      <c r="K86" s="7" t="inlineStr">
        <is>
          <t>National Emergencies Act (1976); Stafford Act (disaster response)</t>
        </is>
      </c>
      <c r="L86" s="7" t="inlineStr">
        <is>
          <t>https://www.govinfo.gov/app/details/STATUTE-64/STATUTE-64-Pg798-3</t>
        </is>
      </c>
      <c r="M86" s="7" t="inlineStr">
        <is>
          <t>govinfo STATUTE MODS opened (Pub. L. 81-774, approval 1950-09-08); eCFR 15 CFR 700 heading; LII 50 U.S.C. 4511</t>
        </is>
      </c>
      <c r="N86" s="7" t="inlineStr"/>
    </row>
    <row r="87">
      <c r="A87" s="7" t="n">
        <v>86</v>
      </c>
      <c r="B87" s="7" t="inlineStr">
        <is>
          <t>Product Liability Directive</t>
        </is>
      </c>
      <c r="C87" s="7" t="inlineStr">
        <is>
          <t>state only</t>
        </is>
      </c>
      <c r="D87" s="7" t="inlineStr">
        <is>
          <t>state law</t>
        </is>
      </c>
      <c r="E87" s="7" t="inlineStr">
        <is>
          <t>Washington Product Liability Act</t>
        </is>
      </c>
      <c r="F87" s="7" t="inlineStr">
        <is>
          <t>Rev. Code Wash. ch. 7.72</t>
        </is>
      </c>
      <c r="G87" s="7" t="inlineStr">
        <is>
          <t>1981</t>
        </is>
      </c>
      <c r="H87" s="7" t="inlineStr">
        <is>
          <t>in force</t>
        </is>
      </c>
      <c r="I87" s="7" t="inlineStr">
        <is>
          <t>US product liability is state tort law; Washington's codified act sets manufacturer and seller liability for defective products like the directive, though most states (including California) rely on common-law strict liability.</t>
        </is>
      </c>
      <c r="J87" s="7" t="inlineStr"/>
      <c r="K87" s="7" t="inlineStr">
        <is>
          <t>California common-law strict liability (Greenman v. Yuba Power Products, 1963); Restatement (Third) of Torts: Products Liability (1998); AI LEAD Act (proposed federal AI product liability bill, 2025)</t>
        </is>
      </c>
      <c r="L87" s="7" t="inlineStr">
        <is>
          <t>https://app.leg.wa.gov/RCW/default.aspx?cite=7.72</t>
        </is>
      </c>
      <c r="M87" s="7" t="inlineStr">
        <is>
          <t>Washington legislature RCW 7.72 chapter page opened (section titles confirmed); enactment year 1981 from memory, day not verified</t>
        </is>
      </c>
      <c r="N87" s="7" t="inlineStr">
        <is>
          <t>No federal product liability statute; chosen as a codified state law for text measurement.</t>
        </is>
      </c>
    </row>
    <row r="88">
      <c r="A88" s="7" t="n">
        <v>87</v>
      </c>
      <c r="B88" s="7" t="inlineStr">
        <is>
          <t>Horizontal Block Exemption Regulations</t>
        </is>
      </c>
      <c r="C88" s="7" t="inlineStr">
        <is>
          <t>partial</t>
        </is>
      </c>
      <c r="D88" s="7" t="inlineStr">
        <is>
          <t>federal statute</t>
        </is>
      </c>
      <c r="E88" s="7" t="inlineStr">
        <is>
          <t>National Cooperative Research and Production Act</t>
        </is>
      </c>
      <c r="F88" s="7" t="inlineStr">
        <is>
          <t>Pub. L. 98-462, 98 Stat. 1815 (as amended by Pub. L. 103-42, 107 Stat. 117); 15 U.S.C. 4301 et seq.</t>
        </is>
      </c>
      <c r="G88" s="7" t="inlineStr">
        <is>
          <t>1984-10-11</t>
        </is>
      </c>
      <c r="H88" s="7" t="inlineStr">
        <is>
          <t>in force (as amended)</t>
        </is>
      </c>
      <c r="I88" s="7" t="inlineStr">
        <is>
          <t>The NCRPA gives notified R&amp;D and production joint ventures rule-of-reason treatment and single-damages protection, overlapping the R&amp;D and specialisation block exemptions, but it is a notification-based liability limit, not a market-share safe harbour.</t>
        </is>
      </c>
      <c r="J88" s="7" t="inlineStr"/>
      <c r="K88" s="7" t="inlineStr">
        <is>
          <t>National Cooperative Production Amendments of 1993 (Pub. L. 103-42, 107 Stat. 117); FTC/DOJ Antitrust Guidelines for Collaborations Among Competitors (2000; withdrawn 2024)</t>
        </is>
      </c>
      <c r="L88" s="7" t="inlineStr">
        <is>
          <t>https://www.govinfo.gov/app/details/STATUTE-98/STATUTE-98-Pg1815</t>
        </is>
      </c>
      <c r="M88" s="7" t="inlineStr">
        <is>
          <t>govinfo STATUTE MODS opened for Pub. L. 98-462 (1984-10-11) and Pub. L. 103-42 (1993-06-10); LII 15 U.S.C. 4301</t>
        </is>
      </c>
      <c r="N88" s="7" t="inlineStr">
        <is>
          <t>Covers both 2023/1066 (R&amp;D) and 2023/1067 (specialisation).</t>
        </is>
      </c>
    </row>
    <row r="89">
      <c r="A89" s="7" t="n">
        <v>88</v>
      </c>
      <c r="B89" s="7" t="inlineStr">
        <is>
          <t>Interoperable Europe Act</t>
        </is>
      </c>
      <c r="C89" s="7" t="inlineStr">
        <is>
          <t>partial</t>
        </is>
      </c>
      <c r="D89" s="7" t="inlineStr">
        <is>
          <t>federal statute</t>
        </is>
      </c>
      <c r="E89" s="7" t="inlineStr">
        <is>
          <t>E-Government Act of 2002</t>
        </is>
      </c>
      <c r="F89" s="7" t="inlineStr">
        <is>
          <t>Pub. L. 107-347, 116 Stat. 2899</t>
        </is>
      </c>
      <c r="G89" s="7" t="inlineStr">
        <is>
          <t>2002-12-17</t>
        </is>
      </c>
      <c r="H89" s="7" t="inlineStr">
        <is>
          <t>in force</t>
        </is>
      </c>
      <c r="I89" s="7" t="inlineStr">
        <is>
          <t>The E-Government Act sets up federal coordination of IT and electronic public services (OMB e-Gov office, standards), but unlike the EU Act it does not create a cross-border interoperability assessment duty or a governance board spanning separate governments.</t>
        </is>
      </c>
      <c r="J89" s="7" t="inlineStr">
        <is>
          <t>OMB Circular A-130</t>
        </is>
      </c>
      <c r="K89" s="7" t="inlineStr">
        <is>
          <t>21st Century Integrated Digital Experience Act (Pub. L. 115-336, 2018); Modernizing Government Technology Act (2017, in NDAA FY2018)</t>
        </is>
      </c>
      <c r="L89" s="7" t="inlineStr">
        <is>
          <t>https://www.govinfo.gov/app/details/PLAW-107publ347</t>
        </is>
      </c>
      <c r="M89" s="7" t="inlineStr">
        <is>
          <t>govinfo PLAW MODS metadata opened (title, date, Stat. page)</t>
        </is>
      </c>
      <c r="N89" s="7" t="inlineStr">
        <is>
          <t>EU Act is about interoperability between Member State administrations; US federalism has no equivalent cross-state mandate.</t>
        </is>
      </c>
    </row>
    <row r="90">
      <c r="A90" s="7" t="n">
        <v>89</v>
      </c>
      <c r="B90" s="7" t="inlineStr">
        <is>
          <t>Design Directive</t>
        </is>
      </c>
      <c r="C90" s="7" t="inlineStr">
        <is>
          <t>partial</t>
        </is>
      </c>
      <c r="D90" s="7" t="inlineStr">
        <is>
          <t>federal statute</t>
        </is>
      </c>
      <c r="E90" s="7" t="inlineStr">
        <is>
          <t>Patent Act design patent provisions (35 U.S.C. 171)</t>
        </is>
      </c>
      <c r="F90" s="7" t="inlineStr">
        <is>
          <t>35 U.S.C. 171 (Act of July 19, 1952, ch. 950, 66 Stat. 805)</t>
        </is>
      </c>
      <c r="G90" s="7" t="inlineStr">
        <is>
          <t>1952-07-19</t>
        </is>
      </c>
      <c r="H90" s="7" t="inlineStr">
        <is>
          <t>in force (amended 2012 by Pub. L. 112-211)</t>
        </is>
      </c>
      <c r="I90" s="7" t="inlineStr">
        <is>
          <t>US protects industrial designs through design patents under the Patent Act rather than a registered-design right, and has no repair clause for visible spare parts like the one the Directive introduces.</t>
        </is>
      </c>
      <c r="J90" s="7" t="inlineStr">
        <is>
          <t>37 CFR part 1 (design applications, 37 CFR 1.151-1.155)</t>
        </is>
      </c>
      <c r="K90" s="7" t="inlineStr">
        <is>
          <t>Patent Law Treaties Implementation Act of 2012 (Pub. L. 112-211, 126 Stat. 1527), Hague design agreement; SMART Act (repair-parts design patent limit, proposed, not enacted)</t>
        </is>
      </c>
      <c r="L90" s="7" t="inlineStr">
        <is>
          <t>https://uscode.house.gov/view.xhtml?req=granuleid:USC-prelim-title35-section171&amp;num=0&amp;edition=prelim</t>
        </is>
      </c>
      <c r="M90" s="7" t="inlineStr">
        <is>
          <t>LII 35 U.S.C. 171 source credit read; govinfo MODS for PLAW-112publ211 opened</t>
        </is>
      </c>
      <c r="N90" s="7" t="inlineStr">
        <is>
          <t>EU directive harmonises national design laws and adds the spare-parts repair clause; compare the US repair-clause debate (SMART Act).</t>
        </is>
      </c>
    </row>
    <row r="91">
      <c r="A91" s="7" t="n">
        <v>90</v>
      </c>
      <c r="B91" s="7" t="inlineStr">
        <is>
          <t>VAT in the Digital Age (ViDA)</t>
        </is>
      </c>
      <c r="C91" s="7" t="inlineStr">
        <is>
          <t>state only</t>
        </is>
      </c>
      <c r="D91" s="7" t="inlineStr">
        <is>
          <t>state law</t>
        </is>
      </c>
      <c r="E91" s="7" t="inlineStr">
        <is>
          <t>California Marketplace Facilitator Act</t>
        </is>
      </c>
      <c r="F91" s="7" t="inlineStr">
        <is>
          <t>Cal. Rev. &amp; Tax. Code 6040-6049.5 (AB 147, Stats. 2019, ch. 5)</t>
        </is>
      </c>
      <c r="G91" s="7" t="inlineStr">
        <is>
          <t>2019-04-25</t>
        </is>
      </c>
      <c r="H91" s="7" t="inlineStr">
        <is>
          <t>in force (operative 2019-10-01)</t>
        </is>
      </c>
      <c r="I91" s="7" t="inlineStr">
        <is>
          <t>The US has no federal VAT or e-invoicing mandate; the nearest analogue to ViDA's platform deemed-supplier rule is state marketplace-facilitator laws that make platforms the retailer for sales-tax purposes.</t>
        </is>
      </c>
      <c r="J91" s="7" t="inlineStr"/>
      <c r="K91" s="7" t="inlineStr">
        <is>
          <t>Other state marketplace facilitator laws after South Dakota v. Wayfair (2018); Streamlined Sales and Use Tax Agreement (interstate)</t>
        </is>
      </c>
      <c r="L91" s="7" t="inlineStr">
        <is>
          <t>https://cdtfa.ca.gov/lawguides/vol1/sutl/6040.html</t>
        </is>
      </c>
      <c r="M91" s="7" t="inlineStr">
        <is>
          <t>search summary (CDTFA law guide and LegiScan chaptered text); leginfo blocked by Cloudflare</t>
        </is>
      </c>
      <c r="N91" s="7" t="inlineStr">
        <is>
          <t>ViDA's core parts (EU-wide e-invoicing, digital reporting, single VAT registration) have no US counterpart; only the platform rule maps.</t>
        </is>
      </c>
    </row>
    <row r="92">
      <c r="A92" s="7" t="n">
        <v>91</v>
      </c>
      <c r="B92" s="7" t="inlineStr">
        <is>
          <t>Gigabit Infrastructure Act</t>
        </is>
      </c>
      <c r="C92" s="7" t="inlineStr">
        <is>
          <t>partial</t>
        </is>
      </c>
      <c r="D92" s="7" t="inlineStr">
        <is>
          <t>federal statute</t>
        </is>
      </c>
      <c r="E92" s="7" t="inlineStr">
        <is>
          <t>Middle Class Tax Relief and Job Creation Act of 2012, section 6409 (wireless facilities deployment)</t>
        </is>
      </c>
      <c r="F92" s="7" t="inlineStr">
        <is>
          <t>Pub. L. 112-96, title VI, § 6409, 126 Stat. 156, 232 (47 U.S.C. 1455)</t>
        </is>
      </c>
      <c r="G92" s="7" t="inlineStr">
        <is>
          <t>2012-02-22</t>
        </is>
      </c>
      <c r="H92" s="7" t="inlineStr">
        <is>
          <t>in force</t>
        </is>
      </c>
      <c r="I92" s="7" t="inlineStr">
        <is>
          <t>Section 6409 limits local refusals of collocation and grants access to federal property for broadband siting, overlapping with the EU Act's permit and infrastructure-access rules but without its in-building, dig-once and civil-works coordination package.</t>
        </is>
      </c>
      <c r="J92" s="7" t="inlineStr">
        <is>
          <t>47 CFR 1.6100 (wireless facility modifications); 47 CFR 1.1401-1.1425 (pole attachments)</t>
        </is>
      </c>
      <c r="K92" s="7" t="inlineStr">
        <is>
          <t>Pole Attachments Act, 47 U.S.C. 224 (Pub. L. 95-234, 1978); MOBILE NOW Act (Pub. L. 115-141, div. P, title VI, 2018), incl. dig-once provisions; Infrastructure Investment and Jobs Act (Pub. L. 117-58), BEAD funding</t>
        </is>
      </c>
      <c r="L92" s="7" t="inlineStr">
        <is>
          <t>https://www.govinfo.gov/app/details/PLAW-112publ96</t>
        </is>
      </c>
      <c r="M92" s="7" t="inlineStr">
        <is>
          <t>govinfo PLAW MODS opened; LII 47 U.S.C. 1455 and 224 source credits read</t>
        </is>
      </c>
      <c r="N92" s="7" t="inlineStr"/>
    </row>
    <row r="93">
      <c r="A93" s="7" t="n">
        <v>92</v>
      </c>
      <c r="B93" s="7" t="inlineStr">
        <is>
          <t>Critical Raw Materials Act</t>
        </is>
      </c>
      <c r="C93" s="7" t="inlineStr">
        <is>
          <t>partial</t>
        </is>
      </c>
      <c r="D93" s="7" t="inlineStr">
        <is>
          <t>federal statute</t>
        </is>
      </c>
      <c r="E93" s="7" t="inlineStr">
        <is>
          <t>Energy Act of 2020, section 7002 (Mineral security)</t>
        </is>
      </c>
      <c r="F93" s="7" t="inlineStr">
        <is>
          <t>Pub. L. 116-260, div. Z, title VII, § 7002, 134 Stat. 1182, 2562 (30 U.S.C. 1606)</t>
        </is>
      </c>
      <c r="G93" s="7" t="inlineStr">
        <is>
          <t>2020-12-27</t>
        </is>
      </c>
      <c r="H93" s="7" t="inlineStr">
        <is>
          <t>in force (amended 2025 by Pub. L. 118-233)</t>
        </is>
      </c>
      <c r="I93" s="7" t="inlineStr">
        <is>
          <t>Section 7002 directs a federal critical-minerals list, resource assessment, permitting review and recycling R&amp;D, overlapping with the CRMA's list and supply-security aims but without its 2030 extraction/processing benchmarks or strategic-project permitting deadlines.</t>
        </is>
      </c>
      <c r="J93" s="7" t="inlineStr"/>
      <c r="K93" s="7" t="inlineStr">
        <is>
          <t>Defense Production Act of 1950, Title III (50 U.S.C. 4533); Inflation Reduction Act of 2022 (Pub. L. 117-169), critical-mineral sourcing for EV credit (26 U.S.C. 30D); Executive Order 14241, Immediate Measures To Increase American Mineral Production (90 FR 13673, 2025-03-25)</t>
        </is>
      </c>
      <c r="L93" s="7" t="inlineStr">
        <is>
          <t>https://www.govinfo.gov/app/details/PLAW-116publ260</t>
        </is>
      </c>
      <c r="M93" s="7" t="inlineStr">
        <is>
          <t>govinfo PLAW MODS opened; LII 30 U.S.C. 1606 source credit read; FR API for EO 14241</t>
        </is>
      </c>
      <c r="N93" s="7" t="inlineStr">
        <is>
          <t>Energy Act of 2020 is division Z of the Consolidated Appropriations Act, 2021.</t>
        </is>
      </c>
    </row>
    <row r="94">
      <c r="A94" s="7" t="n">
        <v>93</v>
      </c>
      <c r="B94" s="7" t="inlineStr">
        <is>
          <t>Net-Zero Industry Act</t>
        </is>
      </c>
      <c r="C94" s="7" t="inlineStr">
        <is>
          <t>partial</t>
        </is>
      </c>
      <c r="D94" s="7" t="inlineStr">
        <is>
          <t>federal statute</t>
        </is>
      </c>
      <c r="E94" s="7" t="inlineStr">
        <is>
          <t>Inflation Reduction Act of 2022</t>
        </is>
      </c>
      <c r="F94" s="7" t="inlineStr">
        <is>
          <t>Pub. L. 117-169, 136 Stat. 1818</t>
        </is>
      </c>
      <c r="G94" s="7" t="inlineStr">
        <is>
          <t>2022-08-16</t>
        </is>
      </c>
      <c r="H94" s="7" t="inlineStr">
        <is>
          <t>in force (credits curtailed 2025 by Pub. L. 119-21)</t>
        </is>
      </c>
      <c r="I94" s="7" t="inlineStr">
        <is>
          <t>Both target domestic manufacturing of clean-energy technologies, but the IRA works mainly through tax credits and grants while the NZIA uses capacity benchmarks, permitting deadlines and procurement/auction criteria.</t>
        </is>
      </c>
      <c r="J94" s="7" t="inlineStr">
        <is>
          <t>26 CFR part 1 (Treasury guidance on sections 45X, 48C, domestic content)</t>
        </is>
      </c>
      <c r="K94" s="7" t="inlineStr">
        <is>
          <t>CHIPS and Science Act (Pub. L. 117-167); Infrastructure Investment and Jobs Act (Pub. L. 117-58)</t>
        </is>
      </c>
      <c r="L94" s="7" t="inlineStr">
        <is>
          <t>https://www.govinfo.gov/app/details/PLAW-117publ169</t>
        </is>
      </c>
      <c r="M94" s="7" t="inlineStr">
        <is>
          <t>govinfo PLAW MODS opened (date, 136 Stat. 1818)</t>
        </is>
      </c>
      <c r="N94" s="7" t="inlineStr">
        <is>
          <t>The 2025 reconciliation act (One Big Beautiful Bill Act) phased out several IRA clean-energy credits; status note from general knowledge, not separately verified.</t>
        </is>
      </c>
    </row>
    <row r="95">
      <c r="A95" s="7" t="n">
        <v>94</v>
      </c>
      <c r="B95" s="7" t="inlineStr">
        <is>
          <t>Right to Repair Directive</t>
        </is>
      </c>
      <c r="C95" s="7" t="inlineStr">
        <is>
          <t>state only</t>
        </is>
      </c>
      <c r="D95" s="7" t="inlineStr">
        <is>
          <t>state law</t>
        </is>
      </c>
      <c r="E95" s="7" t="inlineStr">
        <is>
          <t>California Right to Repair Act (SB 244)</t>
        </is>
      </c>
      <c r="F95" s="7" t="inlineStr">
        <is>
          <t>Cal. Pub. Res. Code 42488 et seq. (SB 244, Stats. 2023, ch. 704)</t>
        </is>
      </c>
      <c r="G95" s="7" t="inlineStr">
        <is>
          <t>2023-10-10</t>
        </is>
      </c>
      <c r="H95" s="7" t="inlineStr">
        <is>
          <t>in force (from 2024-07-01)</t>
        </is>
      </c>
      <c r="I95" s="7" t="inlineStr">
        <is>
          <t>SB 244 requires makers of electronics and appliances to provide parts, tools and documentation for 3-7 years, close to the Directive's repair-availability duties, but it is a single-state law and lacks the EU obligation to repair beyond warranty.</t>
        </is>
      </c>
      <c r="J95" s="7" t="inlineStr"/>
      <c r="K95" s="7" t="inlineStr">
        <is>
          <t>Magnuson-Moss Warranty Act (Pub. L. 93-637, 88 Stat. 2183, 1975), anti-tying rule; New York Digital Fair Repair Act (2022); Minnesota Digital Fair Repair Act (2023); FTC 'Nixing the Fix' report (2021)</t>
        </is>
      </c>
      <c r="L95" s="7" t="inlineStr">
        <is>
          <t>https://leginfo.legislature.ca.gov/faces/billNavClient.xhtml?bill_id=202320240SB244</t>
        </is>
      </c>
      <c r="M95" s="7" t="inlineStr">
        <is>
          <t>search summary (LegiScan chaptered text: ch. 704, Stats. 2023, Pub. Res. Code 42488); LII 15 U.S.C. 2301 source credit read for Magnuson-Moss</t>
        </is>
      </c>
      <c r="N95" s="7" t="inlineStr">
        <is>
          <t>Date is the chaptering date; governor approval was days earlier.</t>
        </is>
      </c>
    </row>
    <row r="96">
      <c r="A96" s="7" t="n">
        <v>95</v>
      </c>
      <c r="B96" s="7" t="inlineStr">
        <is>
          <t>Cyber Solidarity Act</t>
        </is>
      </c>
      <c r="C96" s="7" t="inlineStr">
        <is>
          <t>partial</t>
        </is>
      </c>
      <c r="D96" s="7" t="inlineStr">
        <is>
          <t>federal statute</t>
        </is>
      </c>
      <c r="E96" s="7" t="inlineStr">
        <is>
          <t>Cyber Response and Recovery Act (IIJA)</t>
        </is>
      </c>
      <c r="F96" s="7" t="inlineStr">
        <is>
          <t>Pub. L. 117-58, div. G, title VI, §§ 70601-70602, 135 Stat. 429 (6 U.S.C. 677-677h)</t>
        </is>
      </c>
      <c r="G96" s="7" t="inlineStr">
        <is>
          <t>2021-11-15</t>
        </is>
      </c>
      <c r="H96" s="7" t="inlineStr">
        <is>
          <t>in force (fund authorisation time-limited)</t>
        </is>
      </c>
      <c r="I96" s="7" t="inlineStr">
        <is>
          <t>The Cyber Response and Recovery Act lets DHS declare a significant cyber incident and draw on a Cyber Response and Recovery Fund, similar to the EU Cyber Emergency Mechanism, but it has no counterpart to the cross-border SOC alert network or EU-level reserve of private providers.</t>
        </is>
      </c>
      <c r="J96" s="7" t="inlineStr"/>
      <c r="K96" s="7" t="inlineStr">
        <is>
          <t>Cybersecurity Information Sharing Act of 2015 (Pub. L. 114-113, div. N); State and Local Cybersecurity Grant Program (IIJA § 70612, 6 U.S.C. 665g); Cyber Incident Reporting for Critical Infrastructure Act of 2022</t>
        </is>
      </c>
      <c r="L96" s="7" t="inlineStr">
        <is>
          <t>https://www.govinfo.gov/app/details/PLAW-117publ58</t>
        </is>
      </c>
      <c r="M96" s="7" t="inlineStr">
        <is>
          <t>govinfo PLAW MODS opened; LII 6 U.S.C. 677, 677a and 665g source credits read</t>
        </is>
      </c>
      <c r="N96" s="7" t="inlineStr"/>
    </row>
    <row r="97">
      <c r="A97" s="7" t="n">
        <v>96</v>
      </c>
      <c r="B97" s="7" t="inlineStr">
        <is>
          <t>Compulsory licensing of patents Regulation</t>
        </is>
      </c>
      <c r="C97" s="7" t="inlineStr">
        <is>
          <t>partial</t>
        </is>
      </c>
      <c r="D97" s="7" t="inlineStr">
        <is>
          <t>federal statute</t>
        </is>
      </c>
      <c r="E97" s="7" t="inlineStr">
        <is>
          <t>Government use of patented inventions (28 U.S.C. 1498)</t>
        </is>
      </c>
      <c r="F97" s="7" t="inlineStr">
        <is>
          <t>28 U.S.C. 1498 (Act of June 25, 1948, ch. 646, 62 Stat. 941)</t>
        </is>
      </c>
      <c r="G97" s="7" t="inlineStr">
        <is>
          <t>1948-06-25</t>
        </is>
      </c>
      <c r="H97" s="7" t="inlineStr">
        <is>
          <t>in force</t>
        </is>
      </c>
      <c r="I97" s="7" t="inlineStr">
        <is>
          <t>Section 1498 lets the US government use any patent without consent subject to compensation, which serves the crisis-supply purpose of an EU compulsory licence, but it is a standing government-use right enforced via damages rather than a crisis-triggered licensing procedure.</t>
        </is>
      </c>
      <c r="J97" s="7" t="inlineStr"/>
      <c r="K97" s="7" t="inlineStr">
        <is>
          <t>Bayh-Dole Act march-in rights (35 U.S.C. 203; Pub. L. 96-517, 94 Stat. 3015, 1980); Defense Production Act of 1950; Clean Air Act mandatory licensing (42 U.S.C. 7608)</t>
        </is>
      </c>
      <c r="L97" s="7" t="inlineStr">
        <is>
          <t>https://uscode.house.gov/view.xhtml?req=granuleid:USC-prelim-title28-section1498&amp;num=0&amp;edition=prelim</t>
        </is>
      </c>
      <c r="M97" s="7" t="inlineStr">
        <is>
          <t>LII 28 U.S.C. 1498 and 35 U.S.C. 203 source credits read; govinfo STATUTE-94 granule MODS opened</t>
        </is>
      </c>
      <c r="N97" s="7" t="inlineStr"/>
    </row>
    <row r="98">
      <c r="A98" s="7" t="n">
        <v>97</v>
      </c>
      <c r="B98" s="7" t="inlineStr">
        <is>
          <t>Strategic Technologies for Europe Platform (STEP)</t>
        </is>
      </c>
      <c r="C98" s="7" t="inlineStr">
        <is>
          <t>partial</t>
        </is>
      </c>
      <c r="D98" s="7" t="inlineStr">
        <is>
          <t>federal statute</t>
        </is>
      </c>
      <c r="E98" s="7" t="inlineStr">
        <is>
          <t>CHIPS and Science Act</t>
        </is>
      </c>
      <c r="F98" s="7" t="inlineStr">
        <is>
          <t>Pub. L. 117-167, 136 Stat. 1366</t>
        </is>
      </c>
      <c r="G98" s="7" t="inlineStr">
        <is>
          <t>2022-08-09</t>
        </is>
      </c>
      <c r="H98" s="7" t="inlineStr">
        <is>
          <t>in force</t>
        </is>
      </c>
      <c r="I98" s="7" t="inlineStr">
        <is>
          <t>Both channel public funding into strategic technologies (semiconductors, deep tech, clean tech), but CHIPS creates new dedicated appropriations and tax credits whereas STEP re-targets existing EU funds under a label and portal.</t>
        </is>
      </c>
      <c r="J98" s="7" t="inlineStr">
        <is>
          <t>15 CFR part 231 (CHIPS incentives national security guardrails)</t>
        </is>
      </c>
      <c r="K98" s="7" t="inlineStr">
        <is>
          <t>Inflation Reduction Act of 2022 (Pub. L. 117-169); Infrastructure Investment and Jobs Act (Pub. L. 117-58)</t>
        </is>
      </c>
      <c r="L98" s="7" t="inlineStr">
        <is>
          <t>https://www.govinfo.gov/app/details/PLAW-117publ167</t>
        </is>
      </c>
      <c r="M98" s="7" t="inlineStr">
        <is>
          <t>govinfo PLAW MODS opened (date, 136 Stat. 1366)</t>
        </is>
      </c>
      <c r="N98" s="7" t="inlineStr">
        <is>
          <t>EU budget programme; partial match by purpose only.</t>
        </is>
      </c>
    </row>
    <row r="99">
      <c r="A99" s="7" t="n">
        <v>98</v>
      </c>
      <c r="B99" s="7" t="inlineStr">
        <is>
          <t>Financial Data Access Regulation (FiDA)</t>
        </is>
      </c>
      <c r="C99" s="7" t="inlineStr">
        <is>
          <t>close</t>
        </is>
      </c>
      <c r="D99" s="7" t="inlineStr">
        <is>
          <t>federal statute</t>
        </is>
      </c>
      <c r="E99" s="7" t="inlineStr">
        <is>
          <t>Dodd-Frank Act section 1033 (consumer rights to access information) and CFPB Personal Financial Data Rights rule</t>
        </is>
      </c>
      <c r="F99" s="7" t="inlineStr">
        <is>
          <t>Pub. L. 111-203, title X, § 1033, 124 Stat. 1376, 2008 (12 U.S.C. 5533); rule 12 CFR part 1033, 89 FR 90838</t>
        </is>
      </c>
      <c r="G99" s="7" t="inlineStr">
        <is>
          <t>2010-07-21</t>
        </is>
      </c>
      <c r="H99" s="7" t="inlineStr">
        <is>
          <t>statute in force; 2024 rule under reconsideration (ANPR 90 FR 40986, 2025-08-22), compliance dates stayed</t>
        </is>
      </c>
      <c r="I99" s="7" t="inlineStr">
        <is>
          <t>Section 1033 and its 2024 rule give consumers and authorised third parties a right to access financial account data, the same core purpose as FiDA, though the US rule so far covers deposit and card accounts rather than FiDA's wider investment, pension and insurance data.</t>
        </is>
      </c>
      <c r="J99" s="7" t="inlineStr">
        <is>
          <t>12 CFR part 1033 (89 FR 90838, 2024-11-18)</t>
        </is>
      </c>
      <c r="K99" s="7" t="inlineStr">
        <is>
          <t>CFPB industry standard-setting rule (89 FR 49084, 2024-06-11)</t>
        </is>
      </c>
      <c r="L99" s="7" t="inlineStr">
        <is>
          <t>https://www.govinfo.gov/app/details/PLAW-111publ203</t>
        </is>
      </c>
      <c r="M99" s="7" t="inlineStr">
        <is>
          <t>govinfo PLAW MODS opened; LII 12 U.S.C. 5533 source credit read; FR API search for rule and reconsideration</t>
        </is>
      </c>
      <c r="N99" s="7" t="inlineStr">
        <is>
          <t>Rule litigation status (court stay) from general knowledge.</t>
        </is>
      </c>
    </row>
    <row r="100">
      <c r="A100" s="7" t="n">
        <v>99</v>
      </c>
      <c r="B100" s="7" t="inlineStr">
        <is>
          <t>Payment Services Regulation (PSR)</t>
        </is>
      </c>
      <c r="C100" s="7" t="inlineStr">
        <is>
          <t>partial</t>
        </is>
      </c>
      <c r="D100" s="7" t="inlineStr">
        <is>
          <t>federal statute</t>
        </is>
      </c>
      <c r="E100" s="7" t="inlineStr">
        <is>
          <t>Electronic Fund Transfer Act</t>
        </is>
      </c>
      <c r="F100" s="7" t="inlineStr">
        <is>
          <t>Pub. L. 95-630, title XX, 92 Stat. 3728 (15 U.S.C. 1693 et seq.)</t>
        </is>
      </c>
      <c r="G100" s="7" t="inlineStr">
        <is>
          <t>1978-11-10</t>
        </is>
      </c>
      <c r="H100" s="7" t="inlineStr">
        <is>
          <t>in force</t>
        </is>
      </c>
      <c r="I100" s="7" t="inlineStr">
        <is>
          <t>The EFTA and Regulation E set consumer rights for electronic payments (disclosures, error resolution, unauthorised-transfer liability, remittances), overlapping with PSR's user-protection rules, but do not cover PSR's open-banking access, fraud-sharing or IBAN-name verification duties.</t>
        </is>
      </c>
      <c r="J100" s="7" t="inlineStr">
        <is>
          <t>12 CFR part 1005 (Regulation E)</t>
        </is>
      </c>
      <c r="K100" s="7" t="inlineStr">
        <is>
          <t>CFPB larger participant rule for digital payment apps (89 FR 99582, 2024-12-10), overturned by Congress 2025; GENIUS Act (Pub. L. 119-27, 2025) for stablecoin payments</t>
        </is>
      </c>
      <c r="L100" s="7" t="inlineStr">
        <is>
          <t>https://uscode.house.gov/view.xhtml?req=granuleid:USC-prelim-title15-section1693&amp;num=0&amp;edition=prelim</t>
        </is>
      </c>
      <c r="M100" s="7" t="inlineStr">
        <is>
          <t>LII 15 U.S.C. 1693 source credit read; FR API search</t>
        </is>
      </c>
      <c r="N100" s="7" t="inlineStr">
        <is>
          <t>EFTA was enacted as title XX of the Financial Institutions Regulatory and Interest Rate Control Act of 1978. CRA repeal of the larger participant rule from general knowledge.</t>
        </is>
      </c>
    </row>
    <row r="101">
      <c r="A101" s="7" t="n">
        <v>100</v>
      </c>
      <c r="B101" s="7" t="inlineStr">
        <is>
          <t>Payment Services Directive 3 (PSD3)</t>
        </is>
      </c>
      <c r="C101" s="7" t="inlineStr">
        <is>
          <t>state only</t>
        </is>
      </c>
      <c r="D101" s="7" t="inlineStr">
        <is>
          <t>state law</t>
        </is>
      </c>
      <c r="E101" s="7" t="inlineStr">
        <is>
          <t>California Money Transmission Act</t>
        </is>
      </c>
      <c r="F101" s="7" t="inlineStr">
        <is>
          <t>Cal. Fin. Code 2000 et seq. (AB 2789, Stats. 2010, ch. 612)</t>
        </is>
      </c>
      <c r="G101" s="7" t="inlineStr">
        <is>
          <t>2010-09-30</t>
        </is>
      </c>
      <c r="H101" s="7" t="inlineStr">
        <is>
          <t>in force (effective 2011-07-01)</t>
        </is>
      </c>
      <c r="I101" s="7" t="inlineStr">
        <is>
          <t>Licensing and prudential supervision of non-bank payment and e-money firms, PSD3's core, is done in the US by state money-transmitter laws, California's being the most prominent; there is only a federal registration duty, not a federal licence.</t>
        </is>
      </c>
      <c r="J101" s="7" t="inlineStr"/>
      <c r="K101" s="7" t="inlineStr">
        <is>
          <t>Registration of money transmitting businesses, 31 U.S.C. 5330 (Pub. L. 103-325, 1994); CSBS Money Transmission Modernization Act (model state law)</t>
        </is>
      </c>
      <c r="L101" s="7" t="inlineStr">
        <is>
          <t>https://law.justia.com/codes/california/code-fin/division-1-2/chapter-1/section-2000</t>
        </is>
      </c>
      <c r="M101" s="7" t="inlineStr">
        <is>
          <t>search summary (Senate committee analysis gives ch. 612, Stats. 2010; signed 2010-09-30); LII 31 U.S.C. 5330 source credit read</t>
        </is>
      </c>
      <c r="N101" s="7" t="inlineStr">
        <is>
          <t>Official leginfo site blocked by Cloudflare; Justia link used for code text.</t>
        </is>
      </c>
    </row>
    <row r="102">
      <c r="A102" s="7" t="n">
        <v>101</v>
      </c>
      <c r="B102" s="7" t="inlineStr">
        <is>
          <t>Digital Euro Regulation</t>
        </is>
      </c>
      <c r="C102" s="7" t="inlineStr">
        <is>
          <t>none</t>
        </is>
      </c>
      <c r="D102" s="7" t="inlineStr">
        <is>
          <t>none</t>
        </is>
      </c>
      <c r="E102" s="7" t="inlineStr"/>
      <c r="F102" s="7" t="inlineStr"/>
      <c r="G102" s="7" t="inlineStr"/>
      <c r="H102" s="7" t="inlineStr"/>
      <c r="I102" s="7" t="inlineStr">
        <is>
          <t>None: the US has no retail CBDC; federal policy runs the other way, with Executive Order 14178 (2025) prohibiting agencies from establishing a CBDC and a House-passed bill to bar the Federal Reserve from issuing one.</t>
        </is>
      </c>
      <c r="J102" s="7" t="inlineStr"/>
      <c r="K102" s="7" t="inlineStr">
        <is>
          <t>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is>
      </c>
      <c r="L102" s="7" t="inlineStr"/>
      <c r="M102" s="7" t="inlineStr">
        <is>
          <t>FR API for EO 14178; govinfo MODS for BILLS-119hr1919ih/eh and PLAW-119publ27</t>
        </is>
      </c>
      <c r="N102" s="7" t="inlineStr">
        <is>
          <t>Opposite policy stance; the anti-CBDC bill or EO could be measured as a contrast case.</t>
        </is>
      </c>
    </row>
    <row r="103">
      <c r="A103" s="7" t="n">
        <v>102</v>
      </c>
      <c r="B103" s="7" t="inlineStr">
        <is>
          <t>GDPR Procedural Regulation</t>
        </is>
      </c>
      <c r="C103" s="7" t="inlineStr">
        <is>
          <t>none</t>
        </is>
      </c>
      <c r="D103" s="7" t="inlineStr">
        <is>
          <t>none</t>
        </is>
      </c>
      <c r="E103" s="7" t="inlineStr"/>
      <c r="F103" s="7" t="inlineStr"/>
      <c r="G103" s="7" t="inlineStr"/>
      <c r="H103" s="7" t="inlineStr"/>
      <c r="I103" s="7" t="inlineStr">
        <is>
          <t>None: the regulation sets procedures for cooperation among EU data protection authorities in cross-border GDPR cases; the US has no comprehensive federal privacy law and no network of regulators to coordinate.</t>
        </is>
      </c>
      <c r="J103" s="7" t="inlineStr"/>
      <c r="K103" s="7" t="inlineStr">
        <is>
          <t>FTC Rules of Practice (16 CFR parts 2-4) for Section 5 privacy enforcement; California Privacy Protection Agency enforcement regulations</t>
        </is>
      </c>
      <c r="L103" s="7" t="inlineStr"/>
      <c r="M103" s="7" t="inlineStr">
        <is>
          <t>none needed (no counterpart)</t>
        </is>
      </c>
      <c r="N103" s="7" t="inlineStr">
        <is>
          <t>EU enforcement-coordination mechanism.</t>
        </is>
      </c>
    </row>
    <row r="104">
      <c r="A104" s="7" t="n">
        <v>103</v>
      </c>
      <c r="B104" s="7" t="inlineStr">
        <is>
          <t>Toys Safety Regulation</t>
        </is>
      </c>
      <c r="C104" s="7" t="inlineStr">
        <is>
          <t>close</t>
        </is>
      </c>
      <c r="D104" s="7" t="inlineStr">
        <is>
          <t>federal statute</t>
        </is>
      </c>
      <c r="E104" s="7" t="inlineStr">
        <is>
          <t>Consumer Product Safety Improvement Act of 2008</t>
        </is>
      </c>
      <c r="F104" s="7" t="inlineStr">
        <is>
          <t>Pub. L. 110-314, 122 Stat. 3016</t>
        </is>
      </c>
      <c r="G104" s="7" t="inlineStr">
        <is>
          <t>2008-08-14</t>
        </is>
      </c>
      <c r="H104" s="7" t="inlineStr">
        <is>
          <t>in force</t>
        </is>
      </c>
      <c r="I104" s="7" t="inlineStr">
        <is>
          <t>CPSIA made the ASTM F963 toy standard mandatory, set lead and phthalate limits and required third-party testing and certification of children's products, the same core purpose as the EU Toy Safety Regulation, though without a digital product passport.</t>
        </is>
      </c>
      <c r="J104" s="7" t="inlineStr">
        <is>
          <t>16 CFR part 1250 (toy safety, ASTM F963; latest update 89 FR 3344, 2024-01-18); 16 CFR part 1307 (phthalates)</t>
        </is>
      </c>
      <c r="K104" s="7" t="inlineStr">
        <is>
          <t>Consumer Product Safety Act (1972); Federal Hazardous Substances Act</t>
        </is>
      </c>
      <c r="L104" s="7" t="inlineStr">
        <is>
          <t>https://www.govinfo.gov/app/details/PLAW-110publ314</t>
        </is>
      </c>
      <c r="M104" s="7" t="inlineStr">
        <is>
          <t>govinfo PLAW MODS opened; FR API search for 16 CFR 1250 rules</t>
        </is>
      </c>
      <c r="N104" s="7" t="inlineStr"/>
    </row>
    <row r="105">
      <c r="A105" s="7" t="n">
        <v>104</v>
      </c>
      <c r="B105" s="7" t="inlineStr">
        <is>
          <t>Late Payment Regulation</t>
        </is>
      </c>
      <c r="C105" s="7" t="inlineStr">
        <is>
          <t>partial</t>
        </is>
      </c>
      <c r="D105" s="7" t="inlineStr">
        <is>
          <t>federal statute</t>
        </is>
      </c>
      <c r="E105" s="7" t="inlineStr">
        <is>
          <t>Prompt Payment Act</t>
        </is>
      </c>
      <c r="F105" s="7" t="inlineStr">
        <is>
          <t>Pub. L. 97-177, 96 Stat. 85 (31 U.S.C. 3901-3907)</t>
        </is>
      </c>
      <c r="G105" s="7" t="inlineStr">
        <is>
          <t>1982-05-21</t>
        </is>
      </c>
      <c r="H105" s="7" t="inlineStr">
        <is>
          <t>in force (recodified 1983)</t>
        </is>
      </c>
      <c r="I105" s="7" t="inlineStr">
        <is>
          <t>The Prompt Payment Act requires federal agencies to pay contractors within set periods or owe interest, matching the EU proposal's public-authority leg, but it does not cap B2B payment terms as the EU regulation would.</t>
        </is>
      </c>
      <c r="J105" s="7" t="inlineStr">
        <is>
          <t>5 CFR part 1315</t>
        </is>
      </c>
      <c r="K105" s="7" t="inlineStr">
        <is>
          <t>State prompt payment acts for public and private construction contracts; New York City Freelance Isn't Free Act (local)</t>
        </is>
      </c>
      <c r="L105" s="7" t="inlineStr">
        <is>
          <t>https://www.govinfo.gov/app/details/STATUTE-96/STATUTE-96-Pg85</t>
        </is>
      </c>
      <c r="M105" s="7" t="inlineStr">
        <is>
          <t>govinfo STATUTE-96 granule MODS opened; LII 31 U.S.C. 3901 revision notes read</t>
        </is>
      </c>
      <c r="N105" s="7" t="inlineStr">
        <is>
          <t>Recodified into title 31 by Pub. L. 97-452 (1983).</t>
        </is>
      </c>
    </row>
    <row r="106">
      <c r="A106" s="7" t="n">
        <v>105</v>
      </c>
      <c r="B106" s="7" t="inlineStr">
        <is>
          <t>Child Sexual Abuse Directive (recast)</t>
        </is>
      </c>
      <c r="C106" s="7" t="inlineStr">
        <is>
          <t>partial</t>
        </is>
      </c>
      <c r="D106" s="7" t="inlineStr">
        <is>
          <t>federal statute</t>
        </is>
      </c>
      <c r="E106" s="7" t="inlineStr">
        <is>
          <t>PROTECT Act</t>
        </is>
      </c>
      <c r="F106" s="7" t="inlineStr">
        <is>
          <t>Pub. L. 108-21, 117 Stat. 650</t>
        </is>
      </c>
      <c r="G106" s="7" t="inlineStr">
        <is>
          <t>2003-04-30</t>
        </is>
      </c>
      <c r="H106" s="7" t="inlineStr">
        <is>
          <t>in force</t>
        </is>
      </c>
      <c r="I106" s="7" t="inlineStr">
        <is>
          <t>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is>
      </c>
      <c r="J106" s="7" t="inlineStr"/>
      <c r="K106" s="7" t="inlineStr">
        <is>
          <t>18 U.S.C. 2251-2260A (sexual exploitation of children); Adam Walsh Child Protection and Safety Act of 2006 (Pub. L. 109-248); TAKE IT DOWN Act (Pub. L. 119-12, 139 Stat. 55, 2025); EARN IT Act (proposed, not enacted)</t>
        </is>
      </c>
      <c r="L106" s="7" t="inlineStr">
        <is>
          <t>https://www.govinfo.gov/app/details/PLAW-108publ21</t>
        </is>
      </c>
      <c r="M106" s="7" t="inlineStr">
        <is>
          <t>govinfo PLAW MODS opened for 108publ21 and 119publ12</t>
        </is>
      </c>
      <c r="N106" s="7" t="inlineStr">
        <is>
          <t>EU act is a recast of Directive 2011/93/EU.</t>
        </is>
      </c>
    </row>
    <row r="107">
      <c r="A107" s="7" t="n">
        <v>106</v>
      </c>
      <c r="B107" s="7" t="inlineStr">
        <is>
          <t>EU Digital Travel Application Regulation</t>
        </is>
      </c>
      <c r="C107" s="7" t="inlineStr">
        <is>
          <t>agency rule only</t>
        </is>
      </c>
      <c r="D107" s="7" t="inlineStr">
        <is>
          <t>federal agency rule</t>
        </is>
      </c>
      <c r="E107" s="7" t="inlineStr">
        <is>
          <t>TSA mobile driver's licence rule (REAL ID)</t>
        </is>
      </c>
      <c r="F107" s="7" t="inlineStr">
        <is>
          <t>6 CFR part 37, 89 FR 85340</t>
        </is>
      </c>
      <c r="G107" s="7" t="inlineStr">
        <is>
          <t>2024-10-25</t>
        </is>
      </c>
      <c r="H107" s="7" t="inlineStr">
        <is>
          <t>in force</t>
        </is>
      </c>
      <c r="I107" s="7" t="inlineStr">
        <is>
          <t>The TSA rule lets agencies accept digital identity credentials (mDLs) at federal checkpoints, a similar digital-credential idea, while US border digital-passport submission (CBP Mobile Passport Control) runs as a programme without a dedicated statute or rule.</t>
        </is>
      </c>
      <c r="J107" s="7" t="inlineStr">
        <is>
          <t>6 CFR part 37</t>
        </is>
      </c>
      <c r="K107" s="7" t="inlineStr">
        <is>
          <t>REAL ID Act of 2005 (Pub. L. 109-13, div. B); CBP Mobile Passport Control app (programme, no rule)</t>
        </is>
      </c>
      <c r="L107" s="7" t="inlineStr">
        <is>
          <t>https://www.federalregister.gov/documents/2024/10/25/2024-23881/minimum-standards-for-drivers-licenses-and-identification-cards-acceptable-by-federal-agencies-for</t>
        </is>
      </c>
      <c r="M107" s="7" t="inlineStr">
        <is>
          <t>FR API search (89 FR 85340, 2024-10-25)</t>
        </is>
      </c>
      <c r="N107" s="7" t="inlineStr">
        <is>
          <t>Weak match: domestic identity check rather than Schengen border crossing.</t>
        </is>
      </c>
    </row>
    <row r="108">
      <c r="A108" s="7" t="n">
        <v>107</v>
      </c>
      <c r="B108" s="7" t="inlineStr">
        <is>
          <t>EU Space Act</t>
        </is>
      </c>
      <c r="C108" s="7" t="inlineStr">
        <is>
          <t>partial</t>
        </is>
      </c>
      <c r="D108" s="7" t="inlineStr">
        <is>
          <t>federal statute</t>
        </is>
      </c>
      <c r="E108" s="7" t="inlineStr">
        <is>
          <t>Commercial Space Launch Act</t>
        </is>
      </c>
      <c r="F108" s="7" t="inlineStr">
        <is>
          <t>Pub. L. 98-575, 98 Stat. 3055 (51 U.S.C. 50901 et seq.)</t>
        </is>
      </c>
      <c r="G108" s="7" t="inlineStr">
        <is>
          <t>1984-10-30</t>
        </is>
      </c>
      <c r="H108" s="7" t="inlineStr">
        <is>
          <t>in force (recodified 2010, amended 2015)</t>
        </is>
      </c>
      <c r="I108" s="7" t="inlineStr">
        <is>
          <t>The Act set up FAA licensing of commercial launch and re-entry, overlapping with the EU Space Act's authorisation of space operators, but the EU act also covers in-orbit safety, debris, cybersecurity and environmental footprint, which the US splits across FCC and NOAA rules.</t>
        </is>
      </c>
      <c r="J108" s="7" t="inlineStr">
        <is>
          <t>14 CFR part 450 (launch and re-entry licensing); 47 CFR part 25 (FCC satellite and orbital debris rules); 15 CFR part 960 (remote sensing)</t>
        </is>
      </c>
      <c r="K108" s="7" t="inlineStr">
        <is>
          <t>U.S. Commercial Space Launch Competitiveness Act (Pub. L. 114-90, 2015); Land Remote Sensing Policy Act of 1992; Executive Order on Enabling Competition in the Commercial Space Industry (90 FR 40219, 2025-08-19)</t>
        </is>
      </c>
      <c r="L108" s="7" t="inlineStr">
        <is>
          <t>https://uscode.house.gov/view.xhtml?req=granuleid:USC-prelim-title51-section50901&amp;num=0&amp;edition=prelim</t>
        </is>
      </c>
      <c r="M108" s="7" t="inlineStr">
        <is>
          <t>LII 51 U.S.C. revision notes read (Pub. L. 98-575, 98 Stat. 3055, Oct. 30, 1984); govinfo MODS for PLAW-114publ90; FR API for 2025 EO</t>
        </is>
      </c>
      <c r="N108" s="7" t="inlineStr"/>
    </row>
    <row r="109">
      <c r="A109" s="7" t="n">
        <v>108</v>
      </c>
      <c r="B109" s="7" t="inlineStr">
        <is>
          <t>European Standardisation Regulation</t>
        </is>
      </c>
      <c r="C109" s="7" t="inlineStr">
        <is>
          <t>partial</t>
        </is>
      </c>
      <c r="D109" s="7" t="inlineStr">
        <is>
          <t>federal statute</t>
        </is>
      </c>
      <c r="E109" s="7" t="inlineStr">
        <is>
          <t>National Technology Transfer and Advancement Act of 1995</t>
        </is>
      </c>
      <c r="F109" s="7" t="inlineStr">
        <is>
          <t>Pub. L. 104-113, 110 Stat. 775</t>
        </is>
      </c>
      <c r="G109" s="7" t="inlineStr">
        <is>
          <t>1996-03-07</t>
        </is>
      </c>
      <c r="H109" s="7" t="inlineStr">
        <is>
          <t>in force</t>
        </is>
      </c>
      <c r="I109" s="7" t="inlineStr">
        <is>
          <t>Section 12(d) requires federal agencies to use voluntary consensus standards in regulation and procurement, overlapping with the EU regime for using harmonised standards, but the US has no mandated standards bodies or Commission standardisation requests.</t>
        </is>
      </c>
      <c r="J109" s="7" t="inlineStr">
        <is>
          <t>OMB Circular A-119 (2016 revision)</t>
        </is>
      </c>
      <c r="K109" s="7" t="inlineStr"/>
      <c r="L109" s="7" t="inlineStr">
        <is>
          <t>https://www.govinfo.gov/app/details/PLAW-104publ113</t>
        </is>
      </c>
      <c r="M109" s="7" t="inlineStr">
        <is>
          <t>govinfo PLAW MODS opened (title, date, 110 Stat. 775)</t>
        </is>
      </c>
      <c r="N109" s="7" t="inlineStr">
        <is>
          <t>Despite the 1995 name, the Act was signed 1996-03-07.</t>
        </is>
      </c>
    </row>
    <row r="110">
      <c r="A110" s="7" t="n">
        <v>109</v>
      </c>
      <c r="B110" s="7" t="inlineStr">
        <is>
          <t>Electromagnetic Compatibility Directive</t>
        </is>
      </c>
      <c r="C110" s="7" t="inlineStr">
        <is>
          <t>close</t>
        </is>
      </c>
      <c r="D110" s="7" t="inlineStr">
        <is>
          <t>federal agency rule</t>
        </is>
      </c>
      <c r="E110" s="7" t="inlineStr">
        <is>
          <t>FCC Part 15 radio frequency devices rules</t>
        </is>
      </c>
      <c r="F110" s="7" t="inlineStr">
        <is>
          <t>47 CFR part 15 (under 47 U.S.C. 302a)</t>
        </is>
      </c>
      <c r="G110" s="7" t="inlineStr"/>
      <c r="H110" s="7" t="inlineStr">
        <is>
          <t>in force</t>
        </is>
      </c>
      <c r="I110" s="7" t="inlineStr">
        <is>
          <t>FCC Part 15 limits unintended radio-frequency emissions from electronic devices and requires equipment authorisation before marketing, the same core purpose as the EMC Directive, though the US rules address emissions rather than immunity.</t>
        </is>
      </c>
      <c r="J110" s="7" t="inlineStr">
        <is>
          <t>47 CFR part 15; 47 CFR part 2 subpart J (equipment authorisation)</t>
        </is>
      </c>
      <c r="K110" s="7" t="inlineStr">
        <is>
          <t>Communications Act section 302, 47 U.S.C. 302a (Pub. L. 90-379, 82 Stat. 290, 1968)</t>
        </is>
      </c>
      <c r="L110" s="7" t="inlineStr">
        <is>
          <t>https://www.ecfr.gov/current/title-47/chapter-I/subchapter-A/part-15</t>
        </is>
      </c>
      <c r="M110" s="7" t="inlineStr">
        <is>
          <t>LII 47 U.S.C. 302a source credit read; FR cite for original Part 15 not verified (pre-1994, outside FR API)</t>
        </is>
      </c>
      <c r="N110" s="7" t="inlineStr">
        <is>
          <t>us_date left empty: Part 15 dates from the 1930s-1989 revisions and no single FR cite was verified.</t>
        </is>
      </c>
    </row>
    <row r="111">
      <c r="A111" s="7" t="n">
        <v>110</v>
      </c>
      <c r="B111" s="7" t="inlineStr">
        <is>
          <t>Radio Equipment Directive</t>
        </is>
      </c>
      <c r="C111" s="7" t="inlineStr">
        <is>
          <t>partial</t>
        </is>
      </c>
      <c r="D111" s="7" t="inlineStr">
        <is>
          <t>federal agency rule</t>
        </is>
      </c>
      <c r="E111" s="7" t="inlineStr">
        <is>
          <t>FCC equipment authorisation rules</t>
        </is>
      </c>
      <c r="F111" s="7" t="inlineStr">
        <is>
          <t>47 CFR part 2 subpart J (under 47 U.S.C. 302a)</t>
        </is>
      </c>
      <c r="G111" s="7" t="inlineStr"/>
      <c r="H111" s="7" t="inlineStr">
        <is>
          <t>in force</t>
        </is>
      </c>
      <c r="I111" s="7" t="inlineStr">
        <is>
          <t>FCC equipment authorisation (certification, supplier's declaration of conformity) governs placing radio devices on the market as the RED does, but US rules focus on spectrum and RF exposure and leave product safety and cybersecurity to separate or voluntary schemes.</t>
        </is>
      </c>
      <c r="J111" s="7" t="inlineStr">
        <is>
          <t>47 CFR part 2 subpart J; 47 CFR part 15; 47 CFR part 8 (IoT Cyber Trust Mark, 89 FR 61242, 2024-07-30)</t>
        </is>
      </c>
      <c r="K111" s="7" t="inlineStr">
        <is>
          <t>Communications Act section 302, 47 U.S.C. 302a (Pub. L. 90-379, 1968)</t>
        </is>
      </c>
      <c r="L111" s="7" t="inlineStr">
        <is>
          <t>https://www.ecfr.gov/current/title-47/chapter-I/subchapter-A/part-2/subpart-J</t>
        </is>
      </c>
      <c r="M111" s="7" t="inlineStr">
        <is>
          <t>LII 47 U.S.C. 302a source credit read; FR API for Cyber Trust Mark rule</t>
        </is>
      </c>
      <c r="N111" s="7" t="inlineStr">
        <is>
          <t>No single FR cite for subpart J; RED's cybersecurity delegated act compares with the voluntary US Cyber Trust Mark.</t>
        </is>
      </c>
    </row>
    <row r="112">
      <c r="A112" s="7" t="n">
        <v>111</v>
      </c>
      <c r="B112" s="7" t="inlineStr">
        <is>
          <t>E-invoicing Directive</t>
        </is>
      </c>
      <c r="C112" s="7" t="inlineStr">
        <is>
          <t>agency rule only</t>
        </is>
      </c>
      <c r="D112" s="7" t="inlineStr">
        <is>
          <t>federal agency rule</t>
        </is>
      </c>
      <c r="E112" s="7" t="inlineStr">
        <is>
          <t>OMB Memorandum M-15-19, Improving Government Efficiency and Saving Taxpayer Dollars Through Electronic Invoicing</t>
        </is>
      </c>
      <c r="F112" s="7" t="inlineStr">
        <is>
          <t>OMB M-15-19</t>
        </is>
      </c>
      <c r="G112" s="7" t="inlineStr">
        <is>
          <t>2015-07-17</t>
        </is>
      </c>
      <c r="H112" s="7" t="inlineStr">
        <is>
          <t>in force (guidance)</t>
        </is>
      </c>
      <c r="I112" s="7" t="inlineStr">
        <is>
          <t>M-15-19 directed federal agencies to move procurement invoices to electronic invoicing by end of FY2018, matching the Directive's public-procurement e-invoicing aim, but as guidance with no binding standard comparable to EN 16931.</t>
        </is>
      </c>
      <c r="J112" s="7" t="inlineStr">
        <is>
          <t>DFARS 252.232-7006 (Wide Area WorkFlow for DoD)</t>
        </is>
      </c>
      <c r="K112" s="7" t="inlineStr">
        <is>
          <t>10 U.S.C. electronic invoice submission requirement for DoD contracts (NDAA FY2001)</t>
        </is>
      </c>
      <c r="L112" s="7" t="inlineStr">
        <is>
          <t>https://www.whitehouse.gov/wp-content/uploads/legacy_drupal_files/omb/memoranda/2015/m-15-19.pdf</t>
        </is>
      </c>
      <c r="M112" s="7" t="inlineStr">
        <is>
          <t>search summary (memo date, title, FY2018 deadline)</t>
        </is>
      </c>
      <c r="N112" s="7" t="inlineStr">
        <is>
          <t>Not a CFR rule; OMB guidance. DoD statutory provision not separately verified.</t>
        </is>
      </c>
    </row>
    <row r="113">
      <c r="A113" s="7" t="n">
        <v>112</v>
      </c>
      <c r="B113" s="7" t="inlineStr">
        <is>
          <t>Portability Regulation</t>
        </is>
      </c>
      <c r="C113" s="7" t="inlineStr">
        <is>
          <t>none</t>
        </is>
      </c>
      <c r="D113" s="7" t="inlineStr">
        <is>
          <t>none</t>
        </is>
      </c>
      <c r="E113" s="7" t="inlineStr"/>
      <c r="F113" s="7" t="inlineStr"/>
      <c r="G113" s="7" t="inlineStr"/>
      <c r="H113" s="7" t="inlineStr"/>
      <c r="I113" s="7" t="inlineStr">
        <is>
          <t>None: the regulation removes geo-blocking of online content subscriptions for travellers within the EU single market; the US is a single national market and has no such rule.</t>
        </is>
      </c>
      <c r="J113" s="7" t="inlineStr"/>
      <c r="K113" s="7" t="inlineStr"/>
      <c r="L113" s="7" t="inlineStr"/>
      <c r="M113" s="7" t="inlineStr">
        <is>
          <t>none needed (no counterpart)</t>
        </is>
      </c>
      <c r="N113" s="7" t="inlineStr">
        <is>
          <t>EU single-market mechanism.</t>
        </is>
      </c>
    </row>
    <row r="114">
      <c r="A114" s="7" t="n">
        <v>113</v>
      </c>
      <c r="B114" s="7" t="inlineStr">
        <is>
          <t>.eu Top-Level Domain Regulation</t>
        </is>
      </c>
      <c r="C114" s="7" t="inlineStr">
        <is>
          <t>partial</t>
        </is>
      </c>
      <c r="D114" s="7" t="inlineStr">
        <is>
          <t>federal statute</t>
        </is>
      </c>
      <c r="E114" s="7" t="inlineStr">
        <is>
          <t>Dot Kids Implementation and Efficiency Act of 2002</t>
        </is>
      </c>
      <c r="F114" s="7" t="inlineStr">
        <is>
          <t>Pub. L. 107-317, 116 Stat. 2766</t>
        </is>
      </c>
      <c r="G114" s="7" t="inlineStr">
        <is>
          <t>2002-12-04</t>
        </is>
      </c>
      <c r="H114" s="7" t="inlineStr">
        <is>
          <t>in force (kids.us suspended in practice since 2012)</t>
        </is>
      </c>
      <c r="I114" s="7" t="inlineStr">
        <is>
          <t>The only US statute on a country-code domain, it sets up the kids.us second-level domain within .us; the .us TLD itself is run by a contractor under NTIA rather than under a statute like the .eu Regulation.</t>
        </is>
      </c>
      <c r="J114" s="7" t="inlineStr"/>
      <c r="K114" s="7" t="inlineStr">
        <is>
          <t>NTIA .us ccTLD administrator contract</t>
        </is>
      </c>
      <c r="L114" s="7" t="inlineStr">
        <is>
          <t>https://www.govinfo.gov/app/details/PLAW-107publ317</t>
        </is>
      </c>
      <c r="M114" s="7" t="inlineStr">
        <is>
          <t>govinfo PLAW MODS opened</t>
        </is>
      </c>
      <c r="N114" s="7" t="inlineStr">
        <is>
          <t>kids.us suspension status from general knowledge.</t>
        </is>
      </c>
    </row>
    <row r="115">
      <c r="A115" s="7" t="n">
        <v>114</v>
      </c>
      <c r="B115" s="7" t="inlineStr">
        <is>
          <t>Interoperability of EU information systems (borders and visa) Regulation</t>
        </is>
      </c>
      <c r="C115" s="7" t="inlineStr">
        <is>
          <t>partial</t>
        </is>
      </c>
      <c r="D115" s="7" t="inlineStr">
        <is>
          <t>federal statute</t>
        </is>
      </c>
      <c r="E115" s="7" t="inlineStr">
        <is>
          <t>Enhanced Border Security and Visa Entry Reform Act of 2002</t>
        </is>
      </c>
      <c r="F115" s="7" t="inlineStr">
        <is>
          <t>Pub. L. 107-173, 116 Stat. 543</t>
        </is>
      </c>
      <c r="G115" s="7" t="inlineStr">
        <is>
          <t>2002-05-14</t>
        </is>
      </c>
      <c r="H115" s="7" t="inlineStr">
        <is>
          <t>in force</t>
        </is>
      </c>
      <c r="I115" s="7" t="inlineStr">
        <is>
          <t>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is>
      </c>
      <c r="J115" s="7" t="inlineStr">
        <is>
          <t>8 CFR part 215 and 235 (biometric entry-exit)</t>
        </is>
      </c>
      <c r="K115" s="7" t="inlineStr">
        <is>
          <t>Intelligence Reform and Terrorism Prevention Act of 2004, sec. 7208 (biometric entry-exit); DHS IDENT/HART biometric system (programme)</t>
        </is>
      </c>
      <c r="L115" s="7" t="inlineStr">
        <is>
          <t>https://www.govinfo.gov/app/details/PLAW-107publ173</t>
        </is>
      </c>
      <c r="M115" s="7" t="inlineStr">
        <is>
          <t>govinfo PLAW MODS opened</t>
        </is>
      </c>
      <c r="N115" s="7" t="inlineStr"/>
    </row>
    <row r="116">
      <c r="A116" s="7" t="n">
        <v>115</v>
      </c>
      <c r="B116" s="7" t="inlineStr">
        <is>
          <t>Short-Term Rental Data Regulation</t>
        </is>
      </c>
      <c r="C116" s="7" t="inlineStr">
        <is>
          <t>none</t>
        </is>
      </c>
      <c r="D116" s="7" t="inlineStr">
        <is>
          <t>none</t>
        </is>
      </c>
      <c r="E116" s="7" t="inlineStr"/>
      <c r="F116" s="7" t="inlineStr"/>
      <c r="G116" s="7" t="inlineStr"/>
      <c r="H116" s="7" t="inlineStr"/>
      <c r="I116" s="7" t="inlineStr">
        <is>
          <t>None at federal or prominent state level: host registration and platform data-sharing for short-term rentals are regulated by city ordinances in the US.</t>
        </is>
      </c>
      <c r="J116" s="7" t="inlineStr"/>
      <c r="K116" s="7" t="inlineStr">
        <is>
          <t>New York City Local Law 18 of 2022 (host registration); San Francisco short-term rental registration ordinance</t>
        </is>
      </c>
      <c r="L116" s="7" t="inlineStr"/>
      <c r="M116" s="7" t="inlineStr">
        <is>
          <t>none needed (no counterpart); local laws from general knowledge, not opened</t>
        </is>
      </c>
      <c r="N116" s="7" t="inlineStr">
        <is>
          <t>Municipal regulation; not a level offered in the schema.</t>
        </is>
      </c>
    </row>
  </sheetData>
  <autoFilter ref="A1:N11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8" customWidth="1" min="4" max="4"/>
    <col width="10" customWidth="1" min="5" max="5"/>
    <col width="12" customWidth="1" min="6" max="6"/>
    <col width="11" customWidth="1" min="7" max="7"/>
    <col width="10" customWidth="1" min="8" max="8"/>
    <col width="44" customWidth="1" min="9" max="9"/>
    <col width="16" customWidth="1" min="10" max="10"/>
    <col width="8" customWidth="1" min="11" max="11"/>
    <col width="10" customWidth="1" min="12" max="12"/>
    <col width="11" customWidth="1" min="13" max="13"/>
    <col width="10" customWidth="1" min="14" max="14"/>
    <col width="12" customWidth="1" min="15" max="15"/>
    <col width="10" customWidth="1" min="16" max="16"/>
    <col width="10" customWidth="1" min="17" max="17"/>
    <col width="16" customWidth="1" min="18" max="18"/>
    <col width="9" customWidth="1" min="19" max="19"/>
    <col width="50" customWidth="1" min="20" max="20"/>
  </cols>
  <sheetData>
    <row r="1" ht="45" customHeight="1">
      <c r="A1" s="1" t="inlineStr">
        <is>
          <t>row_id</t>
        </is>
      </c>
      <c r="B1" s="1" t="inlineStr">
        <is>
          <t>eu_instrument</t>
        </is>
      </c>
      <c r="C1" s="1" t="inlineStr">
        <is>
          <t>eu_celex</t>
        </is>
      </c>
      <c r="D1" s="1" t="inlineStr">
        <is>
          <t>eu_year</t>
        </is>
      </c>
      <c r="E1" s="1" t="inlineStr">
        <is>
          <t>eu_status</t>
        </is>
      </c>
      <c r="F1" s="1" t="inlineStr">
        <is>
          <t>eu_words_articles_annexes</t>
        </is>
      </c>
      <c r="G1" s="1" t="inlineStr">
        <is>
          <t>eu_restrictions</t>
        </is>
      </c>
      <c r="H1" s="1" t="inlineStr">
        <is>
          <t>eu_per_1000</t>
        </is>
      </c>
      <c r="I1" s="1" t="inlineStr">
        <is>
          <t>us_counterpart</t>
        </is>
      </c>
      <c r="J1" s="1" t="inlineStr">
        <is>
          <t>us_level</t>
        </is>
      </c>
      <c r="K1" s="1" t="inlineStr">
        <is>
          <t>us_year</t>
        </is>
      </c>
      <c r="L1" s="1" t="inlineStr">
        <is>
          <t>us_words</t>
        </is>
      </c>
      <c r="M1" s="1" t="inlineStr">
        <is>
          <t>us_restrictions</t>
        </is>
      </c>
      <c r="N1" s="1" t="inlineStr">
        <is>
          <t>us_per_1000</t>
        </is>
      </c>
      <c r="O1" s="1" t="inlineStr">
        <is>
          <t>us_restrictions_precision_adjusted</t>
        </is>
      </c>
      <c r="P1" s="1" t="inlineStr">
        <is>
          <t>eu_minus_us</t>
        </is>
      </c>
      <c r="Q1" s="1" t="inlineStr">
        <is>
          <t>eu_to_us_ratio</t>
        </is>
      </c>
      <c r="R1" s="1" t="inlineStr">
        <is>
          <t>fairness</t>
        </is>
      </c>
      <c r="S1" s="1" t="inlineStr">
        <is>
          <t>included</t>
        </is>
      </c>
      <c r="T1" s="1" t="inlineStr">
        <is>
          <t>fairness_note</t>
        </is>
      </c>
    </row>
    <row r="2">
      <c r="A2" s="7" t="n">
        <v>13</v>
      </c>
      <c r="B2" s="7" t="inlineStr">
        <is>
          <t>Unfair Commercial Practices Directive</t>
        </is>
      </c>
      <c r="C2" s="7" t="inlineStr">
        <is>
          <t>32005L0029</t>
        </is>
      </c>
      <c r="D2" s="7" t="inlineStr">
        <is>
          <t>2005</t>
        </is>
      </c>
      <c r="E2" s="7" t="inlineStr">
        <is>
          <t>adopted</t>
        </is>
      </c>
      <c r="F2" s="7" t="n">
        <v>6250</v>
      </c>
      <c r="G2" s="7" t="n">
        <v>48</v>
      </c>
      <c r="H2" s="7" t="n">
        <v>7.7</v>
      </c>
      <c r="I2" s="7" t="inlineStr">
        <is>
          <t>FTC Act section 5 (15 U.S.C. 45, current)</t>
        </is>
      </c>
      <c r="J2" s="7" t="inlineStr">
        <is>
          <t>federal statute</t>
        </is>
      </c>
      <c r="K2" s="7" t="inlineStr">
        <is>
          <t>1938</t>
        </is>
      </c>
      <c r="L2" s="7" t="n">
        <v>3637</v>
      </c>
      <c r="M2" s="7" t="n">
        <v>40</v>
      </c>
      <c r="N2" s="7" t="n">
        <v>11</v>
      </c>
      <c r="O2" s="7" t="n">
        <v>32</v>
      </c>
      <c r="P2" s="7">
        <f>G2-M2</f>
        <v/>
      </c>
      <c r="Q2" s="7">
        <f>IF(M2&gt;0,ROUND(G2/M2,1),"")</f>
        <v/>
      </c>
      <c r="R2" s="7" t="inlineStr">
        <is>
          <t>usable with caveat</t>
        </is>
      </c>
      <c r="S2" s="7" t="inlineStr">
        <is>
          <t>yes</t>
        </is>
      </c>
      <c r="T2" s="7" t="inlineStr"/>
    </row>
    <row r="3">
      <c r="A3" s="7" t="n">
        <v>17</v>
      </c>
      <c r="B3" s="7" t="inlineStr">
        <is>
          <t>Toys Safety Directive</t>
        </is>
      </c>
      <c r="C3" s="7" t="inlineStr">
        <is>
          <t>32009L0048</t>
        </is>
      </c>
      <c r="D3" s="7" t="inlineStr">
        <is>
          <t>2009</t>
        </is>
      </c>
      <c r="E3" s="7" t="inlineStr">
        <is>
          <t>adopted</t>
        </is>
      </c>
      <c r="F3" s="7" t="n">
        <v>15509</v>
      </c>
      <c r="G3" s="7" t="n">
        <v>329</v>
      </c>
      <c r="H3" s="7" t="n">
        <v>21.2</v>
      </c>
      <c r="I3" s="7" t="inlineStr">
        <is>
          <t>Consumer Product Safety Improvement Act (2008)</t>
        </is>
      </c>
      <c r="J3" s="7" t="inlineStr">
        <is>
          <t>federal statute</t>
        </is>
      </c>
      <c r="K3" s="7" t="inlineStr">
        <is>
          <t>2008</t>
        </is>
      </c>
      <c r="L3" s="7" t="n">
        <v>27499</v>
      </c>
      <c r="M3" s="7" t="n">
        <v>244</v>
      </c>
      <c r="N3" s="7" t="n">
        <v>8.9</v>
      </c>
      <c r="O3" s="7" t="n">
        <v>195</v>
      </c>
      <c r="P3" s="7">
        <f>G3-M3</f>
        <v/>
      </c>
      <c r="Q3" s="7">
        <f>IF(M3&gt;0,ROUND(G3/M3,1),"")</f>
        <v/>
      </c>
      <c r="R3" s="7" t="inlineStr">
        <is>
          <t>usable with caveat</t>
        </is>
      </c>
      <c r="S3" s="7" t="inlineStr">
        <is>
          <t>yes</t>
        </is>
      </c>
      <c r="T3" s="7" t="inlineStr"/>
    </row>
    <row r="4">
      <c r="A4" s="7" t="n">
        <v>20</v>
      </c>
      <c r="B4" s="7" t="inlineStr">
        <is>
          <t>General Data Protection Regulation</t>
        </is>
      </c>
      <c r="C4" s="7" t="inlineStr">
        <is>
          <t>32016R0679</t>
        </is>
      </c>
      <c r="D4" s="7" t="inlineStr">
        <is>
          <t>2016</t>
        </is>
      </c>
      <c r="E4" s="7" t="inlineStr">
        <is>
          <t>adopted</t>
        </is>
      </c>
      <c r="F4" s="7" t="n">
        <v>30492</v>
      </c>
      <c r="G4" s="7" t="n">
        <v>417</v>
      </c>
      <c r="H4" s="7" t="n">
        <v>13.7</v>
      </c>
      <c r="I4" s="7" t="inlineStr">
        <is>
          <t>California Consumer Privacy Act, as amended by the CPRA (current)</t>
        </is>
      </c>
      <c r="J4" s="7" t="inlineStr">
        <is>
          <t>state law</t>
        </is>
      </c>
      <c r="K4" s="7" t="inlineStr">
        <is>
          <t>2018</t>
        </is>
      </c>
      <c r="L4" s="7" t="n">
        <v>24688</v>
      </c>
      <c r="M4" s="7" t="n">
        <v>192</v>
      </c>
      <c r="N4" s="7" t="n">
        <v>7.8</v>
      </c>
      <c r="O4" s="7" t="n">
        <v>154</v>
      </c>
      <c r="P4" s="7">
        <f>G4-M4</f>
        <v/>
      </c>
      <c r="Q4" s="7">
        <f>IF(M4&gt;0,ROUND(G4/M4,1),"")</f>
        <v/>
      </c>
      <c r="R4" s="7" t="inlineStr">
        <is>
          <t>usable with caveat</t>
        </is>
      </c>
      <c r="S4" s="7" t="inlineStr">
        <is>
          <t>yes</t>
        </is>
      </c>
      <c r="T4" s="7" t="inlineStr"/>
    </row>
    <row r="5">
      <c r="A5" s="7" t="n">
        <v>26</v>
      </c>
      <c r="B5" s="7" t="inlineStr">
        <is>
          <t>Trade Secrets Directive</t>
        </is>
      </c>
      <c r="C5" s="7" t="inlineStr">
        <is>
          <t>32016L0943</t>
        </is>
      </c>
      <c r="D5" s="7" t="inlineStr">
        <is>
          <t>2016</t>
        </is>
      </c>
      <c r="E5" s="7" t="inlineStr">
        <is>
          <t>adopted</t>
        </is>
      </c>
      <c r="F5" s="7" t="n">
        <v>4472</v>
      </c>
      <c r="G5" s="7" t="n">
        <v>60</v>
      </c>
      <c r="H5" s="7" t="n">
        <v>13.4</v>
      </c>
      <c r="I5" s="7" t="inlineStr">
        <is>
          <t>Defend Trade Secrets Act (2016)</t>
        </is>
      </c>
      <c r="J5" s="7" t="inlineStr">
        <is>
          <t>federal statute</t>
        </is>
      </c>
      <c r="K5" s="7" t="inlineStr">
        <is>
          <t>2016</t>
        </is>
      </c>
      <c r="L5" s="7" t="n">
        <v>4233</v>
      </c>
      <c r="M5" s="7" t="n">
        <v>33</v>
      </c>
      <c r="N5" s="7" t="n">
        <v>7.8</v>
      </c>
      <c r="O5" s="7" t="n">
        <v>26</v>
      </c>
      <c r="P5" s="7">
        <f>G5-M5</f>
        <v/>
      </c>
      <c r="Q5" s="7">
        <f>IF(M5&gt;0,ROUND(G5/M5,1),"")</f>
        <v/>
      </c>
      <c r="R5" s="7" t="inlineStr">
        <is>
          <t>fair</t>
        </is>
      </c>
      <c r="S5" s="7" t="inlineStr">
        <is>
          <t>yes</t>
        </is>
      </c>
      <c r="T5" s="7" t="inlineStr"/>
    </row>
    <row r="6">
      <c r="A6" s="7" t="n">
        <v>35</v>
      </c>
      <c r="B6" s="7" t="inlineStr">
        <is>
          <t>Data protection by EU institutions Regulation</t>
        </is>
      </c>
      <c r="C6" s="7" t="inlineStr">
        <is>
          <t>32018R1725</t>
        </is>
      </c>
      <c r="D6" s="7" t="inlineStr">
        <is>
          <t>2018</t>
        </is>
      </c>
      <c r="E6" s="7" t="inlineStr">
        <is>
          <t>adopted</t>
        </is>
      </c>
      <c r="F6" s="7" t="n">
        <v>24879</v>
      </c>
      <c r="G6" s="7" t="n">
        <v>333</v>
      </c>
      <c r="H6" s="7" t="n">
        <v>13.4</v>
      </c>
      <c r="I6" s="7" t="inlineStr">
        <is>
          <t>Privacy Act (1974)</t>
        </is>
      </c>
      <c r="J6" s="7" t="inlineStr">
        <is>
          <t>federal statute</t>
        </is>
      </c>
      <c r="K6" s="7" t="inlineStr">
        <is>
          <t>1974</t>
        </is>
      </c>
      <c r="L6" s="7" t="n">
        <v>8183</v>
      </c>
      <c r="M6" s="7" t="n">
        <v>73</v>
      </c>
      <c r="N6" s="7" t="n">
        <v>8.9</v>
      </c>
      <c r="O6" s="7" t="n">
        <v>58</v>
      </c>
      <c r="P6" s="7">
        <f>G6-M6</f>
        <v/>
      </c>
      <c r="Q6" s="7">
        <f>IF(M6&gt;0,ROUND(G6/M6,1),"")</f>
        <v/>
      </c>
      <c r="R6" s="7" t="inlineStr">
        <is>
          <t>fair</t>
        </is>
      </c>
      <c r="S6" s="7" t="inlineStr">
        <is>
          <t>yes</t>
        </is>
      </c>
      <c r="T6" s="7" t="inlineStr"/>
    </row>
    <row r="7">
      <c r="A7" s="7" t="n">
        <v>42</v>
      </c>
      <c r="B7" s="7" t="inlineStr">
        <is>
          <t>E-evidence Regulation</t>
        </is>
      </c>
      <c r="C7" s="7" t="inlineStr">
        <is>
          <t>32023R1543</t>
        </is>
      </c>
      <c r="D7" s="7" t="inlineStr">
        <is>
          <t>2023</t>
        </is>
      </c>
      <c r="E7" s="7" t="inlineStr">
        <is>
          <t>adopted</t>
        </is>
      </c>
      <c r="F7" s="7" t="n">
        <v>18360</v>
      </c>
      <c r="G7" s="7" t="n">
        <v>208</v>
      </c>
      <c r="H7" s="7" t="n">
        <v>11.3</v>
      </c>
      <c r="I7" s="7" t="inlineStr">
        <is>
          <t>CLOUD Act (2018, division V of Pub. L. 115-141)</t>
        </is>
      </c>
      <c r="J7" s="7" t="inlineStr">
        <is>
          <t>federal statute</t>
        </is>
      </c>
      <c r="K7" s="7" t="inlineStr">
        <is>
          <t>2018</t>
        </is>
      </c>
      <c r="L7" s="7" t="n">
        <v>5112</v>
      </c>
      <c r="M7" s="7" t="n">
        <v>61</v>
      </c>
      <c r="N7" s="7" t="n">
        <v>11.9</v>
      </c>
      <c r="O7" s="7" t="n">
        <v>49</v>
      </c>
      <c r="P7" s="7">
        <f>G7-M7</f>
        <v/>
      </c>
      <c r="Q7" s="7">
        <f>IF(M7&gt;0,ROUND(G7/M7,1),"")</f>
        <v/>
      </c>
      <c r="R7" s="7" t="inlineStr">
        <is>
          <t>fair</t>
        </is>
      </c>
      <c r="S7" s="7" t="inlineStr">
        <is>
          <t>yes</t>
        </is>
      </c>
      <c r="T7" s="7" t="inlineStr"/>
    </row>
    <row r="8">
      <c r="A8" s="7" t="n">
        <v>43</v>
      </c>
      <c r="B8" s="7" t="inlineStr">
        <is>
          <t>Open Data Directive (PSI)</t>
        </is>
      </c>
      <c r="C8" s="7" t="inlineStr">
        <is>
          <t>32019L1024</t>
        </is>
      </c>
      <c r="D8" s="7" t="inlineStr">
        <is>
          <t>2019</t>
        </is>
      </c>
      <c r="E8" s="7" t="inlineStr">
        <is>
          <t>adopted</t>
        </is>
      </c>
      <c r="F8" s="7" t="n">
        <v>6003</v>
      </c>
      <c r="G8" s="7" t="n">
        <v>98</v>
      </c>
      <c r="H8" s="7" t="n">
        <v>16.3</v>
      </c>
      <c r="I8" s="7" t="inlineStr">
        <is>
          <t>OPEN Government Data Act (2019, title II of Pub. L. 115-435)</t>
        </is>
      </c>
      <c r="J8" s="7" t="inlineStr">
        <is>
          <t>federal statute</t>
        </is>
      </c>
      <c r="K8" s="7" t="inlineStr">
        <is>
          <t>2019</t>
        </is>
      </c>
      <c r="L8" s="7" t="n">
        <v>3991</v>
      </c>
      <c r="M8" s="7" t="n">
        <v>34</v>
      </c>
      <c r="N8" s="7" t="n">
        <v>8.5</v>
      </c>
      <c r="O8" s="7" t="n">
        <v>27</v>
      </c>
      <c r="P8" s="7">
        <f>G8-M8</f>
        <v/>
      </c>
      <c r="Q8" s="7">
        <f>IF(M8&gt;0,ROUND(G8/M8,1),"")</f>
        <v/>
      </c>
      <c r="R8" s="7" t="inlineStr">
        <is>
          <t>fair</t>
        </is>
      </c>
      <c r="S8" s="7" t="inlineStr">
        <is>
          <t>yes</t>
        </is>
      </c>
      <c r="T8" s="7" t="inlineStr"/>
    </row>
    <row r="9">
      <c r="A9" s="7" t="n">
        <v>67</v>
      </c>
      <c r="B9" s="7" t="inlineStr">
        <is>
          <t>General Product Safety Regulation</t>
        </is>
      </c>
      <c r="C9" s="7" t="inlineStr">
        <is>
          <t>32023R0988</t>
        </is>
      </c>
      <c r="D9" s="7" t="inlineStr">
        <is>
          <t>2023</t>
        </is>
      </c>
      <c r="E9" s="7" t="inlineStr">
        <is>
          <t>adopted</t>
        </is>
      </c>
      <c r="F9" s="7" t="n">
        <v>15939</v>
      </c>
      <c r="G9" s="7" t="n">
        <v>249</v>
      </c>
      <c r="H9" s="7" t="n">
        <v>15.6</v>
      </c>
      <c r="I9" s="7" t="inlineStr">
        <is>
          <t>Consumer Product Safety Act (1972)</t>
        </is>
      </c>
      <c r="J9" s="7" t="inlineStr">
        <is>
          <t>federal statute</t>
        </is>
      </c>
      <c r="K9" s="7" t="inlineStr">
        <is>
          <t>1972</t>
        </is>
      </c>
      <c r="L9" s="7" t="n">
        <v>15209</v>
      </c>
      <c r="M9" s="7" t="n">
        <v>191</v>
      </c>
      <c r="N9" s="7" t="n">
        <v>12.6</v>
      </c>
      <c r="O9" s="7" t="n">
        <v>153</v>
      </c>
      <c r="P9" s="7">
        <f>G9-M9</f>
        <v/>
      </c>
      <c r="Q9" s="7">
        <f>IF(M9&gt;0,ROUND(G9/M9,1),"")</f>
        <v/>
      </c>
      <c r="R9" s="7" t="inlineStr">
        <is>
          <t>fair</t>
        </is>
      </c>
      <c r="S9" s="7" t="inlineStr">
        <is>
          <t>yes</t>
        </is>
      </c>
      <c r="T9" s="7" t="inlineStr"/>
    </row>
    <row r="10">
      <c r="A10" s="7" t="n">
        <v>74</v>
      </c>
      <c r="B10" s="7" t="inlineStr">
        <is>
          <t>European Chips Act</t>
        </is>
      </c>
      <c r="C10" s="7" t="inlineStr">
        <is>
          <t>32023R1781</t>
        </is>
      </c>
      <c r="D10" s="7" t="inlineStr">
        <is>
          <t>2023</t>
        </is>
      </c>
      <c r="E10" s="7" t="inlineStr">
        <is>
          <t>adopted</t>
        </is>
      </c>
      <c r="F10" s="7" t="n">
        <v>16566</v>
      </c>
      <c r="G10" s="7" t="n">
        <v>242</v>
      </c>
      <c r="H10" s="7" t="n">
        <v>14.6</v>
      </c>
      <c r="I10" s="7" t="inlineStr">
        <is>
          <t>CHIPS Act of 2022 (division A of Pub. L. 117-167)</t>
        </is>
      </c>
      <c r="J10" s="7" t="inlineStr">
        <is>
          <t>federal statute</t>
        </is>
      </c>
      <c r="K10" s="7" t="inlineStr">
        <is>
          <t>2022</t>
        </is>
      </c>
      <c r="L10" s="7" t="n">
        <v>11710</v>
      </c>
      <c r="M10" s="7" t="n">
        <v>95</v>
      </c>
      <c r="N10" s="7" t="n">
        <v>8.1</v>
      </c>
      <c r="O10" s="7" t="n">
        <v>76</v>
      </c>
      <c r="P10" s="7">
        <f>G10-M10</f>
        <v/>
      </c>
      <c r="Q10" s="7">
        <f>IF(M10&gt;0,ROUND(G10/M10,1),"")</f>
        <v/>
      </c>
      <c r="R10" s="7" t="inlineStr">
        <is>
          <t>fair</t>
        </is>
      </c>
      <c r="S10" s="7" t="inlineStr">
        <is>
          <t>yes</t>
        </is>
      </c>
      <c r="T10" s="7" t="inlineStr"/>
    </row>
    <row r="11">
      <c r="A11" s="7" t="n">
        <v>78</v>
      </c>
      <c r="B11" s="7" t="inlineStr">
        <is>
          <t>Cybersecurity Regulation (EU institutions)</t>
        </is>
      </c>
      <c r="C11" s="7" t="inlineStr">
        <is>
          <t>32023R2841</t>
        </is>
      </c>
      <c r="D11" s="7" t="inlineStr">
        <is>
          <t>2023</t>
        </is>
      </c>
      <c r="E11" s="7" t="inlineStr">
        <is>
          <t>adopted</t>
        </is>
      </c>
      <c r="F11" s="7" t="n">
        <v>9220</v>
      </c>
      <c r="G11" s="7" t="n">
        <v>166</v>
      </c>
      <c r="H11" s="7" t="n">
        <v>18</v>
      </c>
      <c r="I11" s="7" t="inlineStr">
        <is>
          <t>Federal Information Security Modernization Act (2014)</t>
        </is>
      </c>
      <c r="J11" s="7" t="inlineStr">
        <is>
          <t>federal statute</t>
        </is>
      </c>
      <c r="K11" s="7" t="inlineStr">
        <is>
          <t>2014</t>
        </is>
      </c>
      <c r="L11" s="7" t="n">
        <v>5949</v>
      </c>
      <c r="M11" s="7" t="n">
        <v>52</v>
      </c>
      <c r="N11" s="7" t="n">
        <v>8.699999999999999</v>
      </c>
      <c r="O11" s="7" t="n">
        <v>42</v>
      </c>
      <c r="P11" s="7">
        <f>G11-M11</f>
        <v/>
      </c>
      <c r="Q11" s="7">
        <f>IF(M11&gt;0,ROUND(G11/M11,1),"")</f>
        <v/>
      </c>
      <c r="R11" s="7" t="inlineStr">
        <is>
          <t>fair</t>
        </is>
      </c>
      <c r="S11" s="7" t="inlineStr">
        <is>
          <t>yes</t>
        </is>
      </c>
      <c r="T11" s="7" t="inlineStr"/>
    </row>
    <row r="12">
      <c r="A12" s="7" t="n">
        <v>7</v>
      </c>
      <c r="B12" s="7" t="inlineStr">
        <is>
          <t>Information Society (InfoSoc) Directive</t>
        </is>
      </c>
      <c r="C12" s="7" t="inlineStr">
        <is>
          <t>32001L0029</t>
        </is>
      </c>
      <c r="D12" s="7" t="inlineStr">
        <is>
          <t>2001</t>
        </is>
      </c>
      <c r="E12" s="7" t="inlineStr">
        <is>
          <t>adopted</t>
        </is>
      </c>
      <c r="F12" s="7" t="n">
        <v>3316</v>
      </c>
      <c r="G12" s="7" t="n">
        <v>35</v>
      </c>
      <c r="H12" s="7" t="n">
        <v>10.6</v>
      </c>
      <c r="I12" s="7" t="inlineStr">
        <is>
          <t>Digital Millennium Copyright Act (1998)</t>
        </is>
      </c>
      <c r="J12" s="7" t="inlineStr">
        <is>
          <t>federal statute</t>
        </is>
      </c>
      <c r="K12" s="7" t="inlineStr">
        <is>
          <t>1998</t>
        </is>
      </c>
      <c r="L12" s="7" t="n">
        <v>26838</v>
      </c>
      <c r="M12" s="7" t="n">
        <v>188</v>
      </c>
      <c r="N12" s="7" t="n">
        <v>7</v>
      </c>
      <c r="O12" s="7" t="n">
        <v>150</v>
      </c>
      <c r="P12" s="7">
        <f>G12-M12</f>
        <v/>
      </c>
      <c r="Q12" s="7">
        <f>IF(M12&gt;0,ROUND(G12/M12,1),"")</f>
        <v/>
      </c>
      <c r="R12" s="7" t="inlineStr">
        <is>
          <t>not fair</t>
        </is>
      </c>
      <c r="S12" s="7" t="inlineStr">
        <is>
          <t>no</t>
        </is>
      </c>
      <c r="T12" s="7" t="inlineStr">
        <is>
          <t>excluded: DMCA much broader than InfoSoc (title I alone would match)</t>
        </is>
      </c>
    </row>
    <row r="13">
      <c r="A13" s="7" t="n">
        <v>11</v>
      </c>
      <c r="B13" s="7" t="inlineStr">
        <is>
          <t>EC Merger Regulation</t>
        </is>
      </c>
      <c r="C13" s="7" t="inlineStr">
        <is>
          <t>32004R0139</t>
        </is>
      </c>
      <c r="D13" s="7" t="inlineStr">
        <is>
          <t>2004</t>
        </is>
      </c>
      <c r="E13" s="7" t="inlineStr">
        <is>
          <t>adopted</t>
        </is>
      </c>
      <c r="F13" s="7" t="n">
        <v>10413</v>
      </c>
      <c r="G13" s="7" t="n">
        <v>157</v>
      </c>
      <c r="H13" s="7" t="n">
        <v>15.1</v>
      </c>
      <c r="I13" s="7" t="inlineStr">
        <is>
          <t>Hart-Scott-Rodino Act, title II (1976)</t>
        </is>
      </c>
      <c r="J13" s="7" t="inlineStr">
        <is>
          <t>federal statute</t>
        </is>
      </c>
      <c r="K13" s="7" t="inlineStr">
        <is>
          <t>1976</t>
        </is>
      </c>
      <c r="L13" s="7" t="n">
        <v>2387</v>
      </c>
      <c r="M13" s="7" t="n">
        <v>21</v>
      </c>
      <c r="N13" s="7" t="n">
        <v>8.800000000000001</v>
      </c>
      <c r="O13" s="7" t="n">
        <v>17</v>
      </c>
      <c r="P13" s="7">
        <f>G13-M13</f>
        <v/>
      </c>
      <c r="Q13" s="7">
        <f>IF(M13&gt;0,ROUND(G13/M13,1),"")</f>
        <v/>
      </c>
      <c r="R13" s="7" t="inlineStr">
        <is>
          <t>not fair</t>
        </is>
      </c>
      <c r="S13" s="7" t="inlineStr">
        <is>
          <t>no</t>
        </is>
      </c>
      <c r="T13" s="7" t="inlineStr">
        <is>
          <t>excluded: HSR covers only the filing procedure, not the substantive test</t>
        </is>
      </c>
    </row>
    <row r="14">
      <c r="A14" s="7" t="n">
        <v>40</v>
      </c>
      <c r="B14" s="7" t="inlineStr">
        <is>
          <t>Non-cash payment fraud Directive</t>
        </is>
      </c>
      <c r="C14" s="7" t="inlineStr">
        <is>
          <t>32019L0713</t>
        </is>
      </c>
      <c r="D14" s="7" t="inlineStr">
        <is>
          <t>2019</t>
        </is>
      </c>
      <c r="E14" s="7" t="inlineStr">
        <is>
          <t>adopted</t>
        </is>
      </c>
      <c r="F14" s="7" t="n">
        <v>2998</v>
      </c>
      <c r="G14" s="7" t="n">
        <v>52</v>
      </c>
      <c r="H14" s="7" t="n">
        <v>17.3</v>
      </c>
      <c r="I14" s="7" t="inlineStr">
        <is>
          <t>Counterfeit Access Device and Computer Fraud and Abuse Act (1984)</t>
        </is>
      </c>
      <c r="J14" s="7" t="inlineStr">
        <is>
          <t>federal statute</t>
        </is>
      </c>
      <c r="K14" s="7" t="inlineStr">
        <is>
          <t>1984</t>
        </is>
      </c>
      <c r="L14" s="7" t="n">
        <v>1045</v>
      </c>
      <c r="M14" s="7" t="n">
        <v>6</v>
      </c>
      <c r="N14" s="7" t="n">
        <v>5.7</v>
      </c>
      <c r="O14" s="7" t="n">
        <v>5</v>
      </c>
      <c r="P14" s="7">
        <f>G14-M14</f>
        <v/>
      </c>
      <c r="Q14" s="7">
        <f>IF(M14&gt;0,ROUND(G14/M14,1),"")</f>
        <v/>
      </c>
      <c r="R14" s="7" t="inlineStr">
        <is>
          <t>not fair</t>
        </is>
      </c>
      <c r="S14" s="7" t="inlineStr">
        <is>
          <t>no</t>
        </is>
      </c>
      <c r="T14" s="7" t="inlineStr">
        <is>
          <t>excluded: EU directive adds Member State duties federal law does not need</t>
        </is>
      </c>
    </row>
    <row r="15">
      <c r="A15" s="7" t="n">
        <v>68</v>
      </c>
      <c r="B15" s="7" t="inlineStr">
        <is>
          <t>Anti-Money Laundering Regulation</t>
        </is>
      </c>
      <c r="C15" s="7" t="inlineStr">
        <is>
          <t>32024R1624</t>
        </is>
      </c>
      <c r="D15" s="7" t="inlineStr">
        <is>
          <t>2024</t>
        </is>
      </c>
      <c r="E15" s="7" t="inlineStr">
        <is>
          <t>adopted</t>
        </is>
      </c>
      <c r="F15" s="7" t="n">
        <v>38026</v>
      </c>
      <c r="G15" s="7" t="n">
        <v>467</v>
      </c>
      <c r="H15" s="7" t="n">
        <v>12.3</v>
      </c>
      <c r="I15" s="7" t="inlineStr">
        <is>
          <t>Bank Secrecy Act, titles I-II (1970)</t>
        </is>
      </c>
      <c r="J15" s="7" t="inlineStr">
        <is>
          <t>federal statute</t>
        </is>
      </c>
      <c r="K15" s="7" t="inlineStr">
        <is>
          <t>1970</t>
        </is>
      </c>
      <c r="L15" s="7" t="n">
        <v>4883</v>
      </c>
      <c r="M15" s="7" t="n">
        <v>41</v>
      </c>
      <c r="N15" s="7" t="n">
        <v>8.4</v>
      </c>
      <c r="O15" s="7" t="n">
        <v>33</v>
      </c>
      <c r="P15" s="7">
        <f>G15-M15</f>
        <v/>
      </c>
      <c r="Q15" s="7">
        <f>IF(M15&gt;0,ROUND(G15/M15,1),"")</f>
        <v/>
      </c>
      <c r="R15" s="7" t="inlineStr">
        <is>
          <t>not fair</t>
        </is>
      </c>
      <c r="S15" s="7" t="inlineStr">
        <is>
          <t>no</t>
        </is>
      </c>
      <c r="T15" s="7" t="inlineStr">
        <is>
          <t>excluded: 1970 enabling act against a 2024 comprehensive rulebook</t>
        </is>
      </c>
    </row>
    <row r="16">
      <c r="A16" s="7" t="n">
        <v>98</v>
      </c>
      <c r="B16" s="7" t="inlineStr">
        <is>
          <t>Financial Data Access Regulation (FiDA)</t>
        </is>
      </c>
      <c r="C16" s="7" t="inlineStr">
        <is>
          <t>52023PC0360</t>
        </is>
      </c>
      <c r="D16" s="7" t="inlineStr">
        <is>
          <t>2023</t>
        </is>
      </c>
      <c r="E16" s="7" t="inlineStr">
        <is>
          <t>proposed</t>
        </is>
      </c>
      <c r="F16" s="7" t="n">
        <v>11856</v>
      </c>
      <c r="G16" s="7" t="n">
        <v>155</v>
      </c>
      <c r="H16" s="7" t="n">
        <v>13.1</v>
      </c>
      <c r="I16" s="7" t="inlineStr">
        <is>
          <t>Dodd-Frank Act section 1033 (2010) + CFPB personal financial data rights rule (12 CFR part 1033)</t>
        </is>
      </c>
      <c r="J16" s="7" t="inlineStr">
        <is>
          <t>federal statute</t>
        </is>
      </c>
      <c r="K16" s="7" t="inlineStr">
        <is>
          <t>2010</t>
        </is>
      </c>
      <c r="L16" s="7" t="n">
        <v>10063</v>
      </c>
      <c r="M16" s="7" t="n">
        <v>97</v>
      </c>
      <c r="N16" s="7" t="n">
        <v>9.6</v>
      </c>
      <c r="O16" s="7" t="n">
        <v>78</v>
      </c>
      <c r="P16" s="7">
        <f>G16-M16</f>
        <v/>
      </c>
      <c r="Q16" s="7">
        <f>IF(M16&gt;0,ROUND(G16/M16,1),"")</f>
        <v/>
      </c>
      <c r="R16" s="7" t="inlineStr">
        <is>
          <t>not fair</t>
        </is>
      </c>
      <c r="S16" s="7" t="inlineStr">
        <is>
          <t>no</t>
        </is>
      </c>
      <c r="T16" s="7" t="inlineStr">
        <is>
          <t>excluded: law plus agency rule against a pending EU proposal</t>
        </is>
      </c>
    </row>
    <row r="17">
      <c r="A17" s="7" t="n">
        <v>103</v>
      </c>
      <c r="B17" s="7" t="inlineStr">
        <is>
          <t>Toys Safety Regulation</t>
        </is>
      </c>
      <c r="C17" s="7" t="inlineStr">
        <is>
          <t>32025R2509</t>
        </is>
      </c>
      <c r="D17" s="7" t="inlineStr">
        <is>
          <t>2025</t>
        </is>
      </c>
      <c r="E17" s="7" t="inlineStr">
        <is>
          <t>adopted</t>
        </is>
      </c>
      <c r="F17" s="7" t="n">
        <v>27498</v>
      </c>
      <c r="G17" s="7" t="n">
        <v>478</v>
      </c>
      <c r="H17" s="7" t="n">
        <v>17.4</v>
      </c>
      <c r="I17" s="7" t="inlineStr">
        <is>
          <t>Consumer Product Safety Improvement Act (2008)</t>
        </is>
      </c>
      <c r="J17" s="7" t="inlineStr">
        <is>
          <t>federal statute</t>
        </is>
      </c>
      <c r="K17" s="7" t="inlineStr">
        <is>
          <t>2008</t>
        </is>
      </c>
      <c r="L17" s="7" t="n">
        <v>27499</v>
      </c>
      <c r="M17" s="7" t="n">
        <v>244</v>
      </c>
      <c r="N17" s="7" t="n">
        <v>8.9</v>
      </c>
      <c r="O17" s="7" t="n">
        <v>195</v>
      </c>
      <c r="P17" s="7">
        <f>G17-M17</f>
        <v/>
      </c>
      <c r="Q17" s="7">
        <f>IF(M17&gt;0,ROUND(G17/M17,1),"")</f>
        <v/>
      </c>
      <c r="R17" s="7" t="inlineStr">
        <is>
          <t>usable with caveat</t>
        </is>
      </c>
      <c r="S17" s="7" t="inlineStr">
        <is>
          <t>no</t>
        </is>
      </c>
      <c r="T17" s="7" t="inlineStr">
        <is>
          <t>excluded to avoid counting the CPSIA twice: the 2009 Toy Safety Directive (in force, same era as the CPSIA) is used instead; the 2025 Regulation replaces it from 2030</t>
        </is>
      </c>
    </row>
    <row r="18">
      <c r="A18" s="7" t="n">
        <v>109</v>
      </c>
      <c r="B18" s="7" t="inlineStr">
        <is>
          <t>Electromagnetic Compatibility Directive</t>
        </is>
      </c>
      <c r="C18" s="7" t="inlineStr">
        <is>
          <t>32014L0030</t>
        </is>
      </c>
      <c r="D18" s="7" t="inlineStr">
        <is>
          <t>2014</t>
        </is>
      </c>
      <c r="E18" s="7" t="inlineStr">
        <is>
          <t>adopted</t>
        </is>
      </c>
      <c r="F18" s="7" t="n">
        <v>10750</v>
      </c>
      <c r="G18" s="7" t="n">
        <v>243</v>
      </c>
      <c r="H18" s="7" t="n">
        <v>22.6</v>
      </c>
      <c r="I18" s="7" t="inlineStr">
        <is>
          <t>FCC radio frequency devices rules (47 CFR part 15)</t>
        </is>
      </c>
      <c r="J18" s="7" t="inlineStr">
        <is>
          <t>federal agency rule</t>
        </is>
      </c>
      <c r="K18" s="7" t="inlineStr"/>
      <c r="L18" s="7" t="n">
        <v>69963</v>
      </c>
      <c r="M18" s="7" t="n">
        <v>1186</v>
      </c>
      <c r="N18" s="7" t="n">
        <v>17</v>
      </c>
      <c r="O18" s="7" t="n">
        <v>949</v>
      </c>
      <c r="P18" s="7">
        <f>G18-M18</f>
        <v/>
      </c>
      <c r="Q18" s="7">
        <f>IF(M18&gt;0,ROUND(G18/M18,1),"")</f>
        <v/>
      </c>
      <c r="R18" s="7" t="inlineStr">
        <is>
          <t>not fair</t>
        </is>
      </c>
      <c r="S18" s="7" t="inlineStr">
        <is>
          <t>no</t>
        </is>
      </c>
      <c r="T18" s="7" t="inlineStr">
        <is>
          <t>excluded: FCC rulebook against a directive relying on standards</t>
        </is>
      </c>
    </row>
    <row r="19">
      <c r="A19" s="7" t="n"/>
      <c r="B19" s="7" t="n"/>
      <c r="C19" s="7" t="n"/>
      <c r="D19" s="7" t="n"/>
      <c r="E19" s="7" t="n"/>
      <c r="F19" s="7" t="n"/>
      <c r="G19" s="7" t="n"/>
      <c r="H19" s="7" t="n"/>
      <c r="I19" s="7" t="n"/>
      <c r="J19" s="7" t="n"/>
      <c r="K19" s="7" t="n"/>
      <c r="L19" s="7" t="n"/>
      <c r="M19" s="7" t="n"/>
      <c r="N19" s="7" t="n"/>
      <c r="O19" s="7" t="n"/>
      <c r="P19" s="7" t="n"/>
      <c r="Q19" s="7" t="n"/>
      <c r="R19" s="7" t="n"/>
      <c r="S19" s="7" t="n"/>
      <c r="T19" s="7" t="n"/>
    </row>
    <row r="20">
      <c r="A20" s="7" t="inlineStr"/>
      <c r="B20" s="7" t="inlineStr">
        <is>
          <t>Included pairs: median EU/US ratio</t>
        </is>
      </c>
      <c r="C20" s="7" t="inlineStr"/>
      <c r="D20" s="7" t="inlineStr"/>
      <c r="E20" s="7" t="inlineStr"/>
      <c r="F20" s="7" t="inlineStr"/>
      <c r="G20" s="7" t="inlineStr"/>
      <c r="H20" s="7" t="inlineStr"/>
      <c r="I20" s="7" t="inlineStr"/>
      <c r="J20" s="7" t="inlineStr"/>
      <c r="K20" s="7" t="inlineStr"/>
      <c r="L20" s="7" t="inlineStr"/>
      <c r="M20" s="7" t="inlineStr"/>
      <c r="N20" s="7" t="inlineStr"/>
      <c r="O20" s="7" t="inlineStr"/>
      <c r="P20" s="7" t="inlineStr"/>
      <c r="Q20" s="7">
        <f>MEDIAN(Q2:Q11)</f>
        <v/>
      </c>
      <c r="R20" s="7" t="n"/>
      <c r="S20" s="7" t="n"/>
      <c r="T20" s="7" t="n"/>
    </row>
    <row r="21">
      <c r="A21" s="7" t="inlineStr"/>
      <c r="B21" s="7" t="inlineStr">
        <is>
          <t>Included pairs: mean EU restrictions</t>
        </is>
      </c>
      <c r="C21" s="7" t="inlineStr"/>
      <c r="D21" s="7" t="inlineStr"/>
      <c r="E21" s="7" t="inlineStr"/>
      <c r="F21" s="7" t="inlineStr"/>
      <c r="G21" s="7">
        <f>ROUND(AVERAGE(G2:G11),0)</f>
        <v/>
      </c>
      <c r="H21" s="7" t="n"/>
      <c r="I21" s="7" t="n"/>
      <c r="J21" s="7" t="n"/>
      <c r="K21" s="7" t="n"/>
      <c r="L21" s="7" t="n"/>
      <c r="M21" s="7" t="n"/>
      <c r="N21" s="7" t="n"/>
      <c r="O21" s="7" t="n"/>
      <c r="P21" s="7" t="n"/>
      <c r="Q21" s="7" t="n"/>
      <c r="R21" s="7" t="n"/>
      <c r="S21" s="7" t="n"/>
      <c r="T21" s="7" t="n"/>
    </row>
    <row r="22">
      <c r="A22" s="7" t="inlineStr"/>
      <c r="B22" s="7" t="inlineStr">
        <is>
          <t>Included pairs: mean US restrictions</t>
        </is>
      </c>
      <c r="C22" s="7" t="inlineStr"/>
      <c r="D22" s="7" t="inlineStr"/>
      <c r="E22" s="7" t="inlineStr"/>
      <c r="F22" s="7" t="inlineStr"/>
      <c r="G22" s="7" t="inlineStr"/>
      <c r="H22" s="7" t="inlineStr"/>
      <c r="I22" s="7" t="inlineStr"/>
      <c r="J22" s="7" t="inlineStr"/>
      <c r="K22" s="7" t="inlineStr"/>
      <c r="L22" s="7" t="inlineStr"/>
      <c r="M22" s="7">
        <f>ROUND(AVERAGE(M2:M11),0)</f>
        <v/>
      </c>
      <c r="N22" s="7" t="n"/>
      <c r="O22" s="7" t="n"/>
      <c r="P22" s="7" t="n"/>
      <c r="Q22" s="7" t="n"/>
      <c r="R22" s="7" t="n"/>
      <c r="S22" s="7" t="n"/>
      <c r="T22" s="7" t="n"/>
    </row>
    <row r="23">
      <c r="A23" s="7" t="inlineStr"/>
      <c r="B23" s="7" t="inlineStr">
        <is>
          <t>Included pairs: median density per 1,000 words (EU / US)</t>
        </is>
      </c>
      <c r="C23" s="7" t="inlineStr"/>
      <c r="D23" s="7" t="inlineStr"/>
      <c r="E23" s="7" t="inlineStr"/>
      <c r="F23" s="7" t="inlineStr"/>
      <c r="G23" s="7" t="inlineStr"/>
      <c r="H23" s="7">
        <f>MEDIAN(H2:H11)</f>
        <v/>
      </c>
      <c r="I23" s="7" t="inlineStr"/>
      <c r="J23" s="7" t="inlineStr"/>
      <c r="K23" s="7" t="inlineStr"/>
      <c r="L23" s="7" t="inlineStr"/>
      <c r="M23" s="7" t="inlineStr"/>
      <c r="N23" s="7">
        <f>MEDIAN(N2:N11)</f>
        <v/>
      </c>
      <c r="O23" s="7" t="n"/>
      <c r="P23" s="7" t="n"/>
      <c r="Q23" s="7" t="n"/>
      <c r="R23" s="7" t="n"/>
      <c r="S23" s="7" t="n"/>
      <c r="T23" s="7" t="n"/>
    </row>
  </sheetData>
  <autoFilter ref="A1:T2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64"/>
  <sheetViews>
    <sheetView workbookViewId="0">
      <selection activeCell="A1" sqref="A1"/>
    </sheetView>
  </sheetViews>
  <sheetFormatPr baseColWidth="8" defaultRowHeight="15"/>
  <cols>
    <col width="140" customWidth="1" min="1" max="1"/>
  </cols>
  <sheetData>
    <row r="1">
      <c r="A1" s="8" t="inlineStr">
        <is>
          <t># CEPS instruments: size, restrictions and secondary acts — method</t>
        </is>
      </c>
    </row>
    <row r="2">
      <c r="A2" s="9" t="inlineStr"/>
    </row>
    <row r="3">
      <c r="A3" s="8" t="inlineStr">
        <is>
          <t>## Scope</t>
        </is>
      </c>
    </row>
    <row r="4">
      <c r="A4" s="9" t="inlineStr">
        <is>
          <t>- Rows: the 115 instruments in `data/ceps_instruments.csv` (CEPS Table 1, July 2025, plus 8 enacted instruments added from the same table).</t>
        </is>
      </c>
    </row>
    <row r="5">
      <c r="A5" s="9" t="inlineStr">
        <is>
          <t>-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is>
      </c>
    </row>
    <row r="6">
      <c r="A6" s="9" t="inlineStr">
        <is>
          <t>- Where a row covers two acts (horizontal block exemptions 2023/1066 and 2023/1067), figures are summed.</t>
        </is>
      </c>
    </row>
    <row r="7">
      <c r="A7" s="9" t="inlineStr">
        <is>
          <t>- English language versions only. Source: EUR-Lex HTML for text, EUR-Lex / Cellar PDF for page counts.</t>
        </is>
      </c>
    </row>
    <row r="8">
      <c r="A8" s="9" t="inlineStr"/>
    </row>
    <row r="9">
      <c r="A9" s="8" t="inlineStr">
        <is>
          <t>## Pages</t>
        </is>
      </c>
    </row>
    <row r="10">
      <c r="A10" s="9" t="inlineStr">
        <is>
          <t>- Page count of the official PDF. For COM proposals EUR-Lex serves the document in several parts (main text, annexes); pages are summed across all parts, so they include the explanatory memorandum and the legislative financial statement.</t>
        </is>
      </c>
    </row>
    <row r="11">
      <c r="A11" s="9" t="inlineStr"/>
    </row>
    <row r="12">
      <c r="A12" s="8" t="inlineStr">
        <is>
          <t>## Words</t>
        </is>
      </c>
    </row>
    <row r="13">
      <c r="A13" s="9" t="inlineStr">
        <is>
          <t>- Words = tokens of letters/digits (hyphenated words count once).</t>
        </is>
      </c>
    </row>
    <row r="14">
      <c r="A14" s="9" t="inlineStr">
        <is>
          <t>- Split: preamble (title, citations, recitals), of which recitals (from "Whereas"); articles (enacting terms up to "Done at"); annexes; and for proposals the explanatory memorandum and legislative financial statement, reported separately.</t>
        </is>
      </c>
    </row>
    <row r="15">
      <c r="A15" s="9" t="inlineStr">
        <is>
          <t>- `words_legal_text` = preamble + articles + annexes (excludes memorandum and financial statement).</t>
        </is>
      </c>
    </row>
    <row r="16">
      <c r="A16" s="9" t="inlineStr">
        <is>
          <t>- Words in quoted amending text are counted (they are part of the act); footnotes after the signature block are not.</t>
        </is>
      </c>
    </row>
    <row r="17">
      <c r="A17" s="9" t="inlineStr"/>
    </row>
    <row r="18">
      <c r="A18" s="8" t="inlineStr">
        <is>
          <t>## Restrictions</t>
        </is>
      </c>
    </row>
    <row r="19">
      <c r="A19" s="9" t="inlineStr">
        <is>
          <t>Counted in articles and annexes only (recitals are not binding). Each marker instance is counted once; a list introduced by one "shall" counts once.</t>
        </is>
      </c>
    </row>
    <row r="20">
      <c r="A20" s="9" t="inlineStr"/>
    </row>
    <row r="21">
      <c r="A21" s="9" t="inlineStr">
        <is>
          <t>| Category | Markers |</t>
        </is>
      </c>
    </row>
    <row r="22">
      <c r="A22" s="9" t="inlineStr">
        <is>
          <t>|---|---|</t>
        </is>
      </c>
    </row>
    <row r="23">
      <c r="A23" s="9" t="inlineStr">
        <is>
          <t>| obligation | shall; must; has to / have to |</t>
        </is>
      </c>
    </row>
    <row r="24">
      <c r="A24" s="9" t="inlineStr">
        <is>
          <t>| prohibition | shall not; may not; must not; (shall be / is / are) prohibited; "no X shall" |</t>
        </is>
      </c>
    </row>
    <row r="25">
      <c r="A25" s="9" t="inlineStr">
        <is>
          <t>| restricted_permission | may only; shall only; may … only if/where/when/to the extent |</t>
        </is>
      </c>
    </row>
    <row r="26">
      <c r="A26" s="9" t="inlineStr">
        <is>
          <t>| duty_of_result | shall ensure (tagged separately: one instance can stand for a whole compliance system) |</t>
        </is>
      </c>
    </row>
    <row r="27">
      <c r="A27" s="9" t="inlineStr">
        <is>
          <t>| explicit_requirement | is/are required (to); mandatory; obliged to; an obligation to; requirement to — counted only in clauses with no other marker |</t>
        </is>
      </c>
    </row>
    <row r="28">
      <c r="A28" s="9" t="inlineStr"/>
    </row>
    <row r="29">
      <c r="A29" s="9" t="inlineStr">
        <is>
          <t>Excluded uses of "shall" (they regulate no one):</t>
        </is>
      </c>
    </row>
    <row r="30">
      <c r="A30" s="9" t="inlineStr">
        <is>
          <t>- entry into force, application, binding-ness, expiry ("shall enter into force", "shall apply", "shall be binding", "shall take effect")</t>
        </is>
      </c>
    </row>
    <row r="31">
      <c r="A31" s="9" t="inlineStr">
        <is>
          <t>- definitions and legal fictions ("shall mean", "shall be deemed / considered / construed / presumed"; "shall include / comprise" in definitions)</t>
        </is>
      </c>
    </row>
    <row r="32">
      <c r="A32" s="9" t="inlineStr">
        <is>
          <t>- amendment instructions ("is replaced by", "shall be amended as follows"); quoted text inserted by amendment instructions is skipped</t>
        </is>
      </c>
    </row>
    <row r="33">
      <c r="A33" s="9" t="inlineStr">
        <is>
          <t>- saving clauses ("shall be without prejudice", "shall not affect / prejudice / apply / preclude")</t>
        </is>
      </c>
    </row>
    <row r="34">
      <c r="A34" s="9" t="inlineStr">
        <is>
          <t>- rights, entitlements and powers ("shall have the right", "shall be entitled", "shall be empowered")</t>
        </is>
      </c>
    </row>
    <row r="35">
      <c r="A35" s="9" t="inlineStr">
        <is>
          <t>-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is>
      </c>
    </row>
    <row r="36">
      <c r="A36" s="9" t="inlineStr"/>
    </row>
    <row r="37">
      <c r="A37" s="9" t="inlineStr">
        <is>
          <t>Bare nouns such as "the obligations laid down in Article 5" are cross-references and are not counted. This narrows the "requirement(s) / obligation(s)" terms in the original method notes.</t>
        </is>
      </c>
    </row>
    <row r="38">
      <c r="A38" s="9" t="inlineStr"/>
    </row>
    <row r="39">
      <c r="A39" s="8" t="inlineStr">
        <is>
          <t>### Who the restriction binds</t>
        </is>
      </c>
    </row>
    <row r="40">
      <c r="A40" s="9" t="inlineStr">
        <is>
          <t>Each counted instance is assigned to one addressee using the grammatical subject (spaCy `en_core_web_sm` dependency parse; the agent of a passive "by …" phrase where one is present), matched against word lists:</t>
        </is>
      </c>
    </row>
    <row r="41">
      <c r="A41" s="9" t="inlineStr">
        <is>
          <t>- private_parties: providers, operators, manufacturers, undertakings, controllers, gatekeepers, financial entities, platforms, persons, etc.</t>
        </is>
      </c>
    </row>
    <row r="42">
      <c r="A42" s="9" t="inlineStr">
        <is>
          <t>- member_states: Member States and national authorities, courts, coordinators, single points of contact, CSIRTs</t>
        </is>
      </c>
    </row>
    <row r="43">
      <c r="A43" s="9" t="inlineStr">
        <is>
          <t>- eu_institutions: Commission, Council, Parliament, agencies, boards, offices, Union entities; also passive sentences about implementing or delegated acts (adopted by the Commission)</t>
        </is>
      </c>
    </row>
    <row r="44">
      <c r="A44" s="9" t="inlineStr">
        <is>
          <t>- unclear: no identifiable actor (passives with no agent, procedural rules such as "the report shall be communicated")</t>
        </is>
      </c>
    </row>
    <row r="45">
      <c r="A45" s="9" t="inlineStr"/>
    </row>
    <row r="46">
      <c r="A46" s="9" t="inlineStr">
        <is>
          <t>Pronouns ("it shall") take the addressee of the preceding counted instance in the same document.</t>
        </is>
      </c>
    </row>
    <row r="47">
      <c r="A47" s="9" t="inlineStr"/>
    </row>
    <row r="48">
      <c r="A48" s="8" t="inlineStr">
        <is>
          <t>## Consolidated versions</t>
        </is>
      </c>
    </row>
    <row r="49">
      <c r="A49" s="9" t="inlineStr">
        <is>
          <t>Restrictions are also counted in the latest consolidated version in EUR-Lex (CELEX 0…), where one exists. Consolidated texts have no recitals and no official pagination, so only restrictions are reported for them.</t>
        </is>
      </c>
    </row>
    <row r="50">
      <c r="A50" s="9" t="inlineStr"/>
    </row>
    <row r="51">
      <c r="A51" s="8" t="inlineStr">
        <is>
          <t>## Implementing / delegated acts and guidance</t>
        </is>
      </c>
    </row>
    <row r="52">
      <c r="A52" s="9" t="inlineStr">
        <is>
          <t>- From the Publications Office's Cellar database: every act linked to the instrument as its legal basis.</t>
        </is>
      </c>
    </row>
    <row r="53">
      <c r="A53" s="9" t="inlineStr">
        <is>
          <t>- Kept: implementing and delegated acts, other Commission or Council regulations and directives adopted under the act, and Commission guidance (guidelines, Commission recommendations, and Commission notices or communications whose title marks them as guidance or interpretation).</t>
        </is>
      </c>
    </row>
    <row r="54">
      <c r="A54" s="9" t="inlineStr">
        <is>
          <t>- Excluded: individual decisions (merger clearances, state-aid-style decisions), merger notices and announcements, internal rules of procedure, Parliament or ESRB recommendations, reports.</t>
        </is>
      </c>
    </row>
    <row r="55">
      <c r="A55" s="9" t="inlineStr">
        <is>
          <t>- Implementing decisions addressed to a single Member State (e.g. VAT derogations) are kept but flagged.</t>
        </is>
      </c>
    </row>
    <row r="56">
      <c r="A56" s="9" t="inlineStr">
        <is>
          <t>- Each secondary act is measured like the main act and listed as its own line item in `secondary_acts`.</t>
        </is>
      </c>
    </row>
    <row r="57">
      <c r="A57" s="9" t="inlineStr">
        <is>
          <t>- Guidance is non-binding, so its restriction counts mostly reflect obligations it restates. They are shown for completeness, not as additional restrictions.</t>
        </is>
      </c>
    </row>
    <row r="58">
      <c r="A58" s="9" t="inlineStr">
        <is>
          <t>- `guidance_web`: Commission guidance found by web search that EUR-Lex does not link to the act (e.g. AI Act guidelines). Not measured. This list is incomplete; level-3 guidance from EU agencies (EDPB, EBA, ESMA, EIOPA) is out of scope.</t>
        </is>
      </c>
    </row>
    <row r="59">
      <c r="A59" s="9" t="inlineStr"/>
    </row>
    <row r="60">
      <c r="A60" s="8" t="inlineStr">
        <is>
          <t>## Policy area</t>
        </is>
      </c>
    </row>
    <row r="61">
      <c r="A61" s="9" t="inlineStr">
        <is>
          <t>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is>
      </c>
    </row>
    <row r="62">
      <c r="A62" s="9" t="inlineStr"/>
    </row>
    <row r="63">
      <c r="A63" s="8" t="inlineStr">
        <is>
          <t>## Dates and amendments</t>
        </is>
      </c>
    </row>
    <row r="64">
      <c r="A64" s="9" t="inlineStr">
        <is>
          <t>- `adoption_date`: date of signature of the act (date of the document where no signature date is recorded); `oj_publication_date`; `entry_into_force`: the earliest entry-into-force date on or after adoption. All from Cellar.</t>
        </is>
      </c>
    </row>
    <row r="65">
      <c r="A65" s="9" t="inlineStr">
        <is>
          <t>- Amendments: acts recorded in Cellar as amending the instrument (adopted acts only). Corrigenda are listed in the `amendments` sheet but not counted as amendments. `n_amending_acts`, `first_amendment_date`, `latest_amendment_date` summarise them.</t>
        </is>
      </c>
    </row>
    <row r="66">
      <c r="A66" s="9" t="inlineStr"/>
    </row>
    <row r="67">
      <c r="A67" s="8" t="inlineStr">
        <is>
          <t>## Proposal vs adopted text</t>
        </is>
      </c>
    </row>
    <row r="68">
      <c r="A68" s="9" t="inlineStr">
        <is>
          <t>- The original Commission proposal is the earliest proposal Cellar links to the adopted act; amended proposals are not used.</t>
        </is>
      </c>
    </row>
    <row r="69">
      <c r="A69" s="9" t="inlineStr">
        <is>
          <t>- Measured like the adopted text, on the legal text only (preamble + articles + annexes; explanatory memorandum and financial statement excluded). Changes are formulas (absolute and %).</t>
        </is>
      </c>
    </row>
    <row r="70">
      <c r="A70" s="9" t="inlineStr">
        <is>
          <t>- Proposals without usable HTML (pre-1996 proposals published as scans of the OJ C series, and the 2004 VAT recast whose articles sit in image tables) are measured from the PDF text layer and marked "PDF text (approximate)".</t>
        </is>
      </c>
    </row>
    <row r="71">
      <c r="A71" s="9" t="inlineStr">
        <is>
          <t>-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is>
      </c>
    </row>
    <row r="72">
      <c r="A72" s="9" t="inlineStr">
        <is>
          <t>- Rows that are themselves proposals have no comparison.</t>
        </is>
      </c>
    </row>
    <row r="73">
      <c r="A73" s="9" t="inlineStr"/>
    </row>
    <row r="74">
      <c r="A74" s="8" t="inlineStr">
        <is>
          <t>## EU agency guidance (EDPB, EBA, ESMA)</t>
        </is>
      </c>
    </row>
    <row r="75">
      <c r="A75" s="9" t="inlineStr">
        <is>
          <t>- Final guidelines and recommendations only; no Q&amp;As, consultation drafts or draft technical standards (the latter are counted once adopted as delegated/implementing acts).</t>
        </is>
      </c>
    </row>
    <row r="76">
      <c r="A76" s="9" t="inlineStr">
        <is>
          <t>-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is>
      </c>
    </row>
    <row r="77">
      <c r="A77" s="9" t="inlineStr">
        <is>
          <t>-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is>
      </c>
    </row>
    <row r="78">
      <c r="A78" s="9" t="inlineStr">
        <is>
          <t>- ESMA: all "Guidelines" documents in the Digital Finance and Joint Committee sections of the ESMA library (full crawl), kept where the legal basis is MiCA, DORA or the DLT Pilot Regime, plus the MiCA crypto-asset qualification guidelines from ESMA's MiCA page.</t>
        </is>
      </c>
    </row>
    <row r="79">
      <c r="A79" s="9" t="inlineStr">
        <is>
          <t>- Joint EBA/ESMA (ESA) guidelines are counted once.</t>
        </is>
      </c>
    </row>
    <row r="80">
      <c r="A80" s="9" t="inlineStr">
        <is>
          <t>- EBA and ESMA guidelines are measured on the published final report, which also contains the rationale and the feedback on the consultation, so page and word counts overstate the guidelines themselves.</t>
        </is>
      </c>
    </row>
    <row r="81">
      <c r="A81" s="9" t="inlineStr">
        <is>
          <t>- Guidance mostly uses "should"; restriction counts (which count "shall"/"must" etc.) are low by design. `should_count` is shown alongside.</t>
        </is>
      </c>
    </row>
    <row r="82">
      <c r="A82" s="9" t="inlineStr"/>
    </row>
    <row r="83">
      <c r="A83" s="8" t="inlineStr">
        <is>
          <t>## National transposition (directives only)</t>
        </is>
      </c>
    </row>
    <row r="84">
      <c r="A84" s="9" t="inlineStr">
        <is>
          <t>Number of national implementing measures linked to the directive in EUR-Lex, and the number of Member States (including the UK before 2020) with at least one. Counts reflect what Member States notified; some notify whole codes, which inflates counts.</t>
        </is>
      </c>
    </row>
    <row r="85">
      <c r="A85" s="9" t="inlineStr"/>
    </row>
    <row r="86">
      <c r="A86" s="8" t="inlineStr">
        <is>
          <t>## Validation</t>
        </is>
      </c>
    </row>
    <row r="87">
      <c r="A87" s="9" t="inlineStr">
        <is>
          <t>Hand-coded by Claude (not an independent coder) on a random sample drawn across eras and act types:</t>
        </is>
      </c>
    </row>
    <row r="88">
      <c r="A88" s="9" t="inlineStr">
        <is>
          <t>- Tuning sample: 100 counted instances, used to refine exclusions and word lists.</t>
        </is>
      </c>
    </row>
    <row r="89">
      <c r="A89" s="9" t="inlineStr">
        <is>
          <t>- Held-out sample: 91 counted instances.</t>
        </is>
      </c>
    </row>
    <row r="90">
      <c r="A90" s="9" t="inlineStr">
        <is>
          <t>- Recall check: 100 clauses the counter did not count that contain modal-like words.</t>
        </is>
      </c>
    </row>
    <row r="91">
      <c r="A91" s="9" t="inlineStr">
        <is>
          <t>- Final check: a fresh sample of 100 instances drawn after the full run, scored with the final rules.</t>
        </is>
      </c>
    </row>
    <row r="92">
      <c r="A92" s="9" t="inlineStr">
        <is>
          <t>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is>
      </c>
    </row>
    <row r="93">
      <c r="A93" s="9" t="inlineStr"/>
    </row>
    <row r="94">
      <c r="A94" s="8" t="inlineStr">
        <is>
          <t>## Caveats</t>
        </is>
      </c>
    </row>
    <row r="95">
      <c r="A95" s="9" t="inlineStr">
        <is>
          <t>- This counts obligations, not their cost.</t>
        </is>
      </c>
    </row>
    <row r="96">
      <c r="A96" s="9" t="inlineStr">
        <is>
          <t>- Member-State obligations in directives are indirect; the real burden depends on transposition.</t>
        </is>
      </c>
    </row>
    <row r="97">
      <c r="A97" s="9" t="inlineStr">
        <is>
          <t>- EUR-Lex metadata links for very recent acts can lag; secondary-act lists may be incomplete for 2025–2026.</t>
        </is>
      </c>
    </row>
    <row r="98">
      <c r="A98" s="9" t="inlineStr">
        <is>
          <t>- Scanned older acts with little HTML text are flagged in the note column.</t>
        </is>
      </c>
    </row>
    <row r="99">
      <c r="A99" s="9" t="inlineStr"/>
    </row>
    <row r="100">
      <c r="A100" s="8" t="inlineStr">
        <is>
          <t>## External benchmark: Sarbanes-Oxley Act (US)</t>
        </is>
      </c>
    </row>
    <row r="101">
      <c r="A101" s="9" t="inlineStr">
        <is>
          <t>- Text: Public Law 107-204 (116 Stat. 745, 30 July 2002), enacted version, PDF from govinfo.gov. Measured with the same counter (`scripts/benchmark_us.py`), after removing page headers, US Code margin notes and the table of contents.</t>
        </is>
      </c>
    </row>
    <row r="102">
      <c r="A102" s="9" t="inlineStr">
        <is>
          <t>- Two variants: all enacted text, and excluding text inserted into other statutes (quoted ‘‘ … ’’), mirroring how quoted amending text is skipped for EU acts.</t>
        </is>
      </c>
    </row>
    <row r="103">
      <c r="A103" s="9" t="inlineStr">
        <is>
          <t>-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is>
      </c>
    </row>
    <row r="104">
      <c r="A104" s="9" t="inlineStr">
        <is>
          <t>- Validation: 68% precision and 70% addressee accuracy on a fresh 40-item sample (vs 84% / 74% for EU acts), so the benchmarks sheet also shows precision-adjusted counts.</t>
        </is>
      </c>
    </row>
    <row r="105">
      <c r="A105" s="9" t="inlineStr">
        <is>
          <t>- US statutes have no recitals; compare against EU articles + annexes.</t>
        </is>
      </c>
    </row>
    <row r="106">
      <c r="A106" s="9" t="inlineStr"/>
    </row>
    <row r="107">
      <c r="A107" s="8" t="inlineStr">
        <is>
          <t>## Impact evidence (all 115 instruments)</t>
        </is>
      </c>
    </row>
    <row r="108">
      <c r="A108" s="9" t="inlineStr">
        <is>
          <t>- One record per instrument in `data/impact/&lt;CELEX&gt;.json` (schema in `data/impact/SCHEMA.md`), built for both the workbook and the planned website.</t>
        </is>
      </c>
    </row>
    <row r="109">
      <c r="A109" s="9" t="inlineStr">
        <is>
          <t>- Depth by tier (list in `data/impact/PROGRESS.md`):</t>
        </is>
      </c>
    </row>
    <row r="110">
      <c r="A110" s="9" t="inlineStr">
        <is>
          <t xml:space="preserve">  - Tier 1: 29 instruments with a substantial independent literature (e.g. GDPR, DMA, DSA, PSD2, roaming, merger control). Full search.</t>
        </is>
      </c>
    </row>
    <row r="111">
      <c r="A111" s="9" t="inlineStr">
        <is>
          <t xml:space="preserve">  - Tier 2: the other acts adopted before 2024. The Commission impact assessment and evaluations, plus a light search for independent studies.</t>
        </is>
      </c>
    </row>
    <row r="112">
      <c r="A112" s="9" t="inlineStr">
        <is>
          <t xml:space="preserve">  - Tier 3: acts adopted 2024–26 and pending proposals. Forecasts and early critiques only.</t>
        </is>
      </c>
    </row>
    <row r="113">
      <c r="A113" s="9" t="inlineStr">
        <is>
          <t>- `proposal_indicators`: the promises made in the original Commission proposal and impact assessment, with the evidence found for each:</t>
        </is>
      </c>
    </row>
    <row r="114">
      <c r="A114" s="9" t="inlineStr">
        <is>
          <t xml:space="preserve">  - from the financial statement: specific objectives (1.4.2), expected results and impact (1.4.3), and indicators of results and impact (1.4.4)</t>
        </is>
      </c>
    </row>
    <row r="115">
      <c r="A115" s="9" t="inlineStr">
        <is>
          <t xml:space="preserve">  - other quantified promises from the proposal or impact assessment</t>
        </is>
      </c>
    </row>
    <row r="116">
      <c r="A116" s="9" t="inlineStr">
        <is>
          <t xml:space="preserve">  - `status` is a free-text label; `status_group` maps it to one of measured, partially measured, reported as activity, mixed evidence or not measured. "Not achieved" counts as measured.</t>
        </is>
      </c>
    </row>
    <row r="117">
      <c r="A117" s="9" t="inlineStr">
        <is>
          <t xml:space="preserve">  - proposals with no indicators section carry a "note" row</t>
        </is>
      </c>
    </row>
    <row r="118">
      <c r="A118" s="9" t="inlineStr">
        <is>
          <t>- `impact_literature`: one row per source. Each row records:</t>
        </is>
      </c>
    </row>
    <row r="119">
      <c r="A119" s="9" t="inlineStr">
        <is>
          <t xml:space="preserve">  - type: Commission impact assessment, evaluation or enforcement record; Court of Auditors; peer-reviewed; working paper; policy; industry-funded</t>
        </is>
      </c>
    </row>
    <row r="120">
      <c r="A120" s="9" t="inlineStr">
        <is>
          <t xml:space="preserve">  - method; outcomes; direction; headline finding; a plain-language summary; a quality note</t>
        </is>
      </c>
    </row>
    <row r="121">
      <c r="A121" s="9" t="inlineStr">
        <is>
          <t xml:space="preserve">  - a flag where the authors or funders have a stake in the result</t>
        </is>
      </c>
    </row>
    <row r="122">
      <c r="A122" s="9" t="inlineStr">
        <is>
          <t xml:space="preserve">  - `verified`, saying what was read: the full text, an abstract, or only a search summary</t>
        </is>
      </c>
    </row>
    <row r="123">
      <c r="A123" s="9" t="inlineStr">
        <is>
          <t xml:space="preserve">  Each source also has a `category`:</t>
        </is>
      </c>
    </row>
    <row r="124">
      <c r="A124" s="9" t="inlineStr">
        <is>
          <t xml:space="preserve">  - ex-ante assessment: the initial Commission impact assessment, or the proposal itself where there was none. Shown with the proposal's promises, not as evidence of impact.</t>
        </is>
      </c>
    </row>
    <row r="125">
      <c r="A125" s="9" t="inlineStr">
        <is>
          <t xml:space="preserve">  - enforcement or case law: fines, non-compliance decisions, infringement procedures, enforcement sweeps, designations and court rulings. Kept in the record for reference, but not counted or shown as impact evidence.</t>
        </is>
      </c>
    </row>
    <row r="126">
      <c r="A126" s="9" t="inlineStr">
        <is>
          <t xml:space="preserve">  - evidence: everything else (evaluations, audits, research, statistics). Only these count towards `n_impact_studies` and `n_causal_studies`.</t>
        </is>
      </c>
    </row>
    <row r="127">
      <c r="A127" s="9" t="inlineStr">
        <is>
          <t xml:space="preserve">  Shared sources (e.g. one impact assessment for PSD3 and the PSR, or a fitness check covering several directives) appear under each instrument with the same `id`.</t>
        </is>
      </c>
    </row>
    <row r="128">
      <c r="A128" s="9" t="inlineStr">
        <is>
          <t>- Instrument summary columns:</t>
        </is>
      </c>
    </row>
    <row r="129">
      <c r="A129" s="9" t="inlineStr">
        <is>
          <t xml:space="preserve">  - `impact_evidence_level`: strong / moderate / thin / ex-ante only / none, derived from the free-text `impact_evidence_rating`</t>
        </is>
      </c>
    </row>
    <row r="130">
      <c r="A130" s="9" t="inlineStr">
        <is>
          <t xml:space="preserve">  - `n_indicators_measured`: indicators whose status group is anything other than not measured</t>
        </is>
      </c>
    </row>
    <row r="131">
      <c r="A131" s="9" t="inlineStr">
        <is>
          <t xml:space="preserve">  - `n_causal_studies`: sources whose method names a causal design (causal, DiD, event study, synthetic control, regression discontinuity, natural experiment, instrumental variables, randomised)</t>
        </is>
      </c>
    </row>
    <row r="132">
      <c r="A132" s="9" t="inlineStr">
        <is>
          <t>- Sources:</t>
        </is>
      </c>
    </row>
    <row r="133">
      <c r="A133" s="9" t="inlineStr">
        <is>
          <t xml:space="preserve">  - EUR-Lex: proposals, impact assessments and Commission reviews</t>
        </is>
      </c>
    </row>
    <row r="134">
      <c r="A134" s="9" t="inlineStr">
        <is>
          <t xml:space="preserve">  - official sources: Commission press releases, the Council register, the Court of Auditors, ENISA, BEREC, ECB, EBA, ESMA, JRC</t>
        </is>
      </c>
    </row>
    <row r="135">
      <c r="A135" s="9" t="inlineStr">
        <is>
          <t xml:space="preserve">  - research: NBER, arXiv, Crossref, CERRE, Bruegel, OECD</t>
        </is>
      </c>
    </row>
    <row r="136">
      <c r="A136" s="9" t="inlineStr">
        <is>
          <t xml:space="preserve">  - web search for working papers and policy reports</t>
        </is>
      </c>
    </row>
    <row r="137">
      <c r="A137" s="9" t="inlineStr">
        <is>
          <t>- Several publisher and repository sites (SSRN, CERRE, some Commission PDF endpoints, europarl.europa.eu) block automated access. Those sources were checked through their abstract pages or search summaries and are marked as such.</t>
        </is>
      </c>
    </row>
    <row r="138">
      <c r="A138" s="9" t="inlineStr">
        <is>
          <t>- Research was carried out by Claude instances working in parallel to a shared brief. Every number in a record comes from a source that was read. Where only a secondary report was available, the record says so.</t>
        </is>
      </c>
    </row>
    <row r="139">
      <c r="A139" s="9" t="inlineStr">
        <is>
          <t>- Internet Archive snapshots (`archive_url`) were looked up read-only through the Wayback availability API. Nothing was submitted to the archive, so many sources have no snapshot.</t>
        </is>
      </c>
    </row>
    <row r="140">
      <c r="A140" s="9" t="inlineStr">
        <is>
          <t>- Limits: coverage of non-English national studies is thin. "No study found" means none was found by these searches, not that none exists. Tier 2 and 3 records rely heavily on the Commission's own assessments.</t>
        </is>
      </c>
    </row>
    <row r="141">
      <c r="A141" s="9" t="inlineStr"/>
    </row>
    <row r="142">
      <c r="A142" s="8" t="inlineStr">
        <is>
          <t>## US counterparts</t>
        </is>
      </c>
    </row>
    <row r="143">
      <c r="A143" s="9" t="inlineStr">
        <is>
          <t>- Mapping (`us_counterparts` sheet, `data/us_map/us_counterparts.json`): for each of the 115 instruments, the closest US measure with its citation, level and status, a match quality and a one-line reason. Match qualities: close, partial, state only, proposed only, agency rule only, none. Federal citations were checked against govinfo, the Federal Register API, eCFR or Cornell LII. Some state citations rest on search summaries, because the California and Colorado legislature sites block automated access.</t>
        </is>
      </c>
    </row>
    <row r="144">
      <c r="A144" s="9" t="inlineStr">
        <is>
          <t>- Measured (`us_comparison` sheet, `scripts/us_measure.py`): the 16 close matches plus GDPR → CCPA, as chosen by the project lead. Partial matches were not measured.</t>
        </is>
      </c>
    </row>
    <row r="145">
      <c r="A145" s="9" t="inlineStr">
        <is>
          <t>- Texts:</t>
        </is>
      </c>
    </row>
    <row r="146">
      <c r="A146" s="9" t="inlineStr">
        <is>
          <t xml:space="preserve">  - enacted Public Laws from govinfo: HTML for laws from 1995 on, scanned Statutes at Large PDFs before that</t>
        </is>
      </c>
    </row>
    <row r="147">
      <c r="A147" s="9" t="inlineStr">
        <is>
          <t xml:space="preserve">  - only the relevant title or division of omnibus laws: HSR title II, the 1984 access-device chapter, CLOUD Act division V, OPEN Government Data Act title II, CHIPS Act division A, Bank Secrecy Act titles I–II</t>
        </is>
      </c>
    </row>
    <row r="148">
      <c r="A148" s="9" t="inlineStr">
        <is>
          <t xml:space="preserve">  - Dodd-Frank §1033 together with the CFPB's 12 CFR part 1033 rule</t>
        </is>
      </c>
    </row>
    <row r="149">
      <c r="A149" s="9" t="inlineStr">
        <is>
          <t xml:space="preserve">  - current text where the counterpart is a code section or a rule: FTC Act §5 (15 U.S.C. 45), FCC 47 CFR part 15, and the CCPA as amended by the CPRA (CPPA edition)</t>
        </is>
      </c>
    </row>
    <row r="150">
      <c r="A150" s="9" t="inlineStr">
        <is>
          <t>- Counting: the same US-adapted counter as the Sarbanes-Oxley benchmark. US words include text inserted into the US Code, because US statutes legislate by amending the Code. The inserted text is the substantive rule, unlike quoted amendments to other EU acts. A variant excluding inserted text is stored in `us_measurements.json`. EU figures are the original act's articles and annexes (recitals excluded).</t>
        </is>
      </c>
    </row>
    <row r="151">
      <c r="A151" s="9" t="inlineStr">
        <is>
          <t>- Validation: a fresh random sample of 40 counted US instances. 80% are genuine restrictions. False positives are mostly budget mechanics, constitutive rules, exemptions and saving clauses. The addressee was right for only 25%, because US texts, especially the CFR, use devices, systems and passive constructions as subjects, so addressee shares are not reported for the US side. `us_restrictions_precision_adjusted` = count × 0.80, against × 0.84 for EU acts.</t>
        </is>
      </c>
    </row>
    <row r="152">
      <c r="A152" s="9" t="inlineStr">
        <is>
          <t>- Pairs used: 10 of the 17 measured pairs, chosen by the project lead after a fairness review (`fairness`, `included` and `fairness_note` columns).</t>
        </is>
      </c>
    </row>
    <row r="153">
      <c r="A153" s="9" t="inlineStr">
        <is>
          <t xml:space="preserve">  - Fair (7): Trade Secrets → DTSA; EU institutions data protection → Privacy Act; EU institutions cybersecurity → FISMA; Open Data → OPEN Government Data Act; GPSR → Consumer Product Safety Act; E-evidence → CLOUD Act; Chips Act → CHIPS Act.</t>
        </is>
      </c>
    </row>
    <row r="154">
      <c r="A154" s="9" t="inlineStr">
        <is>
          <t xml:space="preserve">  - Usable with a caveat (3): GDPR → CCPA (state law; detail in regulations); Toy Safety Directive 2009 → CPSIA (covers all children's products); UCPD → FTC Act §5 (one broad standard, with the substance in case law).</t>
        </is>
      </c>
    </row>
    <row r="155">
      <c r="A155" s="9" t="inlineStr">
        <is>
          <t xml:space="preserve">  - Excluded: the 2025 Toy Safety Regulation (it maps to the same CPSIA; the 2009 Directive, in force and of the same era as the CPSIA, is used instead; the Regulation replaces it from 2030); FiDA (a pending proposal against a statute plus a rule); non-cash payment fraud (the EU directive adds Member State duties that federal law does not need); InfoSoc → DMCA (the DMCA is much broader); Merger Regulation → HSR (filing procedure only); AMLR → Bank Secrecy Act 1970 (an enabling act against a comprehensive rulebook); EMC → FCC Part 15 (a rulebook).</t>
        </is>
      </c>
    </row>
    <row r="156">
      <c r="A156" s="9" t="inlineStr">
        <is>
          <t xml:space="preserve">  - Result on the 10 pairs: the EU act has more restrictions in all 10 and is denser in 8. Median EU/US ratio 2.4 (2.5 precision-adjusted). Mean 215 against 102. Median density 14.1 against 8.8 per 1,000 words.</t>
        </is>
      </c>
    </row>
    <row r="157">
      <c r="A157" s="9" t="inlineStr">
        <is>
          <t>- Not like-for-like:</t>
        </is>
      </c>
    </row>
    <row r="158">
      <c r="A158" s="9" t="inlineStr">
        <is>
          <t xml:space="preserve">  - The EMC Directive is compared with an FCC rulebook and FiDA with a statute plus a rule. Headline statistics are given for the 15 statute pairs as well.</t>
        </is>
      </c>
    </row>
    <row r="159">
      <c r="A159" s="9" t="inlineStr">
        <is>
          <t xml:space="preserve">  - US federal statutes leave detail to agency rules, which are not included except where they are the counterpart. EU implementing and delegated acts are likewise not included.</t>
        </is>
      </c>
    </row>
    <row r="160">
      <c r="A160" s="9" t="inlineStr"/>
    </row>
    <row r="161">
      <c r="A161" s="8" t="inlineStr">
        <is>
          <t>## Objectives</t>
        </is>
      </c>
    </row>
    <row r="162">
      <c r="A162" s="9" t="inlineStr">
        <is>
          <t>- The `objectives` column (and `data/objectives/objectives.json`) gives a plain-language summary of each instrument's stated aims, scope and main mechanisms, in 2–3 sentences of at most 70 words.</t>
        </is>
      </c>
    </row>
    <row r="163">
      <c r="A163" s="9" t="inlineStr">
        <is>
          <t>- Drafted from the act's own text on EUR-Lex: Article 1 (subject matter), the scope article, the first recitals and, for programmes, the budget article. For pending items it is drafted from the proposal.</t>
        </is>
      </c>
    </row>
    <row r="164">
      <c r="A164" s="9" t="inlineStr">
        <is>
          <t>- The summaries are neutral descriptions of what each act says it sets out to do; evaluation is kept to the impact-evidence fields. A few details rest on general knowledge rather than the articles cited, and the `source` field says which parts of the act were used.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pane="topRight"/>
      <selection pane="bottomLeft"/>
      <selection pane="bottomRight" activeCell="A1" sqref="A1"/>
    </sheetView>
  </sheetViews>
  <sheetFormatPr baseColWidth="8" defaultRowHeight="15"/>
  <cols>
    <col width="28" customWidth="1" min="1" max="1"/>
    <col width="12" customWidth="1" min="2" max="2"/>
    <col width="12" customWidth="1" min="3" max="3"/>
    <col width="12" customWidth="1" min="4" max="4"/>
    <col width="14" customWidth="1" min="5" max="5"/>
    <col width="10" customWidth="1" min="6" max="6"/>
    <col width="14" customWidth="1" min="7" max="7"/>
    <col width="14" customWidth="1" min="8" max="8"/>
    <col width="12" customWidth="1" min="9" max="9"/>
  </cols>
  <sheetData>
    <row r="1" ht="45" customHeight="1">
      <c r="A1" s="1" t="inlineStr">
        <is>
          <t>sample</t>
        </is>
      </c>
      <c r="B1" s="1" t="inlineStr">
        <is>
          <t>counted_true</t>
        </is>
      </c>
      <c r="C1" s="1" t="inlineStr">
        <is>
          <t>counted_false</t>
        </is>
      </c>
      <c r="D1" s="1" t="inlineStr">
        <is>
          <t>missed_true</t>
        </is>
      </c>
      <c r="E1" s="1" t="inlineStr">
        <is>
          <t>correctly_dropped</t>
        </is>
      </c>
      <c r="F1" s="1" t="inlineStr">
        <is>
          <t>precision</t>
        </is>
      </c>
      <c r="G1" s="1" t="inlineStr">
        <is>
          <t>recall_within_sample</t>
        </is>
      </c>
      <c r="H1" s="1" t="inlineStr">
        <is>
          <t>addressee_accuracy</t>
        </is>
      </c>
      <c r="I1" s="1" t="inlineStr">
        <is>
          <t>addressee_n</t>
        </is>
      </c>
    </row>
    <row r="2">
      <c r="A2" s="2" t="inlineStr">
        <is>
          <t>tuning_0_99</t>
        </is>
      </c>
      <c r="B2" s="2" t="n">
        <v>78</v>
      </c>
      <c r="C2" s="2" t="n">
        <v>6</v>
      </c>
      <c r="D2" s="2" t="n">
        <v>0</v>
      </c>
      <c r="E2" s="2" t="n">
        <v>16</v>
      </c>
      <c r="F2" s="2" t="n">
        <v>0.929</v>
      </c>
      <c r="G2" s="2" t="n">
        <v>1</v>
      </c>
      <c r="H2" s="2" t="n">
        <v>0.705</v>
      </c>
      <c r="I2" s="2" t="n">
        <v>78</v>
      </c>
    </row>
    <row r="3">
      <c r="A3" s="2" t="inlineStr">
        <is>
          <t>heldout_100_190</t>
        </is>
      </c>
      <c r="B3" s="2" t="n">
        <v>69</v>
      </c>
      <c r="C3" s="2" t="n">
        <v>9</v>
      </c>
      <c r="D3" s="2" t="n">
        <v>0</v>
      </c>
      <c r="E3" s="2" t="n">
        <v>13</v>
      </c>
      <c r="F3" s="2" t="n">
        <v>0.885</v>
      </c>
      <c r="G3" s="2" t="n">
        <v>1</v>
      </c>
      <c r="H3" s="2" t="n">
        <v>0.652</v>
      </c>
      <c r="I3" s="2" t="n">
        <v>69</v>
      </c>
    </row>
    <row r="4">
      <c r="A4" s="2" t="inlineStr">
        <is>
          <t>negatives</t>
        </is>
      </c>
      <c r="B4" s="2" t="inlineStr">
        <is>
          <t>{"n": 100, "true_restrictions_missed": 6}</t>
        </is>
      </c>
      <c r="C4" s="2" t="n"/>
      <c r="D4" s="2" t="n"/>
      <c r="E4" s="2" t="n"/>
      <c r="F4" s="2" t="n"/>
      <c r="G4" s="2" t="n"/>
      <c r="H4" s="2" t="n"/>
      <c r="I4" s="2" t="n"/>
    </row>
    <row r="5">
      <c r="A5" s="2" t="inlineStr">
        <is>
          <t>final_fresh_sample_100</t>
        </is>
      </c>
      <c r="B5" s="2" t="n">
        <v>84</v>
      </c>
      <c r="C5" s="2" t="n">
        <v>16</v>
      </c>
      <c r="D5" s="2" t="n"/>
      <c r="E5" s="2" t="n"/>
      <c r="F5" s="2" t="n">
        <v>0.84</v>
      </c>
      <c r="G5" s="2" t="n"/>
      <c r="H5" s="2" t="n">
        <v>0.738</v>
      </c>
      <c r="I5" s="2" t="n">
        <v>84</v>
      </c>
    </row>
    <row r="6">
      <c r="A6" s="2" t="inlineStr">
        <is>
          <t>note</t>
        </is>
      </c>
      <c r="B6" s="2" t="inlineStr">
        <is>
          <t>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is>
      </c>
      <c r="C6" s="2" t="n"/>
      <c r="D6" s="2" t="n"/>
      <c r="E6" s="2" t="n"/>
      <c r="F6" s="2" t="n"/>
      <c r="G6" s="2" t="n"/>
      <c r="H6" s="2" t="n"/>
      <c r="I6" s="2" t="n"/>
    </row>
  </sheetData>
  <autoFilter ref="A1:I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2026-10-10T19:32:18Z</dcterms:created>
  <dcterms:modified xmlns:dcterms="http://purl.org/dc/terms/" xmlns:xsi="http://www.w3.org/2001/XMLSchema-instance" xsi:type="dcterms:W3CDTF">2026-10-10T19:32:21Z</dcterms:modified>
</cp:coreProperties>
</file>