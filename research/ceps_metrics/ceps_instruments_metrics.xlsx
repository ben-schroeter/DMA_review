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method" sheetId="9" state="visible" r:id="rId11"/>
    <sheet name="validation" sheetId="10" state="visible" r:id="rId12"/>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impact_literature!$A$1:$T$200</definedName>
    <definedName function="false" hidden="true" localSheetId="0" name="_xlnm._FilterDatabase" vbProcedure="false">instruments!$A$1:$BP$117</definedName>
    <definedName function="false" hidden="true" localSheetId="6" name="_xlnm._FilterDatabase" vbProcedure="false">proposal_indicators!$A$1:$J$187</definedName>
    <definedName function="false" hidden="true" localSheetId="1" name="_xlnm._FilterDatabase" vbProcedure="false">secondary_acts!$A$1:$AC$771</definedName>
    <definedName function="false" hidden="true" localSheetId="9"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<sst xmlns="http://schemas.openxmlformats.org/spreadsheetml/2006/main" count="17954" uniqueCount="8336">
  <si>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</si>
  <si>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</si>
  <si>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</si>
  <si>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</si>
  <si>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</si>
  <si>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</si>
  <si>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</si>
  <si>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</si>
  <si>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</si>
  <si>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</si>
  <si>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</si>
  <si>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</si>
  <si>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</si>
  <si>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</si>
  <si>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</si>
  <si>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</si>
  <si>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</si>
  <si>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</si>
  <si>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</si>
  <si>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</si>
  <si>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</si>
  <si>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</si>
  <si>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</si>
  <si>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</si>
  <si>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</si>
  <si>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</si>
  <si>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</si>
  <si>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</si>
  <si>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</si>
  <si>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</si>
  <si>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</si>
  <si>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</si>
  <si>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</si>
  <si>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</si>
  <si>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</si>
  <si>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</si>
  <si>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</si>
  <si>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</si>
  <si>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</si>
  <si>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</si>
  <si>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</si>
  <si>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</si>
  <si>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</si>
  <si>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</si>
  <si>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</si>
  <si>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</si>
  <si>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</si>
  <si>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</si>
  <si>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</si>
  <si>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</si>
  <si>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</si>
  <si>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</si>
  <si>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</si>
  <si>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</si>
  <si>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</si>
  <si>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</si>
  <si>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</si>
  <si>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</si>
  <si>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</si>
  <si>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</si>
  <si>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</si>
  <si>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</si>
  <si>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</si>
  <si>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</si>
  <si>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</si>
  <si>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</si>
  <si>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</si>
  <si>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</si>
  <si>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</si>
  <si>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</si>
  <si>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</si>
  <si>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</si>
  <si>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</si>
  <si>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</si>
  <si>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</si>
  <si>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</si>
  <si>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</si>
  <si>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</si>
  <si>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</si>
  <si>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</si>
  <si>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</si>
  <si>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</si>
  <si>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</si>
  <si>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</si>
  <si>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</si>
  <si>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</si>
  <si>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</si>
  <si>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</si>
  <si>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</si>
  <si>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</si>
  <si>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</si>
  <si>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</si>
  <si>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</si>
  <si>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</si>
  <si>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</si>
  <si>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</si>
  <si>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</si>
  <si>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</si>
  <si>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</si>
  <si>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</si>
  <si>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</si>
  <si>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</si>
  <si>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</si>
  <si>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</si>
  <si>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</si>
  <si>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</si>
  <si>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</si>
  <si>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</si>
  <si>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</si>
  <si>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</si>
  <si>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</si>
  <si>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</si>
  <si>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</si>
  <si>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</si>
  <si>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</si>
  <si>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</si>
  <si>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</si>
  <si>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</si>
  <si>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</si>
  <si>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</si>
  <si>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</si>
  <si>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</si>
  <si>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thin but consistent: two Commission evaluations (2005, 2018) with descriptive data find no proven effect on database production; no causal academic study</t>
  </si>
  <si>
    <t xml:space="preserve">The Database Directive created a special 'sui generis' right to encourage investment in European databases. Two Commission evaluations, in 2005 and 2018, found no proven effect on database production or the industry's competitiveness: EU database entries in 2004 were back at their 1998 level (about 3,100) while the US, which has no such right, pulled further ahead. The Commission kept the right because its costs appear modest and publishers value it.</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</si>
  <si>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</si>
  <si>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</si>
  <si>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</si>
  <si>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</si>
  <si>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</si>
  <si>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</si>
  <si>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</si>
  <si>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</si>
  <si>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</si>
  <si>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</si>
  <si>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</si>
  <si>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</si>
  <si>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</si>
  <si>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</si>
  <si>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</si>
  <si>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</si>
  <si>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</si>
  <si>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</si>
  <si>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</si>
  <si>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</si>
  <si>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</si>
  <si>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</si>
  <si>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</si>
  <si>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</si>
  <si>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</si>
  <si>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</si>
  <si>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</si>
  <si>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</si>
  <si>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</si>
  <si>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</si>
  <si>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</si>
  <si>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</si>
  <si>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</si>
  <si>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</si>
  <si>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</si>
  <si>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</si>
  <si>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thin: Commission-commissioned legal evaluation and later IA diagnosis; no causal study of the Directive itself; indirect causal evidence on DRM and correlational evidence on research exceptions</t>
  </si>
  <si>
    <t xml:space="preserve">The InfoSoc Directive promised to harmonise copyright across the EU and spur online content services, but set no measurable targets. The Commission's own 2007 evaluation found it harmonised copyright exceptions only 'very modestly' and created legal uncertainty around copy protection (DRM), and in 2016 the Commission proposed new mandatory exceptions to fix the same problems. Independent research suggests restrictive exceptions are linked to less data-mining research and that removing DRM raised music sales by about 10%, but no study measures the Directive's overall economic effect.</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</si>
  <si>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</si>
  <si>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</si>
  <si>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</si>
  <si>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</si>
  <si>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</si>
  <si>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</si>
  <si>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</si>
  <si>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</si>
  <si>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</si>
  <si>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</si>
  <si>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thin: Commission evaluations are qualitative; no causal study isolates the Directive's or its safe harbours' effect on trade, investment or innovation; main quantitative estimate is industry-funded</t>
  </si>
  <si>
    <t xml:space="preserve">The E-commerce Directive set no measurable targets. The Commission's 2020 evaluation concluded that its core rules, including liability protection for online intermediaries, helped digital services grow across borders, but national courts applied them inconsistently; this led to the Digital Services Act. No independent study has measured the safe harbours' effect on investment or innovation in Europe; the best-known estimate is a Google-funded simulation.</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</si>
  <si>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</si>
  <si>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</si>
  <si>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</si>
  <si>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</si>
  <si>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</si>
  <si>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</si>
  <si>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</si>
  <si>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</si>
  <si>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</si>
  <si>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</si>
  <si>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</si>
  <si>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</si>
  <si>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</si>
  <si>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moderate: one influential peer-reviewed causal study; Commission evaluation with acknowledged data gaps</t>
  </si>
  <si>
    <t xml:space="preserve">The ePrivacy Directive set no measurable targets. The Commission's own 2017 evaluation found its cookie-consent rule had not given users real control and was over-inclusive, at around EUR 658 compliance cost per business. Independent research found the EU tracking rules made online display advertising markedly less effective, especially for news sites. The proposed ePrivacy Regulation meant to fix this was withdrawn in 2025.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</si>
  <si>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</si>
  <si>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</si>
  <si>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</si>
  <si>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</si>
  <si>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</si>
  <si>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</si>
  <si>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</si>
  <si>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</si>
  <si>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</si>
  <si>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</si>
  <si>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</si>
  <si>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</si>
  <si>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</si>
  <si>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</si>
  <si>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</si>
  <si>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</si>
  <si>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</si>
  <si>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</si>
  <si>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</si>
  <si>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</si>
  <si>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moderate: peer-reviewed causal studies (event study, sector panels) and a large merger-case dataset, mostly on the predecessor regime or specific sectors; Commission evaluations are procedural and its savings estimates are ex-ante self-assessments</t>
  </si>
  <si>
    <t xml:space="preserve">The Merger Regulation set no measurable targets. The Commission estimates its competition enforcement saves customers EUR 12-21 billion a year, about 60% from merger control, but that figure assumes every decision was right. Independent studies find that blocking deals removes expected market-power gains while conditions on approved deals work only partly, that four-to-three mobile mergers raised prices about 16%, and that market concentration in Europe has risen; the 2021 evaluation also admitted some takeovers of innovative start-ups escape review, and the Court of Justice struck down the Commission's fix in 2024.</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</si>
  <si>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</si>
  <si>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</si>
  <si>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</si>
  <si>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</si>
  <si>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</si>
  <si>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</si>
  <si>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</si>
  <si>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</si>
  <si>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</si>
  <si>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</si>
  <si>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</si>
  <si>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</si>
  <si>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</si>
  <si>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</si>
  <si>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</si>
  <si>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</si>
  <si>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</si>
  <si>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</si>
  <si>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</si>
  <si>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</si>
  <si>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</si>
  <si>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moderate: one causal study (DiD) on trust and cross-border shopping; two Commission fitness checks with cost and detriment estimates; prevalence studies show persistent online harm</t>
  </si>
  <si>
    <t xml:space="preserve">The UCPD replaced national rules on misleading and aggressive selling in 2005-2007. One causal study finds it raised consumer trust and cross-border shopping, but only in countries with weak protection beforehand. The Commission's 2017 and 2024 reviews found the rules cheap to comply with (about EUR 0.5-0.7 billion a year for the three core consumer laws), but online harm remains large - at least EUR 7.9 billion a year - and almost all popular websites still use manipulative designs.</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</si>
  <si>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</si>
  <si>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</si>
  <si>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</si>
  <si>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</si>
  <si>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</si>
  <si>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</si>
  <si>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</si>
  <si>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</si>
  <si>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</si>
  <si>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</si>
  <si>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</si>
  <si>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</si>
  <si>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</si>
  <si>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</si>
  <si>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</si>
  <si>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</si>
  <si>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</si>
  <si>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</si>
  <si>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</si>
  <si>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</si>
  <si>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</si>
  <si>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</si>
  <si>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</si>
  <si>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</si>
  <si>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</si>
  <si>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</si>
  <si>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</si>
  <si>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</si>
  <si>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</si>
  <si>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</si>
  <si>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</si>
  <si>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</si>
  <si>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</si>
  <si>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</si>
  <si>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</si>
  <si>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</si>
  <si>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</si>
  <si>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</si>
  <si>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</si>
  <si>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</si>
  <si>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</si>
  <si>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</si>
  <si>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</si>
  <si>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</si>
  <si>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</si>
  <si>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</si>
  <si>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</si>
  <si>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</si>
  <si>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</si>
  <si>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</si>
  <si>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</si>
  <si>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</si>
  <si>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</si>
  <si>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</si>
  <si>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</si>
  <si>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</si>
  <si>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</si>
  <si>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</si>
  <si>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</si>
  <si>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thin: Commission evaluations and national assessments only; no causal study of the CRD's effect on cross-border trade, prices or returns</t>
  </si>
  <si>
    <t xml:space="preserve">The Consumer Rights Directive harmonised pre-contract information and the 14-day right to withdraw from online and doorstep sales from 2014. Its promised gain - cheaper cross-border selling - was never measured: the Commission's 2017 review found too little data, and the UK's forecast GBP 2.6 billion benefit was not checked after the fact. Reviews show compliance costs are modest but withdrawal rights remain the top cross-border complaint, and the 2024 review flagged subscription traps and simplification needs.</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</si>
  <si>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</si>
  <si>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</si>
  <si>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</si>
  <si>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</si>
  <si>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</si>
  <si>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</si>
  <si>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</si>
  <si>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</si>
  <si>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</si>
  <si>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</si>
  <si>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</si>
  <si>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moderate: two Commission evaluations with cost/benefit estimates, ECA audit, and causal evidence on the CRS (DAC2) deposit effect; benefit attribution remains weak</t>
  </si>
  <si>
    <t xml:space="preserve">The EU's tax-information exchange rules set no monitoring indicators. The Commission's 2025 evaluation estimates they raise about EUR 6.8 billion a year in tax against running costs of about EUR 646 million, mostly paid by business, though EU auditors found much exchanged data is poor quality or unused. Independent research on automatic bank-account exchange finds an 11.5% drop in deposits in tax havens, with some money moving to non-participating countries.</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</si>
  <si>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</si>
  <si>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</si>
  <si>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</si>
  <si>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</si>
  <si>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</si>
  <si>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</si>
  <si>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</si>
  <si>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</si>
  <si>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</si>
  <si>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</si>
  <si>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strong: several peer-reviewed causal studies (mostly short-run, digital sector); Commission reviews give enforcement statistics but no cost-benefit estimate</t>
  </si>
  <si>
    <t xml:space="preserve">Independent causal studies consistently find costs: less venture funding, fewer apps (a third exited, entry halved), higher data costs (+22%), lower recorded web traffic (-12%) and more concentration among web vendors favouring Google and Facebook. The Commission's reviews report rising enforcement (EUR 4.2bn in fines) and better-resourced regulators, but the promised EUR 2.3bn a year in administrative savings has never been evaluated.</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</si>
  <si>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</si>
  <si>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</si>
  <si>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</si>
  <si>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</si>
  <si>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</si>
  <si>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</si>
  <si>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</si>
  <si>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</si>
  <si>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</si>
  <si>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</si>
  <si>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</si>
  <si>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</si>
  <si>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</si>
  <si>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</si>
  <si>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</si>
  <si>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</si>
  <si>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</si>
  <si>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</si>
  <si>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</si>
  <si>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thin but direct: Commission evaluation with usage counts and cost-benefit baseline; no independent quantitative or causal studies</t>
  </si>
  <si>
    <t xml:space="preserve">eIDAS aimed to let people use their national e-ID and e-signatures across the EU. The Commission's 2021 evaluation found trust services such as qualified e-signatures took off (202 qualified providers), but cross-border e-ID use was tiny - at most tens of thousands of logins a year per country - so costs exceeded benefits. Notification has since spread to 24 of 27 countries, and the 2024 revision (European Digital Identity Wallet) is meant to fix low uptake; no independent study measures economic effects.</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</si>
  <si>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</si>
  <si>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</si>
  <si>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</si>
  <si>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</si>
  <si>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</si>
  <si>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</si>
  <si>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</si>
  <si>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</si>
  <si>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</si>
  <si>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</si>
  <si>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moderate: Commission evaluation with market data; cross-country causal evidence on open banking; little independent evidence on prices or SCA trade-offs</t>
  </si>
  <si>
    <t xml:space="preserve">PSD2's strong customer authentication cut card fraud sharply (70-80% lower on authenticated remote payments) and open-banking rules helped new payment firms enter; cross-country research links open banking to more fintech investment. But open-banking uptake is uneven, banks report high API costs, card markets stay national and the promised fall in payment costs for merchants has not materialised. Industry data point to some lost online sales from authentication friction.</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</si>
  <si>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</si>
  <si>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</si>
  <si>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</si>
  <si>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</si>
  <si>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</si>
  <si>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</si>
  <si>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</si>
  <si>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</si>
  <si>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</si>
  <si>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</si>
  <si>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</si>
  <si>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thin to moderate: qualitative Commission/BEREC reviews; one cross-country causal study on investment (negative) and conflicting correlational studies on zero-rating</t>
  </si>
  <si>
    <t xml:space="preserve">The EU's net neutrality rules set no measurable targets; Commission reviews in 2019 and 2023 found them applied consistently and still fit for purpose, and EU court rulings in 2020-21 ended most 'zero-rating' offers. Evidence on economic effects is limited and conflicting: one study of 32 OECD countries finds strict net neutrality rules slowed fibre investment, while studies of zero-rating disagree on whether it raised mobile data prices.</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</si>
  <si>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</si>
  <si>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</si>
  <si>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</si>
  <si>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</si>
  <si>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</si>
  <si>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</si>
  <si>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</si>
  <si>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</si>
  <si>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</si>
  <si>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</si>
  <si>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</si>
  <si>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</si>
  <si>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</si>
  <si>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</si>
  <si>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</si>
  <si>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</si>
  <si>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</si>
  <si>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</si>
  <si>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</si>
  <si>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</si>
  <si>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</si>
  <si>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</si>
  <si>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</si>
  <si>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</si>
  <si>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</si>
  <si>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</si>
  <si>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</si>
  <si>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</si>
  <si>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</si>
  <si>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</si>
  <si>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</si>
  <si>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</si>
  <si>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</si>
  <si>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</si>
  <si>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</si>
  <si>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</si>
  <si>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</si>
  <si>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</si>
  <si>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</si>
  <si>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</si>
  <si>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</si>
  <si>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</si>
  <si>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</si>
  <si>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</si>
  <si>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</si>
  <si>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</si>
  <si>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</si>
  <si>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</si>
  <si>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</si>
  <si>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</si>
  <si>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</si>
  <si>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</si>
  <si>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</si>
  <si>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</si>
  <si>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</si>
  <si>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</si>
  <si>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</si>
  <si>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</si>
  <si>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</si>
  <si>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</si>
  <si>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moderate: one quasi-experimental JRC study (traffic proxy) and before/after mystery shopping; no ex-post evidence on prices or sales; full evaluation pending</t>
  </si>
  <si>
    <t xml:space="preserve">The Commission forecast that banning unjustified geo-blocking would cut online prices by about 0.6% and raise consumer welfare by 0.8%; prices have not been checked since. Outright blocking of foreign shoppers has fallen and a Commission study found cross-border visits to online shops rose by roughly 9-13%, but most cross-border purchases still fail because sellers may refuse to deliver abroad. EU auditors in 2025 found enforcement weak and uneven.</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</si>
  <si>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</si>
  <si>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</si>
  <si>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</si>
  <si>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</si>
  <si>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</si>
  <si>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</si>
  <si>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</si>
  <si>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</si>
  <si>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</si>
  <si>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</si>
  <si>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</si>
  <si>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</si>
  <si>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</si>
  <si>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</si>
  <si>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</si>
  <si>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</si>
  <si>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</si>
  <si>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</si>
  <si>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thin on the EECC itself: Commission review and coverage statistics, no causal evaluation; solid older econometric literature on access regulation and investment under the predecessor framework</t>
  </si>
  <si>
    <t xml:space="preserve">The telecoms code was forecast to lift EU GDP by 1.45% by 2025 by spurring fibre and 5G investment; that has never been measured. Fast networks did spread - fibre reached 69% of homes and 5G 94% in 2024 - but the Commission's 2026 review found its main investment tool (co-investment) was never used and national rules stayed fragmented, leading it to propose replacing the code with a Digital Networks Act. Older research shows strict access regulation tends to reduce incumbents' network investment.</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</si>
  <si>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</si>
  <si>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</si>
  <si>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</si>
  <si>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</si>
  <si>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</si>
  <si>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</si>
  <si>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</si>
  <si>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</si>
  <si>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thin on the Directive itself; moderate causal evidence on predecessor national press publishers' rights (Spain, Germany); no measurement of Art. 17 effects</t>
  </si>
  <si>
    <t xml:space="preserve">The Commission promised that the Directive would help news publishers and other right holders license their content to online platforms, but set no measurable targets and has not yet evaluated it. Studies of earlier national publishers' rights found they raised little money and that when Google News left Spain, traffic to news sites fell by 8-14%. In France, Google paid only after EUR 750m in competition fines; the effect of the upload-filter rules (Art. 17) on creators, platforms and users has not been measured.</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</si>
  <si>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</si>
  <si>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</si>
  <si>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</si>
  <si>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</si>
  <si>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</si>
  <si>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</si>
  <si>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</si>
  <si>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</si>
  <si>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</si>
  <si>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</si>
  <si>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</si>
  <si>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</si>
  <si>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</si>
  <si>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</si>
  <si>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</si>
  <si>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</si>
  <si>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</si>
  <si>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</si>
  <si>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</si>
  <si>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</si>
  <si>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</si>
  <si>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</si>
  <si>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</si>
  <si>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</si>
  <si>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</si>
  <si>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</si>
  <si>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</si>
  <si>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</si>
  <si>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</si>
  <si>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</si>
  <si>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</si>
  <si>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</si>
  <si>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</si>
  <si>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</si>
  <si>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</si>
  <si>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</si>
  <si>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</si>
  <si>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</si>
  <si>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</si>
  <si>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</si>
  <si>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</si>
  <si>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</si>
  <si>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</si>
  <si>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</si>
  <si>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</si>
  <si>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</si>
  <si>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</si>
  <si>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</si>
  <si>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</si>
  <si>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</si>
  <si>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</si>
  <si>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</si>
  <si>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moderate: Commission evaluation, ECA audit and OECD review on process; two independent quasi-experimental studies on investment flows (working papers) that point to some chilling effect of screening</t>
  </si>
  <si>
    <t xml:space="preserve">The FDI Screening Regulation set no measurable targets beyond a review. By 2024, 24 of 27 countries screened foreign investments and handled over 3,000 cases, blocking about 1% of those formally screened; the Commission's 2024 evaluation says the system protects security without deterring investment, while EU auditors found 'blind spots'. Independent studies suggest screening reduces foreign takeovers in newly screened sectors by roughly 12-16%, so the claim of no chilling effect is contested; a revised Regulation was adopted in 2026.</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</si>
  <si>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</si>
  <si>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</si>
  <si>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</si>
  <si>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</si>
  <si>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</si>
  <si>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</si>
  <si>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</si>
  <si>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</si>
  <si>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</si>
  <si>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</si>
  <si>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</si>
  <si>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</si>
  <si>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</si>
  <si>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</si>
  <si>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</si>
  <si>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</si>
  <si>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</si>
  <si>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</si>
  <si>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</si>
  <si>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</si>
  <si>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</si>
  <si>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</si>
  <si>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</si>
  <si>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</si>
  <si>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</si>
  <si>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</si>
  <si>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</si>
  <si>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</si>
  <si>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</si>
  <si>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</si>
  <si>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</si>
  <si>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</si>
  <si>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</si>
  <si>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</si>
  <si>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</si>
  <si>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thin: large ex-ante forecasts and self-reported maturity scores; no ex-post evaluation of the Directive yet; causal evidence on open data exists only outside the EU</t>
  </si>
  <si>
    <t xml:space="preserve">The Commission forecast that the Open Data Directive would make public data worth about EUR 194 billion a year by 2028 and support around 709,000 jobs, but none of these forecasts has been checked: the evaluation due from 2025 had not been published by October 2026. Monitoring relies on countries' self-assessed open data maturity, which reached 86% in 2025, with the lowest score for demonstrating impact. Research from outside the EU shows free public data can spur discoveries and new entrants, but no study measures what this Directive has achieved.</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</si>
  <si>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</si>
  <si>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</si>
  <si>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</si>
  <si>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</si>
  <si>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</si>
  <si>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</si>
  <si>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</si>
  <si>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</si>
  <si>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</si>
  <si>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thin: Commission compliance review and national regulator surveys/sweeps only; no study of effects on business users' sales, prices or competition</t>
  </si>
  <si>
    <t xml:space="preserve">The P2B Regulation (applying since July 2020) gave businesses that sell through platforms rights to clear terms, ranking explanations and complaint handling. The Commission forecast EUR 0.8-4 billion of extra online trade but never measured it; its 2023 review and later national checks found low compliance (around 80% of platforms in an Irish 2025 sweep) and low awareness among businesses. In November 2025 the Commission proposed repealing it as largely overtaken by the DSA and DMA.</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</si>
  <si>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</si>
  <si>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</si>
  <si>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</si>
  <si>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</si>
  <si>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</si>
  <si>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</si>
  <si>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</si>
  <si>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</si>
  <si>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</si>
  <si>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</si>
  <si>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</si>
  <si>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</si>
  <si>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</si>
  <si>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</si>
  <si>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</si>
  <si>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</si>
  <si>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</si>
  <si>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</si>
  <si>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</si>
  <si>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</si>
  <si>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</si>
  <si>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</si>
  <si>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</si>
  <si>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</si>
  <si>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</si>
  <si>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</si>
  <si>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</si>
  <si>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</si>
  <si>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</si>
  <si>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</si>
  <si>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</si>
  <si>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</si>
  <si>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</si>
  <si>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</si>
  <si>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</si>
  <si>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</si>
  <si>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</si>
  <si>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</si>
  <si>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</si>
  <si>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</si>
  <si>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moderate: strong causal evidence that predecessor (Horizon 2020) grants help firms; Horizon Europe's own GDP and jobs effects only model-based so far</t>
  </si>
  <si>
    <t xml:space="preserve">Horizon Europe, the EU's EUR 93.5 billion research programme, was forecast to return up to EUR 11 in GDP for every euro spent over 25 years and create up to 100,000 research jobs. Its 2025 interim evaluation says it is on track, but those figures come from re-running economic models; measured results so far are about 40,000 jobs reported by a fifth of projects and EUR 10 billion of co-investment. Rigorous studies of its predecessor find that grants helped small firms invest, patent and grow, while European Research Council grants made little difference to researchers just above the funding line.</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</si>
  <si>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</si>
  <si>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</si>
  <si>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</si>
  <si>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</si>
  <si>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</si>
  <si>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</si>
  <si>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</si>
  <si>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</si>
  <si>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</si>
  <si>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</si>
  <si>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</si>
  <si>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</si>
  <si>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</si>
  <si>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</si>
  <si>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</si>
  <si>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</si>
  <si>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</si>
  <si>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</si>
  <si>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</si>
  <si>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</si>
  <si>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</si>
  <si>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</si>
  <si>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</si>
  <si>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</si>
  <si>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</si>
  <si>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</si>
  <si>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</si>
  <si>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</si>
  <si>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</si>
  <si>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</si>
  <si>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</si>
  <si>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</si>
  <si>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</si>
  <si>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</si>
  <si>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</si>
  <si>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moderate on implementation, thin on impact: detailed disbursement and audit data; GDP effects only from macro models (Commission, ECB) and early IMF analysis; no ex-post causal evaluation (due 2028)</t>
  </si>
  <si>
    <t xml:space="preserve">The Recovery and Resilience Facility paid out EUR 450 billion (79% of its funds) by October 2026, tied to reforms and investments that countries promised, of which about two-thirds of milestones were met. Commission models suggested it could lift EU output by up to 1.4% by 2026, while ECB staff now expect a smaller 0.4-0.9% for the euro area because of widespread delays. EU auditors warn that the fund's indicators track spending progress, not real results, so its actual impact remains unmeasured until the 2028 ex-post evaluation.</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</si>
  <si>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</si>
  <si>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</si>
  <si>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</si>
  <si>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</si>
  <si>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</si>
  <si>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</si>
  <si>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</si>
  <si>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</si>
  <si>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</si>
  <si>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</si>
  <si>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</si>
  <si>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</si>
  <si>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</si>
  <si>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</si>
  <si>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</si>
  <si>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</si>
  <si>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</si>
  <si>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</si>
  <si>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</si>
  <si>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</si>
  <si>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</si>
  <si>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</si>
  <si>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</si>
  <si>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</si>
  <si>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</si>
  <si>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</si>
  <si>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</si>
  <si>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</si>
  <si>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</si>
  <si>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</si>
  <si>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</si>
  <si>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</si>
  <si>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</si>
  <si>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</si>
  <si>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</si>
  <si>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</si>
  <si>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</si>
  <si>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</si>
  <si>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</si>
  <si>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</si>
  <si>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early and thin: authorisation counts measured; two small quasi-experimental studies on stablecoin markets; nothing on fraud, consumer losses or funding</t>
  </si>
  <si>
    <t xml:space="preserve">MiCA set up EU licences for crypto firms and stablecoin issuers. By October 2026 about 365 firms were licensed and licensed euro stablecoins had more than doubled in value to about USD 674 million, though from a tiny base. Early studies find MiCA moved EU exchanges from unlicensed to licensed stablecoins but barely changed wider markets; promised savings on remittances and reductions in fraud have not been measured.</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</si>
  <si>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</si>
  <si>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</si>
  <si>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</si>
  <si>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</si>
  <si>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</si>
  <si>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</si>
  <si>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</si>
  <si>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</si>
  <si>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very thin: forecasts plus implementation milestones and vendor surveys; no independent evidence on incidents, resilience or costs</t>
  </si>
  <si>
    <t xml:space="preserve">DORA aims to make banks, insurers and other financial firms withstand IT failures and cyber attacks, and to oversee their key tech suppliers. Since it applied in January 2025, regulators have mapped firms' IT supply chains and put 19 critical providers - including the big cloud companies - under direct oversight. The forecast savings and reduction in incident costs have not been measured; the only cost evidence comes from vendor surveys suggesting many firms spent over EUR 1 million on compliance.</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</si>
  <si>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</si>
  <si>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</si>
  <si>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</si>
  <si>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</si>
  <si>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</si>
  <si>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</si>
  <si>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</si>
  <si>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</si>
  <si>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</si>
  <si>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thin: Commission forecasts, registers and enforcement records, two critical legal analyses; no evaluation or causal evidence</t>
  </si>
  <si>
    <t xml:space="preserve">The Data Governance Act (applying since September 2023) created a regime for trusted data intermediaries and data altruism. The Commission forecast EUR 7-11 billion for the data economy by 2028, but uptake has been modest - 38 registered intermediaries and 7 altruism organisations by mid-2026 - and many countries were late in setting up authorities. Legal scholars argued the rules could make intermediaries unviable, and in November 2025 the Commission proposed folding the DGA into the Data Act and making the intermediary regime voluntary.</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</si>
  <si>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</si>
  <si>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</si>
  <si>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</si>
  <si>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</si>
  <si>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</si>
  <si>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</si>
  <si>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</si>
  <si>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</si>
  <si>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</si>
  <si>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</si>
  <si>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three studies with causal designs on individual remedies (browsers, Amazon ranking, maps) and one small study on start-ups; headline benefits never measured</t>
  </si>
  <si>
    <t xml:space="preserve">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</si>
  <si>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</si>
  <si>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</si>
  <si>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</si>
  <si>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</si>
  <si>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</si>
  <si>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</si>
  <si>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</si>
  <si>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</si>
  <si>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thin: no promised indicators; enforcement record and descriptive transparency studies only; no causal evidence on economic or safety outcomes</t>
  </si>
  <si>
    <t xml:space="preserve">The DSA set no monitoring indicators, and its forecast 1-1.8% boost to cross-border digital trade has not been evaluated. Enforcement has begun - X was fined EUR 120m in December 2025 - and the new transparency database has made moderation more visible, but audits of hundreds of millions of records show platforms report inconsistently. No study yet measures the DSA's effect on illegal content, users' safety or the platform economy.</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</si>
  <si>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</si>
  <si>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</si>
  <si>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</si>
  <si>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</si>
  <si>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</si>
  <si>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</si>
  <si>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</si>
  <si>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thin: forecasts only; outcome data limited to ENISA's descriptive surveys; no causal study of NIS1 or NIS2 effects on incidents or costs</t>
  </si>
  <si>
    <t xml:space="preserve">The Commission expected NIS 2 to cut the cost of cyber incidents by EUR 11.3 billion over ten years, at the price of up to 22% more security spending for newly covered firms. Neither figure has been measured: ENISA's surveys show security budgets steady at about 9% of IT spending, compliance as the main driver of investment, and newly covered sectors lagging behind those already regulated. Transposition was slow - four countries were taken to court in July 2026 - and no study yet measures whether incidents have fallen.</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</si>
  <si>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</si>
  <si>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</si>
  <si>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</si>
  <si>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</si>
  <si>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</si>
  <si>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</si>
  <si>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</si>
  <si>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</si>
  <si>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</si>
  <si>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</si>
  <si>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</si>
  <si>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</si>
  <si>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</si>
  <si>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</si>
  <si>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</si>
  <si>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</si>
  <si>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</si>
  <si>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</si>
  <si>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</si>
  <si>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</si>
  <si>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strong: several peer-reviewed causal studies of Roam Like at Home plus regular BEREC/Commission data; gaps on quality of service</t>
  </si>
  <si>
    <t xml:space="preserve">Since roaming charges in the EU ended in 2017, mobile data use abroad has risen about 48-fold, and peer-reviewed studies find large consumer gains (about EUR 2.44 per traveller per day) that outweigh operators' lost profits, with no sign of higher domestic prices. The 2022 recast kept the regime sustainable: no network operator has needed a surcharge derogation since 2022. The main shortfall is quality: a 2025 study found 76% of travellers get slower download speeds abroad than at home.</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</si>
  <si>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</si>
  <si>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</si>
  <si>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</si>
  <si>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</si>
  <si>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</si>
  <si>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</si>
  <si>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</si>
  <si>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</si>
  <si>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</si>
  <si>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forecasts only: main obligations not yet applicable (postponed to 2027-28); no ex-post evidence; ex-ante cost assumptions contested</t>
  </si>
  <si>
    <t xml:space="preserve">The AI Act's main high-risk obligations do not yet apply and were postponed in 2026 to December 2027 and August 2028, so its effects cannot yet be measured. One of its own success indicators - the share of firms using AI - rose from 8% (2023) to 20% (2025), but this reflects the generative-AI boom rather than the Act. The Commission's forecast of EUR 100-500m compliance costs assumed only 5-15% of AI systems would be high-risk; start-up surveys put that share at 33-50%.</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</si>
  <si>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</si>
  <si>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</si>
  <si>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</si>
  <si>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</si>
  <si>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</si>
  <si>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</si>
  <si>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</si>
  <si>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</si>
  <si>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</si>
  <si>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</si>
  <si>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</si>
  <si>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</si>
  <si>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</si>
  <si>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</si>
  <si>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</si>
  <si>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</si>
  <si>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</si>
  <si>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</si>
  <si>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</si>
  <si>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</si>
  <si>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</si>
  <si>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</si>
  <si>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</si>
  <si>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</si>
  <si>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</si>
  <si>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</si>
  <si>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</si>
  <si>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</si>
  <si>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</si>
  <si>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</si>
  <si>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</si>
  <si>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</si>
  <si>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</si>
  <si>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</si>
  <si>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</si>
  <si>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</si>
  <si>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</si>
  <si>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</si>
  <si>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thin: not yet applicable (from July 2027); no evaluation; general literature sceptical of AML effectiveness and documents unintended costs (de-risking, credit)</t>
  </si>
  <si>
    <t xml:space="preserve">The Anti-Money Laundering Regulation, which applies from July 2027, replaces national rules with a single EU rulebook, caps cash payments at EUR 10,000 and is backed by a new EU authority costing about EUR 40 million a year. The Commission did not estimate how much money laundering it would prevent, and nothing has yet been measured. Wider research is sceptical: one review finds anti-money-laundering rules remove less than 0.1% of criminal money, and studies document side effects such as banks dropping whole groups of customers and cutting lending to small firms.</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</si>
  <si>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</si>
  <si>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</si>
  <si>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</si>
  <si>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</si>
  <si>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</si>
  <si>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</si>
  <si>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</si>
  <si>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</si>
  <si>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</si>
  <si>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</si>
  <si>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</si>
  <si>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</si>
  <si>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</si>
  <si>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</si>
  <si>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</si>
  <si>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</si>
  <si>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</si>
  <si>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</si>
  <si>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</si>
  <si>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</si>
  <si>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</si>
  <si>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</si>
  <si>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</si>
  <si>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</si>
  <si>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</si>
  <si>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</si>
  <si>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</si>
  <si>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</si>
  <si>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</si>
  <si>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</si>
  <si>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</si>
  <si>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</si>
  <si>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</si>
  <si>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</si>
  <si>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</si>
  <si>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</si>
  <si>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</si>
  <si>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</si>
  <si>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</si>
  <si>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</si>
  <si>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</si>
  <si>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</si>
  <si>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</si>
  <si>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</si>
  <si>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</si>
  <si>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</si>
  <si>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</si>
  <si>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</si>
  <si>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</si>
  <si>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</si>
  <si>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</si>
  <si>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</si>
  <si>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</si>
  <si>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</si>
  <si>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</si>
  <si>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</si>
  <si>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</si>
  <si>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</si>
  <si>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</si>
  <si>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</si>
  <si>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</si>
  <si>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</si>
  <si>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</si>
  <si>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</si>
  <si>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</si>
  <si>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</si>
  <si>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</si>
  <si>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</si>
  <si>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</si>
  <si>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</si>
  <si>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</si>
  <si>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ex-ante only: large Commission forecasts, critical legal-economic analyses, one industry readiness survey; no ex-post evidence (applied from September 2025)</t>
  </si>
  <si>
    <t xml:space="preserve">The Data Act gives users of connected devices and businesses rights to access and share data, and has applied since September 2025. The Commission forecast EUR 270 billion of extra GDP by 2028, but nothing has yet been measured, and economists at Bruegel, CERRE and universities argue the access rules are weak or complex. A 2025 survey found almost no German firms ready, and the Commission has already proposed amendments in its November 2025 Digital Omnibus.</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</si>
  <si>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</si>
  <si>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</si>
  <si>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</si>
  <si>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</si>
  <si>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</si>
  <si>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</si>
  <si>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</si>
  <si>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</si>
  <si>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</si>
  <si>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</si>
  <si>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</si>
  <si>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</si>
  <si>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</si>
  <si>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</si>
  <si>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</si>
  <si>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</si>
  <si>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</si>
  <si>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</si>
  <si>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</si>
  <si>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</si>
  <si>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</si>
  <si>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</si>
  <si>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</si>
  <si>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</si>
  <si>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</si>
  <si>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</si>
  <si>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</si>
  <si>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</si>
  <si>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</si>
  <si>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</si>
  <si>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</si>
  <si>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</si>
  <si>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</si>
  <si>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</si>
  <si>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</si>
  <si>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</si>
  <si>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</si>
  <si>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</si>
  <si>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</si>
  <si>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</si>
  <si>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</si>
  <si>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</si>
  <si>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</si>
  <si>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</si>
  <si>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</si>
  <si>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</si>
  <si>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</si>
  <si>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</si>
  <si>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</si>
  <si>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</si>
  <si>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</si>
  <si>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</si>
  <si>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</si>
  <si>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</si>
  <si>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</si>
  <si>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</si>
  <si>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</si>
  <si>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</si>
  <si>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</si>
  <si>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</si>
  <si>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</si>
  <si>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</si>
  <si>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</si>
  <si>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</si>
  <si>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</si>
  <si>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</si>
  <si>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</si>
  <si>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</si>
  <si>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</si>
  <si>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</si>
  <si>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</si>
  <si>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</si>
  <si>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</si>
  <si>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</si>
  <si>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</si>
  <si>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</si>
  <si>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</si>
  <si>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</si>
  <si>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</si>
  <si>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</si>
  <si>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</si>
  <si>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</si>
  <si>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</si>
  <si>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</si>
  <si>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</si>
  <si>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</si>
  <si>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</si>
  <si>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</si>
  <si>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</si>
  <si>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</si>
  <si>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</si>
  <si>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</si>
  <si>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</si>
  <si>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</si>
  <si>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</si>
  <si>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</si>
  <si>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</si>
  <si>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</si>
  <si>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</si>
  <si>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</si>
  <si>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</si>
  <si>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</si>
  <si>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</si>
  <si>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</si>
  <si>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</si>
  <si>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</si>
  <si>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</si>
  <si>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</si>
  <si>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</si>
  <si>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</si>
  <si>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</si>
  <si>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</si>
  <si>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</si>
  <si>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</si>
  <si>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</si>
  <si>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</si>
  <si>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</si>
  <si>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</si>
  <si>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</si>
  <si>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</si>
  <si>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</si>
  <si>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</si>
  <si>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</si>
  <si>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</si>
  <si>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</si>
  <si>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</si>
  <si>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</si>
  <si>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</si>
  <si>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</si>
  <si>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</si>
  <si>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</si>
  <si>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</si>
  <si>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</si>
  <si>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</si>
  <si>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</si>
  <si>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</si>
  <si>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</si>
  <si>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</si>
  <si>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</si>
  <si>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</si>
  <si>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</si>
  <si>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</si>
  <si>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</si>
  <si>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</si>
  <si>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</si>
  <si>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</si>
  <si>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</si>
  <si>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</si>
  <si>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</si>
  <si>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</si>
  <si>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</si>
  <si>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</si>
  <si>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</si>
  <si>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</si>
  <si>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</si>
  <si>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</si>
  <si>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</si>
  <si>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</si>
  <si>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</si>
  <si>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</si>
  <si>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</si>
  <si>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</si>
  <si>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</si>
  <si>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</si>
  <si>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</si>
  <si>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</si>
  <si>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</si>
  <si>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</si>
  <si>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</si>
  <si>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</si>
  <si>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</si>
  <si>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</si>
  <si>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</si>
  <si>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</si>
  <si>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</si>
  <si>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</si>
  <si>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</si>
  <si>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</si>
  <si>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</si>
  <si>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Financial Data Access Regulation (FiDA)</t>
  </si>
  <si>
    <t xml:space="preserve">2023/0205(COD)</t>
  </si>
  <si>
    <t xml:space="preserve">2023-06-28</t>
  </si>
  <si>
    <t xml:space="preserve">52023PC0360</t>
  </si>
  <si>
    <t xml:space="preserve">https://eur-lex.europa.eu/legal-content/EN/TXT/?uri=CELEX:52023PC0360</t>
  </si>
  <si>
    <t xml:space="preserve">Payment Services Regulation (PSR)</t>
  </si>
  <si>
    <t xml:space="preserve">2023/0210(COD)</t>
  </si>
  <si>
    <t xml:space="preserve">agreed</t>
  </si>
  <si>
    <t xml:space="preserve">52023PC0367</t>
  </si>
  <si>
    <t xml:space="preserve">https://eur-lex.europa.eu/legal-content/EN/TXT/?uri=CELEX:52023PC0367</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</si>
  <si>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</si>
  <si>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</si>
  <si>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</si>
  <si>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</si>
  <si>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</si>
  <si>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</si>
  <si>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</si>
  <si>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</si>
  <si>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</si>
  <si>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</si>
  <si>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</si>
  <si>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</si>
  <si>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</si>
  <si>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</si>
  <si>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</si>
  <si>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</si>
  <si>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</si>
  <si>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</si>
  <si>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</si>
  <si>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</si>
  <si>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</si>
  <si>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</si>
  <si>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</si>
  <si>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</si>
  <si>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</si>
  <si>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</si>
  <si>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</si>
  <si>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</si>
  <si>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</si>
  <si>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</si>
  <si>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</si>
  <si>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</si>
  <si>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Child Sexual Abuse Directive (recast)</t>
  </si>
  <si>
    <t xml:space="preserve">2024/0035(COD)</t>
  </si>
  <si>
    <t xml:space="preserve">2024-02-06</t>
  </si>
  <si>
    <t xml:space="preserve">52024PC0060</t>
  </si>
  <si>
    <t xml:space="preserve">https://eur-lex.europa.eu/legal-content/EN/TXT/?uri=CELEX:52024PC0060</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</si>
  <si>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</si>
  <si>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</si>
  <si>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</si>
  <si>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</si>
  <si>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</si>
  <si>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</si>
  <si>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</si>
  <si>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</si>
  <si>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</si>
  <si>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</si>
  <si>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</si>
  <si>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</si>
  <si>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</si>
  <si>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</si>
  <si>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</si>
  <si>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</si>
  <si>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</si>
  <si>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</si>
  <si>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</si>
  <si>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</si>
  <si>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</si>
  <si>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thin: Commission monitoring reports and one evaluation track speed and participation; no independent causal study of economic effects found</t>
  </si>
  <si>
    <t xml:space="preserve">The Regulation promised faster European standards with more input from small firms and civil society. The Commission's 2025 evaluation found it removed conflicting national standards and made modest progress, but harmonised standards still take about six years to produce and smaller stakeholders have little real influence. No independent study measuring its economic effects was found.</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</si>
  <si>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</si>
  <si>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</si>
  <si>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</si>
  <si>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</si>
  <si>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</si>
  <si>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</si>
  <si>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</si>
  <si>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</si>
  <si>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</si>
  <si>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</si>
  <si>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</si>
  <si>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</si>
  <si>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</si>
  <si>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</si>
  <si>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</si>
  <si>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</si>
  <si>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</si>
  <si>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</si>
  <si>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</si>
  <si>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</si>
  <si>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</si>
  <si>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</si>
  <si>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</si>
  <si>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</si>
  <si>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</si>
  <si>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</si>
  <si>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</si>
  <si>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</si>
  <si>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</si>
  <si>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</si>
  <si>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</si>
  <si>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</si>
  <si>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</si>
  <si>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</si>
  <si>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</si>
  <si>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</si>
  <si>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thin: one Commission review backed by surveys and self-reported provider evidence; no independent or causal studies</t>
  </si>
  <si>
    <t xml:space="preserve">The Portability Regulation lets people use their paid streaming, music and gaming subscriptions when travelling in other EU countries. The Commission's 2022 review found it works well: about a third of subscribers had used their services abroad, few complained, and providers and rightholders reported only minor costs, though some services still cap how long you can use them abroad. No independent study has measured its economic effects.</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</si>
  <si>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</si>
  <si>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</si>
  <si>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</si>
  <si>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</si>
  <si>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</si>
  <si>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</si>
  <si>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</si>
  <si>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</si>
  <si>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</si>
  <si>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</si>
  <si>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</si>
  <si>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</si>
  <si>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</si>
  <si>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</si>
  <si>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</si>
  <si>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</si>
  <si>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</si>
  <si>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</si>
  <si>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</si>
  <si>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</si>
  <si>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</si>
  <si>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</si>
  <si>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</si>
  <si>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</si>
  <si>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</si>
  <si>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</si>
  <si>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</si>
  <si>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</si>
  <si>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</si>
  <si>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</si>
  <si>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</si>
  <si>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</si>
  <si>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</si>
  <si>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</si>
  <si>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</si>
  <si>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</si>
  <si>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</si>
  <si>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</si>
  <si>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</si>
  <si>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</si>
  <si>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</si>
  <si>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</si>
  <si>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</si>
  <si>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</si>
  <si>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</si>
  <si>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</si>
  <si>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</si>
  <si>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</si>
  <si>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</si>
  <si>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</si>
  <si>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</si>
  <si>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</si>
  <si>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</si>
  <si>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</si>
  <si>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</si>
  <si>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</si>
  <si>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</si>
  <si>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</si>
  <si>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</si>
  <si>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</si>
  <si>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</si>
  <si>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</si>
  <si>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</si>
  <si>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</si>
  <si>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</si>
  <si>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</si>
  <si>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</si>
  <si>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</si>
  <si>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</si>
  <si>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</si>
  <si>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</si>
  <si>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</si>
  <si>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</si>
  <si>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</si>
  <si>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</si>
  <si>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</si>
  <si>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</si>
  <si>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</si>
  <si>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</si>
  <si>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</si>
  <si>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</si>
  <si>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</si>
  <si>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</si>
  <si>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</si>
  <si>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</si>
  <si>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</si>
  <si>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</si>
  <si>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</si>
  <si>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</si>
  <si>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</si>
  <si>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</si>
  <si>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</si>
  <si>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</si>
  <si>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</si>
  <si>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</si>
  <si>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</si>
  <si>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</si>
  <si>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</si>
  <si>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</si>
  <si>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</si>
  <si>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</si>
  <si>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</si>
  <si>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</si>
  <si>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</si>
  <si>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</si>
  <si>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</si>
  <si>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</si>
  <si>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</si>
  <si>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</si>
  <si>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</si>
  <si>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</si>
  <si>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</si>
  <si>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</si>
  <si>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</si>
  <si>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</si>
  <si>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</si>
  <si>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</si>
  <si>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</si>
  <si>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</si>
  <si>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</si>
  <si>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</si>
  <si>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</si>
  <si>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</si>
  <si>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</si>
  <si>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</si>
  <si>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</si>
  <si>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</si>
  <si>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</si>
  <si>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</si>
  <si>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</si>
  <si>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</si>
  <si>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</si>
  <si>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</si>
  <si>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</si>
  <si>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</si>
  <si>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</si>
  <si>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</si>
  <si>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</si>
  <si>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</si>
  <si>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</si>
  <si>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</si>
  <si>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</si>
  <si>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</si>
  <si>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</si>
  <si>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</si>
  <si>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</si>
  <si>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</si>
  <si>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</si>
  <si>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</si>
  <si>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</si>
  <si>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</si>
  <si>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</si>
  <si>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</si>
  <si>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</si>
  <si>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</si>
  <si>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</si>
  <si>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</si>
  <si>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</si>
  <si>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</si>
  <si>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</si>
  <si>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</si>
  <si>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</si>
  <si>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</si>
  <si>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</si>
  <si>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</si>
  <si>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</si>
  <si>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</si>
  <si>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</si>
  <si>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</si>
  <si>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</si>
  <si>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</si>
  <si>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</si>
  <si>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</si>
  <si>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</si>
  <si>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</si>
  <si>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</si>
  <si>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</si>
  <si>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</si>
  <si>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</si>
  <si>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</si>
  <si>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</si>
  <si>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</si>
  <si>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</si>
  <si>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</si>
  <si>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</si>
  <si>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</si>
  <si>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</si>
  <si>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</si>
  <si>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</si>
  <si>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</si>
  <si>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</si>
  <si>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</si>
  <si>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</si>
  <si>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</si>
  <si>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</si>
  <si>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</si>
  <si>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</si>
  <si>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</si>
  <si>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</si>
  <si>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</si>
  <si>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</si>
  <si>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</si>
  <si>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</si>
  <si>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</si>
  <si>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</si>
  <si>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</si>
  <si>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</si>
  <si>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</si>
  <si>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</si>
  <si>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</si>
  <si>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</si>
  <si>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</si>
  <si>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</si>
  <si>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</si>
  <si>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</si>
  <si>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</si>
  <si>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</si>
  <si>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</si>
  <si>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</si>
  <si>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</si>
  <si>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</si>
  <si>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</si>
  <si>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</si>
  <si>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</si>
  <si>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</si>
  <si>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</si>
  <si>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</si>
  <si>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</si>
  <si>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</si>
  <si>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</si>
  <si>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</si>
  <si>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</si>
  <si>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</si>
  <si>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</si>
  <si>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</si>
  <si>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</si>
  <si>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</si>
  <si>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</si>
  <si>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</si>
  <si>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</si>
  <si>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</si>
  <si>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</si>
  <si>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</si>
  <si>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</si>
  <si>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</si>
  <si>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</si>
  <si>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</si>
  <si>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</si>
  <si>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</si>
  <si>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</si>
  <si>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</si>
  <si>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</si>
  <si>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</si>
  <si>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</si>
  <si>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</si>
  <si>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</si>
  <si>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</si>
  <si>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</si>
  <si>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</si>
  <si>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</si>
  <si>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</si>
  <si>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</si>
  <si>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</si>
  <si>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</si>
  <si>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</si>
  <si>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</si>
  <si>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</si>
  <si>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</si>
  <si>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</si>
  <si>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</si>
  <si>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</si>
  <si>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</si>
  <si>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</si>
  <si>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</si>
  <si>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</si>
  <si>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</si>
  <si>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</si>
  <si>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</si>
  <si>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</si>
  <si>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</si>
  <si>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</si>
  <si>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</si>
  <si>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</si>
  <si>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</si>
  <si>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</si>
  <si>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</si>
  <si>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</si>
  <si>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</si>
  <si>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</si>
  <si>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</si>
  <si>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</si>
  <si>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</si>
  <si>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</si>
  <si>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</si>
  <si>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</si>
  <si>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</si>
  <si>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</si>
  <si>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</si>
  <si>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</si>
  <si>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</si>
  <si>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</si>
  <si>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</si>
  <si>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</si>
  <si>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</si>
  <si>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</si>
  <si>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</si>
  <si>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</si>
  <si>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</si>
  <si>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</si>
  <si>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</si>
  <si>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</si>
  <si>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</si>
  <si>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</si>
  <si>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</si>
  <si>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</si>
  <si>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</si>
  <si>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</si>
  <si>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</si>
  <si>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</si>
  <si>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</si>
  <si>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</si>
  <si>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</si>
  <si>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</si>
  <si>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</si>
  <si>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</si>
  <si>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</si>
  <si>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</si>
  <si>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</si>
  <si>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</si>
  <si>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</si>
  <si>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</si>
  <si>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</si>
  <si>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</si>
  <si>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</si>
  <si>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</si>
  <si>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</si>
  <si>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</si>
  <si>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</si>
  <si>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</si>
  <si>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</si>
  <si>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</si>
  <si>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</si>
  <si>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</si>
  <si>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</si>
  <si>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</si>
  <si>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</si>
  <si>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</si>
  <si>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</si>
  <si>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</si>
  <si>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</si>
  <si>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</si>
  <si>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</si>
  <si>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</si>
  <si>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</si>
  <si>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</si>
  <si>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</si>
  <si>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</si>
  <si>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</si>
  <si>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</si>
  <si>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</si>
  <si>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</si>
  <si>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</si>
  <si>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</si>
  <si>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</si>
  <si>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</si>
  <si>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</si>
  <si>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</si>
  <si>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</si>
  <si>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</si>
  <si>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</si>
  <si>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</si>
  <si>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</si>
  <si>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</si>
  <si>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</si>
  <si>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</si>
  <si>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</si>
  <si>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</si>
  <si>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</si>
  <si>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</si>
  <si>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</si>
  <si>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</si>
  <si>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</si>
  <si>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</si>
  <si>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</si>
  <si>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</si>
  <si>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</si>
  <si>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</si>
  <si>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</si>
  <si>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</si>
  <si>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</si>
  <si>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</si>
  <si>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</si>
  <si>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</si>
  <si>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</si>
  <si>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</si>
  <si>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</si>
  <si>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</si>
  <si>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</si>
  <si>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</si>
  <si>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</si>
  <si>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</si>
  <si>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</si>
  <si>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</si>
  <si>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</si>
  <si>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</si>
  <si>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</si>
  <si>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</si>
  <si>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</si>
  <si>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</si>
  <si>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</si>
  <si>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</si>
  <si>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</si>
  <si>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</si>
  <si>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</si>
  <si>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</si>
  <si>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</si>
  <si>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</si>
  <si>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</si>
  <si>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</si>
  <si>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</si>
  <si>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</si>
  <si>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</si>
  <si>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</si>
  <si>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</si>
  <si>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</si>
  <si>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</si>
  <si>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</si>
  <si>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</si>
  <si>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</si>
  <si>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</si>
  <si>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</si>
  <si>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</si>
  <si>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</si>
  <si>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</si>
  <si>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</si>
  <si>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</si>
  <si>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</si>
  <si>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</si>
  <si>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</si>
  <si>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</si>
  <si>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</si>
  <si>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</si>
  <si>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</si>
  <si>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</si>
  <si>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</si>
  <si>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</si>
  <si>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</si>
  <si>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</si>
  <si>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</si>
  <si>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</si>
  <si>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</si>
  <si>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</si>
  <si>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</si>
  <si>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</si>
  <si>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</si>
  <si>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</si>
  <si>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</si>
  <si>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</si>
  <si>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</si>
  <si>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</si>
  <si>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</si>
  <si>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</si>
  <si>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</si>
  <si>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</si>
  <si>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</si>
  <si>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</si>
  <si>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</si>
  <si>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</si>
  <si>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</si>
  <si>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</si>
  <si>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</si>
  <si>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</si>
  <si>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</si>
  <si>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</si>
  <si>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</si>
  <si>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</si>
  <si>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</si>
  <si>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</si>
  <si>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</si>
  <si>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</si>
  <si>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</si>
  <si>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</si>
  <si>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</si>
  <si>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</si>
  <si>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</si>
  <si>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</si>
  <si>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</si>
  <si>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</si>
  <si>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</si>
  <si>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</si>
  <si>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</si>
  <si>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</si>
  <si>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</si>
  <si>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</si>
  <si>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</si>
  <si>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</si>
  <si>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</si>
  <si>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</si>
  <si>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</si>
  <si>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</si>
  <si>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</si>
  <si>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</si>
  <si>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</si>
  <si>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</si>
  <si>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</si>
  <si>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</si>
  <si>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</si>
  <si>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</si>
  <si>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</si>
  <si>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</si>
  <si>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</si>
  <si>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</si>
  <si>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</si>
  <si>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</si>
  <si>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</si>
  <si>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</si>
  <si>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</si>
  <si>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</si>
  <si>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</si>
  <si>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</si>
  <si>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</si>
  <si>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</si>
  <si>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</si>
  <si>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</si>
  <si>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</si>
  <si>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</si>
  <si>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</si>
  <si>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</si>
  <si>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</si>
  <si>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</si>
  <si>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</si>
  <si>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</si>
  <si>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</si>
  <si>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</si>
  <si>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</si>
  <si>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</si>
  <si>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</si>
  <si>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</si>
  <si>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</si>
  <si>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</si>
  <si>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</si>
  <si>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</si>
  <si>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</si>
  <si>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</si>
  <si>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</si>
  <si>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</si>
  <si>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</si>
  <si>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</si>
  <si>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</si>
  <si>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</si>
  <si>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</si>
  <si>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</si>
  <si>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</si>
  <si>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</si>
  <si>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</si>
  <si>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</si>
  <si>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</si>
  <si>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</si>
  <si>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</si>
  <si>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</si>
  <si>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</si>
  <si>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</si>
  <si>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</si>
  <si>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</si>
  <si>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</si>
  <si>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</si>
  <si>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</si>
  <si>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</si>
  <si>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</si>
  <si>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</si>
  <si>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</si>
  <si>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</si>
  <si>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</si>
  <si>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</si>
  <si>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</si>
  <si>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</si>
  <si>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</si>
  <si>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</si>
  <si>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</si>
  <si>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</si>
  <si>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</si>
  <si>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</si>
  <si>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</si>
  <si>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</si>
  <si>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</si>
  <si>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</si>
  <si>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</si>
  <si>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</si>
  <si>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</si>
  <si>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</si>
  <si>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</si>
  <si>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</si>
  <si>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</si>
  <si>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</si>
  <si>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</si>
  <si>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</si>
  <si>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</si>
  <si>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</si>
  <si>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</si>
  <si>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</si>
  <si>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</si>
  <si>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</si>
  <si>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</si>
  <si>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</si>
  <si>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</si>
  <si>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</si>
  <si>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</si>
  <si>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</si>
  <si>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</si>
  <si>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</si>
  <si>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</si>
  <si>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</si>
  <si>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</si>
  <si>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</si>
  <si>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</si>
  <si>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</si>
  <si>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</si>
  <si>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</si>
  <si>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</si>
  <si>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</si>
  <si>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</si>
  <si>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</si>
  <si>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</si>
  <si>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</si>
  <si>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</si>
  <si>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</si>
  <si>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</si>
  <si>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</si>
  <si>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</si>
  <si>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</si>
  <si>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</si>
  <si>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</si>
  <si>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</si>
  <si>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</si>
  <si>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</si>
  <si>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</si>
  <si>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</si>
  <si>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</si>
  <si>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</si>
  <si>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</si>
  <si>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</si>
  <si>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</si>
  <si>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</si>
  <si>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</si>
  <si>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</si>
  <si>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</si>
  <si>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</si>
  <si>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</si>
  <si>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</si>
  <si>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</si>
  <si>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</si>
  <si>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</si>
  <si>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</si>
  <si>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</si>
  <si>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</si>
  <si>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</si>
  <si>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</si>
  <si>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</si>
  <si>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</si>
  <si>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</si>
  <si>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</si>
  <si>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</si>
  <si>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</si>
  <si>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</si>
  <si>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</si>
  <si>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</si>
  <si>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</si>
  <si>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</si>
  <si>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</si>
  <si>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</si>
  <si>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</si>
  <si>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</si>
  <si>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</si>
  <si>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</si>
  <si>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</si>
  <si>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</si>
  <si>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</si>
  <si>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</si>
  <si>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</si>
  <si>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</si>
  <si>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</si>
  <si>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</si>
  <si>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</si>
  <si>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</si>
  <si>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</si>
  <si>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</si>
  <si>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</si>
  <si>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</si>
  <si>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</si>
  <si>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</si>
  <si>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</si>
  <si>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</si>
  <si>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</si>
  <si>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</si>
  <si>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</si>
  <si>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</si>
  <si>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</si>
  <si>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</si>
  <si>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</si>
  <si>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</si>
  <si>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</si>
  <si>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</si>
  <si>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</si>
  <si>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</si>
  <si>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</si>
  <si>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</si>
  <si>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</si>
  <si>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</si>
  <si>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</si>
  <si>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</si>
  <si>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</si>
  <si>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</si>
  <si>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</si>
  <si>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</si>
  <si>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</si>
  <si>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</si>
  <si>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</si>
  <si>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</si>
  <si>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</si>
  <si>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</si>
  <si>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</si>
  <si>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</si>
  <si>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</si>
  <si>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</si>
  <si>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</si>
  <si>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</si>
  <si>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</si>
  <si>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</si>
  <si>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</si>
  <si>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</si>
  <si>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</si>
  <si>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</si>
  <si>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</si>
  <si>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</si>
  <si>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</si>
  <si>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</si>
  <si>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</si>
  <si>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</si>
  <si>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</si>
  <si>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</si>
  <si>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</si>
  <si>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</si>
  <si>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</si>
  <si>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</si>
  <si>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</si>
  <si>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</si>
  <si>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</si>
  <si>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</si>
  <si>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</si>
  <si>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</si>
  <si>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</si>
  <si>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</si>
  <si>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</si>
  <si>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</si>
  <si>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</si>
  <si>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</si>
  <si>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</si>
  <si>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</si>
  <si>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</si>
  <si>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</si>
  <si>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</si>
  <si>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</si>
  <si>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</si>
  <si>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</si>
  <si>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</si>
  <si>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</si>
  <si>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</si>
  <si>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</si>
  <si>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</si>
  <si>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</si>
  <si>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</si>
  <si>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</si>
  <si>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</si>
  <si>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</si>
  <si>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</si>
  <si>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</si>
  <si>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</si>
  <si>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</si>
  <si>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</si>
  <si>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</si>
  <si>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</si>
  <si>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</si>
  <si>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</si>
  <si>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</si>
  <si>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</si>
  <si>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</si>
  <si>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</si>
  <si>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</si>
  <si>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</si>
  <si>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</si>
  <si>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</si>
  <si>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</si>
  <si>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</si>
  <si>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</si>
  <si>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</si>
  <si>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</si>
  <si>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</si>
  <si>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</si>
  <si>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</si>
  <si>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</si>
  <si>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</si>
  <si>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</si>
  <si>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</si>
  <si>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</si>
  <si>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</si>
  <si>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</si>
  <si>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</si>
  <si>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</si>
  <si>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</si>
  <si>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</si>
  <si>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</si>
  <si>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</si>
  <si>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</si>
  <si>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</si>
  <si>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</si>
  <si>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</si>
  <si>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</si>
  <si>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</si>
  <si>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</si>
  <si>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</si>
  <si>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</si>
  <si>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</si>
  <si>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</si>
  <si>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</si>
  <si>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</si>
  <si>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</si>
  <si>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</si>
  <si>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</si>
  <si>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</si>
  <si>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</si>
  <si>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</si>
  <si>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</si>
  <si>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</si>
  <si>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</si>
  <si>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</si>
  <si>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</si>
  <si>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</si>
  <si>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</si>
  <si>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</si>
  <si>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</si>
  <si>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</si>
  <si>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</si>
  <si>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</si>
  <si>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</si>
  <si>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</si>
  <si>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</si>
  <si>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</si>
  <si>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</si>
  <si>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</si>
  <si>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</si>
  <si>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</si>
  <si>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</si>
  <si>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</si>
  <si>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</si>
  <si>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</si>
  <si>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</si>
  <si>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</si>
  <si>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</si>
  <si>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</si>
  <si>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</si>
  <si>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</si>
  <si>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</si>
  <si>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</si>
  <si>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</si>
  <si>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</si>
  <si>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</si>
  <si>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</si>
  <si>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</si>
  <si>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</si>
  <si>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</si>
  <si>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</si>
  <si>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</si>
  <si>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</si>
  <si>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</si>
  <si>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</si>
  <si>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</si>
  <si>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</si>
  <si>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</si>
  <si>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</si>
  <si>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</si>
  <si>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</si>
  <si>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</si>
  <si>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</si>
  <si>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</si>
  <si>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</si>
  <si>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</si>
  <si>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</si>
  <si>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</si>
  <si>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</si>
  <si>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</si>
  <si>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</si>
  <si>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</si>
  <si>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</si>
  <si>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</si>
  <si>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</si>
  <si>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</si>
  <si>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</si>
  <si>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</si>
  <si>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</si>
  <si>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</si>
  <si>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</si>
  <si>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</si>
  <si>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</si>
  <si>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</si>
  <si>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</si>
  <si>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</si>
  <si>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</si>
  <si>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</si>
  <si>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</si>
  <si>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</si>
  <si>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</si>
  <si>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</si>
  <si>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</si>
  <si>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</si>
  <si>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</si>
  <si>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</si>
  <si>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</si>
  <si>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</si>
  <si>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</si>
  <si>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</si>
  <si>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</si>
  <si>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</si>
  <si>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</si>
  <si>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</si>
  <si>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</si>
  <si>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</si>
  <si>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</si>
  <si>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</si>
  <si>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</si>
  <si>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</si>
  <si>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</si>
  <si>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</si>
  <si>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</si>
  <si>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</si>
  <si>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</si>
  <si>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</si>
  <si>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</si>
  <si>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</si>
  <si>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</si>
  <si>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</si>
  <si>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</si>
  <si>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</si>
  <si>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</si>
  <si>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</si>
  <si>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</si>
  <si>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</si>
  <si>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</si>
  <si>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</si>
  <si>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</si>
  <si>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</si>
  <si>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</si>
  <si>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</si>
  <si>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</si>
  <si>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</si>
  <si>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</si>
  <si>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</si>
  <si>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</si>
  <si>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</si>
  <si>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</si>
  <si>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</si>
  <si>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</si>
  <si>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</si>
  <si>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</si>
  <si>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</si>
  <si>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</si>
  <si>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</si>
  <si>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</si>
  <si>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</si>
  <si>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</si>
  <si>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</si>
  <si>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</si>
  <si>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</si>
  <si>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</si>
  <si>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</si>
  <si>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</si>
  <si>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</si>
  <si>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</si>
  <si>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</si>
  <si>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</si>
  <si>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</si>
  <si>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</si>
  <si>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</si>
  <si>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</si>
  <si>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</si>
  <si>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</si>
  <si>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</si>
  <si>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</si>
  <si>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</si>
  <si>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</si>
  <si>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</si>
  <si>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</si>
  <si>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</si>
  <si>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</si>
  <si>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</si>
  <si>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</si>
  <si>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</si>
  <si>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</si>
  <si>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</si>
  <si>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</si>
  <si>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</si>
  <si>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</si>
  <si>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</si>
  <si>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</si>
  <si>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</si>
  <si>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</si>
  <si>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</si>
  <si>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</si>
  <si>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</si>
  <si>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</si>
  <si>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</si>
  <si>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</si>
  <si>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</si>
  <si>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</si>
  <si>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</si>
  <si>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</si>
  <si>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</si>
  <si>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</si>
  <si>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</si>
  <si>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</si>
  <si>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</si>
  <si>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</si>
  <si>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</si>
  <si>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</si>
  <si>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</si>
  <si>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</si>
  <si>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</si>
  <si>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</si>
  <si>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</si>
  <si>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</si>
  <si>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</si>
  <si>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</si>
  <si>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</si>
  <si>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</si>
  <si>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</si>
  <si>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</si>
  <si>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</si>
  <si>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</si>
  <si>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</si>
  <si>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</si>
  <si>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</si>
  <si>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</si>
  <si>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</si>
  <si>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</si>
  <si>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</si>
  <si>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</si>
  <si>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</si>
  <si>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</si>
  <si>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</si>
  <si>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</si>
  <si>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</si>
  <si>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</si>
  <si>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</si>
  <si>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</si>
  <si>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</si>
  <si>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</si>
  <si>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</si>
  <si>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</si>
  <si>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</si>
  <si>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</si>
  <si>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</si>
  <si>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</si>
  <si>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</si>
  <si>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</si>
  <si>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</si>
  <si>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</si>
  <si>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</si>
  <si>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</si>
  <si>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</si>
  <si>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</si>
  <si>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</si>
  <si>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</si>
  <si>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</si>
  <si>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</si>
  <si>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</si>
  <si>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</si>
  <si>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</si>
  <si>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</si>
  <si>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</si>
  <si>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</si>
  <si>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</si>
  <si>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</si>
  <si>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</si>
  <si>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</si>
  <si>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</si>
  <si>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</si>
  <si>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</si>
  <si>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</si>
  <si>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</si>
  <si>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</si>
  <si>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</si>
  <si>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</si>
  <si>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</si>
  <si>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</si>
  <si>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</si>
  <si>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</si>
  <si>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</si>
  <si>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</si>
  <si>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</si>
  <si>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</si>
  <si>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</si>
  <si>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</si>
  <si>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</si>
  <si>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</si>
  <si>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</si>
  <si>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</si>
  <si>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</si>
  <si>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</si>
  <si>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</si>
  <si>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</si>
  <si>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</si>
  <si>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</si>
  <si>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</si>
  <si>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</si>
  <si>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</si>
  <si>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</si>
  <si>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</si>
  <si>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</si>
  <si>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</si>
  <si>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</si>
  <si>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</si>
  <si>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</si>
  <si>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</si>
  <si>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</si>
  <si>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</si>
  <si>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</si>
  <si>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</si>
  <si>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</si>
  <si>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</si>
  <si>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</si>
  <si>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</si>
  <si>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</si>
  <si>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</si>
  <si>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</si>
  <si>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</si>
  <si>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</si>
  <si>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</si>
  <si>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</si>
  <si>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</si>
  <si>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</si>
  <si>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</si>
  <si>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</si>
  <si>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</si>
  <si>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</si>
  <si>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</si>
  <si>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</si>
  <si>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</si>
  <si>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</si>
  <si>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</si>
  <si>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</si>
  <si>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</si>
  <si>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</si>
  <si>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</si>
  <si>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</si>
  <si>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</si>
  <si>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</si>
  <si>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</si>
  <si>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</si>
  <si>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</si>
  <si>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</si>
  <si>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</si>
  <si>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</si>
  <si>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</si>
  <si>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</si>
  <si>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</si>
  <si>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</si>
  <si>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</si>
  <si>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</si>
  <si>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</si>
  <si>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</si>
  <si>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</si>
  <si>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</si>
  <si>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</si>
  <si>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</si>
  <si>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</si>
  <si>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</si>
  <si>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</si>
  <si>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</si>
  <si>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</si>
  <si>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</si>
  <si>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</si>
  <si>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</si>
  <si>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</si>
  <si>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</si>
  <si>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</si>
  <si>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</si>
  <si>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</si>
  <si>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</si>
  <si>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</si>
  <si>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</si>
  <si>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</si>
  <si>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</si>
  <si>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</si>
  <si>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</si>
  <si>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</si>
  <si>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</si>
  <si>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</si>
  <si>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</si>
  <si>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</si>
  <si>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</si>
  <si>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</si>
  <si>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</si>
  <si>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</si>
  <si>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</si>
  <si>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</si>
  <si>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</si>
  <si>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</si>
  <si>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</si>
  <si>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</si>
  <si>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</si>
  <si>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</si>
  <si>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</si>
  <si>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</si>
  <si>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</si>
  <si>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</si>
  <si>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</si>
  <si>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</si>
  <si>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</si>
  <si>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</si>
  <si>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</si>
  <si>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</si>
  <si>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</si>
  <si>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</si>
  <si>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</si>
  <si>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</si>
  <si>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</si>
  <si>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</si>
  <si>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</si>
  <si>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</si>
  <si>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</si>
  <si>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</si>
  <si>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</si>
  <si>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</si>
  <si>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</si>
  <si>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</si>
  <si>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</si>
  <si>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</si>
  <si>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</si>
  <si>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</si>
  <si>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</si>
  <si>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</si>
  <si>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</si>
  <si>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</si>
  <si>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</si>
  <si>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</si>
  <si>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</si>
  <si>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</si>
  <si>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</si>
  <si>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</si>
  <si>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</si>
  <si>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</si>
  <si>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</si>
  <si>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</si>
  <si>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</si>
  <si>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</si>
  <si>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</si>
  <si>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</si>
  <si>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</si>
  <si>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</si>
  <si>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</si>
  <si>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</si>
  <si>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</si>
  <si>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</si>
  <si>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</si>
  <si>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</si>
  <si>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</si>
  <si>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</si>
  <si>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</si>
  <si>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</si>
  <si>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</si>
  <si>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</si>
  <si>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</si>
  <si>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</si>
  <si>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</si>
  <si>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</si>
  <si>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</si>
  <si>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</si>
  <si>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</si>
  <si>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</si>
  <si>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</si>
  <si>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</si>
  <si>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</si>
  <si>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</si>
  <si>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</si>
  <si>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</si>
  <si>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</si>
  <si>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</si>
  <si>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</si>
  <si>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</si>
  <si>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</si>
  <si>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</si>
  <si>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</si>
  <si>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</si>
  <si>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</si>
  <si>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</si>
  <si>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</si>
  <si>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</si>
  <si>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</si>
  <si>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</si>
  <si>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</si>
  <si>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</si>
  <si>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</si>
  <si>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</si>
  <si>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</si>
  <si>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</si>
  <si>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</si>
  <si>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</si>
  <si>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</si>
  <si>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</si>
  <si>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</si>
  <si>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</si>
  <si>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</si>
  <si>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</si>
  <si>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</si>
  <si>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</si>
  <si>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</si>
  <si>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</si>
  <si>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</si>
  <si>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</si>
  <si>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</si>
  <si>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</si>
  <si>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</si>
  <si>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</si>
  <si>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</si>
  <si>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</si>
  <si>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</si>
  <si>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</si>
  <si>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</si>
  <si>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</si>
  <si>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</si>
  <si>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</si>
  <si>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</si>
  <si>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</si>
  <si>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</si>
  <si>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</si>
  <si>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</si>
  <si>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</si>
  <si>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</si>
  <si>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</si>
  <si>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</si>
  <si>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</si>
  <si>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</si>
  <si>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</si>
  <si>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</si>
  <si>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</si>
  <si>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</si>
  <si>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</si>
  <si>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</si>
  <si>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</si>
  <si>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</si>
  <si>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</si>
  <si>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</si>
  <si>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</si>
  <si>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</si>
  <si>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</si>
  <si>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</si>
  <si>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</si>
  <si>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</si>
  <si>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</si>
  <si>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</si>
  <si>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</si>
  <si>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</si>
  <si>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</si>
  <si>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</si>
  <si>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</si>
  <si>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</si>
  <si>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</si>
  <si>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</si>
  <si>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</si>
  <si>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</si>
  <si>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</si>
  <si>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</si>
  <si>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</si>
  <si>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</si>
  <si>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</si>
  <si>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</si>
  <si>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</si>
  <si>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</si>
  <si>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</si>
  <si>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</si>
  <si>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</si>
  <si>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</si>
  <si>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</si>
  <si>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</si>
  <si>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</si>
  <si>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</si>
  <si>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</si>
  <si>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</si>
  <si>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</si>
  <si>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</si>
  <si>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</si>
  <si>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</si>
  <si>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</si>
  <si>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</si>
  <si>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</si>
  <si>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</si>
  <si>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</si>
  <si>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</si>
  <si>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</si>
  <si>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</si>
  <si>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</si>
  <si>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</si>
  <si>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</si>
  <si>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</si>
  <si>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</si>
  <si>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</si>
  <si>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</si>
  <si>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</si>
  <si>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</si>
  <si>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</si>
  <si>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</si>
  <si>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</si>
  <si>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</si>
  <si>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</si>
  <si>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</si>
  <si>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</si>
  <si>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</si>
  <si>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</si>
  <si>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</si>
  <si>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</si>
  <si>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</si>
  <si>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</si>
  <si>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</si>
  <si>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</si>
  <si>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</si>
  <si>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</si>
  <si>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</si>
  <si>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</si>
  <si>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</si>
  <si>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</si>
  <si>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</si>
  <si>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</si>
  <si>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</si>
  <si>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</si>
  <si>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</si>
  <si>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</si>
  <si>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</si>
  <si>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</si>
  <si>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</si>
  <si>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</si>
  <si>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</si>
  <si>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</si>
  <si>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</si>
  <si>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</si>
  <si>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</si>
  <si>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</si>
  <si>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</si>
  <si>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</si>
  <si>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</si>
  <si>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</si>
  <si>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</si>
  <si>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</si>
  <si>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</si>
  <si>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</si>
  <si>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</si>
  <si>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</si>
  <si>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</si>
  <si>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</si>
  <si>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</si>
  <si>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</si>
  <si>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</si>
  <si>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</si>
  <si>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</si>
  <si>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</si>
  <si>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</si>
  <si>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</si>
  <si>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</si>
  <si>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</si>
  <si>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</si>
  <si>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</si>
  <si>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</si>
  <si>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</si>
  <si>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</si>
  <si>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</si>
  <si>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</si>
  <si>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</si>
  <si>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</si>
  <si>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</si>
  <si>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</si>
  <si>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</si>
  <si>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</si>
  <si>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</si>
  <si>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</si>
  <si>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</si>
  <si>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</si>
  <si>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</si>
  <si>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</si>
  <si>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</si>
  <si>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</si>
  <si>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</si>
  <si>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</si>
  <si>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</si>
  <si>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</si>
  <si>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</si>
  <si>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</si>
  <si>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</si>
  <si>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</si>
  <si>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</si>
  <si>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</si>
  <si>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</si>
  <si>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</si>
  <si>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</si>
  <si>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</si>
  <si>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</si>
  <si>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</si>
  <si>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</si>
  <si>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</si>
  <si>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</si>
  <si>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</si>
  <si>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</si>
  <si>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</si>
  <si>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</si>
  <si>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</si>
  <si>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</si>
  <si>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</si>
  <si>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</si>
  <si>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</si>
  <si>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</si>
  <si>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</si>
  <si>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</si>
  <si>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</si>
  <si>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</si>
  <si>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</si>
  <si>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</si>
  <si>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</si>
  <si>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</si>
  <si>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</si>
  <si>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</si>
  <si>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</si>
  <si>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</si>
  <si>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</si>
  <si>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</si>
  <si>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</si>
  <si>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</si>
  <si>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</si>
  <si>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</si>
  <si>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</si>
  <si>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</si>
  <si>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</si>
  <si>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</si>
  <si>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</si>
  <si>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</si>
  <si>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</si>
  <si>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</si>
  <si>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</si>
  <si>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</si>
  <si>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</si>
  <si>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</si>
  <si>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</si>
  <si>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</si>
  <si>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</si>
  <si>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</si>
  <si>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</si>
  <si>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</si>
  <si>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</si>
  <si>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</si>
  <si>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</si>
  <si>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</si>
  <si>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</si>
  <si>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</si>
  <si>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</si>
  <si>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</si>
  <si>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</si>
  <si>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</si>
  <si>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</si>
  <si>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</si>
  <si>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</si>
  <si>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</si>
  <si>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</si>
  <si>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</si>
  <si>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</si>
  <si>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</si>
  <si>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</si>
  <si>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</si>
  <si>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</si>
  <si>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</si>
  <si>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</si>
  <si>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</si>
  <si>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</si>
  <si>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</si>
  <si>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</si>
  <si>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</si>
  <si>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</si>
  <si>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</si>
  <si>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</si>
  <si>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</si>
  <si>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</si>
  <si>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</si>
  <si>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</si>
  <si>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</si>
  <si>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</si>
  <si>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</si>
  <si>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</si>
  <si>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</si>
  <si>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</si>
  <si>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</si>
  <si>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</si>
  <si>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</si>
  <si>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</si>
  <si>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</si>
  <si>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</si>
  <si>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</si>
  <si>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</si>
  <si>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</si>
  <si>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</si>
  <si>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</si>
  <si>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</si>
  <si>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</si>
  <si>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</si>
  <si>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</si>
  <si>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</si>
  <si>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</si>
  <si>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</si>
  <si>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</si>
  <si>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</si>
  <si>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</si>
  <si>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</si>
  <si>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</si>
  <si>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</si>
  <si>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</si>
  <si>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</si>
  <si>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</si>
  <si>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</si>
  <si>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</si>
  <si>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</si>
  <si>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</si>
  <si>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</si>
  <si>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</si>
  <si>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</si>
  <si>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</si>
  <si>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</si>
  <si>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</si>
  <si>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</si>
  <si>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</si>
  <si>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</si>
  <si>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</si>
  <si>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</si>
  <si>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</si>
  <si>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</si>
  <si>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</si>
  <si>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</si>
  <si>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</si>
  <si>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</si>
  <si>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</si>
  <si>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</si>
  <si>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</si>
  <si>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</si>
  <si>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</si>
  <si>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</si>
  <si>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</si>
  <si>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</si>
  <si>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</si>
  <si>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</si>
  <si>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</si>
  <si>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</si>
  <si>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</si>
  <si>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</si>
  <si>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</si>
  <si>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</si>
  <si>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</si>
  <si>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</si>
  <si>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</si>
  <si>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</si>
  <si>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</si>
  <si>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</si>
  <si>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</si>
  <si>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</si>
  <si>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</si>
  <si>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</si>
  <si>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</si>
  <si>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</si>
  <si>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</si>
  <si>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</si>
  <si>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</si>
  <si>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</si>
  <si>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</si>
  <si>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</si>
  <si>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</si>
  <si>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</si>
  <si>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</si>
  <si>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</si>
  <si>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</si>
  <si>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</si>
  <si>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</si>
  <si>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</si>
  <si>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</si>
  <si>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</si>
  <si>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</si>
  <si>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</si>
  <si>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</si>
  <si>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</si>
  <si>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</si>
  <si>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</si>
  <si>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</si>
  <si>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</si>
  <si>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</si>
  <si>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</si>
  <si>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</si>
  <si>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</si>
  <si>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</si>
  <si>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</si>
  <si>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</si>
  <si>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</si>
  <si>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</si>
  <si>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</si>
  <si>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</si>
  <si>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</si>
  <si>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</si>
  <si>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</si>
  <si>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</si>
  <si>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</si>
  <si>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</si>
  <si>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</si>
  <si>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</si>
  <si>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</si>
  <si>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</si>
  <si>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</si>
  <si>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</si>
  <si>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</si>
  <si>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</si>
  <si>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</si>
  <si>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</si>
  <si>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</si>
  <si>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</si>
  <si>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</si>
  <si>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</si>
  <si>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</si>
  <si>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</si>
  <si>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</si>
  <si>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</si>
  <si>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</si>
  <si>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</si>
  <si>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</si>
  <si>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</si>
  <si>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</si>
  <si>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</si>
  <si>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</si>
  <si>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</si>
  <si>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</si>
  <si>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</si>
  <si>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</si>
  <si>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</si>
  <si>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</si>
  <si>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</si>
  <si>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</si>
  <si>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</si>
  <si>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</si>
  <si>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</si>
  <si>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</si>
  <si>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</si>
  <si>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</si>
  <si>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</si>
  <si>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</si>
  <si>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</si>
  <si>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</si>
  <si>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</si>
  <si>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</si>
  <si>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</si>
  <si>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</si>
  <si>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</si>
  <si>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</si>
  <si>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</si>
  <si>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</si>
  <si>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</si>
  <si>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</si>
  <si>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</si>
  <si>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</si>
  <si>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</si>
  <si>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</si>
  <si>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</si>
  <si>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</si>
  <si>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</si>
  <si>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</si>
  <si>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</si>
  <si>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</si>
  <si>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</si>
  <si>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</si>
  <si>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</si>
  <si>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</si>
  <si>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</si>
  <si>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</si>
  <si>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</si>
  <si>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</si>
  <si>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</si>
  <si>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</si>
  <si>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</si>
  <si>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</si>
  <si>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</si>
  <si>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</si>
  <si>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</si>
  <si>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</si>
  <si>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</si>
  <si>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</si>
  <si>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</si>
  <si>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</si>
  <si>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</si>
  <si>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</si>
  <si>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</si>
  <si>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</si>
  <si>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</si>
  <si>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</si>
  <si>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</si>
  <si>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</si>
  <si>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</si>
  <si>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</si>
  <si>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</si>
  <si>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</si>
  <si>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</si>
  <si>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</si>
  <si>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</si>
  <si>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</si>
  <si>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</si>
  <si>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</si>
  <si>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</si>
  <si>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</si>
  <si>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</si>
  <si>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</si>
  <si>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</si>
  <si>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</si>
  <si>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</si>
  <si>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</si>
  <si>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</si>
  <si>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</si>
  <si>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</si>
  <si>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</si>
  <si>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</si>
  <si>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</si>
  <si>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</si>
  <si>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</si>
  <si>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</si>
  <si>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</si>
  <si>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</si>
  <si>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</si>
  <si>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</si>
  <si>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</si>
  <si>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</si>
  <si>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</si>
  <si>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</si>
  <si>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</si>
  <si>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</si>
  <si>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</si>
  <si>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</si>
  <si>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</si>
  <si>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</si>
  <si>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</si>
  <si>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</si>
  <si>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</si>
  <si>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</si>
  <si>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</si>
  <si>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</si>
  <si>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</si>
  <si>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</si>
  <si>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</si>
  <si>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</si>
  <si>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</si>
  <si>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</si>
  <si>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</si>
  <si>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</si>
  <si>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</si>
  <si>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</si>
  <si>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</si>
  <si>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</si>
  <si>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</si>
  <si>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</si>
  <si>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</si>
  <si>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</si>
  <si>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</si>
  <si>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</si>
  <si>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</si>
  <si>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</si>
  <si>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</si>
  <si>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</si>
  <si>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</si>
  <si>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</si>
  <si>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</si>
  <si>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</si>
  <si>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</si>
  <si>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</si>
  <si>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</si>
  <si>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</si>
  <si>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</si>
  <si>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</si>
  <si>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</si>
  <si>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</si>
  <si>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</si>
  <si>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</si>
  <si>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</si>
  <si>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</si>
  <si>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</si>
  <si>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</si>
  <si>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</si>
  <si>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</si>
  <si>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</si>
  <si>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</si>
  <si>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</si>
  <si>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</si>
  <si>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</si>
  <si>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</si>
  <si>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</si>
  <si>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</si>
  <si>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</si>
  <si>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</si>
  <si>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</si>
  <si>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</si>
  <si>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</si>
  <si>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</si>
  <si>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</si>
  <si>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</si>
  <si>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</si>
  <si>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</si>
  <si>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</si>
  <si>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</si>
  <si>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</si>
  <si>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</si>
  <si>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</si>
  <si>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</si>
  <si>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</si>
  <si>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</si>
  <si>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</si>
  <si>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</si>
  <si>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</si>
  <si>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</si>
  <si>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</si>
  <si>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</si>
  <si>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</si>
  <si>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</si>
  <si>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</si>
  <si>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</si>
  <si>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</si>
  <si>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</si>
  <si>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</si>
  <si>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</si>
  <si>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</si>
  <si>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</si>
  <si>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</si>
  <si>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</si>
  <si>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</si>
  <si>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</si>
  <si>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</si>
  <si>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</si>
  <si>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</si>
  <si>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</si>
  <si>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</si>
  <si>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</si>
  <si>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</si>
  <si>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</si>
  <si>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</si>
  <si>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</si>
  <si>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</si>
  <si>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</si>
  <si>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</si>
  <si>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</si>
  <si>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</si>
  <si>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</si>
  <si>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</si>
  <si>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</si>
  <si>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</si>
  <si>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</si>
  <si>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</si>
  <si>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</si>
  <si>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</si>
  <si>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</si>
  <si>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</si>
  <si>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</si>
  <si>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</si>
  <si>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</si>
  <si>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</si>
  <si>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</si>
  <si>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</si>
  <si>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</si>
  <si>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</si>
  <si>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</si>
  <si>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</si>
  <si>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</si>
  <si>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</si>
  <si>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</si>
  <si>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</si>
  <si>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</si>
  <si>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</si>
  <si>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</si>
  <si>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</si>
  <si>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</si>
  <si>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</si>
  <si>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</si>
  <si>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</si>
  <si>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</si>
  <si>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</si>
  <si>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</si>
  <si>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</si>
  <si>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</si>
  <si>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</si>
  <si>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</si>
  <si>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</si>
  <si>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</si>
  <si>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</si>
  <si>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</si>
  <si>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</si>
  <si>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</si>
  <si>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</si>
  <si>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</si>
  <si>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</si>
  <si>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</si>
  <si>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</si>
  <si>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</si>
  <si>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</si>
  <si>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</si>
  <si>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</si>
  <si>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</si>
  <si>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</si>
  <si>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</si>
  <si>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</si>
  <si>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</si>
  <si>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</si>
  <si>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</si>
  <si>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</si>
  <si>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</si>
  <si>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</si>
  <si>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</si>
  <si>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</si>
  <si>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</si>
  <si>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</si>
  <si>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</si>
  <si>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</si>
  <si>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</si>
  <si>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</si>
  <si>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</si>
  <si>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</si>
  <si>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</si>
  <si>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</si>
  <si>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</si>
  <si>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</si>
  <si>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</si>
  <si>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</si>
  <si>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</si>
  <si>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</si>
  <si>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</si>
  <si>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</si>
  <si>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</si>
  <si>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</si>
  <si>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</si>
  <si>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</si>
  <si>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</si>
  <si>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</si>
  <si>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</si>
  <si>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</si>
  <si>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</si>
  <si>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</si>
  <si>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</si>
  <si>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</si>
  <si>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</si>
  <si>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</si>
  <si>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</si>
  <si>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</si>
  <si>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</si>
  <si>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</si>
  <si>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</si>
  <si>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</si>
  <si>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</si>
  <si>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</si>
  <si>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</si>
  <si>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</si>
  <si>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</si>
  <si>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</si>
  <si>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</si>
  <si>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</si>
  <si>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</si>
  <si>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</si>
  <si>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</si>
  <si>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</si>
  <si>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</si>
  <si>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</si>
  <si>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</si>
  <si>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</si>
  <si>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</si>
  <si>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</si>
  <si>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</si>
  <si>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</si>
  <si>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</si>
  <si>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</si>
  <si>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</si>
  <si>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</si>
  <si>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</si>
  <si>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</si>
  <si>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</si>
  <si>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</si>
  <si>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</si>
  <si>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</si>
  <si>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</si>
  <si>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</si>
  <si>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</si>
  <si>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</si>
  <si>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</si>
  <si>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</si>
  <si>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</si>
  <si>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</si>
  <si>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</si>
  <si>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</si>
  <si>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</si>
  <si>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</si>
  <si>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</si>
  <si>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</si>
  <si>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</si>
  <si>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</si>
  <si>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</si>
  <si>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</si>
  <si>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</si>
  <si>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</si>
  <si>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</si>
  <si>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</si>
  <si>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</si>
  <si>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</si>
  <si>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</si>
  <si>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</si>
  <si>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</si>
  <si>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</si>
  <si>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</si>
  <si>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</si>
  <si>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</si>
  <si>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</si>
  <si>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</si>
  <si>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</si>
  <si>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</si>
  <si>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</si>
  <si>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</si>
  <si>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</si>
  <si>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</si>
  <si>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</si>
  <si>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</si>
  <si>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</si>
  <si>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</si>
  <si>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</si>
  <si>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</si>
  <si>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</si>
  <si>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</si>
  <si>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</si>
  <si>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</si>
  <si>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</si>
  <si>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</si>
  <si>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</si>
  <si>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</si>
  <si>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</si>
  <si>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</si>
  <si>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</si>
  <si>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</si>
  <si>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</si>
  <si>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</si>
  <si>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</si>
  <si>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</si>
  <si>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</si>
  <si>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</si>
  <si>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</si>
  <si>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</si>
  <si>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</si>
  <si>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</si>
  <si>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</si>
  <si>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</si>
  <si>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</si>
  <si>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</si>
  <si>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</si>
  <si>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</si>
  <si>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</si>
  <si>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</si>
  <si>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</si>
  <si>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</si>
  <si>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</si>
  <si>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</si>
  <si>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</si>
  <si>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</si>
  <si>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</si>
  <si>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</si>
  <si>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</si>
  <si>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</si>
  <si>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</si>
  <si>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</si>
  <si>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</si>
  <si>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</si>
  <si>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</si>
  <si>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</si>
  <si>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</si>
  <si>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</si>
  <si>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</si>
  <si>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</si>
  <si>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</si>
  <si>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</si>
  <si>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</si>
  <si>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</si>
  <si>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</si>
  <si>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</si>
  <si>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</si>
  <si>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</si>
  <si>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</si>
  <si>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</si>
  <si>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</si>
  <si>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</si>
  <si>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</si>
  <si>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</si>
  <si>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</si>
  <si>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</si>
  <si>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</si>
  <si>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</si>
  <si>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</si>
  <si>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</si>
  <si>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</si>
  <si>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</si>
  <si>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</si>
  <si>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</si>
  <si>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</si>
  <si>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</si>
  <si>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</si>
  <si>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</si>
  <si>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</si>
  <si>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</si>
  <si>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</si>
  <si>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</si>
  <si>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</si>
  <si>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</si>
  <si>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</si>
  <si>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</si>
  <si>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</si>
  <si>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</si>
  <si>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</si>
  <si>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</si>
  <si>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</si>
  <si>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</si>
  <si>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</si>
  <si>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</si>
  <si>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</si>
  <si>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</si>
  <si>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</si>
  <si>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</si>
  <si>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</si>
  <si>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</si>
  <si>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</si>
  <si>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</si>
  <si>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</si>
  <si>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</si>
  <si>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</si>
  <si>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</si>
  <si>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</si>
  <si>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</si>
  <si>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</si>
  <si>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</si>
  <si>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</si>
  <si>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</si>
  <si>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</si>
  <si>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</si>
  <si>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</si>
  <si>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</si>
  <si>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</si>
  <si>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</si>
  <si>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</si>
  <si>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</si>
  <si>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</si>
  <si>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</si>
  <si>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</si>
  <si>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</si>
  <si>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</si>
  <si>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</si>
  <si>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</si>
  <si>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</si>
  <si>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</si>
  <si>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</si>
  <si>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</si>
  <si>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</si>
  <si>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</si>
  <si>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</si>
  <si>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</si>
  <si>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</si>
  <si>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</si>
  <si>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</si>
  <si>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</si>
  <si>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</si>
  <si>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</si>
  <si>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</si>
  <si>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</si>
  <si>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</si>
  <si>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</si>
  <si>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</si>
  <si>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</si>
  <si>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</si>
  <si>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</si>
  <si>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</si>
  <si>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</si>
  <si>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</si>
  <si>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</si>
  <si>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</si>
  <si>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</si>
  <si>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</si>
  <si>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</si>
  <si>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</si>
  <si>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</si>
  <si>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</si>
  <si>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</si>
  <si>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</si>
  <si>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</si>
  <si>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</si>
  <si>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</si>
  <si>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</si>
  <si>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</si>
  <si>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</si>
  <si>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</si>
  <si>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</si>
  <si>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</si>
  <si>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</si>
  <si>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</si>
  <si>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</si>
  <si>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</si>
  <si>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</si>
  <si>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</si>
  <si>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</si>
  <si>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</si>
  <si>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</si>
  <si>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</si>
  <si>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</si>
  <si>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</si>
  <si>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</si>
  <si>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</si>
  <si>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</si>
  <si>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</si>
  <si>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</si>
  <si>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</si>
  <si>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</si>
  <si>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</si>
  <si>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</si>
  <si>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</si>
  <si>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</si>
  <si>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</si>
  <si>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</si>
  <si>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</si>
  <si>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</si>
  <si>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</si>
  <si>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</si>
  <si>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</si>
  <si>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</si>
  <si>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</si>
  <si>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</si>
  <si>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</si>
  <si>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</si>
  <si>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</si>
  <si>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</si>
  <si>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</si>
  <si>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</si>
  <si>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</si>
  <si>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</si>
  <si>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</si>
  <si>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</si>
  <si>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</si>
  <si>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</si>
  <si>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</si>
  <si>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</si>
  <si>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</si>
  <si>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</si>
  <si>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</si>
  <si>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</si>
  <si>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</si>
  <si>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</si>
  <si>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</si>
  <si>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</si>
  <si>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</si>
  <si>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</si>
  <si>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</si>
  <si>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</si>
  <si>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</si>
  <si>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</si>
  <si>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</si>
  <si>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</si>
  <si>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</si>
  <si>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</si>
  <si>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</si>
  <si>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</si>
  <si>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</si>
  <si>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</si>
  <si>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</si>
  <si>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</si>
  <si>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</si>
  <si>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</si>
  <si>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</si>
  <si>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</si>
  <si>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</si>
  <si>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</si>
  <si>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</si>
  <si>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</si>
  <si>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</si>
  <si>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</si>
  <si>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</si>
  <si>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</si>
  <si>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</si>
  <si>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</si>
  <si>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</si>
  <si>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</si>
  <si>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</si>
  <si>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</si>
  <si>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</si>
  <si>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</si>
  <si>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</si>
  <si>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</si>
  <si>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</si>
  <si>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</si>
  <si>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</si>
  <si>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</si>
  <si>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</si>
  <si>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</si>
  <si>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</si>
  <si>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</si>
  <si>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</si>
  <si>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</si>
  <si>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</si>
  <si>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</si>
  <si>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</si>
  <si>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</si>
  <si>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</si>
  <si>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</si>
  <si>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</si>
  <si>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</si>
  <si>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</si>
  <si>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</si>
  <si>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</si>
  <si>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</si>
  <si>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</si>
  <si>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</si>
  <si>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</si>
  <si>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</si>
  <si>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</si>
  <si>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</si>
  <si>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</si>
  <si>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</si>
  <si>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</si>
  <si>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</si>
  <si>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</si>
  <si>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</si>
  <si>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</si>
  <si>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</si>
  <si>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</si>
  <si>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</si>
  <si>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</si>
  <si>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</si>
  <si>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</si>
  <si>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</si>
  <si>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</si>
  <si>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</si>
  <si>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</si>
  <si>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</si>
  <si>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</si>
  <si>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</si>
  <si>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</si>
  <si>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</si>
  <si>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</si>
  <si>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</si>
  <si>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</si>
  <si>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</si>
  <si>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</si>
  <si>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</si>
  <si>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</si>
  <si>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</si>
  <si>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</si>
  <si>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</si>
  <si>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</si>
  <si>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</si>
  <si>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</si>
  <si>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</si>
  <si>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</si>
  <si>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</si>
  <si>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</si>
  <si>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</si>
  <si>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</si>
  <si>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</si>
  <si>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</si>
  <si>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</si>
  <si>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</si>
  <si>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</si>
  <si>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</si>
  <si>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</si>
  <si>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</si>
  <si>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</si>
  <si>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</si>
  <si>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</si>
  <si>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</si>
  <si>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</si>
  <si>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</si>
  <si>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</si>
  <si>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</si>
  <si>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</si>
  <si>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</si>
  <si>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</si>
  <si>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</si>
  <si>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</si>
  <si>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</si>
  <si>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</si>
  <si>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</si>
  <si>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</si>
  <si>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</si>
  <si>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</si>
  <si>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</si>
  <si>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</si>
  <si>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</si>
  <si>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</si>
  <si>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</si>
  <si>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</si>
  <si>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</si>
  <si>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</si>
  <si>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</si>
  <si>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</si>
  <si>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</si>
  <si>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</si>
  <si>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</si>
  <si>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</si>
  <si>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</si>
  <si>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</si>
  <si>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</si>
  <si>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</si>
  <si>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</si>
  <si>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</si>
  <si>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</si>
  <si>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</si>
  <si>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</si>
  <si>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</si>
  <si>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</si>
  <si>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</si>
  <si>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</si>
  <si>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</si>
  <si>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</si>
  <si>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</si>
  <si>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</si>
  <si>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</si>
  <si>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</si>
  <si>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</si>
  <si>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</si>
  <si>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</si>
  <si>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</si>
  <si>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</si>
  <si>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</si>
  <si>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</si>
  <si>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</si>
  <si>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</si>
  <si>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</si>
  <si>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</si>
  <si>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</si>
  <si>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</si>
  <si>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</si>
  <si>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</si>
  <si>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</si>
  <si>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</si>
  <si>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</si>
  <si>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</si>
  <si>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</si>
  <si>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</si>
  <si>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</si>
  <si>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</si>
  <si>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</si>
  <si>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</si>
  <si>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</si>
  <si>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</si>
  <si>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</si>
  <si>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</si>
  <si>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</si>
  <si>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</si>
  <si>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</si>
  <si>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</si>
  <si>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</si>
  <si>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</si>
  <si>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</si>
  <si>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</si>
  <si>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</si>
  <si>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</si>
  <si>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</si>
  <si>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</si>
  <si>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</si>
  <si>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</si>
  <si>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</si>
  <si>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</si>
  <si>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</si>
  <si>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</si>
  <si>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</si>
  <si>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</si>
  <si>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</si>
  <si>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</si>
  <si>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</si>
  <si>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</si>
  <si>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</si>
  <si>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</si>
  <si>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</si>
  <si>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</si>
  <si>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</si>
  <si>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</si>
  <si>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</si>
  <si>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</si>
  <si>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</si>
  <si>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</si>
  <si>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</si>
  <si>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</si>
  <si>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</si>
  <si>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</si>
  <si>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</si>
  <si>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</si>
  <si>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</si>
  <si>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</si>
  <si>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</si>
  <si>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</si>
  <si>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</si>
  <si>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</si>
  <si>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</si>
  <si>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</si>
  <si>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</si>
  <si>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</si>
  <si>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</si>
  <si>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</si>
  <si>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</si>
  <si>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</si>
  <si>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</si>
  <si>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</si>
  <si>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</si>
  <si>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</si>
  <si>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</si>
  <si>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</si>
  <si>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</si>
  <si>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</si>
  <si>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</si>
  <si>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</si>
  <si>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</si>
  <si>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</si>
  <si>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</si>
  <si>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</si>
  <si>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</si>
  <si>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</si>
  <si>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</si>
  <si>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</si>
  <si>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</si>
  <si>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</si>
  <si>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</si>
  <si>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</si>
  <si>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</si>
  <si>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</si>
  <si>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</si>
  <si>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</si>
  <si>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</si>
  <si>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</si>
  <si>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</si>
  <si>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</si>
  <si>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</si>
  <si>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</si>
  <si>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</si>
  <si>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</si>
  <si>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</si>
  <si>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</si>
  <si>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</si>
  <si>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</si>
  <si>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</si>
  <si>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</si>
  <si>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</si>
  <si>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</si>
  <si>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</si>
  <si>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</si>
  <si>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</si>
  <si>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</si>
  <si>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</si>
  <si>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</si>
  <si>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</si>
  <si>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</si>
  <si>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</si>
  <si>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</si>
  <si>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</si>
  <si>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</si>
  <si>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</si>
  <si>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</si>
  <si>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</si>
  <si>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</si>
  <si>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</si>
  <si>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</si>
  <si>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</si>
  <si>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</si>
  <si>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</si>
  <si>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</si>
  <si>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</si>
  <si>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</si>
  <si>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</si>
  <si>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</si>
  <si>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</si>
  <si>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</si>
  <si>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</si>
  <si>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</si>
  <si>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</si>
  <si>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</si>
  <si>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</si>
  <si>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</si>
  <si>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</si>
  <si>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</si>
  <si>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</si>
  <si>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</si>
  <si>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</si>
  <si>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</si>
  <si>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</si>
  <si>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</si>
  <si>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</si>
  <si>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</si>
  <si>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</si>
  <si>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</si>
  <si>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</si>
  <si>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</si>
  <si>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</si>
  <si>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</si>
  <si>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</si>
  <si>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</si>
  <si>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</si>
  <si>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</si>
  <si>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</si>
  <si>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</si>
  <si>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</si>
  <si>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</si>
  <si>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</si>
  <si>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</si>
  <si>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</si>
  <si>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</si>
  <si>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</si>
  <si>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</si>
  <si>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</si>
  <si>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</si>
  <si>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</si>
  <si>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</si>
  <si>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</si>
  <si>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</si>
  <si>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</si>
  <si>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</si>
  <si>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</si>
  <si>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</si>
  <si>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</si>
  <si>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</si>
  <si>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</si>
  <si>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</si>
  <si>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</si>
  <si>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</si>
  <si>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</si>
  <si>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</si>
  <si>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</si>
  <si>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</si>
  <si>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</si>
  <si>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</si>
  <si>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</si>
  <si>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</si>
  <si>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</si>
  <si>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</si>
  <si>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</si>
  <si>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</si>
  <si>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</si>
  <si>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</si>
  <si>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</si>
  <si>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</si>
  <si>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</si>
  <si>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</si>
  <si>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</si>
  <si>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</si>
  <si>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</si>
  <si>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</si>
  <si>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</si>
  <si>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</si>
  <si>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</si>
  <si>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</si>
  <si>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</si>
  <si>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</si>
  <si>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</si>
  <si>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</si>
  <si>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</si>
  <si>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</si>
  <si>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</si>
  <si>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</si>
  <si>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</si>
  <si>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</si>
  <si>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</si>
  <si>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</si>
  <si>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</si>
  <si>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</si>
  <si>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</si>
  <si>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</si>
  <si>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</si>
  <si>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</si>
  <si>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</si>
  <si>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</si>
  <si>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</si>
  <si>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</si>
  <si>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</si>
  <si>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</si>
  <si>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</si>
  <si>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</si>
  <si>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</si>
  <si>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</si>
  <si>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</si>
  <si>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</si>
  <si>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</si>
  <si>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</si>
  <si>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</si>
  <si>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</si>
  <si>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</si>
  <si>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</si>
  <si>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</si>
  <si>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</si>
  <si>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</si>
  <si>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</si>
  <si>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</si>
  <si>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</si>
  <si>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</si>
  <si>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</si>
  <si>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</si>
  <si>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</si>
  <si>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</si>
  <si>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</si>
  <si>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</si>
  <si>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</si>
  <si>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</si>
  <si>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</si>
  <si>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</si>
  <si>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</si>
  <si>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</si>
  <si>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</si>
  <si>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</si>
  <si>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</si>
  <si>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</si>
  <si>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</si>
  <si>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</si>
  <si>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</si>
  <si>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</si>
  <si>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</si>
  <si>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</si>
  <si>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</si>
  <si>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</si>
  <si>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</si>
  <si>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</si>
  <si>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</si>
  <si>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</si>
  <si>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</si>
  <si>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</si>
  <si>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</si>
  <si>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</si>
  <si>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</si>
  <si>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</si>
  <si>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</si>
  <si>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</si>
  <si>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</si>
  <si>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</si>
  <si>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</si>
  <si>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</si>
  <si>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</si>
  <si>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</si>
  <si>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</si>
  <si>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</si>
  <si>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</si>
  <si>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</si>
  <si>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</si>
  <si>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</si>
  <si>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</si>
  <si>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</si>
  <si>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</si>
  <si>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</si>
  <si>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</si>
  <si>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</si>
  <si>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</si>
  <si>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</si>
  <si>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</si>
  <si>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</si>
  <si>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</si>
  <si>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</si>
  <si>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</si>
  <si>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</si>
  <si>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</si>
  <si>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</si>
  <si>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</si>
  <si>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</si>
  <si>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</si>
  <si>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</si>
  <si>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</si>
  <si>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</si>
  <si>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</si>
  <si>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</si>
  <si>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</si>
  <si>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</si>
  <si>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</si>
  <si>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</si>
  <si>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</si>
  <si>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</si>
  <si>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</si>
  <si>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</si>
  <si>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</si>
  <si>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</si>
  <si>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</si>
  <si>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</si>
  <si>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</si>
  <si>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</si>
  <si>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</si>
  <si>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</si>
  <si>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</si>
  <si>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</si>
  <si>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</si>
  <si>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</si>
  <si>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</si>
  <si>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</si>
  <si>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</si>
  <si>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</si>
  <si>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</si>
  <si>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</si>
  <si>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</si>
  <si>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</si>
  <si>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</si>
  <si>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</si>
  <si>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</si>
  <si>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</si>
  <si>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</si>
  <si>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</si>
  <si>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</si>
  <si>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</si>
  <si>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</si>
  <si>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</si>
  <si>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</si>
  <si>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</si>
  <si>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</si>
  <si>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</si>
  <si>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</si>
  <si>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</si>
  <si>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</si>
  <si>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</si>
  <si>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</si>
  <si>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</si>
  <si>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</si>
  <si>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</si>
  <si>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</si>
  <si>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</si>
  <si>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</si>
  <si>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</si>
  <si>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</si>
  <si>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</si>
  <si>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</si>
  <si>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</si>
  <si>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</si>
  <si>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</si>
  <si>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</si>
  <si>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</si>
  <si>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</si>
  <si>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</si>
  <si>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</si>
  <si>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</si>
  <si>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</si>
  <si>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</si>
  <si>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</si>
  <si>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</si>
  <si>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</si>
  <si>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</si>
  <si>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</si>
  <si>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</si>
  <si>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</si>
  <si>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</si>
  <si>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</si>
  <si>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</si>
  <si>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</si>
  <si>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</si>
  <si>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</si>
  <si>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</si>
  <si>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</si>
  <si>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</si>
  <si>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</si>
  <si>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</si>
  <si>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</si>
  <si>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</si>
  <si>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</si>
  <si>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</si>
  <si>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</si>
  <si>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</si>
  <si>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</si>
  <si>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</si>
  <si>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</si>
  <si>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</si>
  <si>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</si>
  <si>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</si>
  <si>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</si>
  <si>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</si>
  <si>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</si>
  <si>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</si>
  <si>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</si>
  <si>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</si>
  <si>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</si>
  <si>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</si>
  <si>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</si>
  <si>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</si>
  <si>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</si>
  <si>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</si>
  <si>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</si>
  <si>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</si>
  <si>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</si>
  <si>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</si>
  <si>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</si>
  <si>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</si>
  <si>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</si>
  <si>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</si>
  <si>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</si>
  <si>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</si>
  <si>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</si>
  <si>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</si>
  <si>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</si>
  <si>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</si>
  <si>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</si>
  <si>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</si>
  <si>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</si>
  <si>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</si>
  <si>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</si>
  <si>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</si>
  <si>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</si>
  <si>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</si>
  <si>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</si>
  <si>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</si>
  <si>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</si>
  <si>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</si>
  <si>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</si>
  <si>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</si>
  <si>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</si>
  <si>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</si>
  <si>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</si>
  <si>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</si>
  <si>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</si>
  <si>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</si>
  <si>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</si>
  <si>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</si>
  <si>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</si>
  <si>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</si>
  <si>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</si>
  <si>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</si>
  <si>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</si>
  <si>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</si>
  <si>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</si>
  <si>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</si>
  <si>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</si>
  <si>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</si>
  <si>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</si>
  <si>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</si>
  <si>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</si>
  <si>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</si>
  <si>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</si>
  <si>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</si>
  <si>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</si>
  <si>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</si>
  <si>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</si>
  <si>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</si>
  <si>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</si>
  <si>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</si>
  <si>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</si>
  <si>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</si>
  <si>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</si>
  <si>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</si>
  <si>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</si>
  <si>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</si>
  <si>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</si>
  <si>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</si>
  <si>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</si>
  <si>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</si>
  <si>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</si>
  <si>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</si>
  <si>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</si>
  <si>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</si>
  <si>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</si>
  <si>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</si>
  <si>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</si>
  <si>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</si>
  <si>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</si>
  <si>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</si>
  <si>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</si>
  <si>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</si>
  <si>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</si>
  <si>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</si>
  <si>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</si>
  <si>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</si>
  <si>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</si>
  <si>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</si>
  <si>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</si>
  <si>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</si>
  <si>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</si>
  <si>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</si>
  <si>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</si>
  <si>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</si>
  <si>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</si>
  <si>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</si>
  <si>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</si>
  <si>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</si>
  <si>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</si>
  <si>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</si>
  <si>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</si>
  <si>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</si>
  <si>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</si>
  <si>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</si>
  <si>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</si>
  <si>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</si>
  <si>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</si>
  <si>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</si>
  <si>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</si>
  <si>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</si>
  <si>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</si>
  <si>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</si>
  <si>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</si>
  <si>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</si>
  <si>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</si>
  <si>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</si>
  <si>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</si>
  <si>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</si>
  <si>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</si>
  <si>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</si>
  <si>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</si>
  <si>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</si>
  <si>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</si>
  <si>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</si>
  <si>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</si>
  <si>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</si>
  <si>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</si>
  <si>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</si>
  <si>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</si>
  <si>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</si>
  <si>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</si>
  <si>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</si>
  <si>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</si>
  <si>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</si>
  <si>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</si>
  <si>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</si>
  <si>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</si>
  <si>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</si>
  <si>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</si>
  <si>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</si>
  <si>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</si>
  <si>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</si>
  <si>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</si>
  <si>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</si>
  <si>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</si>
  <si>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</si>
  <si>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</si>
  <si>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</si>
  <si>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</si>
  <si>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</si>
  <si>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</si>
  <si>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</si>
  <si>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</si>
  <si>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</si>
  <si>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</si>
  <si>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</si>
  <si>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</si>
  <si>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</si>
  <si>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</si>
  <si>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</si>
  <si>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</si>
  <si>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</si>
  <si>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</si>
  <si>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</si>
  <si>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</si>
  <si>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</si>
  <si>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</si>
  <si>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</si>
  <si>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</si>
  <si>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</si>
  <si>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</si>
  <si>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</si>
  <si>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</si>
  <si>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</si>
  <si>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</si>
  <si>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</si>
  <si>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</si>
  <si>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</si>
  <si>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</si>
  <si>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</si>
  <si>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</si>
  <si>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</si>
  <si>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</si>
  <si>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</si>
  <si>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</si>
  <si>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</si>
  <si>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</si>
  <si>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</si>
  <si>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</si>
  <si>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</si>
  <si>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</si>
  <si>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</si>
  <si>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</si>
  <si>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</si>
  <si>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</si>
  <si>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</si>
  <si>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</si>
  <si>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</si>
  <si>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</si>
  <si>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</si>
  <si>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</si>
  <si>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</si>
  <si>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</si>
  <si>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</si>
  <si>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</si>
  <si>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</si>
  <si>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</si>
  <si>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</si>
  <si>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</si>
  <si>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</si>
  <si>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</si>
  <si>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</si>
  <si>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</si>
  <si>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</si>
  <si>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</si>
  <si>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</si>
  <si>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</si>
  <si>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</si>
  <si>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</si>
  <si>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</si>
  <si>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</si>
  <si>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</si>
  <si>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</si>
  <si>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</si>
  <si>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</si>
  <si>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</si>
  <si>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</si>
  <si>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</si>
  <si>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</si>
  <si>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</si>
  <si>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</si>
  <si>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</si>
  <si>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</si>
  <si>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</si>
  <si>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</si>
  <si>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</si>
  <si>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</si>
  <si>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</si>
  <si>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</si>
  <si>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</si>
  <si>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</si>
  <si>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</si>
  <si>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</si>
  <si>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</si>
  <si>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</si>
  <si>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</si>
  <si>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</si>
  <si>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</si>
  <si>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</si>
  <si>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</si>
  <si>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</si>
  <si>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</si>
  <si>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</si>
  <si>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</si>
  <si>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</si>
  <si>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</si>
  <si>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</si>
  <si>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</si>
  <si>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</si>
  <si>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</si>
  <si>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</si>
  <si>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</si>
  <si>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</si>
  <si>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</si>
  <si>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</si>
  <si>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</si>
  <si>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</si>
  <si>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</si>
  <si>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</si>
  <si>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</si>
  <si>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</si>
  <si>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</si>
  <si>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</si>
  <si>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</si>
  <si>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</si>
  <si>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</si>
  <si>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</si>
  <si>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</si>
  <si>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</si>
  <si>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</si>
  <si>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</si>
  <si>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</si>
  <si>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</si>
  <si>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</si>
  <si>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</si>
  <si>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</si>
  <si>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</si>
  <si>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</si>
  <si>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</si>
  <si>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</si>
  <si>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</si>
  <si>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</si>
  <si>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</si>
  <si>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</si>
  <si>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</si>
  <si>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</si>
  <si>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</si>
  <si>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</si>
  <si>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</si>
  <si>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</si>
  <si>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</si>
  <si>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</si>
  <si>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</si>
  <si>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</si>
  <si>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</si>
  <si>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</si>
  <si>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</si>
  <si>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</si>
  <si>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</si>
  <si>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</si>
  <si>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</si>
  <si>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</si>
  <si>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</si>
  <si>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</si>
  <si>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</si>
  <si>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</si>
  <si>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</si>
  <si>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</si>
  <si>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</si>
  <si>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</si>
  <si>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</si>
  <si>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</si>
  <si>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</si>
  <si>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</si>
  <si>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</si>
  <si>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</si>
  <si>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</si>
  <si>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</si>
  <si>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</si>
  <si>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</si>
  <si>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</si>
  <si>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</si>
  <si>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</si>
  <si>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</si>
  <si>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</si>
  <si>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</si>
  <si>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</si>
  <si>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</si>
  <si>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</si>
  <si>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</si>
  <si>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</si>
  <si>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</si>
  <si>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</si>
  <si>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</si>
  <si>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</si>
  <si>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</si>
  <si>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</si>
  <si>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</si>
  <si>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</si>
  <si>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</si>
  <si>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</si>
  <si>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</si>
  <si>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</si>
  <si>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</si>
  <si>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</si>
  <si>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</si>
  <si>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</si>
  <si>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</si>
  <si>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</si>
  <si>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</si>
  <si>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</si>
  <si>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</si>
  <si>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</si>
  <si>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</si>
  <si>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</si>
  <si>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</si>
  <si>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</si>
  <si>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</si>
  <si>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</si>
  <si>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</si>
  <si>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</si>
  <si>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</si>
  <si>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</si>
  <si>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</si>
  <si>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</si>
  <si>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</si>
  <si>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</si>
  <si>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</si>
  <si>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</si>
  <si>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</si>
  <si>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</si>
  <si>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</si>
  <si>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</si>
  <si>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</si>
  <si>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</si>
  <si>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</si>
  <si>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</si>
  <si>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</si>
  <si>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</si>
  <si>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</si>
  <si>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</si>
  <si>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</si>
  <si>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</si>
  <si>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</si>
  <si>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</si>
  <si>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</si>
  <si>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</si>
  <si>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</si>
  <si>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</si>
  <si>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</si>
  <si>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</si>
  <si>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</si>
  <si>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</si>
  <si>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</si>
  <si>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</si>
  <si>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</si>
  <si>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</si>
  <si>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</si>
  <si>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</si>
  <si>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</si>
  <si>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</si>
  <si>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</si>
  <si>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</si>
  <si>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</si>
  <si>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</si>
  <si>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</si>
  <si>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</si>
  <si>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</si>
  <si>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</si>
  <si>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</si>
  <si>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</si>
  <si>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</si>
  <si>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</si>
  <si>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</si>
  <si>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</si>
  <si>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</si>
  <si>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</si>
  <si>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</si>
  <si>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</si>
  <si>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</si>
  <si>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</si>
  <si>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</si>
  <si>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</si>
  <si>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</si>
  <si>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</si>
  <si>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</si>
  <si>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</si>
  <si>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</si>
  <si>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</si>
  <si>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</si>
  <si>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</si>
  <si>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</si>
  <si>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</si>
  <si>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</si>
  <si>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</si>
  <si>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</si>
  <si>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</si>
  <si>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</si>
  <si>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</si>
  <si>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</si>
  <si>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</si>
  <si>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</si>
  <si>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</si>
  <si>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</si>
  <si>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</si>
  <si>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</si>
  <si>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</si>
  <si>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</si>
  <si>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</si>
  <si>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</si>
  <si>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</si>
  <si>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</si>
  <si>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</si>
  <si>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</si>
  <si>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</si>
  <si>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</si>
  <si>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</si>
  <si>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</si>
  <si>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</si>
  <si>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</si>
  <si>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</si>
  <si>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</si>
  <si>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</si>
  <si>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</si>
  <si>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</si>
  <si>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</si>
  <si>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</si>
  <si>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</si>
  <si>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</si>
  <si>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</si>
  <si>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</si>
  <si>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</si>
  <si>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</si>
  <si>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</si>
  <si>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</si>
  <si>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</si>
  <si>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</si>
  <si>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</si>
  <si>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</si>
  <si>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</si>
  <si>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</si>
  <si>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</si>
  <si>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</si>
  <si>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</si>
  <si>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</si>
  <si>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</si>
  <si>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</si>
  <si>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</si>
  <si>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</si>
  <si>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</si>
  <si>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</si>
  <si>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</si>
  <si>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</si>
  <si>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</si>
  <si>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</si>
  <si>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</si>
  <si>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</si>
  <si>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</si>
  <si>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</si>
  <si>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</si>
  <si>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</si>
  <si>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</si>
  <si>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</si>
  <si>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</si>
  <si>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</si>
  <si>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</si>
  <si>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</si>
  <si>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</si>
  <si>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</si>
  <si>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</si>
  <si>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</si>
  <si>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</si>
  <si>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</si>
  <si>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</si>
  <si>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</si>
  <si>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</si>
  <si>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</si>
  <si>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</si>
  <si>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</si>
  <si>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</si>
  <si>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</si>
  <si>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</si>
  <si>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</si>
  <si>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</si>
  <si>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</si>
  <si>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</si>
  <si>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</si>
  <si>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</si>
  <si>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</si>
  <si>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</si>
  <si>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</si>
  <si>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</si>
  <si>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</si>
  <si>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</si>
  <si>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</si>
  <si>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</si>
  <si>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</si>
  <si>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</si>
  <si>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</si>
  <si>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</si>
  <si>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</si>
  <si>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</si>
  <si>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</si>
  <si>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</si>
  <si>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</si>
  <si>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</si>
  <si>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</si>
  <si>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</si>
  <si>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</si>
  <si>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</si>
  <si>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</si>
  <si>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</si>
  <si>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</si>
  <si>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</si>
  <si>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</si>
  <si>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</si>
  <si>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</si>
  <si>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</si>
  <si>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</si>
  <si>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</si>
  <si>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</si>
  <si>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</si>
  <si>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</si>
  <si>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</si>
  <si>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</si>
  <si>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</si>
  <si>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</si>
  <si>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</si>
  <si>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</si>
  <si>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</si>
  <si>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</si>
  <si>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</si>
  <si>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</si>
  <si>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</si>
  <si>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</si>
  <si>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</si>
  <si>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</si>
  <si>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</si>
  <si>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</si>
  <si>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</si>
  <si>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</si>
  <si>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</si>
  <si>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</si>
  <si>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</si>
  <si>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</si>
  <si>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</si>
  <si>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</si>
  <si>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</si>
  <si>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</si>
  <si>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</si>
  <si>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</si>
  <si>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</si>
  <si>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</si>
  <si>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</si>
  <si>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</si>
  <si>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</si>
  <si>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</si>
  <si>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</si>
  <si>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</si>
  <si>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</si>
  <si>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</si>
  <si>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</si>
  <si>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</si>
  <si>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</si>
  <si>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</si>
  <si>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</si>
  <si>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</si>
  <si>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</si>
  <si>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</si>
  <si>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</si>
  <si>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</si>
  <si>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</si>
  <si>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</si>
  <si>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</si>
  <si>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</si>
  <si>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</si>
  <si>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</si>
  <si>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</si>
  <si>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</si>
  <si>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</si>
  <si>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</si>
  <si>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</si>
  <si>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</si>
  <si>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</si>
  <si>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</si>
  <si>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</si>
  <si>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</si>
  <si>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</si>
  <si>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</si>
  <si>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</si>
  <si>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</si>
  <si>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</si>
  <si>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</si>
  <si>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</si>
  <si>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</si>
  <si>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</si>
  <si>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</si>
  <si>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</si>
  <si>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</si>
  <si>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</si>
  <si>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</si>
  <si>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</si>
  <si>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</si>
  <si>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</si>
  <si>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</si>
  <si>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</si>
  <si>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</si>
  <si>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</si>
  <si>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</si>
  <si>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</si>
  <si>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</si>
  <si>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</si>
  <si>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</si>
  <si>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</si>
  <si>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</si>
  <si>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</si>
  <si>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</si>
  <si>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</si>
  <si>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</si>
  <si>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</si>
  <si>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</si>
  <si>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</si>
  <si>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</si>
  <si>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</si>
  <si>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</si>
  <si>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</si>
  <si>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</si>
  <si>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</si>
  <si>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</si>
  <si>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</si>
  <si>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</si>
  <si>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</si>
  <si>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</si>
  <si>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</si>
  <si>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</si>
  <si>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</si>
  <si>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</si>
  <si>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</si>
  <si>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</si>
  <si>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</si>
  <si>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</si>
  <si>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</si>
  <si>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</si>
  <si>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</si>
  <si>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</si>
  <si>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</si>
  <si>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</si>
  <si>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</si>
  <si>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</si>
  <si>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</si>
  <si>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</si>
  <si>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</si>
  <si>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</si>
  <si>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</si>
  <si>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</si>
  <si>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</si>
  <si>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</si>
  <si>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</si>
  <si>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</si>
  <si>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</si>
  <si>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</si>
  <si>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</si>
  <si>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</si>
  <si>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</si>
  <si>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</si>
  <si>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</si>
  <si>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</si>
  <si>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</si>
  <si>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</si>
  <si>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</si>
  <si>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</si>
  <si>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</si>
  <si>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</si>
  <si>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</si>
  <si>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</si>
  <si>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</si>
  <si>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</si>
  <si>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</si>
  <si>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</si>
  <si>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</si>
  <si>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</si>
  <si>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</si>
  <si>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</si>
  <si>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</si>
  <si>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</si>
  <si>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</si>
  <si>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</si>
  <si>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</si>
  <si>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</si>
  <si>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</si>
  <si>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</si>
  <si>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</si>
  <si>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</si>
  <si>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</si>
  <si>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</si>
  <si>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</si>
  <si>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</si>
  <si>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</si>
  <si>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</si>
  <si>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</si>
  <si>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</si>
  <si>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</si>
  <si>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</si>
  <si>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</si>
  <si>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</si>
  <si>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</si>
  <si>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</si>
  <si>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</si>
  <si>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</si>
  <si>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</si>
  <si>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</si>
  <si>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</si>
  <si>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</si>
  <si>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</si>
  <si>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</si>
  <si>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</si>
  <si>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</si>
  <si>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</si>
  <si>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</si>
  <si>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</si>
  <si>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</si>
  <si>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</si>
  <si>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</si>
  <si>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</si>
  <si>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</si>
  <si>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</si>
  <si>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</si>
  <si>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</si>
  <si>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</si>
  <si>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</si>
  <si>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</si>
  <si>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</si>
  <si>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</si>
  <si>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</si>
  <si>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</si>
  <si>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</si>
  <si>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</si>
  <si>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</si>
  <si>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</si>
  <si>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</si>
  <si>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</si>
  <si>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</si>
  <si>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</si>
  <si>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</si>
  <si>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</si>
  <si>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</si>
  <si>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</si>
  <si>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</si>
  <si>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</si>
  <si>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</si>
  <si>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</si>
  <si>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</si>
  <si>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</si>
  <si>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</si>
  <si>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</si>
  <si>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</si>
  <si>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</si>
  <si>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</si>
  <si>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</si>
  <si>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</si>
  <si>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</si>
  <si>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</si>
  <si>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</si>
  <si>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</si>
  <si>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</si>
  <si>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</si>
  <si>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</si>
  <si>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</si>
  <si>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</si>
  <si>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</si>
  <si>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</si>
  <si>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</si>
  <si>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</si>
  <si>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</si>
  <si>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</si>
  <si>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</si>
  <si>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</si>
  <si>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</si>
  <si>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</si>
  <si>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</si>
  <si>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</si>
  <si>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</si>
  <si>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</si>
  <si>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</si>
  <si>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</si>
  <si>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</si>
  <si>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</si>
  <si>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</si>
  <si>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</si>
  <si>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</si>
  <si>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</si>
  <si>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</si>
  <si>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</si>
  <si>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</si>
  <si>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</si>
  <si>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</si>
  <si>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</si>
  <si>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</si>
  <si>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</si>
  <si>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</si>
  <si>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</si>
  <si>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</si>
  <si>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</si>
  <si>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</si>
  <si>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</si>
  <si>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</si>
  <si>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</si>
  <si>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</si>
  <si>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</si>
  <si>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</si>
  <si>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</si>
  <si>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</si>
  <si>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</si>
  <si>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</si>
  <si>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</si>
  <si>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</si>
  <si>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</si>
  <si>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</si>
  <si>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</si>
  <si>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</si>
  <si>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</si>
  <si>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</si>
  <si>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</si>
  <si>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</si>
  <si>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</si>
  <si>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</si>
  <si>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</si>
  <si>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</si>
  <si>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</si>
  <si>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</si>
  <si>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</si>
  <si>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</si>
  <si>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</si>
  <si>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</si>
  <si>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</si>
  <si>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</si>
  <si>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</si>
  <si>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</si>
  <si>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</si>
  <si>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</si>
  <si>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</si>
  <si>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</si>
  <si>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</si>
  <si>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</si>
  <si>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</si>
  <si>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</si>
  <si>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</si>
  <si>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</si>
  <si>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</si>
  <si>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</si>
  <si>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</si>
  <si>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</si>
  <si>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</si>
  <si>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</si>
  <si>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</si>
  <si>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</si>
  <si>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</si>
  <si>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</si>
  <si>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</si>
  <si>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</si>
  <si>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</si>
  <si>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</si>
  <si>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</si>
  <si>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</si>
  <si>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</si>
  <si>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</si>
  <si>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</si>
  <si>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</si>
  <si>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</si>
  <si>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</si>
  <si>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</si>
  <si>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</si>
  <si>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</si>
  <si>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</si>
  <si>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</si>
  <si>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</si>
  <si>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</si>
  <si>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</si>
  <si>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</si>
  <si>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</si>
  <si>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</si>
  <si>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</si>
  <si>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</si>
  <si>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</si>
  <si>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</si>
  <si>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</si>
  <si>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</si>
  <si>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</si>
  <si>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</si>
  <si>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</si>
  <si>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</si>
  <si>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</si>
  <si>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</si>
  <si>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</si>
  <si>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</si>
  <si>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</si>
  <si>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</si>
  <si>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</si>
  <si>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</si>
  <si>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</si>
  <si>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</si>
  <si>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</si>
  <si>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</si>
  <si>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</si>
  <si>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</si>
  <si>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</si>
  <si>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</si>
  <si>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</si>
  <si>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</si>
  <si>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</si>
  <si>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</si>
  <si>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</si>
  <si>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</si>
  <si>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</si>
  <si>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</si>
  <si>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</si>
  <si>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</si>
  <si>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</si>
  <si>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</si>
  <si>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</si>
  <si>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</si>
  <si>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</si>
  <si>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</si>
  <si>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</si>
  <si>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</si>
  <si>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</si>
  <si>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</si>
  <si>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</si>
  <si>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</si>
  <si>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</si>
  <si>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</si>
  <si>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</si>
  <si>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</si>
  <si>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</si>
  <si>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</si>
  <si>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</si>
  <si>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</si>
  <si>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</si>
  <si>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</si>
  <si>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</si>
  <si>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</si>
  <si>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</si>
  <si>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</si>
  <si>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</si>
  <si>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</si>
  <si>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</si>
  <si>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</si>
  <si>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</si>
  <si>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</si>
  <si>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</si>
  <si>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</si>
  <si>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</si>
  <si>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</si>
  <si>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</si>
  <si>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</si>
  <si>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</si>
  <si>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</si>
  <si>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</si>
  <si>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</si>
  <si>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</si>
  <si>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</si>
  <si>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</si>
  <si>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</si>
  <si>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</si>
  <si>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</si>
  <si>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</si>
  <si>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</si>
  <si>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</si>
  <si>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</si>
  <si>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</si>
  <si>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</si>
  <si>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</si>
  <si>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</si>
  <si>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</si>
  <si>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</si>
  <si>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</si>
  <si>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</si>
  <si>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</si>
  <si>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</si>
  <si>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</si>
  <si>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</si>
  <si>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</si>
  <si>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</si>
  <si>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</si>
  <si>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</si>
  <si>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</si>
  <si>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</si>
  <si>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</si>
  <si>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</si>
  <si>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</si>
  <si>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</si>
  <si>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</si>
  <si>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</si>
  <si>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</si>
  <si>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</si>
  <si>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</si>
  <si>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</si>
  <si>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</si>
  <si>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</si>
  <si>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</si>
  <si>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</si>
  <si>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</si>
  <si>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</si>
  <si>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</si>
  <si>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</si>
  <si>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</si>
  <si>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</si>
  <si>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</si>
  <si>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</si>
  <si>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</si>
  <si>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</si>
  <si>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</si>
  <si>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</si>
  <si>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</si>
  <si>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</si>
  <si>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</si>
  <si>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</si>
  <si>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</si>
  <si>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</si>
  <si>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</si>
  <si>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</si>
  <si>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</si>
  <si>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</si>
  <si>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</si>
  <si>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</si>
  <si>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</si>
  <si>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</si>
  <si>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</si>
  <si>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</si>
  <si>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</si>
  <si>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</si>
  <si>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</si>
  <si>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</si>
  <si>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</si>
  <si>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</si>
  <si>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</si>
  <si>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</si>
  <si>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</si>
  <si>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</si>
  <si>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</si>
  <si>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</si>
  <si>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</si>
  <si>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</si>
  <si>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</si>
  <si>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</si>
  <si>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</si>
  <si>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</si>
  <si>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</si>
  <si>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</si>
  <si>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</si>
  <si>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</si>
  <si>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</si>
  <si>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</si>
  <si>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</si>
  <si>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</si>
  <si>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</si>
  <si>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</si>
  <si>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</si>
  <si>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</si>
  <si>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</si>
  <si>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</si>
  <si>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</si>
  <si>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</si>
  <si>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</si>
  <si>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</si>
  <si>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</si>
  <si>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</si>
  <si>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</si>
  <si>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</si>
  <si>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</si>
  <si>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</si>
  <si>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</si>
  <si>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</si>
  <si>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</si>
  <si>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</si>
  <si>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</si>
  <si>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</si>
  <si>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</si>
  <si>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</si>
  <si>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</si>
  <si>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</si>
  <si>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</si>
  <si>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</si>
  <si>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</si>
  <si>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</si>
  <si>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</si>
  <si>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</si>
  <si>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</si>
  <si>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</si>
  <si>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</si>
  <si>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</si>
  <si>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</si>
  <si>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</si>
  <si>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</si>
  <si>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</si>
  <si>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</si>
  <si>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</si>
  <si>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</si>
  <si>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</si>
  <si>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</si>
  <si>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</si>
  <si>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</si>
  <si>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</si>
  <si>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</si>
  <si>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</si>
  <si>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</si>
  <si>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</si>
  <si>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</si>
  <si>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</si>
  <si>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</si>
  <si>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</si>
  <si>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</si>
  <si>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</si>
  <si>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</si>
  <si>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</si>
  <si>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</si>
  <si>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</si>
  <si>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</si>
  <si>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</si>
  <si>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</si>
  <si>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</si>
  <si>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</si>
  <si>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</si>
  <si>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</si>
  <si>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</si>
  <si>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</si>
  <si>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</si>
  <si>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</si>
  <si>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</si>
  <si>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</si>
  <si>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</si>
  <si>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</si>
  <si>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</si>
  <si>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</si>
  <si>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</si>
  <si>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</si>
  <si>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</si>
  <si>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</si>
  <si>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</si>
  <si>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</si>
  <si>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</si>
  <si>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</si>
  <si>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</si>
  <si>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</si>
  <si>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</si>
  <si>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</si>
  <si>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</si>
  <si>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</si>
  <si>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</si>
  <si>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</si>
  <si>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</si>
  <si>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</si>
  <si>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</si>
  <si>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</si>
  <si>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</si>
  <si>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</si>
  <si>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</si>
  <si>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</si>
  <si>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</si>
  <si>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</si>
  <si>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</si>
  <si>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</si>
  <si>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</si>
  <si>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</si>
  <si>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</si>
  <si>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</si>
  <si>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</si>
  <si>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</si>
  <si>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</si>
  <si>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</si>
  <si>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</si>
  <si>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</si>
  <si>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</si>
  <si>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</si>
  <si>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</si>
  <si>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</si>
  <si>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</si>
  <si>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</si>
  <si>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</si>
  <si>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</si>
  <si>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</si>
  <si>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</si>
  <si>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</si>
  <si>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</si>
  <si>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</si>
  <si>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</si>
  <si>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</si>
  <si>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</si>
  <si>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</si>
  <si>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</si>
  <si>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</si>
  <si>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</si>
  <si>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</si>
  <si>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</si>
  <si>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</si>
  <si>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</si>
  <si>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</si>
  <si>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</si>
  <si>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</si>
  <si>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</si>
  <si>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</si>
  <si>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</si>
  <si>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</si>
  <si>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</si>
  <si>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</si>
  <si>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</si>
  <si>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</si>
  <si>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</si>
  <si>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</si>
  <si>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</si>
  <si>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</si>
  <si>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</si>
  <si>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</si>
  <si>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</si>
  <si>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</si>
  <si>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</si>
  <si>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</si>
  <si>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</si>
  <si>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</si>
  <si>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</si>
  <si>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</si>
  <si>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</si>
  <si>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</si>
  <si>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</si>
  <si>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</si>
  <si>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</si>
  <si>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</si>
  <si>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</si>
  <si>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</si>
  <si>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</si>
  <si>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</si>
  <si>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</si>
  <si>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</si>
  <si>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</si>
  <si>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</si>
  <si>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</si>
  <si>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</si>
  <si>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</si>
  <si>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</si>
  <si>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</si>
  <si>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</si>
  <si>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</si>
  <si>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</si>
  <si>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</si>
  <si>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</si>
  <si>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</si>
  <si>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</si>
  <si>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</si>
  <si>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</si>
  <si>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</si>
  <si>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</si>
  <si>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</si>
  <si>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</si>
  <si>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</si>
  <si>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</si>
  <si>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</si>
  <si>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</si>
  <si>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</si>
  <si>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</si>
  <si>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</si>
  <si>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</si>
  <si>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</si>
  <si>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</si>
  <si>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</si>
  <si>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</si>
  <si>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</si>
  <si>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</si>
  <si>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</si>
  <si>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</si>
  <si>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</si>
  <si>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</si>
  <si>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</si>
  <si>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</si>
  <si>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</si>
  <si>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</si>
  <si>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</si>
  <si>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</si>
  <si>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</si>
  <si>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</si>
  <si>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</si>
  <si>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</si>
  <si>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</si>
  <si>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</si>
  <si>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</si>
  <si>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</si>
  <si>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</si>
  <si>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</si>
  <si>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</si>
  <si>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</si>
  <si>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</si>
  <si>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</si>
  <si>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</si>
  <si>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</si>
  <si>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</si>
  <si>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</si>
  <si>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</si>
  <si>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</si>
  <si>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</si>
  <si>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</si>
  <si>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</si>
  <si>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</si>
  <si>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</si>
  <si>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</si>
  <si>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</si>
  <si>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</si>
  <si>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</si>
  <si>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</si>
  <si>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</si>
  <si>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</si>
  <si>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</si>
  <si>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</si>
  <si>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</si>
  <si>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</si>
  <si>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</si>
  <si>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</si>
  <si>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</si>
  <si>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</si>
  <si>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</si>
  <si>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</si>
  <si>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</si>
  <si>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</si>
  <si>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</si>
  <si>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</si>
  <si>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</si>
  <si>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</si>
  <si>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</si>
  <si>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</si>
  <si>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</si>
  <si>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</si>
  <si>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</si>
  <si>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</si>
  <si>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</si>
  <si>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</si>
  <si>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</si>
  <si>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</si>
  <si>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</si>
  <si>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</si>
  <si>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</si>
  <si>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</si>
  <si>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</si>
  <si>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</si>
  <si>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</si>
  <si>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</si>
  <si>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</si>
  <si>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</si>
  <si>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</si>
  <si>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</si>
  <si>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</si>
  <si>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</si>
  <si>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</si>
  <si>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</si>
  <si>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</si>
  <si>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</si>
  <si>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</si>
  <si>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</si>
  <si>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</si>
  <si>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</si>
  <si>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</si>
  <si>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</si>
  <si>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</si>
  <si>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</si>
  <si>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</si>
  <si>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</si>
  <si>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</si>
  <si>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</si>
  <si>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</si>
  <si>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</si>
  <si>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</si>
  <si>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</si>
  <si>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</si>
  <si>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</si>
  <si>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</si>
  <si>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</si>
  <si>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</si>
  <si>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</si>
  <si>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</si>
  <si>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</si>
  <si>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</si>
  <si>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</si>
  <si>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</si>
  <si>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</si>
  <si>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</si>
  <si>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</si>
  <si>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</si>
  <si>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</si>
  <si>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</si>
  <si>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</si>
  <si>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</si>
  <si>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</si>
  <si>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</si>
  <si>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</si>
  <si>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</si>
  <si>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</si>
  <si>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</si>
  <si>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</si>
  <si>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</si>
  <si>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</si>
  <si>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</si>
  <si>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</si>
  <si>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</si>
  <si>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</si>
  <si>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</si>
  <si>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</si>
  <si>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</si>
  <si>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</si>
  <si>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</si>
  <si>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</si>
  <si>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</si>
  <si>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</si>
  <si>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</si>
  <si>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</si>
  <si>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</si>
  <si>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</si>
  <si>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</si>
  <si>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</si>
  <si>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</si>
  <si>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</si>
  <si>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</si>
  <si>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</si>
  <si>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</si>
  <si>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</si>
  <si>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</si>
  <si>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</si>
  <si>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</si>
  <si>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</si>
  <si>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</si>
  <si>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</si>
  <si>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</si>
  <si>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</si>
  <si>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</si>
  <si>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</si>
  <si>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</si>
  <si>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</si>
  <si>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sources</t>
  </si>
  <si>
    <t xml:space="preserve">The 1992 proposal (COM(92) 24) predates impact assessments and set no indicators. Article 16(3) required periodic Commission reviews of whether the sui generis right led to abuse of a dominant position or other interference with free competition</t>
  </si>
  <si>
    <t xml:space="preserve">objective (proposal / recitals)</t>
  </si>
  <si>
    <t xml:space="preserve">Stimulate investment in and production of databases in Europe</t>
  </si>
  <si>
    <t xml:space="preserve">Growth in EU database production and competitiveness vs the US</t>
  </si>
  <si>
    <t xml:space="preserve">Measured and negative/flat: the 2005 evaluation found EU-based entries in the Gale Directory of Databases back at pre-Directive levels by 2004 (3,095 vs 3,092 in 1998, after a 4,085 peak in 2001) and the EU/US production ratio worsening from about 1:2 (1996) to 1:3 (2004). The 2018 evaluation again found 'no proven impact on the overall production of databases in Europe, nor on the competitiveness of the EU database industry'.</t>
  </si>
  <si>
    <t xml:space="preserve">measured</t>
  </si>
  <si>
    <t xml:space="preserve">DG MARKT 2005; SWD(2018) 146/147</t>
  </si>
  <si>
    <t xml:space="preserve">Harmonise national protection regimes</t>
  </si>
  <si>
    <t xml:space="preserve">Reduced fragmentation of database protection</t>
  </si>
  <si>
    <t xml:space="preserve">Commission's 2018 evaluation judges harmonisation effective, helped by CJEU case law; based on qualitative assessment and stakeholder input.</t>
  </si>
  <si>
    <t xml:space="preserve">reported as activity</t>
  </si>
  <si>
    <t xml:space="preserve">SWD(2018) 146/147</t>
  </si>
  <si>
    <t xml:space="preserve">objective (Art. 16(3))</t>
  </si>
  <si>
    <t xml:space="preserve">Balance between makers and users; no significant interference with competition</t>
  </si>
  <si>
    <t xml:space="preserve">2018 evaluation found costs and benefits 'moderate', benefits 'seem to be higher', no significant regulatory burdens; after the 2004 CJEU rulings the right does not cover by-product data, limiting effects on the data economy. Not quantified.</t>
  </si>
  <si>
    <t xml:space="preserve">partially measured</t>
  </si>
  <si>
    <t xml:space="preserve">SWD(2018) 146/147; Technopolis/JIIP 2018</t>
  </si>
  <si>
    <t xml:space="preserve">The 1998 proposal predates impact assessments and financial-statement indicators; no quantified targets were set. Art. 21 required a report every two years (only the 2003 report was issued); a full evaluation was annexed to the 2020 DSA impact assessment</t>
  </si>
  <si>
    <t xml:space="preserve">objective (proposal)</t>
  </si>
  <si>
    <t xml:space="preserve">Internal market for information society services</t>
  </si>
  <si>
    <t xml:space="preserve">Free cross-border provision of online services under the country-of-origin principle</t>
  </si>
  <si>
    <t xml:space="preserve">2020 evaluation: the Directive 'enabled growth and accessibility of digital services cross-border' but there is clear evidence of legal fragmentation, national laws with extraterritorial effect and little use of the cooperation mechanism. No quantitative ex-post estimate of its effect on cross-border trade.</t>
  </si>
  <si>
    <t xml:space="preserve">SWD(2020) 348 Annex 5</t>
  </si>
  <si>
    <t xml:space="preserve">Legal certainty for intermediaries (liability safe harbours)</t>
  </si>
  <si>
    <t xml:space="preserve">Conditional liability exemptions for mere conduit, caching and hosting; no general monitoring obligation</t>
  </si>
  <si>
    <t xml:space="preserve">2020 evaluation: liability regime remains the 'key regulatory pillar' but conflicting national court interpretations create significant uncertainty; incentives favour removal over protecting legal content. No causal study of the EU safe harbours' effect on investment or innovation; the main quantitative estimate (Oxera 2015) is a Google-funded simulation.</t>
  </si>
  <si>
    <t xml:space="preserve">mixed evidence</t>
  </si>
  <si>
    <t xml:space="preserve">SWD(2020) 348; Oxera 2015; Erickson &amp; Kretschmer 2020</t>
  </si>
  <si>
    <t xml:space="preserve">Consumer trust (information, commercial communications, e-contracts)</t>
  </si>
  <si>
    <t xml:space="preserve">Transparency and consumer-facing provisions build trust</t>
  </si>
  <si>
    <t xml:space="preserve">2020 evaluation: these provisions are still relevant and largely complied with, but not measured with outcome data.</t>
  </si>
  <si>
    <t xml:space="preserve">SWD(2020) 348</t>
  </si>
  <si>
    <t xml:space="preserve">The 1997 proposal (COM(97) 628) predates the Commission's impact assessment and financial-statement indicator system; it set no measurable targets. Monitoring relied on the Article 12 review clause</t>
  </si>
  <si>
    <t xml:space="preserve">Harmonisation of rights and exceptions</t>
  </si>
  <si>
    <t xml:space="preserve">Reduce legal fragmentation across Member States so that online content services can operate cross-border</t>
  </si>
  <si>
    <t xml:space="preserve">Commission-commissioned study (IViR 2007) found the harmonising effect of the optional list of exceptions 'very modest at best', producing a 'mosaic' of national rules; the Commission's own 2007 review confirmed very diverse national provisions. The 2016 copyright impact assessment again cited legal uncertainty over exceptions (teaching, text and data mining, preservation) as a major problem, leading to new mandatory exceptions in Directive 2019/790.</t>
  </si>
  <si>
    <t xml:space="preserve">IViR 2007; SEC(2007) 1556; SWD(2016) 301</t>
  </si>
  <si>
    <t xml:space="preserve">Growth and innovation in online content services</t>
  </si>
  <si>
    <t xml:space="preserve">Foster investment in creativity and new online business models</t>
  </si>
  <si>
    <t xml:space="preserve">Never measured quantitatively. The IViR evaluation concluded the Directive had 'at best only partly achieved' its goal of promoting growth and innovation in online content services. No causal study isolates the Directive's effect on creative output or investment.</t>
  </si>
  <si>
    <t xml:space="preserve">not measured</t>
  </si>
  <si>
    <t xml:space="preserve">IViR 2007</t>
  </si>
  <si>
    <t xml:space="preserve">Technological protection measures (DRM)</t>
  </si>
  <si>
    <t xml:space="preserve">Legal protection of DRM to support new digital distribution models while safeguarding exceptions (Art. 6(4))</t>
  </si>
  <si>
    <t xml:space="preserve">IViR found the DRM rules created 'confusion, legal uncertainty and disharmonisation'; Member States chose widely different mechanisms to safeguard exceptions. Independent evidence from the music industry (Zhang 2018) shows that dropping DRM raised digital sales by about 10%, suggesting DRM did not support sales as assumed.</t>
  </si>
  <si>
    <t xml:space="preserve">IViR 2007; SEC(2007) 1556; Zhang 2018</t>
  </si>
  <si>
    <t xml:space="preserve">expected impact (implicit)</t>
  </si>
  <si>
    <t xml:space="preserve">Research and innovation uses</t>
  </si>
  <si>
    <t xml:space="preserve">Exceptions allow scientific research uses without hampering innovation</t>
  </si>
  <si>
    <t xml:space="preserve">Cross-country bibliometric evidence links copyright regimes that require rightholder consent for data mining (as in most EU states under the InfoSoc list) to a markedly smaller share of data-mining research output (Handke et al. 2015).</t>
  </si>
  <si>
    <t xml:space="preserve">Handke, Guibault &amp; Vallbe 2015</t>
  </si>
  <si>
    <t xml:space="preserve">2000 proposal (COM(2000) 385) predates standard indicators sections; no quantified objectives or indicators were set</t>
  </si>
  <si>
    <t xml:space="preserve">expected impact (evaluation criteria)</t>
  </si>
  <si>
    <t xml:space="preserve">Confidentiality of communications / user control (cookie rule)</t>
  </si>
  <si>
    <t xml:space="preserve">Effectiveness of consent rules</t>
  </si>
  <si>
    <t xml:space="preserve">Commission REFIT evaluation (2017): cookie rule 'not fully effective' - users accept tracking without understanding it, some cookies set without consent; rule also over-inclusive for non-privacy-intrusive cookies.</t>
  </si>
  <si>
    <t xml:space="preserve">measured (qualitative) - not achieved</t>
  </si>
  <si>
    <t xml:space="preserve">SWD(2017) 5/6</t>
  </si>
  <si>
    <t xml:space="preserve">Efficiency</t>
  </si>
  <si>
    <t xml:space="preserve">Compliance costs</t>
  </si>
  <si>
    <t xml:space="preserve">Supporting study estimates about EUR 658 per business; Commission notes robust cost data largely do not exist.</t>
  </si>
  <si>
    <t xml:space="preserve">SWD(2017) 6</t>
  </si>
  <si>
    <t xml:space="preserve">COM(2002) 711</t>
  </si>
  <si>
    <t xml:space="preserve">The recast proposal (COM(2002) 711, following Green Paper COM(2001) 745) predates the financial-statement indicator system and set no quantified targets. Article 1(4)-(5) required a Commission report on thresholds and referrals (delivered as COM(2009) 281)</t>
  </si>
  <si>
    <t xml:space="preserve">Prevent concentrations that significantly impede effective competition (SIEC test)</t>
  </si>
  <si>
    <t xml:space="preserve">Avoided price increases / reversal of market-power gains</t>
  </si>
  <si>
    <t xml:space="preserve">Mixed. DG Competition estimates EU enforcement saved customers EUR 12-21bn a year (2012-2025), about 60% from merger control, but this is an ex-ante calculation that assumes decisions were correct. Independent event-study evidence (Duso et al. 2011) finds only prohibitions fully reverse anticipated market-power rents; remedies only partly. Cross-country evidence (Genakos et al. 2018) shows 4-to-3 mobile mergers raised prices ~16%, and concentration in EU antitrust markets has risen since 1995 (Affeldt et al. 2021).</t>
  </si>
  <si>
    <t xml:space="preserve">Verouden et al. 2026; Duso et al. 2011; Genakos et al. 2018; Affeldt et al. 2021</t>
  </si>
  <si>
    <t xml:space="preserve">One-stop shop and efficient case allocation via referrals</t>
  </si>
  <si>
    <t xml:space="preserve">2021 evaluation: referral mechanisms 'generally served their objectives well', avoiding many parallel national reviews; 2009 report found thresholds and referrals broadly effective.</t>
  </si>
  <si>
    <t xml:space="preserve">SWD(2021) 66/67; COM(2009) 281</t>
  </si>
  <si>
    <t xml:space="preserve">objective (2013 simplification)</t>
  </si>
  <si>
    <t xml:space="preserve">Reduce administrative burden</t>
  </si>
  <si>
    <t xml:space="preserve">Share of cases under simplified procedure; burden on parties</t>
  </si>
  <si>
    <t xml:space="preserve">2021 evaluation found the 2013 simplification package increased use of the simplified procedure and reduced burden, without quantified savings in the executive summary.</t>
  </si>
  <si>
    <t xml:space="preserve">SWD(2021) 66/67</t>
  </si>
  <si>
    <t xml:space="preserve">Jurisdiction captures all significant concentrations</t>
  </si>
  <si>
    <t xml:space="preserve">Below-threshold acquisitions of innovative/nascent firms ('killer acquisitions')</t>
  </si>
  <si>
    <t xml:space="preserve">2021 evaluation found some cross-border deals involving low-turnover innovative firms escaped review; the Commission's response (accepting Article 22 referrals of deals below national thresholds) was annulled by the Court of Justice in Illumina/Grail (3 Sept 2024). Academic evidence on killer acquisitions is US-based (pharma: 5.3-7.4% of acquisitions).</t>
  </si>
  <si>
    <t xml:space="preserve">SWD(2021) 66/67; CJEU C-611/22 P; Cunningham et al. 2021</t>
  </si>
  <si>
    <t xml:space="preserve">The 2003 UCPD proposal predates the legislative financial statement indicator sections; it set no monitoring indicators. The extended impact assessment framed success as more cross-border marketing and shopping and greater consumer confidence</t>
  </si>
  <si>
    <t xml:space="preserve">expected impact (impact assessment)</t>
  </si>
  <si>
    <t xml:space="preserve">Internal market / consumer confidence</t>
  </si>
  <si>
    <t xml:space="preserve">More consumers buying cross-border and more firms marketing cross-border by replacing fragmented national fairness rules</t>
  </si>
  <si>
    <t xml:space="preserve">Baseline: 13% of consumers made a cross-border purchase in the previous 12 months (Eurobarometer 2002)</t>
  </si>
  <si>
    <t xml:space="preserve">One causal study (difference-in-differences on Eurobarometer data 2006-2014) links UCPD transposition to higher consumer trust and more cross-border purchases, but only in countries that had low protection before. Descriptively, 19.1% of EU individuals bought online from sellers in other EU countries in the last 3 months of 2023 (vs 48.2% from national sellers; Eurostat isoc_ec_ibos) - not comparable with the 2002 baseline and not attributable to the UCPD alone. Commission 2013 report: 52% of consumers interested in cross-border purchases (+19 points vs 2006).</t>
  </si>
  <si>
    <t xml:space="preserve">SEC(2003) 724; Rösner, Haucap &amp; Heimeshoff 2020; COM(2013) 139; Eurostat isoc_ec_ibos</t>
  </si>
  <si>
    <t xml:space="preserve">Consumer protection</t>
  </si>
  <si>
    <t xml:space="preserve">Fewer unfair (misleading/aggressive) practices and lower consumer detriment</t>
  </si>
  <si>
    <t xml:space="preserve">Detriment remains high: the 2024 Digital Fairness Fitness Check conservatively estimates EUR 7.9bn a year of consumer detriment from problems online (UCPD, CRD and UCTD together). 97% of popular websites/apps used at least one dark pattern (2022 behavioural study); a 2023 CPC sweep found dark patterns in 148 of 399 online shops. Earlier sweeps: about 80% of websites found in breach were corrected after enforcement (2013 report).</t>
  </si>
  <si>
    <t xml:space="preserve">measured (outcome not improving online)</t>
  </si>
  <si>
    <t xml:space="preserve">SWD(2024) 230/231; Lupiáñez-Villanueva et al. 2022; CPC sweep 2023; COM(2013) 139</t>
  </si>
  <si>
    <t xml:space="preserve">Burden on business</t>
  </si>
  <si>
    <t xml:space="preserve">Simpler regulatory environment, lower compliance costs for cross-border traders</t>
  </si>
  <si>
    <t xml:space="preserve">2017 Fitness Check judged compliance costs very proportionate, including for SMEs. 2024 Fitness Check estimates adjustment and administrative costs of the three core consumer directives at about EUR 511-737m a year EU-wide; only 10-18% of traders report high costs.</t>
  </si>
  <si>
    <t xml:space="preserve">SWD(2017) 209 (REFIT scoreboard); SWD(2024) 231</t>
  </si>
  <si>
    <t xml:space="preserve">Enforcement</t>
  </si>
  <si>
    <t xml:space="preserve">Effective and consistent enforcement across Member States</t>
  </si>
  <si>
    <t xml:space="preserve">Recurring weak point: the 2024 Fitness Check rates effectiveness 'limited' citing insufficient public and private enforcement; Omnibus Directive (2019/2161) added fines of at least 4% of turnover for coordinated cross-border cases, but its 2024 implementation report says application is at an early stage.</t>
  </si>
  <si>
    <t xml:space="preserve">SWD(2024) 231; COM(2024) 258</t>
  </si>
  <si>
    <t xml:space="preserve">The 2009 DAC proposal (COM(2009) 29) contains no financial-statement indicators; the Directive relies on five-yearly Commission reports under Article 27 and Member State statistics</t>
  </si>
  <si>
    <t xml:space="preserve">evaluation question</t>
  </si>
  <si>
    <t xml:space="preserve">Fight tax fraud, evasion and avoidance</t>
  </si>
  <si>
    <t xml:space="preserve">Tax benefits generated by exchanged information</t>
  </si>
  <si>
    <t xml:space="preserve">2019 evaluation: benefits largely unmeasured; the few monetised estimates summed to about EUR 620m. 2025 evaluation: estimated benefits around EUR 6.8bn a year (EUR 1.2bn from automatic exchange under DAC1/DAC2, EUR 5.6bn from country-by-country reporting under DAC4), based on a contractor study and Member State estimates.</t>
  </si>
  <si>
    <t xml:space="preserve">SWD(2019) 327; COM(2025) 695</t>
  </si>
  <si>
    <t xml:space="preserve">Costs to tax administrations and business</t>
  </si>
  <si>
    <t xml:space="preserve">2019: cumulative cost about EUR 230m (EUR 90m Member States, EUR 140m financial institutions). 2025: recurring costs about EUR 646m a year, EUR 604m borne by business (EUR 550m DAC2 reporting).</t>
  </si>
  <si>
    <t xml:space="preserve">Use of exchanged information</t>
  </si>
  <si>
    <t xml:space="preserve">Matching and use rates of data received</t>
  </si>
  <si>
    <t xml:space="preserve">Target: 100% matching</t>
  </si>
  <si>
    <t xml:space="preserve">5-15% of DAC1-4 data still cannot be matched to taxpayers; Member States do not systematically monitor or publish outcomes (ECA 2021). TADEUS KPIs agreed but not binding.</t>
  </si>
  <si>
    <t xml:space="preserve">COM(2025) 695; ECA SR 03/2021</t>
  </si>
  <si>
    <t xml:space="preserve">Reduce offshore tax evasion</t>
  </si>
  <si>
    <t xml:space="preserve">Deposits held in tax havens</t>
  </si>
  <si>
    <t xml:space="preserve">Independent difference-in-differences study of the OECD Common Reporting Standard (implemented in the EU by DAC2) finds an 11.5% fall in cross-border deposits in tax havens, but relocation to non-participating jurisdictions (notably the US).</t>
  </si>
  <si>
    <t xml:space="preserve">Casi, Spengel &amp; Stage 2020</t>
  </si>
  <si>
    <t xml:space="preserve">The 2008 CRD proposal contains no legislative financial statement indicators; Article 30 required a Commission report by December 2016, delivered as the 2017 evaluation</t>
  </si>
  <si>
    <t xml:space="preserve">Internal market</t>
  </si>
  <si>
    <t xml:space="preserve">Lower compliance costs for cross-border traders by replacing minimum with (largely) full harmonisation</t>
  </si>
  <si>
    <t xml:space="preserve">Baseline: 60% of traders saw extra costs of complying with different national consumer laws as an important obstacle to cross-border B2C trade (Eurobarometer 2008)</t>
  </si>
  <si>
    <t xml:space="preserve">Not measured. The 2017 evaluation found too little data for definitive conclusions on business costs. The UK ex-ante assessment put the harmonisation benefit at about GBP 358m a year for UK business; the UK's 2019 statutory review did not quantify it. Eurostat: 19.1% of EU individuals bought online from sellers in other EU countries (3 months, 2023), not attributable to the CRD.</t>
  </si>
  <si>
    <t xml:space="preserve">SEC(2008) 2544/2545; SWD(2017) 169/170; BIS 2013 IA; UK statutory report 2019; Eurostat isoc_ec_ibos</t>
  </si>
  <si>
    <t xml:space="preserve">Effective pre-contractual information and 14-day withdrawal right in distance and off-premises sales</t>
  </si>
  <si>
    <t xml:space="preserve">Partially measured in the 2017 evaluation: right of withdrawal the most frequent cross-border complaint topic (79% of European Consumer Centres say consumers complain often); in mystery shopping 25% of online shops selling goods gave no withdrawal-form information; only 13% of traders aware of the new digital-content rules. 2024 Digital Fairness Fitness Check flags information duties and withdrawal right for simplification.</t>
  </si>
  <si>
    <t xml:space="preserve">SWD(2017) 169; SWD(2024) 231</t>
  </si>
  <si>
    <t xml:space="preserve">Proportionate compliance costs</t>
  </si>
  <si>
    <t xml:space="preserve">2024 Fitness Check: costs of UCPD, CRD and UCTD together about EUR 511-737m a year; only 10-18% of traders report high costs. In the 2017 CRD survey a majority of traders said information requirements raised costs, and 44% cited reimbursement rules tied to withdrawal.</t>
  </si>
  <si>
    <t xml:space="preserve">SWD(2024) 231; SWD(2017) 169</t>
  </si>
  <si>
    <t xml:space="preserve">LFS indicator (1.4.4)</t>
  </si>
  <si>
    <t xml:space="preserve">Faster delivery of standards</t>
  </si>
  <si>
    <t xml:space="preserve">Time between ESO acceptance of a standardisation request and adoption of the standard</t>
  </si>
  <si>
    <t xml:space="preserve">2025 evaluation: 'moderately effective' in reducing development time, but harmonised standards still take on average six years (three for drafting and consensus). 2022 report: median 100 days from ESO adoption to delivery to the Commission; formal objections take on average 1,084 days.</t>
  </si>
  <si>
    <t xml:space="preserve">SWD(2025) 171; COM(2022) 30</t>
  </si>
  <si>
    <t xml:space="preserve">Responsiveness to Commission requests</t>
  </si>
  <si>
    <t xml:space="preserve">Number of European standards adopted following a Commission request</t>
  </si>
  <si>
    <t xml:space="preserve">2015-2020: 44 standardisation requests issued, 6 rejected by the ESOs (13.6%); only 27.6% of HAS consultant assessments of draft harmonised standards were positive. No outcome-based count of standards linked to effects.</t>
  </si>
  <si>
    <t xml:space="preserve">COM(2022) 30</t>
  </si>
  <si>
    <t xml:space="preserve">Inclusiveness</t>
  </si>
  <si>
    <t xml:space="preserve">Participation of SME, consumer, environmental and trade-union organisations (Annex III)</t>
  </si>
  <si>
    <t xml:space="preserve">Annex III organisations funded (EUR 20m 2015-2019); CEN-CENELEC gave them a formal right of opinion in 2017; ETSI criticised as less inclusive. 2025 evaluation: 'moderately effective' but real influence limited by lack of resources.</t>
  </si>
  <si>
    <t xml:space="preserve">COM(2022) 30; SWD(2025) 171</t>
  </si>
  <si>
    <t xml:space="preserve">Governance</t>
  </si>
  <si>
    <t xml:space="preserve">Effect of governance changes on number, speed and participation</t>
  </si>
  <si>
    <t xml:space="preserve">Evaluation found new CJEU-driven procedures made the process more burdensome; cost-benefit analysis suggests benefits exceed costs but data described as lacking.</t>
  </si>
  <si>
    <t xml:space="preserve">SWD(2025) 171</t>
  </si>
  <si>
    <t xml:space="preserve">specific objective</t>
  </si>
  <si>
    <t xml:space="preserve">Enhance trust in pan-European electronic transactions and ensure cross-border legal recognition of electronic identification, authentication, signature and related trust services</t>
  </si>
  <si>
    <t xml:space="preserve">indicator (LFS 1.4.4)</t>
  </si>
  <si>
    <t xml:space="preserve">eID coverage</t>
  </si>
  <si>
    <t xml:space="preserve">Electronic identification schemes notified to the Commission</t>
  </si>
  <si>
    <t xml:space="preserve">Measured: 19 schemes from 14 Member States by early 2021, covering 59% of the EU population. Commission list (updated Feb 2026) shows notified schemes for 24 of 27 Member States (none for Greece, Hungary, Ireland), plus Liechtenstein and Norway.</t>
  </si>
  <si>
    <t xml:space="preserve">COM(2021) 290; WK 163/2021; Commission eID overview</t>
  </si>
  <si>
    <t xml:space="preserve">Cross-border use</t>
  </si>
  <si>
    <t xml:space="preserve">Extent to which eIAS are used by end-users for national and cross-border transactions</t>
  </si>
  <si>
    <t xml:space="preserve">Measured once: 100 to 30,000 successful cross-border authentications a year, against millions domestically; only 14% of seven key public services for cross-border users offered eIDAS login (2020). No later series found.</t>
  </si>
  <si>
    <t xml:space="preserve">WK 163/2021 (Commission evaluation results)</t>
  </si>
  <si>
    <t xml:space="preserve">Public and private services</t>
  </si>
  <si>
    <t xml:space="preserve">Services accessible with notified eID in the public and private sector</t>
  </si>
  <si>
    <t xml:space="preserve">Public: 67% of Member States could accept notified eIDs (2020). Private: 17 Member States had a national eID open to private providers but only 12 had notified one; evaluation found private-sector use very limited.</t>
  </si>
  <si>
    <t xml:space="preserve">SWD(2021) 130; WK 163/2021</t>
  </si>
  <si>
    <t xml:space="preserve">Trust services market</t>
  </si>
  <si>
    <t xml:space="preserve">Existence of eIAS suppliers active in multiple Member States</t>
  </si>
  <si>
    <t xml:space="preserve">202 active qualified trust service providers in 29 of 30 EU/EEA countries (2021), concentrated in Spain, France, Italy, Germany; evaluation found take-up of trust services increased but supervision and interpretation still diverge.</t>
  </si>
  <si>
    <t xml:space="preserve">SWD(2021) 130</t>
  </si>
  <si>
    <t xml:space="preserve">Costs vs benefits (evaluation criterion)</t>
  </si>
  <si>
    <t xml:space="preserve">Evaluation's baseline cost-benefit analysis: quantifiable costs so far higher than benefits, because eID uptake was too low for benefits to materialise; costs fall mainly on public authorities.</t>
  </si>
  <si>
    <t xml:space="preserve">COM(2021) 290; SWD(2021) 130</t>
  </si>
  <si>
    <t xml:space="preserve">Develop an EU-wide market for electronic payments</t>
  </si>
  <si>
    <t xml:space="preserve">Address standardisation and interoperability gaps for card, internet and mobile payments</t>
  </si>
  <si>
    <t xml:space="preserve">Eliminate hurdles for competition, in particular for card and internet payments</t>
  </si>
  <si>
    <t xml:space="preserve">Align charging and steering practices across the EU</t>
  </si>
  <si>
    <t xml:space="preserve">Cover emerging payment services and instruments</t>
  </si>
  <si>
    <t xml:space="preserve">Ensure consistent application of licensing and supervision across Member States</t>
  </si>
  <si>
    <t xml:space="preserve">Ensure adequate and consistent consumer protection</t>
  </si>
  <si>
    <t xml:space="preserve">All objectives</t>
  </si>
  <si>
    <t xml:space="preserve">Commission assessment of implementation and impact, based on a conformity check and a market study (no quantified indicators set)</t>
  </si>
  <si>
    <t xml:space="preserve">Done: Commission review COM(2023) 365 and evaluation (with SWD(2023) 231). Finds 'varying degrees of success'.</t>
  </si>
  <si>
    <t xml:space="preserve">measured (qualitative review)</t>
  </si>
  <si>
    <t xml:space="preserve">COM(2023) 365</t>
  </si>
  <si>
    <t xml:space="preserve">expected impact (LFS 1.4.3)</t>
  </si>
  <si>
    <t xml:space="preserve">Security</t>
  </si>
  <si>
    <t xml:space="preserve">Secure payment services (strong customer authentication)</t>
  </si>
  <si>
    <t xml:space="preserve">Clear success: SCA-authenticated remote card payments show 70-80% lower fraud than non-SCA ones.</t>
  </si>
  <si>
    <t xml:space="preserve">Competition and innovation</t>
  </si>
  <si>
    <t xml:space="preserve">Facilitate innovative payment services (open banking, new entrants)</t>
  </si>
  <si>
    <t xml:space="preserve">Mixed: hundreds of new non-bank providers with millions of clients, but open-banking uptake uneven and data-access interfaces of variable quality; banks report high API costs. Cross-country evidence: open-banking policies spur fintech investment (Babina et al.).</t>
  </si>
  <si>
    <t xml:space="preserve">COM(2023) 365; Babina et al. 2024</t>
  </si>
  <si>
    <t xml:space="preserve">Prices</t>
  </si>
  <si>
    <t xml:space="preserve">Downward convergence of costs and prices for payment users</t>
  </si>
  <si>
    <t xml:space="preserve">Not achieved yet: anticipated cost reductions for merchants from cheaper payment methods 'have not yet fully materialised'; card systems remain largely national; no pan-European solution yet.</t>
  </si>
  <si>
    <t xml:space="preserve">not achieved (per Commission)</t>
  </si>
  <si>
    <t xml:space="preserve">Charging practices</t>
  </si>
  <si>
    <t xml:space="preserve">Align surcharging and steering practices</t>
  </si>
  <si>
    <t xml:space="preserve">Surcharging ban covers 95% of EU payments; Commission sees no need for further alignment.</t>
  </si>
  <si>
    <t xml:space="preserve">The 2013 'Connected Continent' proposal (COM(2013) 627) had no financial-statement indicators or monitoring section for the open internet provisions; the impact assessment promised an evaluation after four years. Review clause (Art. 9) led to Commission reports in 2019 and 2023</t>
  </si>
  <si>
    <t xml:space="preserve">Open internet for end-users</t>
  </si>
  <si>
    <t xml:space="preserve">No blocking, throttling or discrimination of traffic; end-users' right to access content of their choice</t>
  </si>
  <si>
    <t xml:space="preserve">Commission (2019, 2023) and BEREC report consistent application and high end-user and content-provider satisfaction; few penalties, all well below maximums. Zero-rating (application-specific zero tariffs) spread to all but two EU countries (186 offers, 2019) until CJEU rulings (2020-21) made them incompatible; BEREC guidelines revised in 2022.</t>
  </si>
  <si>
    <t xml:space="preserve">COM(2019) 203; COM(2023) 233; epicenter.works 2019</t>
  </si>
  <si>
    <t xml:space="preserve">Single market for electronic communications (whole package)</t>
  </si>
  <si>
    <t xml:space="preserve">Direct benefit of a telecoms single market about EUR 110bn a year</t>
  </si>
  <si>
    <t xml:space="preserve">EUR 110bn p.a.</t>
  </si>
  <si>
    <t xml:space="preserve">Not evaluated; the figure covered the whole Connected Continent package, most of which was not adopted.</t>
  </si>
  <si>
    <t xml:space="preserve">SWD(2013) 332</t>
  </si>
  <si>
    <t xml:space="preserve">Investment by internet access providers</t>
  </si>
  <si>
    <t xml:space="preserve">Rules should not deter network investment</t>
  </si>
  <si>
    <t xml:space="preserve">Commission (2019): regulation 'does not seem to affect' ISP investment (stakeholder-based). OECD panel study (Briglauer et al. 2022) finds strict net neutrality rules significantly slow fibre investment and take-up. Evidence conflicts.</t>
  </si>
  <si>
    <t xml:space="preserve">COM(2019) 203; Briglauer et al. 2022</t>
  </si>
  <si>
    <t xml:space="preserve">Prices and choice for consumers (zero-rating)</t>
  </si>
  <si>
    <t xml:space="preserve">Commercial practices must not limit end-user rights</t>
  </si>
  <si>
    <t xml:space="preserve">Mixed: epicenter.works found mobile data prices rose about 2% in markets with zero-rating vs fell about 8% elsewhere (2015-16); Austrian regulator RTR (11,000+ tariffs, 15 countries, 2015-18) found no systematic effect on data caps or price per GB.</t>
  </si>
  <si>
    <t xml:space="preserve">epicenter.works 2019; Király &amp; Schwarz (RTR) 2019</t>
  </si>
  <si>
    <t xml:space="preserve">Ensure consistent enforcement of data protection rules</t>
  </si>
  <si>
    <t xml:space="preserve">Rationalise the governance system to help ensure more consistent enforcement</t>
  </si>
  <si>
    <t xml:space="preserve">Consistency / internal market</t>
  </si>
  <si>
    <t xml:space="preserve">Time and costs spent by data controllers in complying with legislation in other Member States</t>
  </si>
  <si>
    <t xml:space="preserve">Not measured. Commission reports describe fragmentation in national implementation and inconsistent interpretation, but give no cost or time series.</t>
  </si>
  <si>
    <t xml:space="preserve">COM(2024) 357</t>
  </si>
  <si>
    <t xml:space="preserve">Resources allocated to data protection authorities</t>
  </si>
  <si>
    <t xml:space="preserve">Measured: between 2020 and 2024 all but two authorities gained staff; increase above 25% in 14 Member States (Ireland +79%). Authorities still cite insufficient resources as the main limit on enforcement.</t>
  </si>
  <si>
    <t xml:space="preserve">Accountability</t>
  </si>
  <si>
    <t xml:space="preserve">Established data protection officers in public and private organisations</t>
  </si>
  <si>
    <t xml:space="preserve">No systematic count reported.</t>
  </si>
  <si>
    <t xml:space="preserve">Use made of data protection impact assessments</t>
  </si>
  <si>
    <t xml:space="preserve">No systematic data; report notes SMEs need templates and guidance for DPIAs.</t>
  </si>
  <si>
    <t xml:space="preserve">Effective rights</t>
  </si>
  <si>
    <t xml:space="preserve">Number of complaints by data subjects and compensation received</t>
  </si>
  <si>
    <t xml:space="preserve">Complaint handling and amicable settlements described; cross-border cooperation ~2,400 case entries; compensation not quantified.</t>
  </si>
  <si>
    <t xml:space="preserve">Number of cases leading to prosecution of data controllers</t>
  </si>
  <si>
    <t xml:space="preserve">Not reported as such; corrective measures vary widely between authorities.</t>
  </si>
  <si>
    <t xml:space="preserve">Fines imposed on controllers responsible for breaches</t>
  </si>
  <si>
    <t xml:space="preserve">Measured: over 6,680 fines totalling about EUR 4.2bn (Ireland EUR 2.8bn, Luxembourg EUR 746m). Nine binding EDPB dispute-resolution decisions.</t>
  </si>
  <si>
    <t xml:space="preserve">Administrative burden</t>
  </si>
  <si>
    <t xml:space="preserve">Net administrative-burden saving of about EUR 2.3bn per year (baseline fragmentation cost about EUR 2.9bn/yr)</t>
  </si>
  <si>
    <t xml:space="preserve">EUR 2.3bn/yr</t>
  </si>
  <si>
    <t xml:space="preserve">Never evaluated. Independent studies instead find substantial compliance and data costs (data costs +22%, tech-firm profits -2.1%).</t>
  </si>
  <si>
    <t xml:space="preserve">not measured (independent evidence points the other way)</t>
  </si>
  <si>
    <t xml:space="preserve">SEC(2012) 72/73; Demirer et al.; Frey &amp; Presidente</t>
  </si>
  <si>
    <t xml:space="preserve">The proposal has no financial statement indicators; the memorandum only promised two-phase monitoring with attention to SMEs and consumers. The Commission reported on application in SWD(2022) 173 (Article 10 review)</t>
  </si>
  <si>
    <t xml:space="preserve">Consumer demand for portability</t>
  </si>
  <si>
    <t xml:space="preserve">Potential users of portability of paid subscriptions: 29 million (5.7% of EU consumers) in 2015, rising to about 72 million (14%) by 2020</t>
  </si>
  <si>
    <t xml:space="preserve">29m (2015) -&gt; ~72m (2020)</t>
  </si>
  <si>
    <t xml:space="preserve">Partially measured: Flash Eurobarometer (Feb 2019) found 32% of subscribers (49% of those who travelled) had tried to use their service in another Member State; providers report cross-border users are under 5% of their subscribers; COVID-19 travel restrictions reduced use. No headcount comparable to the forecast.</t>
  </si>
  <si>
    <t xml:space="preserve">SWD(2015) 270; Flash Eurobarometer 477a; SWD(2022) 173</t>
  </si>
  <si>
    <t xml:space="preserve">monitoring (memorandum)</t>
  </si>
  <si>
    <t xml:space="preserve">Consumers</t>
  </si>
  <si>
    <t xml:space="preserve">Consumer awareness and satisfaction with portability</t>
  </si>
  <si>
    <t xml:space="preserve">Measured once: 52% of respondents aware of portability; 58% of users satisfied (2019). Over 80% of surveyed providers and 23 of 32 consumer bodies received no complaints.</t>
  </si>
  <si>
    <t xml:space="preserve">Flash Eurobarometer 477a; SWD(2022) 173</t>
  </si>
  <si>
    <t xml:space="preserve">Service providers / SMEs</t>
  </si>
  <si>
    <t xml:space="preserve">Compliance and implementation costs for providers, in particular SMEs</t>
  </si>
  <si>
    <t xml:space="preserve">Survey-based: music, e-book and games providers already offered portability and faced no significant cost; audiovisual and sports providers had to adapt verification and infrastructure, costs reported as minor; SMEs found residence verification and data-protection compliance challenging. Some non-compliance: 10 providers limit portability to periods of 14 days to one year; some small providers unaware of the rules. No cost figures.</t>
  </si>
  <si>
    <t xml:space="preserve">Visionary Analytics study (2022); SWD(2022) 173</t>
  </si>
  <si>
    <t xml:space="preserve">Rightholders</t>
  </si>
  <si>
    <t xml:space="preserve">No significant negative effect on licensing value / rightholder revenues</t>
  </si>
  <si>
    <t xml:space="preserve">Study found no significant impact on rightholders' overall revenues (self-reported; no quantitative analysis).</t>
  </si>
  <si>
    <t xml:space="preserve">Visionary Analytics study (2022)</t>
  </si>
  <si>
    <t xml:space="preserve">The EECC proposal's financial statement has no indicators section; monitoring was assigned to the Digital Scoreboard/DESI, Commission telecom reports and the Eurobarometer household survey</t>
  </si>
  <si>
    <t xml:space="preserve">Ubiquitous very high capacity (VHC) network coverage and take-up; timely 5G deployment</t>
  </si>
  <si>
    <t xml:space="preserve">Gigabit Society 2025 / Digital Decade 2030: gigabit for all, 5G in all populated areas</t>
  </si>
  <si>
    <t xml:space="preserve">Measured (DESI/Digital Decade): fixed VHCN coverage 82.5% of EU households in 2024, fibre-to-the-premises 69.2% (rural 58.8%); 5G coverage 94.3% (rural 79.6%). Progress is real but cannot be attributed to the EECC; mid-band and standalone 5G lag.</t>
  </si>
  <si>
    <t xml:space="preserve">SWD(2026) 13 Annex 11; State of the Digital Decade 2025</t>
  </si>
  <si>
    <t xml:space="preserve">Growth and jobs</t>
  </si>
  <si>
    <t xml:space="preserve">Cumulative effect of +1.45% GDP and +0.18% employment by 2025; labour productivity +0.8% 2020-2025</t>
  </si>
  <si>
    <t xml:space="preserve">+1.45% GDP; +0.18% jobs</t>
  </si>
  <si>
    <t xml:space="preserve">Not measured. The Commission's 2026 review gives no macroeconomic evaluation; governments and most industry stakeholders argued the EECC missed its connectivity and investment objectives.</t>
  </si>
  <si>
    <t xml:space="preserve">SWD(2016) 304; COM(2026) 35; SWD(2026) 13</t>
  </si>
  <si>
    <t xml:space="preserve">5G spectrum</t>
  </si>
  <si>
    <t xml:space="preserve">More consistent spectrum assignment enabling timely 5G, with total benefits of EUR 146.5bn a year</t>
  </si>
  <si>
    <t xml:space="preserve">EUR 146.5bn/yr</t>
  </si>
  <si>
    <t xml:space="preserve">Not measured as such. Review found spectrum assignment delays and high prices in some auctions; benefit not evaluated.</t>
  </si>
  <si>
    <t xml:space="preserve">SWD(2016) 304; SWD(2026) 13</t>
  </si>
  <si>
    <t xml:space="preserve">Investment tools</t>
  </si>
  <si>
    <t xml:space="preserve">Co-investment (Art. 76) and symmetric access (Art. 61(3)) to spur VHCN investment</t>
  </si>
  <si>
    <t xml:space="preserve">Measured as use: no national regulator formally applied the co-investment provision in five years; symmetric in-building access applied in 8 countries; Commission proposes revising or removing Art. 76.</t>
  </si>
  <si>
    <t xml:space="preserve">COM(2026) 35</t>
  </si>
  <si>
    <t xml:space="preserve">implementation milestone</t>
  </si>
  <si>
    <t xml:space="preserve">Single market</t>
  </si>
  <si>
    <t xml:space="preserve">Timely transposition and consistent national rules</t>
  </si>
  <si>
    <t xml:space="preserve">Deadline 21 Dec 2020</t>
  </si>
  <si>
    <t xml:space="preserve">24 infringement procedures opened Feb 2021; 10 Member States referred to the Court of Justice in April 2022. Review finds significant national divergence; Commission proposed replacing the Directive with a Digital Networks Act regulation (Jan 2026).</t>
  </si>
  <si>
    <t xml:space="preserve">IP/22/1975; COM(2026) 35</t>
  </si>
  <si>
    <t xml:space="preserve">The 2016 proposal has no financial-statement indicators; the memorandum promised periodic reviews and monitoring of 'the effects of the rules'. A full evaluation was launched in February 2025 (period to end-2024) and had not been published at the time of review</t>
  </si>
  <si>
    <t xml:space="preserve">Fewer blocked cross-border purchases</t>
  </si>
  <si>
    <t xml:space="preserve">Share of successful cross-border purchase attempts (baseline: 37% in 2015 mystery shopping)</t>
  </si>
  <si>
    <t xml:space="preserve">Baseline 37% success (2015)</t>
  </si>
  <si>
    <t xml:space="preserve">2019 mystery shopping (about 9,000 websites): rerouting/denial of access decreased, registration blocking halved, success rate 'slightly increased'; but when cross-border delivery was requested only 1 in 3 attempts succeeded, as delivery refusals (not banned) affected more than 50% of attempts. ECA (2025): geo-blocking still persists.</t>
  </si>
  <si>
    <t xml:space="preserve">COM(2020) 766; ECA SR 03/2025</t>
  </si>
  <si>
    <t xml:space="preserve">Cross-border trade</t>
  </si>
  <si>
    <t xml:space="preserve">Net effect on electronics market size about +1.1%, net trade expansion +0.4%</t>
  </si>
  <si>
    <t xml:space="preserve">+1.1% / +0.4%</t>
  </si>
  <si>
    <t xml:space="preserve">JRC event study using website traffic finds cross-border intra-EU e-commerce traffic up 9.2-13% after Dec 2018; no study of actual sales volumes.</t>
  </si>
  <si>
    <t xml:space="preserve">Alaveras, Duch-Brown &amp; Martens 2020</t>
  </si>
  <si>
    <t xml:space="preserve">Prices and consumer welfare</t>
  </si>
  <si>
    <t xml:space="preserve">Prices -0.5% offline and -0.6% online; consumer surplus +0.8%; no price increases in any Member State</t>
  </si>
  <si>
    <t xml:space="preserve">-0.5% / -0.6%; +0.8% consumer surplus</t>
  </si>
  <si>
    <t xml:space="preserve">Not measured ex post. Theory (Bourreau &amp; Manenti 2023) predicts lower prices short-run but possibly lower investment and welfare long-run.</t>
  </si>
  <si>
    <t xml:space="preserve">SWD(2016) 174; Bourreau &amp; Manenti 2023</t>
  </si>
  <si>
    <t xml:space="preserve">Enforcement through existing CPC network; limited extra workload</t>
  </si>
  <si>
    <t xml:space="preserve">Slow empowerment of national enforcement bodies (2020 review); ECA found penalties ranging from EUR 26 to EUR 5m and unclear jurisdiction.</t>
  </si>
  <si>
    <t xml:space="preserve">The 2016 proposal has no financial-statement indicators; the memorandum only promised a review (Art. 30: no sooner than 7 June 2026). The impact assessment said indicators would be monitored every 2-3 years, but none has been published</t>
  </si>
  <si>
    <t xml:space="preserve">Press publishers' right (Art. 15)</t>
  </si>
  <si>
    <t xml:space="preserve">Stronger bargaining position and more licensing revenue for press publishers</t>
  </si>
  <si>
    <t xml:space="preserve">No systematic data on licence revenue. In France, Google first refused to pay; the competition authority fined it EUR 500m (2021) and EUR 250m (2024) for failing to negotiate in good faith / breaching commitments. Earlier national rights (Germany 2013, Spain 2014) produced little or no revenue; when Google News left Spain, traffic to news sites fell (8-14% in one study, about 10% for non-Google-News publishers in another), mostly hurting small outlets.</t>
  </si>
  <si>
    <t xml:space="preserve">Autorité de la concurrence 21-D-17, 24-D-03; Calzada &amp; Gil 2020; Athey et al. 2021; JRC draft 2016/17</t>
  </si>
  <si>
    <t xml:space="preserve">Use of content by upload platforms (Art. 17)</t>
  </si>
  <si>
    <t xml:space="preserve">Right holders better control and monetise their content; more licensing agreements; limited compliance costs for platforms</t>
  </si>
  <si>
    <t xml:space="preserve">Not measured. The Commission's 2024 assessment of the start-up regime (Art. 17(6)) found 'limited evidence': almost no qualifying platforms identified, no platform answered the consultation. No study measures effects on licensing revenue, over-blocking or user uploads.</t>
  </si>
  <si>
    <t xml:space="preserve">SWD(2024) 259; Doseva et al. 2022</t>
  </si>
  <si>
    <t xml:space="preserve">Exceptions (TDM, teaching, preservation)</t>
  </si>
  <si>
    <t xml:space="preserve">More legal certainty and lower rights-clearance costs for researchers, teachers and cultural heritage institutions</t>
  </si>
  <si>
    <t xml:space="preserve">No evaluation found.</t>
  </si>
  <si>
    <t xml:space="preserve">Transparency and remuneration for creators</t>
  </si>
  <si>
    <t xml:space="preserve">Creators get information to assess and adjust remuneration</t>
  </si>
  <si>
    <t xml:space="preserve">The 2018 recast proposal has no LFS indicators; the memorandum says impact will be monitored through the European Data Portal's annual Open Data Maturity 'landscaping' and an evaluation no sooner than 17 July 2025 (Art. 18). No such evaluation had been published by October 2026</t>
  </si>
  <si>
    <t xml:space="preserve">Availability and re-use of public sector data</t>
  </si>
  <si>
    <t xml:space="preserve">Open Data Maturity score (EU-27 average)</t>
  </si>
  <si>
    <t xml:space="preserve">Measured: EU-27 average maturity 86% in 2025 (+3 pp on 2024); policy 93%, portal 85%, quality 83%; the 'impact' dimension is least mature at 82%. Self-assessment questionnaire filled in by national administrations, so it tracks activity rather than economic effect.</t>
  </si>
  <si>
    <t xml:space="preserve">Open Data Maturity Report 2025</t>
  </si>
  <si>
    <t xml:space="preserve">Economic value of public sector data</t>
  </si>
  <si>
    <t xml:space="preserve">Direct economic value of PSI EUR 194bn in 2028 (preferred option) vs EUR 150bn baseline and EUR 52bn in 2018</t>
  </si>
  <si>
    <t xml:space="preserve">EUR 194bn (2028)</t>
  </si>
  <si>
    <t xml:space="preserve">Not measured against the forecast. A Commission-funded market study estimated the EU open data market at EUR 184bn in 2019 with a 2025 forecast of EUR 200-334bn, but it uses different definitions and cannot attribute value to the Directive.</t>
  </si>
  <si>
    <t xml:space="preserve">SWD(2018) 127; data.europa.eu 2020</t>
  </si>
  <si>
    <t xml:space="preserve">Jobs</t>
  </si>
  <si>
    <t xml:space="preserve">709,000 persons employed in PSI-based activities by 2028 (vs 518,000 baseline)</t>
  </si>
  <si>
    <t xml:space="preserve">709,000</t>
  </si>
  <si>
    <t xml:space="preserve">Not measured.</t>
  </si>
  <si>
    <t xml:space="preserve">SWD(2018) 127</t>
  </si>
  <si>
    <t xml:space="preserve">Cost of opening up data</t>
  </si>
  <si>
    <t xml:space="preserve">Cost of making PSI available falls to EUR 2.7-3bn (vs EUR 3.8-4.1bn baseline)</t>
  </si>
  <si>
    <t xml:space="preserve">expected impact (HVD implementing act)</t>
  </si>
  <si>
    <t xml:space="preserve">High-value datasets free via APIs</t>
  </si>
  <si>
    <t xml:space="preserve">Direct effect of HVDs EUR 75bn in 2028 (+EUR 6bn vs baseline); indirect EUR 201bn</t>
  </si>
  <si>
    <t xml:space="preserve">HVD Regulation (EU) 2023/138 applicable since June 2024; Open Data Maturity 2025 reports implementation ongoing. No impact measurement yet.</t>
  </si>
  <si>
    <t xml:space="preserve">SWD(2022) 432/433; ODM 2025</t>
  </si>
  <si>
    <t xml:space="preserve">Monitoring</t>
  </si>
  <si>
    <t xml:space="preserve">Commission report on the application of the Regulation within three years of entry into force (no quantified indicators; LFS specific objectives 'not applicable')</t>
  </si>
  <si>
    <t xml:space="preserve">Delivered: evaluation SWD(2024) 23 (Jan 2024) plus five annual reports (latest COM(2025) 632). Led to a revised Regulation agreed Dec 2025 and adopted in 2026, replacing 2019/452.</t>
  </si>
  <si>
    <t xml:space="preserve">SWD(2024) 23/24; COM(2025) 632</t>
  </si>
  <si>
    <t xml:space="preserve">Identify and address FDI risks to security or public order affecting several Member States</t>
  </si>
  <si>
    <t xml:space="preserve">Coverage of national screening mechanisms; cases handled through cooperation mechanism</t>
  </si>
  <si>
    <t xml:space="preserve">Measured as activity: 24 of 27 Member States had screening laws by end-2024 (ECA counted six without in 2023). In 2024, 477 notifications from 21 Member States; Commission closed 92% in Phase 1 and issued opinions in under 2%. National authorities handled 3,136 cases; of formally screened cases 86% cleared unconditionally, 9% conditioned, ~1% blocked. ECA judged the framework only 'partially effective' with 'blind spots'.</t>
  </si>
  <si>
    <t xml:space="preserve">COM(2025) 632; ECA SR 27/2023; SWD(2024) 23</t>
  </si>
  <si>
    <t xml:space="preserve">Maintain an open investment environment (no chilling of FDI)</t>
  </si>
  <si>
    <t xml:space="preserve">FDI flows into the EU</t>
  </si>
  <si>
    <t xml:space="preserve">Mixed. The Commission's 2024 evaluation states the Regulation 'has not had chilling effects' on FDI inflows (not backed by a causal test). Independent staggered DiD evidence finds national screening cuts cross-border M&amp;A in newly screened sectors by about 12-16% (Eichenauer &amp; Wang 2024), and EU countries adopting screening in line with the EU framework saw larger declines in M&amp;A (Mau 2023). EU FDI inflows fell 23% in 2023 and 8.4% in 2024, driven by many factors.</t>
  </si>
  <si>
    <t xml:space="preserve">SWD(2024) 24; Eichenauer &amp; Wang 2024; Mau 2023; COM(2025) 632</t>
  </si>
  <si>
    <t xml:space="preserve">Administrative burden reasonable for authorities and investors</t>
  </si>
  <si>
    <t xml:space="preserve">Evaluation found burden 'reasonable' based on stakeholder views; ECA found many low-risk or ineligible notifications overburden the mechanism. Not quantified.</t>
  </si>
  <si>
    <t xml:space="preserve">SWD(2024) 24; ECA SR 27/2023</t>
  </si>
  <si>
    <t xml:space="preserve">The proposal has no LFS indicator section; its memorandum promised monitoring through the EU Observatory on the Online Platform Economy (number and types of business users, complaints handled, cases solved, time to resolve) and a review three years after entry into force</t>
  </si>
  <si>
    <t xml:space="preserve">Redress</t>
  </si>
  <si>
    <t xml:space="preserve">Number and type of complaints handled through internal complaint-handling, cases solved, time to resolve</t>
  </si>
  <si>
    <t xml:space="preserve">Only 19 of 179 platforms studied published the mandatory complaint-handling report; reported numbers range from 12 complaints (Apple) to over 3 million (Google), showing divergent interpretations and possible non-compliance.</t>
  </si>
  <si>
    <t xml:space="preserve">COM(2023) 525</t>
  </si>
  <si>
    <t xml:space="preserve">Use of external mediation</t>
  </si>
  <si>
    <t xml:space="preserve">Only 25 of 179 large and medium platforms named the required two mediators; no specialised mediation bodies set up; very few complaints or court cases.</t>
  </si>
  <si>
    <t xml:space="preserve">expected result</t>
  </si>
  <si>
    <t xml:space="preserve">Disclosure of main ranking parameters and of differentiated treatment</t>
  </si>
  <si>
    <t xml:space="preserve">Only about a third of platforms reviewed listed ranking parameters in their terms; 10% of business users report little or no ranking information and 42% only moderate. Irish CCPC sweep (late 2025): about 80% of 17 platforms non-compliant in some respect.</t>
  </si>
  <si>
    <t xml:space="preserve">COM(2023) 525; CCPC 2026; Sovrano et al. 2024</t>
  </si>
  <si>
    <t xml:space="preserve">Awareness</t>
  </si>
  <si>
    <t xml:space="preserve">Business users aware of and using their new rights</t>
  </si>
  <si>
    <t xml:space="preserve">Low: Irish survey (2022, n=177) found 51% of businesses had no knowledge of the Regulation and 4% detailed knowledge; Commission 2023 review reports a lack of awareness, lower where Member States set up no public enforcement.</t>
  </si>
  <si>
    <t xml:space="preserve">CCPC 2023; COM(2023) 525</t>
  </si>
  <si>
    <t xml:space="preserve">Platform economy growth</t>
  </si>
  <si>
    <t xml:space="preserve">Reversing a trust-related 'dampening effect' on the online platform economy worth EUR 0.81-4.05bn</t>
  </si>
  <si>
    <t xml:space="preserve">EUR 0.81-4.05bn</t>
  </si>
  <si>
    <t xml:space="preserve">Not measured. The 2023 review assessed compliance only; in November 2025 the Commission proposed repealing the Regulation as having 'only residual value' after the DSA and DMA.</t>
  </si>
  <si>
    <t xml:space="preserve">SWD(2018) 139; COM(2023) 525; COM(2025) 837</t>
  </si>
  <si>
    <t xml:space="preserve">Financial support for reforms and investment</t>
  </si>
  <si>
    <t xml:space="preserve">Output: number of plans approved; financial contribution allocated to the plans</t>
  </si>
  <si>
    <t xml:space="preserve">Measured: all 27 plans approved and repeatedly revised; by 1 October 2026 EUR 450bn disbursed (79% of the envelope: EUR 279bn grants, 78% of grant envelope; EUR 171bn loans, 80%); final payment requests worth EUR 123bn under assessment; payment deadline 31 Dec 2026.</t>
  </si>
  <si>
    <t xml:space="preserve">COM(2026) 546</t>
  </si>
  <si>
    <t xml:space="preserve">Implementation</t>
  </si>
  <si>
    <t xml:space="preserve">Result: number of plans implemented / milestones and targets fulfilled</t>
  </si>
  <si>
    <t xml:space="preserve">Measured: 4,082 of 5,981 milestones and targets (68%) assessed as fulfilled by 1 Oct 2026; implementation on the ground ended 31 Aug 2026. ECA found absorption delayed (EUR 213bn disbursed by end-2023; only about half of funds received had reached final recipients by Oct 2023).</t>
  </si>
  <si>
    <t xml:space="preserve">COM(2026) 546; ECA SR 13/2024</t>
  </si>
  <si>
    <t xml:space="preserve">Impact</t>
  </si>
  <si>
    <t xml:space="preserve">Objectives set in the plans achieved due to RRF support (recovery, resilience, green and digital transition)</t>
  </si>
  <si>
    <t xml:space="preserve">Only outputs measured: 14 common indicators reported by Member States (e.g. 71.3 TWh annual primary energy savings by Dec 2025), but no targets or counterfactual; ECA (SR 26/2023) concluded the framework measures implementation progress, not performance. Ex-post evaluation due 2028.</t>
  </si>
  <si>
    <t xml:space="preserve">COM(2026) 546; ECA SR 26/2023</t>
  </si>
  <si>
    <t xml:space="preserve">expected impact (Commission model estimates)</t>
  </si>
  <si>
    <t xml:space="preserve">NGEU raises EU real GDP by up to 1.4% in 2026 and employment by up to 0.8% (QUEST); peak gains of about 3.5% in Spain and Bulgaria</t>
  </si>
  <si>
    <t xml:space="preserve">+1.4% GDP (2026)</t>
  </si>
  <si>
    <t xml:space="preserve">Model-based only. NiGEM simulation in the mid-term evaluation: EU GDP 0.4% higher in 2022 and unemployment 0.2 pp lower. ECB staff later estimated a smaller euro-area effect of 0.4-0.9% of GDP by 2026 (0.8-1.2% by 2031), revised over time because of widespread delays. IMF finds a short-term demand boost in high-allocation countries. No ex-post causal estimate yet.</t>
  </si>
  <si>
    <t xml:space="preserve">SWD(2024) 70; ECB OP 362; IMF WP/26/114</t>
  </si>
  <si>
    <t xml:space="preserve">expected impact (Commission evaluation)</t>
  </si>
  <si>
    <t xml:space="preserve">Financial stability</t>
  </si>
  <si>
    <t xml:space="preserve">Lower sovereign spreads and reduced financial fragmentation through joint EU borrowing</t>
  </si>
  <si>
    <t xml:space="preserve">Model and market evidence (NiGEM, IMF) indicate joint borrowing helped stabilise sovereign debt markets; not separately quantified in a causal study.</t>
  </si>
  <si>
    <t xml:space="preserve">SWD(2024) 70; IMF WP/26/114</t>
  </si>
  <si>
    <t xml:space="preserve">The proposal's financial statement has no LFS indicators (1.4.2-1.4.4 empty in extraction); monitoring is through 'key impact pathway' indicators (Annex V of the Regulation), annual monitoring and interim/ex-post evaluations</t>
  </si>
  <si>
    <t xml:space="preserve">Growth</t>
  </si>
  <si>
    <t xml:space="preserve">Average GDP gain of 0.08-0.19% over 25 years; each euro invested returns up to EUR 11 of GDP</t>
  </si>
  <si>
    <t xml:space="preserve">+0.08-0.19% GDP; up to EUR 11 per EUR 1</t>
  </si>
  <si>
    <t xml:space="preserve">Model-based only: interim evaluation's NEMESIS, RHOMOLO and FIDELIO runs give GDP multipliers of 4-11 by 2045 and say results are on track (RHOMOLO peak +0.10% of GDP in 2024). These re-run the same type of models used ex ante; no observed macro effect.</t>
  </si>
  <si>
    <t xml:space="preserve">partially measured (model re-estimates)</t>
  </si>
  <si>
    <t xml:space="preserve">SWD(2018) 307; SWD(2025) 110</t>
  </si>
  <si>
    <t xml:space="preserve">Up to 100,000 direct R&amp;I jobs in 2021-2027 and up to 200,000 indirect jobs in 2027-2036</t>
  </si>
  <si>
    <t xml:space="preserve">100k direct / 200k indirect</t>
  </si>
  <si>
    <t xml:space="preserve">Reported: 39,543 FTE jobs created or maintained by participants (data from only 21% of projects, Jan 2025); NEMESIS estimates up to 60,000 research jobs by 2023-24; RHOMOLO about 128,000 persons (+0.06%) at 2023 peak.</t>
  </si>
  <si>
    <t xml:space="preserve">SWD(2025) 110</t>
  </si>
  <si>
    <t xml:space="preserve">key impact pathway</t>
  </si>
  <si>
    <t xml:space="preserve">Leveraging investment</t>
  </si>
  <si>
    <t xml:space="preserve">Co-investment mobilised by participants</t>
  </si>
  <si>
    <t xml:space="preserve">Measured: EUR 10.2bn co-investment by participants by the interim evaluation, against just over EUR 5bn at the same stage of Horizon 2020.</t>
  </si>
  <si>
    <t xml:space="preserve">Excellence / funding reach</t>
  </si>
  <si>
    <t xml:space="preserve">Success rates and funding of high-quality proposals</t>
  </si>
  <si>
    <t xml:space="preserve">Measured: average success rate rose from 12% (Horizon 2020) to 16.4%; only 30.1% of high-quality proposals funded (25% in Horizon 2020) - funding all would have required an extra EUR 81.8bn. 15,148 grants worth EUR 43.2bn signed 2021-2024; budget cut from EUR 95.5bn to 93.5bn in 2024.</t>
  </si>
  <si>
    <t xml:space="preserve">Firm growth and innovation (EIC, SMEs)</t>
  </si>
  <si>
    <t xml:space="preserve">Higher growth of SMEs, more scale-ups and breakthrough innovation</t>
  </si>
  <si>
    <t xml:space="preserve">No causal estimate yet for Horizon Europe. For its predecessor (Horizon 2020) quasi-experimental studies find positive effects: SME Instrument grants raised investment, patents and survival (regression discontinuity); Horizon 2020 grantees grew employment ~20% and assets/revenue ~30% vs high-quality rejected applicants (difference-in-differences).</t>
  </si>
  <si>
    <t xml:space="preserve">mixed evidence (predecessor only)</t>
  </si>
  <si>
    <t xml:space="preserve">Santoleri et al. 2024; Mitra &amp; Niakaros 2023; SWD(2024) 29</t>
  </si>
  <si>
    <t xml:space="preserve">The NIS 2 proposal's financial statement lists no result indicators (its 1.4.4 covers synergies); monitoring indicators are set out in Annexes 11-12 of the impact assessment and rely on ENISA's investment survey and State of Cybersecurity report</t>
  </si>
  <si>
    <t xml:space="preserve">monitoring indicator (IA Annex 11)</t>
  </si>
  <si>
    <t xml:space="preserve">Raise cyber resilience across all relevant sectors</t>
  </si>
  <si>
    <t xml:space="preserve">Sector-specific ICT security spending as % of ICT spending converging (target: within 1 pp of sector average)</t>
  </si>
  <si>
    <t xml:space="preserve">IA baseline: no data on NIS1's effect on security spending</t>
  </si>
  <si>
    <t xml:space="preserve">ENISA's annual survey tracks the share of IT budgets spent on information security: 7.1% (2023 report), 9.0% (2024, n=1,350), about 9% again in 2025 (median EUR 1.5m). 2024 data are a pre-NIS2 baseline; sector convergence not yet assessed against the target.</t>
  </si>
  <si>
    <t xml:space="preserve">ENISA NIS Investments 2023-2025</t>
  </si>
  <si>
    <t xml:space="preserve">Compliance cost for companies</t>
  </si>
  <si>
    <t xml:space="preserve">ICT security spending increase of up to 22% in first years for newly covered entities (12% for entities already under NIS1)</t>
  </si>
  <si>
    <t xml:space="preserve">+12% to +22%</t>
  </si>
  <si>
    <t xml:space="preserve">Not measured directly. ENISA 2024: most organisations expect a one-off or permanent budget increase for NIS2; 89% say they need more security staff; 34% of SMEs say they cannot ask for the extra budget. ENISA 2025: compliance is the main driver of security investment for 70% of organisations.</t>
  </si>
  <si>
    <t xml:space="preserve">ENISA NIS Investments 2024, 2025</t>
  </si>
  <si>
    <t xml:space="preserve">Fewer and cheaper incidents</t>
  </si>
  <si>
    <t xml:space="preserve">Reduction in cost of cybersecurity incidents of EUR 11.3bn over ten years</t>
  </si>
  <si>
    <t xml:space="preserve">EUR 11.3bn / 10 years</t>
  </si>
  <si>
    <t xml:space="preserve">Not measured. No EU-level series on incident costs exists; the IA itself notes the lack of systematic data. ENISA 2025 reports 28% of organisations take over three months to patch critical vulnerabilities and 30% did no security assessment in the past year.</t>
  </si>
  <si>
    <t xml:space="preserve">SWD(2020) 344; ENISA NIS Investments 2025</t>
  </si>
  <si>
    <t xml:space="preserve">National authorities</t>
  </si>
  <si>
    <t xml:space="preserve">Resources of competent authorities up about 20-30%</t>
  </si>
  <si>
    <t xml:space="preserve">+20-30%</t>
  </si>
  <si>
    <t xml:space="preserve">No systematic data found on authorities' resources since 2023.</t>
  </si>
  <si>
    <t xml:space="preserve">SWD(2020) 344</t>
  </si>
  <si>
    <t xml:space="preserve">Consistent implementation across Member States</t>
  </si>
  <si>
    <t xml:space="preserve">Timely and consistent transposition; peer reviews and comparative assessments</t>
  </si>
  <si>
    <t xml:space="preserve">Transposition deadline 17 Oct 2024</t>
  </si>
  <si>
    <t xml:space="preserve">Transposition slow: letters of formal notice (28 Nov 2024) and reasoned opinions (7 May 2025) to the laggards; in July 2026 Ireland, Spain, France and the Netherlands were referred to the Court of Justice. Commission proposed targeted amendments in Jan 2026. ENISA's first State of Cybersecurity in the Union report (Dec 2024) gives a pre-implementation snapshot.</t>
  </si>
  <si>
    <t xml:space="preserve">Commission IP/26/1499; ENISA 2024</t>
  </si>
  <si>
    <t xml:space="preserve">The 2021 proposal's financial statement contains no usable indicators (sections 1.4.2-1.4.4 hold added-value and coherence text); monitoring relies on BEREC data and Commission reviews due by 30 June 2025 and 30 June 2029 (Art. 21). Evidence below also covers 'Roam Like at Home' (RLAH) introduced in 2017 under Regulations 531/2012 and 2015/2120</t>
  </si>
  <si>
    <t xml:space="preserve">Sustainable RLAH</t>
  </si>
  <si>
    <t xml:space="preserve">Fewer operators with unsustainable roaming margins (reduction of 42% in 2023 and 52% in 2025 vs baseline); users at risk of surcharges under derogations reduced by more than 40%</t>
  </si>
  <si>
    <t xml:space="preserve">-42% (2023), -52% (2025); &gt;40% fewer users at risk</t>
  </si>
  <si>
    <t xml:space="preserve">Since 2022 no mobile network operator has requested a sustainability derogation; volumes subject to surcharges below 0.82% in every Member State considered; actual wholesale data prices fell to EUR 0.7/GB in Q3 2024 (-50% vs Q3 2021).</t>
  </si>
  <si>
    <t xml:space="preserve">COM(2025) 324</t>
  </si>
  <si>
    <t xml:space="preserve">lesson from past (proposal 1.4.3)</t>
  </si>
  <si>
    <t xml:space="preserve">Roaming consumption</t>
  </si>
  <si>
    <t xml:space="preserve">Unleash demand: retail roaming traffic tripled for voice and rose twelve-fold for data between summer 2016 and 2018</t>
  </si>
  <si>
    <t xml:space="preserve">Data x12, voice x3 (2016-18)</t>
  </si>
  <si>
    <t xml:space="preserve">Data roaming up 48-fold in Q3 since 2017; voice slowly declining since 2019 (OTT substitution). Causal studies confirm large traffic and consumer-surplus gains (EUR 2.44 per user per travel day).</t>
  </si>
  <si>
    <t xml:space="preserve">COM(2019) 616; COM(2025) 324; Quinn et al. 2024; Canzian et al. 2025</t>
  </si>
  <si>
    <t xml:space="preserve">No domestic price increases (waterbed)</t>
  </si>
  <si>
    <t xml:space="preserve">RLAH should not raise domestic prices</t>
  </si>
  <si>
    <t xml:space="preserve">BEREC data: domestic average revenue per paying user stable 2019-2024. Grzybowski &amp; Muñoz-Acevedo find the regulation reduced operator revenue per user but had no effect on tariffs in the latest phase.</t>
  </si>
  <si>
    <t xml:space="preserve">COM(2025) 324; Grzybowski &amp; Muñoz-Acevedo 2023</t>
  </si>
  <si>
    <t xml:space="preserve">Quality of service abroad</t>
  </si>
  <si>
    <t xml:space="preserve">Roaming customers get the same quality (speed, network generation) as at home where technically feasible</t>
  </si>
  <si>
    <t xml:space="preserve">2025 study for the Commission: 76% of roaming users had lower download speeds than on their home network and latency was worse in 92% of cases; compliance 'could be significantly improved'. Complaints low; about 80% of travellers say they benefit.</t>
  </si>
  <si>
    <t xml:space="preserve">COM(2025) 324 (Mozark QoS study)</t>
  </si>
  <si>
    <t xml:space="preserve">The proposal has no LFS indicator section; the memorandum promised monitoring via stakeholder surveys, the Support Centre for Data Sharing, records of the European Data Innovation Board and an evaluation study</t>
  </si>
  <si>
    <t xml:space="preserve">Data economy</t>
  </si>
  <si>
    <t xml:space="preserve">Direct impact on the EU data economy of EUR 7.2-10.9bn in 2028</t>
  </si>
  <si>
    <t xml:space="preserve">EUR 7.2-10.9bn (2028)</t>
  </si>
  <si>
    <t xml:space="preserve">Not measured. The Commission's implementation study (announced with the Digital Omnibus) was not yet published; the Omnibus proposes repealing the DGA and moving its rules into the Data Act.</t>
  </si>
  <si>
    <t xml:space="preserve">SWD(2020) 295/296; COM(2025) 837</t>
  </si>
  <si>
    <t xml:space="preserve">Trusted data intermediaries</t>
  </si>
  <si>
    <t xml:space="preserve">Uptake of notified data intermediation services</t>
  </si>
  <si>
    <t xml:space="preserve">Measured (activity): the EU register lists 38 data intermediation services notified in 10 Member States (page updated August 2026), concentrated in France (12) and the Netherlands (11). The Commission itself calls the market 'emerging' and proposes making the regime voluntary.</t>
  </si>
  <si>
    <t xml:space="preserve">Commission register of data intermediation services; COM(2025) 837</t>
  </si>
  <si>
    <t xml:space="preserve">Data altruism</t>
  </si>
  <si>
    <t xml:space="preserve">Recognised data altruism organisations</t>
  </si>
  <si>
    <t xml:space="preserve">Measured (activity): 7 recognised organisations in 4 Member States (register updated July 2026).</t>
  </si>
  <si>
    <t xml:space="preserve">Commission register of data altruism organisations</t>
  </si>
  <si>
    <t xml:space="preserve">National competent authorities designated and empowered</t>
  </si>
  <si>
    <t xml:space="preserve">Slow: letters of formal notice to 18 Member States (May 2024) and reasoned opinions to 10 (December 2024) for failing to designate or empower DGA authorities.</t>
  </si>
  <si>
    <t xml:space="preserve">Commission press release 16 Dec 2024</t>
  </si>
  <si>
    <t xml:space="preserve">Public-sector efficiency</t>
  </si>
  <si>
    <t xml:space="preserve">Efficiency savings from re-use of protected public-sector data of about EUR 684m a year</t>
  </si>
  <si>
    <t xml:space="preserve">EUR 684m/yr</t>
  </si>
  <si>
    <t xml:space="preserve">SWD(2020) 296</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</si>
  <si>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</si>
  <si>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</si>
  <si>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</si>
  <si>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</si>
  <si>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</si>
  <si>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</si>
  <si>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</si>
  <si>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</si>
  <si>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</si>
  <si>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</si>
  <si>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</si>
  <si>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</si>
  <si>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</si>
  <si>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</si>
  <si>
    <t xml:space="preserve">reported as activity (no per-gatekeeper series)</t>
  </si>
  <si>
    <t xml:space="preserve">SWD(2026) 123; Commission press releases; Waldfogel 2024</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</si>
  <si>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</si>
  <si>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</si>
  <si>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</si>
  <si>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</si>
  <si>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</si>
  <si>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</si>
  <si>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</si>
  <si>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</si>
  <si>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</si>
  <si>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</si>
  <si>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</si>
  <si>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</si>
  <si>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</si>
  <si>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</si>
  <si>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</si>
  <si>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</si>
  <si>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</si>
  <si>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</si>
  <si>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</si>
  <si>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</si>
  <si>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Cross-border trade gain of EUR 92.8bn by 2025</t>
  </si>
  <si>
    <t xml:space="preserve">EUR 92.8bn by 2025</t>
  </si>
  <si>
    <t xml:space="preserve">Not assessed.</t>
  </si>
  <si>
    <t xml:space="preserve">COM(2020) 842 LFS</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</si>
  <si>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</si>
  <si>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</si>
  <si>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</si>
  <si>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</si>
  <si>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</si>
  <si>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</si>
  <si>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</si>
  <si>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</si>
  <si>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SWD(2026) 123; Yang 2025; Oxera 2021</t>
  </si>
  <si>
    <t xml:space="preserve">The DSA proposal's financial statement contains no indicators section; monitoring was left to the Commission's evaluation under Article 91</t>
  </si>
  <si>
    <t xml:space="preserve">Cross-border digital trade +1-1.8%</t>
  </si>
  <si>
    <t xml:space="preserve">+1-1.8%</t>
  </si>
  <si>
    <t xml:space="preserve">Not evaluated.</t>
  </si>
  <si>
    <t xml:space="preserve">SWD(2020) 349</t>
  </si>
  <si>
    <t xml:space="preserve">Safety and fundamental rights</t>
  </si>
  <si>
    <t xml:space="preserve">Better protection of users and fundamental rights online; effective supervision</t>
  </si>
  <si>
    <t xml:space="preserve">Enforcement under way: first non-compliance decision fined X EUR 120m (5 Dec 2025) for misleading verification, deficient ad repository and blocking researcher data access; other investigations ongoing. Transparency database operational but platform self-reports inconsistent.</t>
  </si>
  <si>
    <t xml:space="preserve">Commission decision Dec 2025; Kaushal et al.; Trujillo et al.</t>
  </si>
  <si>
    <t xml:space="preserve">Competition</t>
  </si>
  <si>
    <t xml:space="preserve">Asymmetric rules boost smaller competitors</t>
  </si>
  <si>
    <t xml:space="preserve">No evidence found.</t>
  </si>
  <si>
    <t xml:space="preserve">The DORA proposal's financial statement contains no objectives or indicators section in the extracted text; the memorandum only provides for a Commission review three years after entry into force</t>
  </si>
  <si>
    <t xml:space="preserve">Resilience / financial stability</t>
  </si>
  <si>
    <t xml:space="preserve">Mitigate operational-incident costs for the EU financial sector (estimated EUR 2-27bn a year)</t>
  </si>
  <si>
    <t xml:space="preserve">Baseline EUR 2-27bn/yr (industry estimates)</t>
  </si>
  <si>
    <t xml:space="preserve">Not measured. DORA applies since 17 Jan 2025; no published statistics yet on incident numbers or costs under the new reporting regime.</t>
  </si>
  <si>
    <t xml:space="preserve">SWD(2020) 199</t>
  </si>
  <si>
    <t xml:space="preserve">Savings from removing overlapping incident reporting (EUR 40-100m a year for some of the largest banks)</t>
  </si>
  <si>
    <t xml:space="preserve">EUR 40-100m/yr</t>
  </si>
  <si>
    <t xml:space="preserve">Not measured. Industry surveys report high compliance costs: 38% of EU CISOs surveyed by Rubrik reported over EUR 1m spent on DORA/PRA compliance over two years; 37% of firms in a Veeam-commissioned survey face higher costs passed on by ICT vendors. No evidence on reporting savings.</t>
  </si>
  <si>
    <t xml:space="preserve">Rubrik Zero Labs 2025; Veeam/Censuswide 2025</t>
  </si>
  <si>
    <t xml:space="preserve">Testing</t>
  </si>
  <si>
    <t xml:space="preserve">Threat-led penetration testing cost 0.1-0.3% of ICT budget of firms concerned</t>
  </si>
  <si>
    <t xml:space="preserve">0.1-0.3% of ICT budget</t>
  </si>
  <si>
    <t xml:space="preserve">No ex-post data found.</t>
  </si>
  <si>
    <t xml:space="preserve">ICT third-party oversight</t>
  </si>
  <si>
    <t xml:space="preserve">Registers of information collected; critical ICT third-party providers designated and overseen</t>
  </si>
  <si>
    <t xml:space="preserve">Dry run (2024): 1,039 entities took part, only 6.5% of 947 analysed registers passed all data-quality checks. First 19 critical providers designated on 18 Nov 2025 (incl. AWS, Google Cloud, Microsoft, Oracle, SAP, Deutsche Telekom, Bloomberg, LSEG Data).</t>
  </si>
  <si>
    <t xml:space="preserve">ESAs 2024; ESAs 2025</t>
  </si>
  <si>
    <t xml:space="preserve">Readiness</t>
  </si>
  <si>
    <t xml:space="preserve">Share of financial entities compliant</t>
  </si>
  <si>
    <t xml:space="preserve">Survey evidence only: a vendor-commissioned survey six months in found 96% of EMEA respondents felt their data resilience fell short; ENISA 2024: 84% of entities expect to need more staff for DORA.</t>
  </si>
  <si>
    <t xml:space="preserve">Veeam/Censuswide 2025; ENISA 2024</t>
  </si>
  <si>
    <t xml:space="preserve">Remove regulatory obstacles to issuance, trading and post-trading of crypto-assets; increase company funding through ICOs/STOs; limit fraud and illicit practices; give consumers and investors access to new investment and payment instruments</t>
  </si>
  <si>
    <t xml:space="preserve">Market structure</t>
  </si>
  <si>
    <t xml:space="preserve">Number of entities authorised in the EU as crypto-asset service providers</t>
  </si>
  <si>
    <t xml:space="preserve">Measured: ESMA interim register (downloaded 10 Oct 2026) lists 370 authorised CASP entries (365 distinct legal entities) across 27 EU/EEA states, 103 of them in Germany; authorisations peaked around the end of the transitional period (30 June 2026). A separate list names 173 non-compliant entities.</t>
  </si>
  <si>
    <t xml:space="preserve">ESMA interim MiCA register</t>
  </si>
  <si>
    <t xml:space="preserve">Stablecoins</t>
  </si>
  <si>
    <t xml:space="preserve">Number of authorised issuers of asset-referenced / significant tokens; market capitalisation of such tokens</t>
  </si>
  <si>
    <t xml:space="preserve">ESMA register: zero authorised asset-referenced token issuers; 25 e-money token issuers with 50 white papers. Industry tracker: market cap of eight MiCA-compliant euro stablecoins rose from USD 296m to USD 674m (June 2025-June 2026), still tiny against dollar stablecoins.</t>
  </si>
  <si>
    <t xml:space="preserve">ESMA interim MiCA register; Decta 2026</t>
  </si>
  <si>
    <t xml:space="preserve">Investor protection / integrity</t>
  </si>
  <si>
    <t xml:space="preserve">Number and value of fraud and thefts of crypto-assets in the EU; market abuse cases reported and investigated</t>
  </si>
  <si>
    <t xml:space="preserve">Not measured: no EU-level statistics published. Commission's Article 140 report on application (interim due 30 June 2025) not located on EUR-Lex; public consultation opened May 2026.</t>
  </si>
  <si>
    <t xml:space="preserve">Funding</t>
  </si>
  <si>
    <t xml:space="preserve">Number and volumes of crypto-asset issuances in the EU</t>
  </si>
  <si>
    <t xml:space="preserve">White papers for other crypto-assets are notified to ESMA's register, but no volume statistics or analysis of company funding found.</t>
  </si>
  <si>
    <t xml:space="preserve">Payments / remittances</t>
  </si>
  <si>
    <t xml:space="preserve">Remittance cost savings EUR 220-570m a year; crypto funding costs 20-40% below IPOs</t>
  </si>
  <si>
    <t xml:space="preserve">EUR 220-570m/yr</t>
  </si>
  <si>
    <t xml:space="preserve">Not measured. ESMA (2024): euro plays a minor role in crypto trading and MiCA's announcement did not raise euro transactions.</t>
  </si>
  <si>
    <t xml:space="preserve">SWD(2020) 381; ESMA TRV 2024</t>
  </si>
  <si>
    <t xml:space="preserve">One-off EUR 2.8-16.5m and ongoing EUR 2.2-24m for newly regulated CASPs; about EUR 35,000 per SME issuance</t>
  </si>
  <si>
    <t xml:space="preserve">No ex-post cost survey found.</t>
  </si>
  <si>
    <t xml:space="preserve">SWD(2020) 381</t>
  </si>
  <si>
    <t xml:space="preserve">The proposal has no LFS indicator section; the memorandum relies on the Data Market Monitoring study, an SME panel consultation five years after adoption, data-spaces monitoring and an evaluation (now due by 12 September 2028). The Act has applied only since 12 September 2025</t>
  </si>
  <si>
    <t xml:space="preserve">EU-27 GDP +1.98 percentage points by 2028 (press release: EUR 270bn additional GDP by 2028); +2.2m jobs; government revenue +EUR 96.8bn and investment +EUR 30.4bn (2024-2028)</t>
  </si>
  <si>
    <t xml:space="preserve">+EUR 270bn GDP by 2028</t>
  </si>
  <si>
    <t xml:space="preserve">Not measured; obligations applied only from September 2025 (design obligations from 2026). No ex-post estimate exists. Critics (Kerber, Martens) argue the access mechanism is weak, making the forecast doubtful.</t>
  </si>
  <si>
    <t xml:space="preserve">SWD(2022) 34/35; IP/22/1113</t>
  </si>
  <si>
    <t xml:space="preserve">Data access for users and third parties</t>
  </si>
  <si>
    <t xml:space="preserve">Value of B2B/B2C data access from connected products up to EUR 196.7bn a year by 2028; contractual fairness +EUR 7.4bn a year (SME profits +EUR 5.2bn)</t>
  </si>
  <si>
    <t xml:space="preserve">Not measured. A German industry survey 100 days before application found only 1% of companies had fully and 4% partly implemented the Act; 52% thought it did not apply to them.</t>
  </si>
  <si>
    <t xml:space="preserve">SWD(2022) 35; Bitkom 2025</t>
  </si>
  <si>
    <t xml:space="preserve">Cloud switching</t>
  </si>
  <si>
    <t xml:space="preserve">Fair access to cloud and edge services: +EUR 7.1bn a year</t>
  </si>
  <si>
    <t xml:space="preserve">SWD(2022) 35</t>
  </si>
  <si>
    <t xml:space="preserve">Costs</t>
  </si>
  <si>
    <t xml:space="preserve">Manufacturers' access infrastructure EUR 410m one-off + EUR 88m a year; contractual fairness EUR 69m a year; B2G EUR 552.5m one-off + EUR 78.1m a year</t>
  </si>
  <si>
    <t xml:space="preserve">Not measured. The November 2025 Digital Omnibus proposes amendments (e.g. on trade-secret refusals and business-to-government data requests in public emergencies) and claims savings of at least EUR 1bn a year across the digital acquis.</t>
  </si>
  <si>
    <t xml:space="preserve">SWD(2022) 35; COM(2025) 837</t>
  </si>
  <si>
    <t xml:space="preserve">The proposal's financial statement has no LFS indicators; the memorandum promises a first review five years after application (the AMLR applies from 10 July 2027). Indicators below come from section 9 of the impact assessment</t>
  </si>
  <si>
    <t xml:space="preserve">indicator (impact assessment)</t>
  </si>
  <si>
    <t xml:space="preserve">Strengthen and harmonise AML rules</t>
  </si>
  <si>
    <t xml:space="preserve">Number of suspicious transaction reports (STRs) transmitted to law enforcement</t>
  </si>
  <si>
    <t xml:space="preserve">Not yet measurable (Regulation applies from July 2027). Baseline: Europol (2017) found only around 10% of STRs lead to further investigation and about 1% of criminal proceeds are confiscated.</t>
  </si>
  <si>
    <t xml:space="preserve">SWD(2021) 190; Europol 2017</t>
  </si>
  <si>
    <t xml:space="preserve">More effective supervision</t>
  </si>
  <si>
    <t xml:space="preserve">STRs generated by the non-financial sector; proportion of STRs usable for financial intelligence</t>
  </si>
  <si>
    <t xml:space="preserve">Not yet measurable; no baseline series published by the Commission.</t>
  </si>
  <si>
    <t xml:space="preserve">SWD(2021) 190</t>
  </si>
  <si>
    <t xml:space="preserve">FIU cooperation</t>
  </si>
  <si>
    <t xml:space="preserve">Volume and nature of information exchanged among FIUs (FIU.net); feedback to obliged entities</t>
  </si>
  <si>
    <t xml:space="preserve">Not yet measurable; AMLA (which hosts the FIU support mechanism) only began operating in 2025.</t>
  </si>
  <si>
    <t xml:space="preserve">Reduce money laundering</t>
  </si>
  <si>
    <t xml:space="preserve">Reduction of undetected money laundering/terrorist financing (estimated by Europol at well over EUR 100bn a year); EUR 10,000 cash-payment ceiling to 'significantly deter' laundering without hurting financial inclusion</t>
  </si>
  <si>
    <t xml:space="preserve">Not measured; the IA itself says undetected laundering cannot be measured. Independent work questions the effectiveness of the AML model in general (Pol 2020: less than 0.1% impact on criminal finances) and documents unintended costs such as de-risking (EBA 2022) and reduced lending to small firms (Slutzky et al., Colombia).</t>
  </si>
  <si>
    <t xml:space="preserve">not measured (independent evidence sceptical)</t>
  </si>
  <si>
    <t xml:space="preserve">SWD(2021) 191; Pol 2020; EBA 2022; Slutzky et al.</t>
  </si>
  <si>
    <t xml:space="preserve">AMLA running cost about EUR 40m a year at 250 FTE, over half financed by levies on obliged entities; bank-register interconnection about EUR 2m; lower compliance costs for cross-border financial groups</t>
  </si>
  <si>
    <t xml:space="preserve">~EUR 40m/yr</t>
  </si>
  <si>
    <t xml:space="preserve">SWD(2021) 191</t>
  </si>
  <si>
    <t xml:space="preserve">Ensure AI systems placed on the market and used are safe and respect fundamental rights and Union values</t>
  </si>
  <si>
    <t xml:space="preserve">Ensure legal certainty to facilitate investment and innovation in AI</t>
  </si>
  <si>
    <t xml:space="preserve">Enhance governance and effective enforcement of existing law on fundamental rights and safety</t>
  </si>
  <si>
    <t xml:space="preserve">Facilitate a single market for lawful, safe and trustworthy AI and prevent fragmentation</t>
  </si>
  <si>
    <t xml:space="preserve">Number of serious incidents or breaches of fundamental-rights obligations (semi-annual), by field, absolute and relative</t>
  </si>
  <si>
    <t xml:space="preserve">Not yet reportable: high-risk obligations not yet applicable; the 2026 AI omnibus postponed them to 2 Dec 2027 (Annex III) and 2 Aug 2028 (Annex I).</t>
  </si>
  <si>
    <t xml:space="preserve">not yet measurable</t>
  </si>
  <si>
    <t xml:space="preserve">AI omnibus (2026)</t>
  </si>
  <si>
    <t xml:space="preserve">Investment and innovation</t>
  </si>
  <si>
    <t xml:space="preserve">Total AI investment in the EU and by Member State (annual)</t>
  </si>
  <si>
    <t xml:space="preserve">No Commission series linked to the Act found yet.</t>
  </si>
  <si>
    <t xml:space="preserve">Uptake</t>
  </si>
  <si>
    <t xml:space="preserve">Share of companies using AI (annual) / share of SMEs using AI</t>
  </si>
  <si>
    <t xml:space="preserve">Measurable via Eurostat: 7.7% (2021), 8.1% (2023), 13.5% (2024), about 20% (2025) of EU enterprises with 10+ staff; 55% of large firms in 2025. Rise cannot be attributed to the Act (main obligations not yet applicable; generative-AI boom).</t>
  </si>
  <si>
    <t xml:space="preserve">measured (not attributable)</t>
  </si>
  <si>
    <t xml:space="preserve">Eurostat</t>
  </si>
  <si>
    <t xml:space="preserve">Aggregate compliance cost EUR 100-500m by 2025 (up to 4-5% of high-risk AI investment) plus verification 2-5%; high-risk = 5-15% of AI applications</t>
  </si>
  <si>
    <t xml:space="preserve">Not evaluated. Start-up surveys put the high-risk share at 33-50% of their systems, far above the 5-15% assumed; obligations later postponed and simplified.</t>
  </si>
  <si>
    <t xml:space="preserve">not measured (contested assumptions)</t>
  </si>
  <si>
    <t xml:space="preserve">SWD(2021) 85; appliedAI/Digital Poland survey</t>
  </si>
  <si>
    <t xml:space="preserve">id</t>
  </si>
  <si>
    <t xml:space="preserve">citation</t>
  </si>
  <si>
    <t xml:space="preserve">year</t>
  </si>
  <si>
    <t xml:space="preserve">source_type</t>
  </si>
  <si>
    <t xml:space="preserve">method</t>
  </si>
  <si>
    <t xml:space="preserve">outcomes</t>
  </si>
  <si>
    <t xml:space="preserve">direction</t>
  </si>
  <si>
    <t xml:space="preserve">headline finding</t>
  </si>
  <si>
    <t xml:space="preserve">plain-language summary</t>
  </si>
  <si>
    <t xml:space="preserve">period / geography</t>
  </si>
  <si>
    <t xml:space="preserve">quality notes</t>
  </si>
  <si>
    <t xml:space="preserve">interested party</t>
  </si>
  <si>
    <t xml:space="preserve">access</t>
  </si>
  <si>
    <t xml:space="preserve">verified</t>
  </si>
  <si>
    <t xml:space="preserve">accessed</t>
  </si>
  <si>
    <t xml:space="preserve">url</t>
  </si>
  <si>
    <t xml:space="preserve">archive_url</t>
  </si>
  <si>
    <t xml:space="preserve">ec-2005-database-evaluation</t>
  </si>
  <si>
    <t xml:space="preserve">European Commission, DG Internal Market and Services (2005), First evaluation of Directive 96/9/EC on the legal protection of databases, DG MARKT working paper, 12 December 2005</t>
  </si>
  <si>
    <t xml:space="preserve">Commission evaluation</t>
  </si>
  <si>
    <t xml:space="preserve">descriptive (Gale Directory of Databases counts; online industry survey)</t>
  </si>
  <si>
    <t xml:space="preserve">database production; EU vs US competitiveness</t>
  </si>
  <si>
    <t xml:space="preserve">no effect / negative</t>
  </si>
  <si>
    <t xml:space="preserve">'The economic impact of the sui generis right on database production is unproven'; EU database entries fell back to pre-Directive level (3,095 in 2004 vs 3,092 in 1998; peak 4,085 in 2001); EU/US production ratio worsened from ~1:2 (1996) to ~1:3 (2004); publishers nevertheless argued the right was crucial</t>
  </si>
  <si>
    <t xml:space="preserve">The Commission's first evaluation found that EU database production was no higher in 2004 than before the Directive, while the US - with no such right - pulled further ahead.</t>
  </si>
  <si>
    <t xml:space="preserve">EU vs US, 1996-2004</t>
  </si>
  <si>
    <t xml:space="preserve">descriptive counts; no control for other factors</t>
  </si>
  <si>
    <t xml:space="preserve">open</t>
  </si>
  <si>
    <t xml:space="preserve">page summary via search (report quoted verbatim by EDRi and Harvard Berkman blog; original URL now offline)</t>
  </si>
  <si>
    <t xml:space="preserve">2026-10-10</t>
  </si>
  <si>
    <t xml:space="preserve">https://ec.europa.eu/internal_market/copyright/docs/databases/evaluation_report_en.pdf</t>
  </si>
  <si>
    <t xml:space="preserve">ec-2018-database-evaluation</t>
  </si>
  <si>
    <t xml:space="preserve">European Commission (2018), Evaluation of Directive 96/9/EC on the legal protection of databases (executive summary SWD(2018) 147), SWD(2018) 146</t>
  </si>
  <si>
    <t xml:space="preserve">review (supporting study, stakeholder survey, legal analysis)</t>
  </si>
  <si>
    <t xml:space="preserve">database production; competitiveness; costs and benefits</t>
  </si>
  <si>
    <t xml:space="preserve">no proven effect</t>
  </si>
  <si>
    <t xml:space="preserve">The sui generis right 'continues to have no proven impact on the overall production of databases in Europe, nor on the competitiveness of the EU database industry'; harmonisation effective; costs and benefits moderate with benefits seeming higher; reform judged disproportionate</t>
  </si>
  <si>
    <t xml:space="preserve">The Commission's second evaluation repeated that the special database right has not been shown to increase database production in Europe, but kept it because costs appear modest and many stakeholders value it.</t>
  </si>
  <si>
    <t xml:space="preserve">EU, 2005-2017</t>
  </si>
  <si>
    <t xml:space="preserve">self-evaluation; largely qualitative</t>
  </si>
  <si>
    <t xml:space="preserve">executive summary full text read</t>
  </si>
  <si>
    <t xml:space="preserve">https://digital-strategy.ec.europa.eu/en/library/staff-working-document-and-executive-summary-evaluation-directive-969ec-legal-protection-databases</t>
  </si>
  <si>
    <t xml:space="preserve">https://data.consilium.europa.eu/doc/document/ST-8467-2018-INIT/en/pdf</t>
  </si>
  <si>
    <t xml:space="preserve">technopolis-jiip-2018-database-study</t>
  </si>
  <si>
    <t xml:space="preserve">JIIP, Technopolis Group, University of Cambridge &amp; University of Nottingham (2018), Study in support of the evaluation of Directive 96/9/EC on the legal protection of databases, Study for the European Commission (DG CONNECT)</t>
  </si>
  <si>
    <t xml:space="preserve">Commission-commissioned evaluation study</t>
  </si>
  <si>
    <t xml:space="preserve">legal literature review, stakeholder survey, expert interviews</t>
  </si>
  <si>
    <t xml:space="preserve">data economy; access to data; scope</t>
  </si>
  <si>
    <t xml:space="preserve">mixed</t>
  </si>
  <si>
    <t xml:space="preserve">Views divided on extending protection to machine-generated data; academic researchers feared more data locked in closed databases or costly access models</t>
  </si>
  <si>
    <t xml:space="preserve">The study behind the 2018 evaluation found stakeholders split on the right, with researchers worried it could lock up data.</t>
  </si>
  <si>
    <t xml:space="preserve">EU, 2017</t>
  </si>
  <si>
    <t xml:space="preserve">page summary via search</t>
  </si>
  <si>
    <t xml:space="preserve">https://www.technopolis-group.com/?p=8227</t>
  </si>
  <si>
    <t xml:space="preserve">boyle-2004-database-experiment</t>
  </si>
  <si>
    <t xml:space="preserve">Boyle (2004), A natural experiment: Do we want 'faith-based' IP policy?, Financial Times online, 22 November 2004</t>
  </si>
  <si>
    <t xml:space="preserve">commentary</t>
  </si>
  <si>
    <t xml:space="preserve">descriptive comparison (EU with database right vs US without, Gale Directory data)</t>
  </si>
  <si>
    <t xml:space="preserve">database production</t>
  </si>
  <si>
    <t xml:space="preserve">negative</t>
  </si>
  <si>
    <t xml:space="preserve">Argues the EU-US divergence after 1996 is a natural experiment showing the right did not boost EU database production; calls for evidence-based IP policy</t>
  </si>
  <si>
    <t xml:space="preserve">A leading copyright scholar argued that comparing Europe, which created a database right, with the US, which did not, shows the right failed to boost European databases.</t>
  </si>
  <si>
    <t xml:space="preserve">EU vs US, 1990s-2004</t>
  </si>
  <si>
    <t xml:space="preserve">opinion piece; descriptive</t>
  </si>
  <si>
    <t xml:space="preserve">full text read</t>
  </si>
  <si>
    <t xml:space="preserve">https://law.duke.edu/boylesite/experiment.html</t>
  </si>
  <si>
    <t xml:space="preserve">ec-2003-ecd-first-report</t>
  </si>
  <si>
    <t xml:space="preserve">European Commission (2003), First Report on the application of Directive 2000/31/EC on electronic commerce, COM(2003) 702</t>
  </si>
  <si>
    <t xml:space="preserve">Commission review</t>
  </si>
  <si>
    <t xml:space="preserve">implementation review</t>
  </si>
  <si>
    <t xml:space="preserve">transposition; e-commerce development</t>
  </si>
  <si>
    <t xml:space="preserve">positive (qualitative)</t>
  </si>
  <si>
    <t xml:space="preserve">Directive 'has had a substantial and positive effect on e-commerce within Europe' despite limited experience; revision premature</t>
  </si>
  <si>
    <t xml:space="preserve">Three years in, the Commission judged the Directive positive for online business but said it was too early to measure its effects.</t>
  </si>
  <si>
    <t xml:space="preserve">EU15, 2000-03</t>
  </si>
  <si>
    <t xml:space="preserve">early qualitative review</t>
  </si>
  <si>
    <t xml:space="preserve">https://eur-lex.europa.eu/legal-content/EN/TXT/?uri=CELEX:52003DC0702</t>
  </si>
  <si>
    <t xml:space="preserve">ec-2020-ecd-evaluation</t>
  </si>
  <si>
    <t xml:space="preserve">European Commission (2020), Evaluation of the e-Commerce Directive (Annex 5 to the Digital Services Act impact assessment), SWD(2020) 348</t>
  </si>
  <si>
    <t xml:space="preserve">ex-post evaluation (consultation, studies, case law)</t>
  </si>
  <si>
    <t xml:space="preserve">cross-border services; legal certainty; fundamental rights</t>
  </si>
  <si>
    <t xml:space="preserve">Core principles still valid; enabled cross-border growth of digital services; liability regime gave minimum legal certainty but conflicting national interpretations and fragmentation; only partially achieved protection of fundamental rights; cooperation mechanism little used</t>
  </si>
  <si>
    <t xml:space="preserve">The Commission's own evaluation found the Directive's core rules helped online services grow across borders, but national courts applied them inconsistently and removal of legal content was not well protected.</t>
  </si>
  <si>
    <t xml:space="preserve">EU, 2000-2020</t>
  </si>
  <si>
    <t xml:space="preserve">qualitative evaluation; no counterfactual</t>
  </si>
  <si>
    <t xml:space="preserve">https://eur-lex.europa.eu/legal-content/EN/TXT/?uri=CELEX:52020SC0348</t>
  </si>
  <si>
    <t xml:space="preserve">eprs-2020-dsa-eava</t>
  </si>
  <si>
    <t xml:space="preserve">Lomba &amp; Evas (EPRS) (2020), Digital Services Act: European added value assessment, European Parliamentary Research Service, PE 654.180</t>
  </si>
  <si>
    <t xml:space="preserve">Parliament research</t>
  </si>
  <si>
    <t xml:space="preserve">gap analysis plus macro-model simulation (Cambridge Econometrics E3ME)</t>
  </si>
  <si>
    <t xml:space="preserve">GDP</t>
  </si>
  <si>
    <t xml:space="preserve">positive (forecast)</t>
  </si>
  <si>
    <t xml:space="preserve">Identified 22 gaps and risks in the e-Commerce Directive framework; reform packages on consumer protection/common e-commerce rules and on content management estimated to add about EUR 47bn and EUR 29bn to EU GDP over 2020-30</t>
  </si>
  <si>
    <t xml:space="preserve">The Parliament's research service estimated that fixing gaps in the e-Commerce Directive could add tens of billions of euros to EU GDP over a decade.</t>
  </si>
  <si>
    <t xml:space="preserve">EU, forecast 2020-30</t>
  </si>
  <si>
    <t xml:space="preserve">ex-ante simulation</t>
  </si>
  <si>
    <t xml:space="preserve">https://www.europarl.europa.eu/thinktank/en/document/EPRS_STU(2020)654180</t>
  </si>
  <si>
    <t xml:space="preserve">https://www.camecon.com/wp-content/uploads/2021/07/EPRS_STU2020654180_EN.pdf</t>
  </si>
  <si>
    <t xml:space="preserve">oxera-2015-safe-harbours</t>
  </si>
  <si>
    <t xml:space="preserve">Oxera (2015), The economic impact of safe harbours on Internet intermediary start-ups, Oxera report prepared for Google</t>
  </si>
  <si>
    <t xml:space="preserve">consultancy report</t>
  </si>
  <si>
    <t xml:space="preserve">simulation model of start-up success (Chile, Germany, India, Thailand)</t>
  </si>
  <si>
    <t xml:space="preserve">start-up success rates; start-up value</t>
  </si>
  <si>
    <t xml:space="preserve">positive</t>
  </si>
  <si>
    <t xml:space="preserve">A clear, low-cost liability regime could raise intermediary start-up success rates by 4% (Chile) to 24% (Thailand); in Germany by 1.6 percentage points (about 9%), NPV +3%; results are order-of-magnitude only</t>
  </si>
  <si>
    <t xml:space="preserve">A Google-funded simulation estimated that clearer liability protection could make German internet start-ups about 9% more likely to succeed.</t>
  </si>
  <si>
    <t xml:space="preserve">Chile, Germany, India, Thailand</t>
  </si>
  <si>
    <t xml:space="preserve">simulation with assumed parameters; not causal</t>
  </si>
  <si>
    <t xml:space="preserve">Commissioned by Google</t>
  </si>
  <si>
    <t xml:space="preserve">https://www.oxera.com/wp-content/uploads/2018/07/The-economic-impact-of-safe-harbours-on-Internet-intermediary-start-ups.pdf.pdf</t>
  </si>
  <si>
    <t xml:space="preserve">lefouili-madio-2022-platform-liability</t>
  </si>
  <si>
    <t xml:space="preserve">Lefouili &amp; Madio (2022), The economics of platform liability, European Journal of Law and Economics 53(3), 319-351</t>
  </si>
  <si>
    <t xml:space="preserve">peer-reviewed</t>
  </si>
  <si>
    <t xml:space="preserve">economic theory and literature review</t>
  </si>
  <si>
    <t xml:space="preserve">prices; business models; investment; competition</t>
  </si>
  <si>
    <t xml:space="preserve">Reviews platforms' incentives to curb misconduct without liability and how stricter liability would affect prices, terms, business models, investment, competition and third-party sellers; weighs costs and benefits of policy proposals</t>
  </si>
  <si>
    <t xml:space="preserve">An economics review finds that making platforms more liable for users' misconduct has both benefits and costs, including effects on prices, investment and competition.</t>
  </si>
  <si>
    <t xml:space="preserve">theory/review</t>
  </si>
  <si>
    <t xml:space="preserve">review; partly based on a report for the European Commission</t>
  </si>
  <si>
    <t xml:space="preserve">abstract read</t>
  </si>
  <si>
    <t xml:space="preserve">https://doi.org/10.1007/s10657-022-09728-7</t>
  </si>
  <si>
    <t xml:space="preserve">https://pmc.ncbi.nlm.nih.gov/articles/PMC8857911</t>
  </si>
  <si>
    <t xml:space="preserve">erickson-kretschmer-2020-empirical-il</t>
  </si>
  <si>
    <t xml:space="preserve">Erickson &amp; Kretschmer (2020), Empirical Approaches to Intermediary Liability, in G. Frosio (ed.), Oxford Handbook of Online Intermediary Liability, OUP, 104-121</t>
  </si>
  <si>
    <t xml:space="preserve">book chapter (systematic review)</t>
  </si>
  <si>
    <t xml:space="preserve">systematic review of empirical studies on notice-and-takedown, 1998-2018</t>
  </si>
  <si>
    <t xml:space="preserve">takedown volumes; accuracy; over-enforcement</t>
  </si>
  <si>
    <t xml:space="preserve">Rightholders make heavy use of notice-and-takedown, accelerated by automation since about 2012; abuse is real but probably overstated; due process and transparency need improvement</t>
  </si>
  <si>
    <t xml:space="preserve">A review of 20 years of research on safe-harbour takedown systems finds heavy and growing use, some abuse, and weak transparency.</t>
  </si>
  <si>
    <t xml:space="preserve">multi-country, 1998-2018</t>
  </si>
  <si>
    <t xml:space="preserve">systematic review</t>
  </si>
  <si>
    <t xml:space="preserve">https://papers.ssrn.com/abstract=3400230</t>
  </si>
  <si>
    <t xml:space="preserve">ivir-2007-infosoc-study</t>
  </si>
  <si>
    <t xml:space="preserve">Westkamp, Rieber-Mohn, van Eechoud, Guibault, Helberger &amp; Hugenholtz (IViR) (2007), Study on the Implementation and Effect in Member States' Laws of Directive 2001/29/EC, Study for the European Commission (DG Internal Market)</t>
  </si>
  <si>
    <t xml:space="preserve">legal comparative review, stakeholder workshop</t>
  </si>
  <si>
    <t xml:space="preserve">harmonisation; legal certainty; online business models</t>
  </si>
  <si>
    <t xml:space="preserve">Harmonising effect of the optional exceptions 'very modest at best', a 'mosaic' of national rules; DRM rules offer 'confusion, legal uncertainty and disharmonisation'; the Directive 'at best only partly achieved' its goal of promoting growth and innovation in online content services</t>
  </si>
  <si>
    <t xml:space="preserve">The Commission's own commissioned evaluation found the Directive did little to harmonise copyright exceptions across the EU and only partly met its goal of boosting online content services.</t>
  </si>
  <si>
    <t xml:space="preserve">EU-25, 2001-2006</t>
  </si>
  <si>
    <t xml:space="preserve">legal analysis; no quantitative impact estimates</t>
  </si>
  <si>
    <t xml:space="preserve">full text partly read</t>
  </si>
  <si>
    <t xml:space="preserve">https://www.ivir.nl/publicaties/download/Infosoc_report_2007.pdf</t>
  </si>
  <si>
    <t xml:space="preserve">ec-2007-infosoc-application</t>
  </si>
  <si>
    <t xml:space="preserve">European Commission (2007), Report to the Council, the European Parliament and the Economic and Social Committee on the application of Directive 2001/29/EC, SEC(2007) 1556 (summary via European Parliament Legislative Observatory)</t>
  </si>
  <si>
    <t xml:space="preserve">review of transposition and national case law (Arts 5, 6, 8)</t>
  </si>
  <si>
    <t xml:space="preserve">exceptions; DRM; sanctions</t>
  </si>
  <si>
    <t xml:space="preserve">Courts often sidestepped the exceptions by interpreting the reproduction right; national private-copying, library and parody exceptions very diverse; Member States chose very different mechanisms (none, mediation, courts, administrative bodies) to reconcile DRM with exceptions</t>
  </si>
  <si>
    <t xml:space="preserve">The Commission's first review found Member States had implemented the copyright exceptions and anti-circumvention rules in very different ways.</t>
  </si>
  <si>
    <t xml:space="preserve">EU, 2001-2007</t>
  </si>
  <si>
    <t xml:space="preserve">legal review only; no economic data</t>
  </si>
  <si>
    <t xml:space="preserve">page summary (official procedure summary read)</t>
  </si>
  <si>
    <t xml:space="preserve">https://oeil.europarl.europa.eu/oeil/en/procedure-document-summary/pdf?id=1035933</t>
  </si>
  <si>
    <t xml:space="preserve">ec-2016-copyright-ia</t>
  </si>
  <si>
    <t xml:space="preserve">European Commission (2016), Impact assessment on the modernisation of EU copyright rules (executive summary SWD(2016) 302), SWD(2016) 301</t>
  </si>
  <si>
    <t xml:space="preserve">Commission impact assessment</t>
  </si>
  <si>
    <t xml:space="preserve">ex-ante (for successor Directive 2019/790); includes problem review of InfoSoc exceptions</t>
  </si>
  <si>
    <t xml:space="preserve">legal certainty; research; education; cultural heritage</t>
  </si>
  <si>
    <t xml:space="preserve">negative (problem diagnosis for InfoSoc)</t>
  </si>
  <si>
    <t xml:space="preserve">Legal uncertainty over acts allowed under existing exceptions in the digital environment identified as a major issue for teachers, researchers doing text and data mining, and cultural heritage institutions; new mandatory exceptions proposed</t>
  </si>
  <si>
    <t xml:space="preserve">Fifteen years on, the Commission concluded that the Directive's optional exceptions left teachers, researchers and libraries uncertain about what they may do online, and proposed new mandatory exceptions.</t>
  </si>
  <si>
    <t xml:space="preserve">EU, 2016</t>
  </si>
  <si>
    <t xml:space="preserve">ex-ante; qualitative on InfoSoc</t>
  </si>
  <si>
    <t xml:space="preserve">executive summary read</t>
  </si>
  <si>
    <t xml:space="preserve">https://eur-lex.europa.eu/legal-content/EN/TXT/?uri=CELEX:52016SC0301</t>
  </si>
  <si>
    <t xml:space="preserve">http://web.archive.org/web/20250411215956/https://eur-lex.europa.eu/legal-content/en/TXT/?uri=CELEX:52016SC0301</t>
  </si>
  <si>
    <t xml:space="preserve">handke-guibault-vallbe-2015</t>
  </si>
  <si>
    <t xml:space="preserve">Handke, Guibault &amp; Vallbe (2015), Is Europe Falling Behind in Data Mining? Copyright's Impact on Data Mining in Academic Research, ELPUB 2015 proceedings, IOS Press (SSRN 2608513)</t>
  </si>
  <si>
    <t xml:space="preserve">peer-reviewed (conference)</t>
  </si>
  <si>
    <t xml:space="preserve">cross-country panel regression (bibliometric data, 42 countries, 1992-2014); correlational</t>
  </si>
  <si>
    <t xml:space="preserve">research output (data mining)</t>
  </si>
  <si>
    <t xml:space="preserve">Where data mining requires express rightholder consent, it accounts for a significantly smaller share of research output; authors describe it as the first empirical study to find a significant negative association between copyright protection and innovation</t>
  </si>
  <si>
    <t xml:space="preserve">Countries whose copyright law requires permission for text and data mining - including most EU states before 2019 - produce noticeably less data-mining research.</t>
  </si>
  <si>
    <t xml:space="preserve">42 countries, 1992-2014</t>
  </si>
  <si>
    <t xml:space="preserve">observational; not a strict causal design</t>
  </si>
  <si>
    <t xml:space="preserve">open (SSRN)</t>
  </si>
  <si>
    <t xml:space="preserve">abstract read (via search)</t>
  </si>
  <si>
    <t xml:space="preserve">https://doi.org/10.3233/978-1-61499-562-3-120</t>
  </si>
  <si>
    <t xml:space="preserve">https://papers.ssrn.com/sol3/papers.cfm?abstract_id=2608513</t>
  </si>
  <si>
    <t xml:space="preserve">zhang-2018-drm</t>
  </si>
  <si>
    <t xml:space="preserve">Zhang (2018), Intellectual Property Strategy and the Long Tail: Evidence from the Recorded Music Industry, Management Science 64(1), 24-42</t>
  </si>
  <si>
    <t xml:space="preserve">causal: difference-in-differences (DRM removal by major labels, ~5,900 albums)</t>
  </si>
  <si>
    <t xml:space="preserve">sales; DRM</t>
  </si>
  <si>
    <t xml:space="preserve">negative (for DRM)</t>
  </si>
  <si>
    <t xml:space="preserve">Removing DRM increased digital album sales by about 10%, with large gains for lower-selling ('long tail') albums and no benefit for top sellers</t>
  </si>
  <si>
    <t xml:space="preserve">When record labels dropped copy protection (DRM), digital music sales rose about 10%, mostly for lesser-known albums - evidence that the DRM the Directive protects did not help sales.</t>
  </si>
  <si>
    <t xml:space="preserve">US digital music market, 2000s</t>
  </si>
  <si>
    <t xml:space="preserve">not EU-specific; tests DRM, not the Directive itself</t>
  </si>
  <si>
    <t xml:space="preserve">paywalled</t>
  </si>
  <si>
    <t xml:space="preserve">https://doi.org/10.1287/mnsc.2016.2562</t>
  </si>
  <si>
    <t xml:space="preserve">ec-2017-eprivacy-refit</t>
  </si>
  <si>
    <t xml:space="preserve">European Commission (2017), Ex-post REFIT evaluation of the ePrivacy Directive 2002/58/EC (executive summary SWD(2017) 6), SWD(2017) 5</t>
  </si>
  <si>
    <t xml:space="preserve">REFIT evaluation (studies, consultation)</t>
  </si>
  <si>
    <t xml:space="preserve">effectiveness; compliance costs</t>
  </si>
  <si>
    <t xml:space="preserve">Directive broadly appropriate but enforcement fragmented; cookie rule not fully effective and over-inclusive; compliance costs around EUR 658 per business; robust cost data lacking</t>
  </si>
  <si>
    <t xml:space="preserve">The Commission found the cookie consent rule had not really given people control - they click 'accept' without understanding - while costing businesses a few hundred euros each.</t>
  </si>
  <si>
    <t xml:space="preserve">EU, 2002-2016</t>
  </si>
  <si>
    <t xml:space="preserve">self-evaluation; data gaps acknowledged</t>
  </si>
  <si>
    <t xml:space="preserve">https://eur-lex.europa.eu/legal-content/EN/TXT/?uri=CELEX:52017SC0006</t>
  </si>
  <si>
    <t xml:space="preserve">goldfarb-tucker-2011</t>
  </si>
  <si>
    <t xml:space="preserve">Goldfarb &amp; Tucker (2011), Privacy Regulation and Online Advertising, Management Science 57(1)</t>
  </si>
  <si>
    <t xml:space="preserve">causal: difference-in-differences (3.3m survey takers, 9,596 ad campaigns; EU vs other countries)</t>
  </si>
  <si>
    <t xml:space="preserve">advertising effectiveness; firm performance</t>
  </si>
  <si>
    <t xml:space="preserve">After the EU privacy rules (ePrivacy Directive) took effect, display advertising became far less effective at changing purchase intent relative to other countries; larger losses for general-content sites such as news and for plain, small ads</t>
  </si>
  <si>
    <t xml:space="preserve">Early EU privacy rules on tracking made online display ads much less effective, hitting news sites hardest.</t>
  </si>
  <si>
    <t xml:space="preserve">EU vs non-EU, early 2000s</t>
  </si>
  <si>
    <t xml:space="preserve">measures ad effectiveness (stated purchase intent), not revenue</t>
  </si>
  <si>
    <t xml:space="preserve">abstract read (Crossref)</t>
  </si>
  <si>
    <t xml:space="preserve">https://doi.org/10.1287/mnsc.1100.1246</t>
  </si>
  <si>
    <t xml:space="preserve">ec-2021-merger-evaluation</t>
  </si>
  <si>
    <t xml:space="preserve">European Commission (2021), Evaluation of procedural and jurisdictional aspects of EU merger control (executive summary SWD(2021) 67), SWD(2021) 66</t>
  </si>
  <si>
    <t xml:space="preserve">review (public consultation, deal-activity research, enforcement data)</t>
  </si>
  <si>
    <t xml:space="preserve">jurisdictional thresholds; referrals; administrative burden</t>
  </si>
  <si>
    <t xml:space="preserve">positive overall, with gaps</t>
  </si>
  <si>
    <t xml:space="preserve">Turnover thresholds plus referrals 'generally proved effective'; but some acquisitions of nascent and innovative firms (digital, pharma, biotech) escaped review; referral mechanisms served one-stop-shop aim well; 2013 simplification reduced burden</t>
  </si>
  <si>
    <t xml:space="preserve">The Commission's evaluation found the merger rules generally capture the deals that matter and simplification cut red tape, but acknowledged that some takeovers of promising start-ups slip through.</t>
  </si>
  <si>
    <t xml:space="preserve">EU, 2013-2020</t>
  </si>
  <si>
    <t xml:space="preserve">self-evaluation; did not assess substantive outcomes</t>
  </si>
  <si>
    <t xml:space="preserve">https://data.consilium.europa.eu/doc/document/ST-7792-2021-ADD-2/en/pdf</t>
  </si>
  <si>
    <t xml:space="preserve">http://web.archive.org/web/20210424031543/https://data.consilium.europa.eu/doc/document/ST-7792-2021-ADD-2/en/pdf</t>
  </si>
  <si>
    <t xml:space="preserve">ec-2009-merger-report</t>
  </si>
  <si>
    <t xml:space="preserve">European Commission (2009), Report on the functioning of Regulation No 139/2004, COM(2009) 281</t>
  </si>
  <si>
    <t xml:space="preserve">review (case statistics, stakeholder consultation)</t>
  </si>
  <si>
    <t xml:space="preserve">thresholds; referrals</t>
  </si>
  <si>
    <t xml:space="preserve">positive overall</t>
  </si>
  <si>
    <t xml:space="preserve">Jurisdictional thresholds and referral system broadly functioning; at least 240 cases reviewable in two or more Member States in 2007; stakeholders suggested further streamlining of Article 4(5) referrals</t>
  </si>
  <si>
    <t xml:space="preserve">The Commission's five-year review found the rules on which authority reviews which merger broadly worked, though some deals were still reviewed in several countries.</t>
  </si>
  <si>
    <t xml:space="preserve">EU, 2004-2008</t>
  </si>
  <si>
    <t xml:space="preserve">procedural review only</t>
  </si>
  <si>
    <t xml:space="preserve">https://eur-lex.europa.eu/legal-content/EN/TXT/?uri=CELEX:52009DC0281</t>
  </si>
  <si>
    <t xml:space="preserve">verouden-et-al-2026-customer-savings</t>
  </si>
  <si>
    <t xml:space="preserve">Verouden, Bovin, Ilzkovitz, Giacalone &amp; Deisenhofer (DG Competition) (2026), Estimating customer savings generated by competition enforcement in the EU, Competition Policy Brief 1/2026, European Commission</t>
  </si>
  <si>
    <t xml:space="preserve">Commission estimate</t>
  </si>
  <si>
    <t xml:space="preserve">ex-ante calculation (OECD method: avoided price rise x turnover x duration)</t>
  </si>
  <si>
    <t xml:space="preserve">customer savings (prices)</t>
  </si>
  <si>
    <t xml:space="preserve">EC enforcement generated direct customer savings of about EUR 12-21bn per year over 2012-2025; merger control accounted for about 60% of savings and 63% of interventions; explicitly not an ex-post evaluation and assumes decisions were correct</t>
  </si>
  <si>
    <t xml:space="preserve">The Commission's own economists estimate that blocking or fixing harmful mergers saves customers several billion euros a year, but the method assumes every decision was right.</t>
  </si>
  <si>
    <t xml:space="preserve">EU, 2012-2025</t>
  </si>
  <si>
    <t xml:space="preserve">self-assessment; assumptions not tested ex post</t>
  </si>
  <si>
    <t xml:space="preserve">Authored by Commission (DG Competition) staff assessing their own enforcement</t>
  </si>
  <si>
    <t xml:space="preserve">https://www.sipotra.it/wp-content/uploads/2026/06/Estimating-customer-savings-generated-by-competition-enforcement-in-the-EU.pdf</t>
  </si>
  <si>
    <t xml:space="preserve">duso-gugler-yurtoglu-2011</t>
  </si>
  <si>
    <t xml:space="preserve">Duso, Gugler &amp; Yurtoglu (2011), How effective is European merger control?, European Economic Review 55(7), 980-1006</t>
  </si>
  <si>
    <t xml:space="preserve">causal: event study (stock-market reactions at announcement and decision, large EU mergers 1990-2002)</t>
  </si>
  <si>
    <t xml:space="preserve">market power rents; remedies</t>
  </si>
  <si>
    <t xml:space="preserve">Only outright prohibitions completely reverse the rents measured at merger announcement; remedies only partially, more effective in Phase I than Phase II; the Commission appears to learn over time</t>
  </si>
  <si>
    <t xml:space="preserve">Stock market evidence suggests EU merger control fully removes expected market-power gains only when it blocks deals; conditions imposed on approved mergers work only partly.</t>
  </si>
  <si>
    <t xml:space="preserve">EU, 1990-2002 (pre-2004 Regulation)</t>
  </si>
  <si>
    <t xml:space="preserve">covers predecessor Regulation 4064/89; relies on market-efficiency assumptions</t>
  </si>
  <si>
    <t xml:space="preserve">https://doi.org/10.1016/j.euroecorev.2011.04.003</t>
  </si>
  <si>
    <t xml:space="preserve">https://econpapers.repec.org/RePEc:zbw:dicedp:15</t>
  </si>
  <si>
    <t xml:space="preserve">genakos-valletti-verboven-2018</t>
  </si>
  <si>
    <t xml:space="preserve">Genakos, Valletti &amp; Verboven (2018), Evaluating market consolidation in mobile communications, Economic Policy 33(93), 45-100</t>
  </si>
  <si>
    <t xml:space="preserve">causal: panel regression with fixed effects (33 OECD countries, 2002-2014)</t>
  </si>
  <si>
    <t xml:space="preserve">prices; investment</t>
  </si>
  <si>
    <t xml:space="preserve">A hypothetical 4-to-3 merger raises end-user prices by about 16% on average and investment per operator by about 19%; effect on total industry investment not significant</t>
  </si>
  <si>
    <t xml:space="preserve">Mergers that cut the number of mobile operators from four to three raise phone bills by about 16%, while total network investment does not clearly rise.</t>
  </si>
  <si>
    <t xml:space="preserve">33 OECD countries, 2002-2014</t>
  </si>
  <si>
    <t xml:space="preserve">sector-specific</t>
  </si>
  <si>
    <t xml:space="preserve">Valletti later served as DG Competition chief economist (2016-2019)</t>
  </si>
  <si>
    <t xml:space="preserve">https://doi.org/10.1093/epolic/eix020</t>
  </si>
  <si>
    <t xml:space="preserve">https://www.cesifo.org/DocDL/cesifo1_wp6509.pdf</t>
  </si>
  <si>
    <t xml:space="preserve">affeldt-et-al-2021-concentration</t>
  </si>
  <si>
    <t xml:space="preserve">Affeldt, Duso, Gugler &amp; Piechucka (2021), Market Concentration in Europe: Evidence from Antitrust Markets, DIW Discussion Paper 1930 / CESifo WP 8866</t>
  </si>
  <si>
    <t xml:space="preserve">working paper</t>
  </si>
  <si>
    <t xml:space="preserve">descriptive and correlational (20,000+ antitrust markets in 2,000+ EC merger cases, 1995-2014)</t>
  </si>
  <si>
    <t xml:space="preserve">market concentration</t>
  </si>
  <si>
    <t xml:space="preserve">negative (rising concentration)</t>
  </si>
  <si>
    <t xml:space="preserve">Concentration in EU antitrust markets is at least ten times higher than industry-level measures suggest and has risen over time; strict past merger enforcement is associated with lower concentration, more so in 1995-2004 than afterwards</t>
  </si>
  <si>
    <t xml:space="preserve">Using the Commission's own merger files, researchers find markets in Europe are far more concentrated than thought and have become more so; tougher merger enforcement goes with lower concentration.</t>
  </si>
  <si>
    <t xml:space="preserve">EU, 1995-2014</t>
  </si>
  <si>
    <t xml:space="preserve">correlational</t>
  </si>
  <si>
    <t xml:space="preserve">https://doi.org/10.2139/ssrn.3775524</t>
  </si>
  <si>
    <t xml:space="preserve">cunningham-ederer-ma-2021</t>
  </si>
  <si>
    <t xml:space="preserve">Cunningham, Ederer &amp; Ma (2021), Killer Acquisitions, Journal of Political Economy 129(3), 649-702</t>
  </si>
  <si>
    <t xml:space="preserve">causal: difference-in-differences on drug development projects after acquisition</t>
  </si>
  <si>
    <t xml:space="preserve">innovation; acquisitions</t>
  </si>
  <si>
    <t xml:space="preserve">negative (gap in merger control)</t>
  </si>
  <si>
    <t xml:space="preserve">5.3-7.4% of pharmaceutical acquisitions are 'killer acquisitions' that discontinue overlapping drug projects, often below antitrust notification thresholds</t>
  </si>
  <si>
    <t xml:space="preserve">Some pharmaceutical takeovers are made to kill off rival drugs, often in deals too small to be reviewed - the problem behind the EU's Article 22 debate.</t>
  </si>
  <si>
    <t xml:space="preserve">US pharma, 1989-2011</t>
  </si>
  <si>
    <t xml:space="preserve">US evidence; informs EU threshold debate</t>
  </si>
  <si>
    <t xml:space="preserve">https://doi.org/10.1086/712506</t>
  </si>
  <si>
    <t xml:space="preserve">cjeu-2024-illumina</t>
  </si>
  <si>
    <t xml:space="preserve">Court of Justice of the EU (2024), Illumina v Commission (Joined Cases C-611/22 P and C-625/22 P), Judgment of 3 September 2024</t>
  </si>
  <si>
    <t xml:space="preserve">court judgment</t>
  </si>
  <si>
    <t xml:space="preserve">legal ruling</t>
  </si>
  <si>
    <t xml:space="preserve">jurisdiction (Article 22 referrals)</t>
  </si>
  <si>
    <t xml:space="preserve">n/a</t>
  </si>
  <si>
    <t xml:space="preserve">Commission cannot accept Article 22 referrals from Member States lacking jurisdiction under national law; annulled Commission decision on Illumina/Grail; the Court noted threshold-based systems cannot catch every problematic deal</t>
  </si>
  <si>
    <t xml:space="preserve">Europe's top court ruled that the Commission overstepped by reviewing a deal below all national thresholds, closing the main route it had chosen to catch 'killer acquisitions'.</t>
  </si>
  <si>
    <t xml:space="preserve">EU, 2024</t>
  </si>
  <si>
    <t xml:space="preserve">https://eur-lex.europa.eu/legal-content/EN/TXT/?uri=CELEX:62022CJ0611</t>
  </si>
  <si>
    <t xml:space="preserve">ec-2003-ucpd-eia</t>
  </si>
  <si>
    <t xml:space="preserve">European Commission (2003), Extended impact assessment on the Unfair Commercial Practices Directive, SEC(2003) 724</t>
  </si>
  <si>
    <t xml:space="preserve">ex-ante (Eurobarometer surveys of 2,899 businesses and 16,129 consumers; consultation)</t>
  </si>
  <si>
    <t xml:space="preserve">cross-border trade; consumer confidence; compliance costs</t>
  </si>
  <si>
    <t xml:space="preserve">positive (forecast, qualitative)</t>
  </si>
  <si>
    <t xml:space="preserve">Divergent national fairness rules are a significant internal-market barrier; only 13% of consumers had bought cross-border in the past 12 months; harmonisation expected to raise cross-border marketing and purchases (not quantified)</t>
  </si>
  <si>
    <t xml:space="preserve">The Commission argued that one EU-wide set of rules on unfair selling would help firms sell, and consumers shop, across borders; it did not put a number on the gain.</t>
  </si>
  <si>
    <t xml:space="preserve">EU-15, 2002 baseline</t>
  </si>
  <si>
    <t xml:space="preserve">forecast; qualitative</t>
  </si>
  <si>
    <t xml:space="preserve">https://eur-lex.europa.eu/legal-content/EN/TXT/?uri=CELEX:52003SC0724</t>
  </si>
  <si>
    <t xml:space="preserve">http://web.archive.org/web/20251009141108/https://eur-lex.europa.eu/legal-content/EN/TXT/?uri=CELEX%3A52003SC0724</t>
  </si>
  <si>
    <t xml:space="preserve">ec-2013-ucpd-report</t>
  </si>
  <si>
    <t xml:space="preserve">European Commission (2013), First Report on the application of the Unfair Commercial Practices Directive, COM(2013) 139</t>
  </si>
  <si>
    <t xml:space="preserve">review (consultation, enforcement experience, Eurobarometer)</t>
  </si>
  <si>
    <t xml:space="preserve">cross-border shopping interest; enforcement</t>
  </si>
  <si>
    <t xml:space="preserve">positive with gaps</t>
  </si>
  <si>
    <t xml:space="preserve">Directive judged to have removed obstacles and simplified rules; 52% of consumers interested in cross-border purchases (+19 points vs 2006); ~80% of websites found in breach in EU sweeps were corrected; enforcement, especially cross-border, needs strengthening; no amendment proposed</t>
  </si>
  <si>
    <t xml:space="preserve">The Commission's first review found the directive worked but said enforcement, especially across borders, had to improve.</t>
  </si>
  <si>
    <t xml:space="preserve">EU, 2007-2012</t>
  </si>
  <si>
    <t xml:space="preserve">self-evaluation; descriptive</t>
  </si>
  <si>
    <t xml:space="preserve">https://eur-lex.europa.eu/legal-content/EN/TXT/?uri=CELEX:52013DC0139</t>
  </si>
  <si>
    <t xml:space="preserve">http://web.archive.org/web/20251123133623/https://eur-lex.europa.eu/legal-content/EN/TXT/?uri=celex%3A52013DC0139</t>
  </si>
  <si>
    <t xml:space="preserve">ec-2017-consumer-fitness-check</t>
  </si>
  <si>
    <t xml:space="preserve">European Commission (2017), Report of the Fitness Check of EU consumer and marketing law (incl. the UCPD), SWD(2017) 209</t>
  </si>
  <si>
    <t xml:space="preserve">Commission evaluation (fitness check)</t>
  </si>
  <si>
    <t xml:space="preserve">review (Civic Consulting support study, surveys, consultation)</t>
  </si>
  <si>
    <t xml:space="preserve">positive overall, enforcement gaps</t>
  </si>
  <si>
    <t xml:space="preserve">Rules still largely fit for purpose if effectively enforced; compliance costs very proportionate, including for SMEs, so limited scope for burden reduction; led to the 2018 New Deal / Omnibus proposal on enforcement and modernisation</t>
  </si>
  <si>
    <t xml:space="preserve">The 2017 review concluded EU consumer rules were largely fit for purpose and cheap to comply with, but poorly known and unevenly enforced.</t>
  </si>
  <si>
    <t xml:space="preserve">EU, to 2016</t>
  </si>
  <si>
    <t xml:space="preserve">self-evaluation</t>
  </si>
  <si>
    <t xml:space="preserve">https://www.eumonitor.eu/9353000/1/j9vvik7m1c3gyxp/vkewrzaq4ozm</t>
  </si>
  <si>
    <t xml:space="preserve">roesner-haucap-heimeshoff-2020</t>
  </si>
  <si>
    <t xml:space="preserve">Rösner, Haucap &amp; Heimeshoff (2020), The impact of consumer protection in the digital age: Evidence from the European Union, International Journal of Industrial Organization 73 (CESifo WP 8081)</t>
  </si>
  <si>
    <t xml:space="preserve">causal: difference-in-differences with multiple periods (staggered UCPD transposition 2007-2010; Eurobarometer 2006-2014)</t>
  </si>
  <si>
    <t xml:space="preserve">consumer trust; cross-border purchases</t>
  </si>
  <si>
    <t xml:space="preserve">positive (conditional)</t>
  </si>
  <si>
    <t xml:space="preserve">UCPD introduction significantly associated with higher consumer trust and more cross-border purchases, but only for countries with low consumer protection before the directive; effect grows over time then stabilises</t>
  </si>
  <si>
    <t xml:space="preserve">Countries that had weak consumer protection before the UCPD saw consumer trust and cross-border shopping rise after adopting it; countries that already had strong rules saw no clear change.</t>
  </si>
  <si>
    <t xml:space="preserve">EU member states, 2006-2014</t>
  </si>
  <si>
    <t xml:space="preserve">causal design; survey outcomes</t>
  </si>
  <si>
    <t xml:space="preserve">paywalled (CESifo WP open)</t>
  </si>
  <si>
    <t xml:space="preserve">https://doi.org/10.1016/j.ijindorg.2020.102585</t>
  </si>
  <si>
    <t xml:space="preserve">https://ideas.repec.org/p/ces/ceswps/_8081.html</t>
  </si>
  <si>
    <t xml:space="preserve">lupianez-villanueva-2022-dark-patterns</t>
  </si>
  <si>
    <t xml:space="preserve">Lupiáñez-Villanueva, Boluda, Bogliacino et al. (for European Commission, DG JUST) (2022), Behavioural study on unfair commercial practices in the digital environment: dark patterns and manipulative personalisation, Publications Office of the EU, doi:10.2838/859030</t>
  </si>
  <si>
    <t xml:space="preserve">Commission-commissioned study</t>
  </si>
  <si>
    <t xml:space="preserve">mystery shopping of popular websites/apps; online experiments</t>
  </si>
  <si>
    <t xml:space="preserve">prevalence of dark patterns; consumer behaviour</t>
  </si>
  <si>
    <t xml:space="preserve">negative (persistent harm)</t>
  </si>
  <si>
    <t xml:space="preserve">97% of the most popular websites and apps used by EU consumers deployed at least one dark pattern; consumers have limited ability to recognise them</t>
  </si>
  <si>
    <t xml:space="preserve">Almost all of the most popular websites and apps used at least one manipulative design trick, years after the UCPD banned misleading and aggressive practices.</t>
  </si>
  <si>
    <t xml:space="preserve">EU, 2021-2022</t>
  </si>
  <si>
    <t xml:space="preserve">descriptive prevalence + experiments</t>
  </si>
  <si>
    <t xml:space="preserve">https://data.europa.eu/doi/10.2838/859030</t>
  </si>
  <si>
    <t xml:space="preserve">cpc-2023-dark-patterns-sweep</t>
  </si>
  <si>
    <t xml:space="preserve">European Commission and CPC Network (2023), Sweep of online shops for dark patterns (press release IP/23/418), IP/23/418, 30 January 2023</t>
  </si>
  <si>
    <t xml:space="preserve">enforcement record</t>
  </si>
  <si>
    <t xml:space="preserve">enforcement sweep (399 online shops, 23 Member States + NO, IS)</t>
  </si>
  <si>
    <t xml:space="preserve">compliance</t>
  </si>
  <si>
    <t xml:space="preserve">negative (non-compliance)</t>
  </si>
  <si>
    <t xml:space="preserve">148 of 399 online shops used at least one dark pattern (fake countdown timers, steering design, hidden information); 27 of 102 apps checked also did</t>
  </si>
  <si>
    <t xml:space="preserve">Consumer authorities found manipulative designs in almost 40% of online shops checked in 2022-23.</t>
  </si>
  <si>
    <t xml:space="preserve">EU/EEA, late 2022</t>
  </si>
  <si>
    <t xml:space="preserve">screening, not legal findings</t>
  </si>
  <si>
    <t xml:space="preserve">https://ec.europa.eu/commission/presscorner/detail/en/ip_23_418</t>
  </si>
  <si>
    <t xml:space="preserve">http://web.archive.org/web/20261004181804/https://ec.europa.eu/commission/presscorner/detail/en/ip_23_418</t>
  </si>
  <si>
    <t xml:space="preserve">ec-2024-digital-fairness-fitness-check</t>
  </si>
  <si>
    <t xml:space="preserve">European Commission (2024), Fitness Check of EU consumer law on digital fairness (executive summary SWD(2024) 231), SWD(2024) 230</t>
  </si>
  <si>
    <t xml:space="preserve">review 2017-2023 (surveys, consultation, detriment estimate)</t>
  </si>
  <si>
    <t xml:space="preserve">consumer detriment; compliance costs; effectiveness</t>
  </si>
  <si>
    <t xml:space="preserve">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</si>
  <si>
    <t xml:space="preserve">The Commission's 2024 review found the UCPD and sister directives still relevant and cheap to comply with, but only partly effective online, with consumers losing at least EUR 7.9 billion a year.</t>
  </si>
  <si>
    <t xml:space="preserve">EU, 2017-2023</t>
  </si>
  <si>
    <t xml:space="preserve">self-evaluation; detriment estimate conservative and not attributable to the directives</t>
  </si>
  <si>
    <t xml:space="preserve">full text read (executive summary)</t>
  </si>
  <si>
    <t xml:space="preserve">https://commission.europa.eu/document/download/d3b2a18b-7eec-4fe6-8421-8961a9ceb288_en</t>
  </si>
  <si>
    <t xml:space="preserve">ec-2024-omnibus-report</t>
  </si>
  <si>
    <t xml:space="preserve">European Commission (2024), Report on the implementation of Directive (EU) 2019/2161 (Modernisation/Omnibus Directive), COM(2024) 258</t>
  </si>
  <si>
    <t xml:space="preserve">implementation report (transposition, sweeps, surveys)</t>
  </si>
  <si>
    <t xml:space="preserve">penalties; price-reduction rules; consumer remedies</t>
  </si>
  <si>
    <t xml:space="preserve">too early</t>
  </si>
  <si>
    <t xml:space="preserve">Directive at an early stage of application; most Member States now provide fines of at least 4% of turnover for coordinated cross-border cases and individual remedies for victims of unfair practices; sweeps found 23% of price-reduction announcements breached the new rules</t>
  </si>
  <si>
    <t xml:space="preserve">The 2019 upgrade to the UCPD gave authorities bigger fines and consumers new remedies, but the Commission says it is too early to judge their effect.</t>
  </si>
  <si>
    <t xml:space="preserve">EU, 2022-2023</t>
  </si>
  <si>
    <t xml:space="preserve">descriptive</t>
  </si>
  <si>
    <t xml:space="preserve">https://eur-lex.europa.eu/legal-content/EN/TXT/?uri=CELEX:52024DC0258</t>
  </si>
  <si>
    <t xml:space="preserve">ec-2019-dac-evaluation</t>
  </si>
  <si>
    <t xml:space="preserve">European Commission (2019), Evaluation of Council Directive 2011/16/EU on administrative cooperation in the field of taxation, SWD(2019) 327 (executive summary SWD(2019) 328)</t>
  </si>
  <si>
    <t xml:space="preserve">ex-post evaluation (Member State data 2013-2017, consultation, contractor study)</t>
  </si>
  <si>
    <t xml:space="preserve">tax compliance; costs; benefits</t>
  </si>
  <si>
    <t xml:space="preserve">positive but weakly evidenced</t>
  </si>
  <si>
    <t xml:space="preserve">Limited evidence of effectiveness; cumulative costs about EUR 230m; the few monetised benefit estimates total about EUR 620m; monitoring failed to collect data on benefits</t>
  </si>
  <si>
    <t xml:space="preserve">The first evaluation found the tax-information exchange framework works, but data on its benefits were too thin to draw firm conclusions.</t>
  </si>
  <si>
    <t xml:space="preserve">EU, 2013-2017</t>
  </si>
  <si>
    <t xml:space="preserve">Commission self-assessment; data gaps acknowledged</t>
  </si>
  <si>
    <t xml:space="preserve">https://eur-lex.europa.eu/legal-content/EN/TXT/?uri=CELEX:52019SC0328</t>
  </si>
  <si>
    <t xml:space="preserve">ec-2025-dac-evaluation</t>
  </si>
  <si>
    <t xml:space="preserve">European Commission (2025), Report on the evaluation of Council Directive 2011/16/EU on administrative cooperation in the field of taxation, COM(2025) 695</t>
  </si>
  <si>
    <t xml:space="preserve">ex-post evaluation (contractor study, Member State estimates)</t>
  </si>
  <si>
    <t xml:space="preserve">tax revenue; administrative costs</t>
  </si>
  <si>
    <t xml:space="preserve">Benefits estimated at about EUR 6.8bn a year against recurring costs of about EUR 646m (EUR 604m on business); DAC6 complex and inconsistently applied; 5-15% of data cannot be matched</t>
  </si>
  <si>
    <t xml:space="preserve">The Commission's second evaluation estimates the rules bring in about EUR 6.8 billion a year in tax, roughly ten times their running cost, though most of the cost falls on business.</t>
  </si>
  <si>
    <t xml:space="preserve">EU, 2018-2023</t>
  </si>
  <si>
    <t xml:space="preserve">Commission self-assessment; benefit attribution acknowledged to be difficult</t>
  </si>
  <si>
    <t xml:space="preserve">https://eur-lex.europa.eu/legal-content/EN/TXT/?uri=CELEX:52025DC0695</t>
  </si>
  <si>
    <t xml:space="preserve">eca-2021-tax-exchange</t>
  </si>
  <si>
    <t xml:space="preserve">European Court of Auditors (2021), Exchanging tax information in the EU: solid foundation, cracks in the implementation, Special Report 03/2021</t>
  </si>
  <si>
    <t xml:space="preserve">audit report</t>
  </si>
  <si>
    <t xml:space="preserve">performance audit (5 Member States, 2014-2019)</t>
  </si>
  <si>
    <t xml:space="preserve">use of information; monitoring</t>
  </si>
  <si>
    <t xml:space="preserve">Framework well established but incomplete; information exchanged often of limited quality or underused; results not monitored</t>
  </si>
  <si>
    <t xml:space="preserve">EU auditors found the system sound in design, but much of the exchanged information is poor quality or unused, and nobody tracks the results.</t>
  </si>
  <si>
    <t xml:space="preserve">IT, NL, PL, ES, CY; 2014-2019</t>
  </si>
  <si>
    <t xml:space="preserve">independent audit</t>
  </si>
  <si>
    <t xml:space="preserve">https://op.europa.eu/webpub/eca/special-reports/tax-03-2021/en/</t>
  </si>
  <si>
    <t xml:space="preserve">https://www.eca.europa.eu/Lists/ECADocuments/SR21_03/SR_Exchange_tax_inform_EN.pdf</t>
  </si>
  <si>
    <t xml:space="preserve">http://web.archive.org/web/20250704043727/https://op.europa.eu/webpub/eca/special-reports/tax-03-2021/en/</t>
  </si>
  <si>
    <t xml:space="preserve">casi-spengel-stage-2020</t>
  </si>
  <si>
    <t xml:space="preserve">Casi, Spengel &amp; Stage (2020), Cross-border tax evasion after the common reporting standard: Game over?, Journal of Public Economics 190, 104240</t>
  </si>
  <si>
    <t xml:space="preserve">difference-in-differences (BIS bilateral deposit data)</t>
  </si>
  <si>
    <t xml:space="preserve">offshore deposits; tax evasion</t>
  </si>
  <si>
    <t xml:space="preserve">positive (with leakage)</t>
  </si>
  <si>
    <t xml:space="preserve">Automatic exchange under the CRS (implemented in the EU via DAC2) cut cross-border deposits in tax havens by 11.5%, but deposits relocated to non-participating jurisdictions, notably the US</t>
  </si>
  <si>
    <t xml:space="preserve">Automatic sharing of bank account data reduced money parked in tax havens by about 11.5%, but some of it simply moved to countries outside the scheme such as the US.</t>
  </si>
  <si>
    <t xml:space="preserve">global, 2014-2017</t>
  </si>
  <si>
    <t xml:space="preserve">causal; CRS not DAC-specific</t>
  </si>
  <si>
    <t xml:space="preserve">https://doi.org/10.1016/j.jpubeco.2020.104240</t>
  </si>
  <si>
    <t xml:space="preserve">https://ftp.zew.de/pub/zew-docs/dp/dp18036.pdf</t>
  </si>
  <si>
    <t xml:space="preserve">ec-2008-crd-ia</t>
  </si>
  <si>
    <t xml:space="preserve">European Commission (2008), Impact assessment accompanying the proposal for a Directive on consumer rights (summary SEC(2008) 2545), SEC(2008) 2544</t>
  </si>
  <si>
    <t xml:space="preserve">ex-ante (Eurobarometer, consultation)</t>
  </si>
  <si>
    <t xml:space="preserve">fragmentation costs; cross-border trade; consumer confidence</t>
  </si>
  <si>
    <t xml:space="preserve">Minimum-harmonisation clauses fragment national rules; 60% of traders see compliance with different national laws as an important obstacle; full harmonisation expected to boost cross-border sales and confidence</t>
  </si>
  <si>
    <t xml:space="preserve">The Commission argued that one set of consumer-contract rules would make it cheaper for shops to sell across borders and give shoppers more confidence.</t>
  </si>
  <si>
    <t xml:space="preserve">EU-27, 2008 baseline</t>
  </si>
  <si>
    <t xml:space="preserve">https://eur-lex.europa.eu/legal-content/EN/TXT/?uri=CELEX:52008SC2544</t>
  </si>
  <si>
    <t xml:space="preserve">uk-bis-2013-crd-ia</t>
  </si>
  <si>
    <t xml:space="preserve">UK Department for Business, Innovation and Skills (2013), Implementation of the EU Consumer Rights Directive (2011/83/EU): Impact Assessment - Final, BIS/13/1367 (IA BIS0396)</t>
  </si>
  <si>
    <t xml:space="preserve">national government impact assessment</t>
  </si>
  <si>
    <t xml:space="preserve">ex-ante (cost-benefit, 10 years, IFF retailer survey)</t>
  </si>
  <si>
    <t xml:space="preserve">business costs; harmonisation benefits</t>
  </si>
  <si>
    <t xml:space="preserve">Net present value GBP 2.57bn over 10 years (range 2.07-3.08bn); benefits dominated by an assumed GBP 358m a year from harmonisation; main ongoing cost GBP 56m a year from extended cancellation rights in distance sales</t>
  </si>
  <si>
    <t xml:space="preserve">The UK government expected the directive to bring a net benefit of about GBP 2.6 billion over ten years, almost all from easier cross-border selling - an assumption, not a measurement.</t>
  </si>
  <si>
    <t xml:space="preserve">UK, forecast 2013-2023</t>
  </si>
  <si>
    <t xml:space="preserve">forecast; benefit rests on harmonisation assumption</t>
  </si>
  <si>
    <t xml:space="preserve">full text read (summary sheets)</t>
  </si>
  <si>
    <t xml:space="preserve">https://assets.publishing.service.gov.uk/media/5a7f0e37ed915d74e62281cb/bis-13-1367-implementation-eu-consumer-rights-directive-impact-final.pdf</t>
  </si>
  <si>
    <t xml:space="preserve">http://web.archive.org/web/20260317092119/https://assets.publishing.service.gov.uk/media/5a7f0e37ed915d74e62281cb/bis-13-1367-implementation-eu-consumer-rights-directive-impact-final.pdf</t>
  </si>
  <si>
    <t xml:space="preserve">ec-2017-crd-evaluation</t>
  </si>
  <si>
    <t xml:space="preserve">European Commission (2017), Evaluation of the Consumer Rights Directive (executive summary SWD(2017) 170) and Report COM(2017) 259, SWD(2017) 169</t>
  </si>
  <si>
    <t xml:space="preserve">review (CRD study: surveys, mystery shopping, consultation)</t>
  </si>
  <si>
    <t xml:space="preserve">consumer protection; fragmentation; costs</t>
  </si>
  <si>
    <t xml:space="preserve">positive, early</t>
  </si>
  <si>
    <t xml:space="preserve">Directive in line with objectives of enhancing protection and reducing fragmentation, but evaluated early; too little data to conclude on business costs; withdrawal right the most common cross-border complaint; 25% of online shops tested lacked withdrawal information; recommends extending scope to 'free' digital services</t>
  </si>
  <si>
    <t xml:space="preserve">The Commission's 2017 review found the directive had helped, but it was too early and data were too thin to measure costs or benefits.</t>
  </si>
  <si>
    <t xml:space="preserve">EU, 2014-2016</t>
  </si>
  <si>
    <t xml:space="preserve">self-evaluation; early</t>
  </si>
  <si>
    <t xml:space="preserve">https://eur-lex.europa.eu/legal-content/EN/TXT/?uri=CELEX:52017SC0169</t>
  </si>
  <si>
    <t xml:space="preserve">uk-beis-2019-ccr-review</t>
  </si>
  <si>
    <t xml:space="preserve">UK Department for Business, Energy and Industrial Strategy (2019), Statutory Report on the Implementation of the Consumer Contracts (Information, Cancellation and Additional Charges) Regulations 2013, BEIS statutory review (July 2019)</t>
  </si>
  <si>
    <t xml:space="preserve">national post-implementation review</t>
  </si>
  <si>
    <t xml:space="preserve">review (call for evidence)</t>
  </si>
  <si>
    <t xml:space="preserve">objectives met; consumer reassurance</t>
  </si>
  <si>
    <t xml:space="preserve">Respondents generally felt the Regulations still meet their objectives; information and cancellation rules give consumers reassurance to engage; no quantification of the costs and benefits forecast in 2013</t>
  </si>
  <si>
    <t xml:space="preserve">Five years on, the UK review found the rules broadly working but did not check whether the forecast GBP 2.6 billion benefit had materialised.</t>
  </si>
  <si>
    <t xml:space="preserve">UK, 2014-2019</t>
  </si>
  <si>
    <t xml:space="preserve">stakeholder views only</t>
  </si>
  <si>
    <t xml:space="preserve">https://www.gov.uk/government/publications/statutory-report-on-the-implementation-of-the-consumer-contracts-regulations-2013</t>
  </si>
  <si>
    <t xml:space="preserve">https://assets.publishing.service.gov.uk/government/uploads/system/uploads/attachment_data/file/814448/Statutory_Report_on_the_Implementation_of_the_Consumer_Contracts.pdf</t>
  </si>
  <si>
    <t xml:space="preserve">borges-irlenbusch-2007</t>
  </si>
  <si>
    <t xml:space="preserve">Borges &amp; Irlenbusch (2007), Fairness Crowded Out by Law: An Experimental Study on Withdrawal Rights, Journal of Institutional and Theoretical Economics 163(1): 84-101</t>
  </si>
  <si>
    <t xml:space="preserve">causal: laboratory experiment (voluntary vs mandatory withdrawal right)</t>
  </si>
  <si>
    <t xml:space="preserve">return behaviour</t>
  </si>
  <si>
    <t xml:space="preserve">After Germany legislated a withdrawal right, returns rose sharply though most sellers already offered returns; in the lab, voluntarily offered return rights are reciprocated with less exploitation than legally mandated ones; small return costs barely change behaviour</t>
  </si>
  <si>
    <t xml:space="preserve">A lab experiment suggests that when the law, rather than the seller, grants a right to return goods, buyers use it more aggressively - relevant to the cost of the CRD's 14-day withdrawal right.</t>
  </si>
  <si>
    <t xml:space="preserve">Germany (pre-CRD distance-selling law); lab</t>
  </si>
  <si>
    <t xml:space="preserve">lab experiment; external validity limited; predates CRD</t>
  </si>
  <si>
    <t xml:space="preserve">https://doi.org/10.1628/093245607780181937</t>
  </si>
  <si>
    <t xml:space="preserve">ec-2024-digital-fairness-fitness-check-crd</t>
  </si>
  <si>
    <t xml:space="preserve">consumer detriment; compliance costs; simplification</t>
  </si>
  <si>
    <t xml:space="preserve">Covers CRD with UCPD and UCTD: effectiveness 'limited'; consumer detriment online at least EUR 7.9bn a year; compliance costs about EUR 511-737m a year; problems with cancelling and renewing digital subscriptions; information duties and the right of withdrawal identified as areas for simplification</t>
  </si>
  <si>
    <t xml:space="preserve">The 2024 review found the CRD still relevant and not costly, but weak against subscription traps and other online problems, and suggested simplifying its information and withdrawal rules.</t>
  </si>
  <si>
    <t xml:space="preserve">ec-2011-standardisation-ia</t>
  </si>
  <si>
    <t xml:space="preserve">European Commission (2011), Impact Assessment accompanying the proposal for a Regulation on European standardisation (executive summary), SEC(2011) 672</t>
  </si>
  <si>
    <t xml:space="preserve">ex-ante</t>
  </si>
  <si>
    <t xml:space="preserve">speed of standard-setting; inclusiveness; EU budget</t>
  </si>
  <si>
    <t xml:space="preserve">Problem defined as slow standard-setting and weak SME/societal participation; options costed qualitatively (e.g. extra EUR 150,000-200,000 per standard for some options); no headline economic forecast</t>
  </si>
  <si>
    <t xml:space="preserve">The Commission aimed to speed up European standard-setting and give small firms and civil society more voice, without a quantified economic forecast.</t>
  </si>
  <si>
    <t xml:space="preserve">EU, forecast</t>
  </si>
  <si>
    <t xml:space="preserve">forecast</t>
  </si>
  <si>
    <t xml:space="preserve">https://eur-lex.europa.eu/legal-content/EN/TXT/?uri=CELEX:52011SC0672</t>
  </si>
  <si>
    <t xml:space="preserve">http://web.archive.org/web/20251121112501/https://eur-lex.europa.eu/legal-content/EN/TXT/?uri=CELEX:52011SC0672</t>
  </si>
  <si>
    <t xml:space="preserve">ec-2022-standardisation-report</t>
  </si>
  <si>
    <t xml:space="preserve">European Commission (2022), Report on the implementation of Regulation (EU) No 1025/2012 from 2016 to 2020, COM(2022) 30</t>
  </si>
  <si>
    <t xml:space="preserve">Commission implementation report</t>
  </si>
  <si>
    <t xml:space="preserve">monitoring report (Article 24 reporting, contractor study)</t>
  </si>
  <si>
    <t xml:space="preserve">delivery times; inclusiveness; funding</t>
  </si>
  <si>
    <t xml:space="preserve">Median 100 days from ESO adoption to delivery for citation; formal objections take on average 1,084 days; 6 of 44 requests rejected; EUR 105m grants 2015-2019; ETSI inclusiveness criticised</t>
  </si>
  <si>
    <t xml:space="preserve">The Commission's second implementation report found improvements in IT tools but persistent delays and weak inclusion of small firms and civil society.</t>
  </si>
  <si>
    <t xml:space="preserve">EU, 2016-2020</t>
  </si>
  <si>
    <t xml:space="preserve">descriptive monitoring</t>
  </si>
  <si>
    <t xml:space="preserve">https://eur-lex.europa.eu/legal-content/EN/TXT/?uri=CELEX:52022DC0030</t>
  </si>
  <si>
    <t xml:space="preserve">http://web.archive.org/web/20250716123838/https://eur-lex.europa.eu/legal-content/EN/TXT/?uri=celex:52022DC0030</t>
  </si>
  <si>
    <t xml:space="preserve">ec-2025-standardisation-evaluation</t>
  </si>
  <si>
    <t xml:space="preserve">European Commission (2025), Evaluation of Regulation (EU) No 1025/2012 on European standardisation (executive summary), SWD(2025) 171 (full evaluation SWD(2025) 170; supporting study by Intellera, Fraunhofer ISI and Trinomics)</t>
  </si>
  <si>
    <t xml:space="preserve">ex-post evaluation (contractor study, surveys, consultation)</t>
  </si>
  <si>
    <t xml:space="preserve">speed; inclusiveness; costs; EU added value</t>
  </si>
  <si>
    <t xml:space="preserve">Moderately effective in speeding up harmonised standards, but average duration still six years; moderately effective on SME/civil society participation; benefits judged to outweigh costs despite poor data; new procedures after CJEU case law made the process slower</t>
  </si>
  <si>
    <t xml:space="preserve">The 2025 evaluation found the Regulation removed conflicting national standards and modestly sped things up, but harmonised standards still take about six years to produce.</t>
  </si>
  <si>
    <t xml:space="preserve">EU, 2013-2024</t>
  </si>
  <si>
    <t xml:space="preserve">Commission self-assessment; cost data weak</t>
  </si>
  <si>
    <t xml:space="preserve">full text read (executive summary, via Council register)</t>
  </si>
  <si>
    <t xml:space="preserve">https://data.consilium.europa.eu/doc/document/ST-10804-2025-INIT/en/pdf</t>
  </si>
  <si>
    <t xml:space="preserve">ec-2012-eidas-ia</t>
  </si>
  <si>
    <t xml:space="preserve">European Commission (2012), Impact Assessment accompanying the proposal for a Regulation on electronic identification and trust services for electronic transactions in the internal market (executive summary SWD(2012) 136), SWD(2012) 135</t>
  </si>
  <si>
    <t xml:space="preserve">ex-ante (qualitative comparison of options)</t>
  </si>
  <si>
    <t xml:space="preserve">cross-border e-transactions; market fragmentation; trust</t>
  </si>
  <si>
    <t xml:space="preserve">Preferred option (comprehensive framework incl. ancillary trust services) expected to boost availability and take-up of cross-border eID and trust services; executive summary gives no monetised benefit estimate</t>
  </si>
  <si>
    <t xml:space="preserve">The Commission expected one EU framework for e-ID and e-signatures to remove barriers to secure online transactions across borders, but did not put a number on the gains.</t>
  </si>
  <si>
    <t xml:space="preserve">qualitative forecast</t>
  </si>
  <si>
    <t xml:space="preserve">https://eur-lex.europa.eu/legal-content/EN/TXT/?uri=CELEX:52012SC0136</t>
  </si>
  <si>
    <t xml:space="preserve">ec-2021-eidas-evaluation</t>
  </si>
  <si>
    <t xml:space="preserve">European Commission (2021), Report on the evaluation of Regulation (EU) No 910/2014 (eIDAS), COM(2021) 290</t>
  </si>
  <si>
    <t xml:space="preserve">ex-post evaluation (consultations, cost-benefit baseline)</t>
  </si>
  <si>
    <t xml:space="preserve">eID coverage and uptake; trust services; costs and benefits</t>
  </si>
  <si>
    <t xml:space="preserve">Regulation has not achieved its potential on eID: notified eIDs cover 59% of population, acceptance limited, quantifiable costs higher than benefits due to low uptake; trust services: legal certainty achieved, take-up increased, market fragmentation reduced but no full level playing field</t>
  </si>
  <si>
    <t xml:space="preserve">The Commission's own evaluation found the e-signature and trust-service rules worked reasonably well, but the cross-border e-ID part had so little use that its costs exceeded its benefits.</t>
  </si>
  <si>
    <t xml:space="preserve">EU, 2014-2020</t>
  </si>
  <si>
    <t xml:space="preserve">evaluation with acknowledged data limits</t>
  </si>
  <si>
    <t xml:space="preserve">https://eur-lex.europa.eu/legal-content/EN/TXT/?uri=CELEX:52021DC0290</t>
  </si>
  <si>
    <t xml:space="preserve">ec-2021-eidas-evaluation-swd</t>
  </si>
  <si>
    <t xml:space="preserve">European Commission (2021), Staff Working Document accompanying the evaluation of the eIDAS Regulation, SWD(2021) 130</t>
  </si>
  <si>
    <t xml:space="preserve">ex-post evaluation; stakeholder surveys; cost-benefit analysis based on stakeholder estimates</t>
  </si>
  <si>
    <t xml:space="preserve">trust service market; private-sector eID use; costs</t>
  </si>
  <si>
    <t xml:space="preserve">202 active qualified trust service providers in 29 of 30 EU/EEA countries; only 12 Member States notified eID schemes usable by private providers; costs borne mainly by public authorities, benefits mainly by users and market operators; data dispersion large</t>
  </si>
  <si>
    <t xml:space="preserve">Detailed evaluation: a real EU market for qualified trust services emerged (202 providers), but private companies hardly use national e-IDs across borders.</t>
  </si>
  <si>
    <t xml:space="preserve">EU/EEA, 2014-2020</t>
  </si>
  <si>
    <t xml:space="preserve">indicative; stakeholder-reported cost data</t>
  </si>
  <si>
    <t xml:space="preserve">https://eur-lex.europa.eu/legal-content/EN/TXT/?uri=CELEX:52021SC0130</t>
  </si>
  <si>
    <t xml:space="preserve">ec-2021-eidas-council-presentation</t>
  </si>
  <si>
    <t xml:space="preserve">European Commission (presentation to Council Telecom Working Party) (2021), Revision of the eIDAS Regulation - European Digital Identity: evaluation preliminary results, Council document WK 163/2021, 7 Jan 2021</t>
  </si>
  <si>
    <t xml:space="preserve">Commission evaluation (presentation)</t>
  </si>
  <si>
    <t xml:space="preserve">descriptive usage data</t>
  </si>
  <si>
    <t xml:space="preserve">eID coverage; acceptance; cross-border use</t>
  </si>
  <si>
    <t xml:space="preserve">negative (low uptake)</t>
  </si>
  <si>
    <t xml:space="preserve">19 notified schemes from 14 Member States (59% of population); 67% of Member States can accept notified eIDs; 14% of key cross-border public services offer eIDAS login; 100-30,000 successful cross-border authentications a year vs millions domestically</t>
  </si>
  <si>
    <t xml:space="preserve">Cross-border logins with national e-IDs numbered only between a hundred and thirty thousand a year per country, against millions of domestic logins.</t>
  </si>
  <si>
    <t xml:space="preserve">EU-27, 2020</t>
  </si>
  <si>
    <t xml:space="preserve">preliminary figures</t>
  </si>
  <si>
    <t xml:space="preserve">https://data.consilium.europa.eu/doc/document/WK-163-2021-INIT/en/pdf</t>
  </si>
  <si>
    <t xml:space="preserve">ec-2026-notified-eid-overview</t>
  </si>
  <si>
    <t xml:space="preserve">European Commission (eID User Community) (2026), Overview of pre-notified and notified eID schemes under eIDAS, Commission web page, last updated 2 Feb 2026</t>
  </si>
  <si>
    <t xml:space="preserve">official register</t>
  </si>
  <si>
    <t xml:space="preserve">administrative data</t>
  </si>
  <si>
    <t xml:space="preserve">eID notification</t>
  </si>
  <si>
    <t xml:space="preserve">positive (coverage growing)</t>
  </si>
  <si>
    <t xml:space="preserve">Notified schemes listed for 24 of 27 Member States (first: Germany 2017; latest additions Romania 2024, France Identite 2024, Finland 2025); no notified scheme for Greece, Hungary or Ireland</t>
  </si>
  <si>
    <t xml:space="preserve">By 2026, 24 of 27 EU countries had notified a national e-ID for cross-border use, up from 14 in 2021.</t>
  </si>
  <si>
    <t xml:space="preserve">EU/EEA, 2017-2026</t>
  </si>
  <si>
    <t xml:space="preserve">administrative register</t>
  </si>
  <si>
    <t xml:space="preserve">https://ec.europa.eu/digital-building-blocks/sites/display/EIDCOMMUNITY/Overview+of+pre-notified+and+notified+eID+schemes+under+eIDAS</t>
  </si>
  <si>
    <t xml:space="preserve">lips-bharosa-draheim-2020</t>
  </si>
  <si>
    <t xml:space="preserve">Lips, Bharosa &amp; Draheim (2020), eIDAS Implementation Challenges: The Case of Estonia and the Netherlands, Communications in Computer and Information Science vol. 1349 (EGOSE 2020), Springer</t>
  </si>
  <si>
    <t xml:space="preserve">comparative case study (qualitative)</t>
  </si>
  <si>
    <t xml:space="preserve">implementation</t>
  </si>
  <si>
    <t xml:space="preserve">Compares eIDAS implementation in two digitally advanced countries; finds the regulation raised many practical questions and identifies research gaps</t>
  </si>
  <si>
    <t xml:space="preserve">A comparison of Estonia and the Netherlands shows that even digital front-runners struggled with practical questions in applying eIDAS.</t>
  </si>
  <si>
    <t xml:space="preserve">EE, NL</t>
  </si>
  <si>
    <t xml:space="preserve">qualitative; two countries</t>
  </si>
  <si>
    <t xml:space="preserve">https://doi.org/10.1007/978-3-030-67238-6_6</t>
  </si>
  <si>
    <t xml:space="preserve">ec-2013-psd2-ia</t>
  </si>
  <si>
    <t xml:space="preserve">European Commission (2013), Impact Assessment accompanying the proposals for PSD2 and the Interchange Fee Regulation (summary SWD(2013) 289), SWD(2013) 288</t>
  </si>
  <si>
    <t xml:space="preserve">costs and prices; standardisation</t>
  </si>
  <si>
    <t xml:space="preserve">Package-level estimates: card standardisation benefits ~EUR 4bn/yr; interchange-fee caps EUR 3-6bn/yr operational savings for merchants (these relate mainly to the Interchange Fee Regulation, not PSD2)</t>
  </si>
  <si>
    <t xml:space="preserve">The Commission expected the payments package to save merchants and consumers billions a year, mostly through caps on card fees set in a separate regulation.</t>
  </si>
  <si>
    <t xml:space="preserve">forecast; most quantified benefits belong to the companion Interchange Fee Regulation</t>
  </si>
  <si>
    <t xml:space="preserve">https://eur-lex.europa.eu/legal-content/EN/TXT/?uri=CELEX:52013SC0289</t>
  </si>
  <si>
    <t xml:space="preserve">ec-2023-psd2-review</t>
  </si>
  <si>
    <t xml:space="preserve">European Commission (2023), Report on the review of Directive (EU) 2015/2366 (PSD2), COM(2023) 365, with evaluation in SWD(2023) 231</t>
  </si>
  <si>
    <t xml:space="preserve">evaluation (market data, consultation)</t>
  </si>
  <si>
    <t xml:space="preserve">fraud; competition; open banking; prices</t>
  </si>
  <si>
    <t xml:space="preserve">SCA highly successful against fraud (70-80% lower fraud on SCA remote card payments); new non-bank entrants and open-banking growth but uneven uptake and poor API performance; merchant cost reductions not yet materialised; card systems still national</t>
  </si>
  <si>
    <t xml:space="preserve">PSD2 sharply reduced card fraud and let many new payment firms enter, but open banking has taken off unevenly and promised savings for merchants have not yet appeared.</t>
  </si>
  <si>
    <t xml:space="preserve">EU, 2018-2022</t>
  </si>
  <si>
    <t xml:space="preserve">https://eur-lex.europa.eu/legal-content/EN/TXT/?uri=CELEX:52023DC0365</t>
  </si>
  <si>
    <t xml:space="preserve">babina-et-al-2024</t>
  </si>
  <si>
    <t xml:space="preserve">Babina, Bahaj, Buchak, De Marco, Foulis, Gornall, Mazzola &amp; Yu (2024), Customer Data Access and Fintech Entry: Early Evidence from Open Banking, NBER Working Paper 32089 (also Bank of England staff working paper)</t>
  </si>
  <si>
    <t xml:space="preserve">causal: cross-country staggered adoption (49 countries) + UK microdata + calibrated model</t>
  </si>
  <si>
    <t xml:space="preserve">innovation (fintech investment); credit access; welfare</t>
  </si>
  <si>
    <t xml:space="preserve">positive (with distributional costs)</t>
  </si>
  <si>
    <t xml:space="preserve">Open-banking adoption spurs investment in fintechs; in the UK it gives consumers access to advice and credit and SMEs new fintech lending relationships; welfare gains from advice, mixed for credit (higher prices for costlier or privacy-conscious consumers)</t>
  </si>
  <si>
    <t xml:space="preserve">Across 49 countries, open-banking rules like those in PSD2 attracted more investment into fintech start-ups and widened access to credit, though some consumers end up paying more.</t>
  </si>
  <si>
    <t xml:space="preserve">49 countries; UK microdata</t>
  </si>
  <si>
    <t xml:space="preserve">not EU-specific; PSD2 is one of the policies studied</t>
  </si>
  <si>
    <t xml:space="preserve">https://www.nber.org/papers/w32089</t>
  </si>
  <si>
    <t xml:space="preserve">https://www.nber.org/system/files/working_papers/w32089/w32089.pdf</t>
  </si>
  <si>
    <t xml:space="preserve">multisafepay-sca-conversion</t>
  </si>
  <si>
    <t xml:space="preserve">MultiSafepay (2021), How PSD2 &amp; Strong Customer Authentication affect your payment success rates, Industry blog (payment service provider)</t>
  </si>
  <si>
    <t xml:space="preserve">industry</t>
  </si>
  <si>
    <t xml:space="preserve">descriptive (own transaction data)</t>
  </si>
  <si>
    <t xml:space="preserve">firm performance (online conversion)</t>
  </si>
  <si>
    <t xml:space="preserve">negative (friction)</t>
  </si>
  <si>
    <t xml:space="preserve">Average conversion for 3DS-authenticated card payments about 82%; gap vs non-authenticated flows about 7% in NL and about 13% in IT and ES</t>
  </si>
  <si>
    <t xml:space="preserve">Payment-industry data suggest the extra authentication step costs online shops some sales, with bigger losses in southern Europe.</t>
  </si>
  <si>
    <t xml:space="preserve">European markets</t>
  </si>
  <si>
    <t xml:space="preserve">vendor data; not independent; no counterfactual</t>
  </si>
  <si>
    <t xml:space="preserve">Payment service provider</t>
  </si>
  <si>
    <t xml:space="preserve">https://www.multisafepay.com/blog/how-psd2-strong-customer-authentication-affect-your-payment-success-rates</t>
  </si>
  <si>
    <t xml:space="preserve">ec-2013-connected-continent-ia</t>
  </si>
  <si>
    <t xml:space="preserve">European Commission (2013), Impact Assessment on the European Single Market for electronic communications / Connected Continent (executive summary SWD(2013) 332), SWD(2013) 331</t>
  </si>
  <si>
    <t xml:space="preserve">single market benefits; operator revenues</t>
  </si>
  <si>
    <t xml:space="preserve">Direct benefit of a single market for electronic communications about EUR 110bn a year plus spill-overs; net neutrality part of a wider package (most of which was dropped)</t>
  </si>
  <si>
    <t xml:space="preserve">The Commission put the benefit of its wider telecoms package, including open internet rules, at about EUR 110 billion a year, but did not estimate the net neutrality part separately.</t>
  </si>
  <si>
    <t xml:space="preserve">forecast; package-wide</t>
  </si>
  <si>
    <t xml:space="preserve">https://eur-lex.europa.eu/legal-content/EN/TXT/?uri=CELEX:52013SC0332</t>
  </si>
  <si>
    <t xml:space="preserve">ec-2019-open-internet-report</t>
  </si>
  <si>
    <t xml:space="preserve">European Commission (2019), Report on the implementation of the open internet access provisions of Regulation (EU) 2015/2120, COM(2019) 203</t>
  </si>
  <si>
    <t xml:space="preserve">implementation review (NRA and BEREC reports, stakeholder input)</t>
  </si>
  <si>
    <t xml:space="preserve">end-user rights; investment; innovation</t>
  </si>
  <si>
    <t xml:space="preserve">Principles appropriate and effective; implementation consistent; main issues transparency, zero-rating and traffic management; regulation 'does not seem to affect' ISP investment</t>
  </si>
  <si>
    <t xml:space="preserve">The Commission's first review found the rules applied consistently and judged that they had not harmed network investment, though without hard data.</t>
  </si>
  <si>
    <t xml:space="preserve">EU, 2016-18</t>
  </si>
  <si>
    <t xml:space="preserve">qualitative review</t>
  </si>
  <si>
    <t xml:space="preserve">https://eur-lex.europa.eu/legal-content/EN/TXT/?uri=CELEX:52019DC0203</t>
  </si>
  <si>
    <t xml:space="preserve">ec-2023-open-internet-report</t>
  </si>
  <si>
    <t xml:space="preserve">European Commission (2023), Second report on the implementation of the open internet access provisions of Regulation (EU) 2015/2120, COM(2023) 233</t>
  </si>
  <si>
    <t xml:space="preserve">implementation review (BEREC Opinion BoR(22)163, ICF/WIK study, CJEU case law)</t>
  </si>
  <si>
    <t xml:space="preserve">end-user rights; zero-rating; specialised services</t>
  </si>
  <si>
    <t xml:space="preserve">Principles remain relevant; CJEU judgments (2020-21) ruled application-specific zero-tariff options incompatible; legal uncertainty on specialised services/5G slicing may chill investment; few and low penalties</t>
  </si>
  <si>
    <t xml:space="preserve">The second review found the rules still fit for purpose, after EU court rulings ended most zero-rating offers, but noted uncertainty about new 5G services.</t>
  </si>
  <si>
    <t xml:space="preserve">EU, 2019-23</t>
  </si>
  <si>
    <t xml:space="preserve">https://eur-lex.europa.eu/legal-content/EN/TXT/?uri=CELEX:52023DC0233</t>
  </si>
  <si>
    <t xml:space="preserve">briglauer-et-al-2022-net-neutrality</t>
  </si>
  <si>
    <t xml:space="preserve">Briglauer, Cambini, Gugler &amp; Stocker (2022), Net neutrality and high-speed broadband networks: evidence from OECD countries, European Journal of Law and Economics</t>
  </si>
  <si>
    <t xml:space="preserve">panel econometrics with instrumental variables (32 OECD countries, 2003-2019)</t>
  </si>
  <si>
    <t xml:space="preserve">fibre investment; fibre subscriptions</t>
  </si>
  <si>
    <t xml:space="preserve">Net neutrality regulations have a significant and strong negative impact on fibre investment; strict rules slow fibre deployment; no overall welfare assessment</t>
  </si>
  <si>
    <t xml:space="preserve">A study of 32 OECD countries finds strict net neutrality rules slowed investment in fibre broadband, though it does not weigh benefits for content providers or consumers.</t>
  </si>
  <si>
    <t xml:space="preserve">OECD, 2003-19</t>
  </si>
  <si>
    <t xml:space="preserve">causal (IV panel); cross-country, not EU-regulation-specific</t>
  </si>
  <si>
    <t xml:space="preserve">https://doi.org/10.1007/s10657-022-09754-5</t>
  </si>
  <si>
    <t xml:space="preserve">epicenter-2019-net-neutrality</t>
  </si>
  <si>
    <t xml:space="preserve">epicenter.works (2019), The Net Neutrality Situation in the EU: Evaluation of the First Two Years of Enforcement, NGO report</t>
  </si>
  <si>
    <t xml:space="preserve">NGO report</t>
  </si>
  <si>
    <t xml:space="preserve">survey of 186 differential-pricing offers; OLS regression on Commission mobile price data</t>
  </si>
  <si>
    <t xml:space="preserve">zero-rating; mobile data prices</t>
  </si>
  <si>
    <t xml:space="preserve">negative (zero-rating)</t>
  </si>
  <si>
    <t xml:space="preserve">Zero-rating in all but two EU countries; in markets with zero-rating in both years mobile data prices rose 2% (2015-16) vs fell 8% where none existed; later analysis (excl. Finland) +1% vs -10%</t>
  </si>
  <si>
    <t xml:space="preserve">A digital-rights NGO found zero-rating offers spread widely and that mobile data got cheaper more slowly where they existed.</t>
  </si>
  <si>
    <t xml:space="preserve">EU/EEA, 2015-18</t>
  </si>
  <si>
    <t xml:space="preserve">Advocacy NGO campaigning for strict net neutrality</t>
  </si>
  <si>
    <t xml:space="preserve">https://epicenter.works/fileadmin/import/2019_netneutrality_in_eu-epicenter.works-r1.pdf</t>
  </si>
  <si>
    <t xml:space="preserve">kiraly-schwarz-2019-zero-rating</t>
  </si>
  <si>
    <t xml:space="preserve">Király &amp; Schwarz (RTR) (2019), Zero-Rating in the EU: An empirical investigation into the effects on data caps and prices in 15 countries, Austrian regulator RTR study (presented at Cullen International seminar, 4 Sept 2019)</t>
  </si>
  <si>
    <t xml:space="preserve">national regulator study</t>
  </si>
  <si>
    <t xml:space="preserve">panel and quantile regressions with operator fixed effects (11,000+ tariffs, 53 operators, 15 countries, 2015-18)</t>
  </si>
  <si>
    <t xml:space="preserve">data caps; price per GB; monthly fee</t>
  </si>
  <si>
    <t xml:space="preserve">Share of tariffs with zero-rating rose fivefold; effect on included data, price per GB and monthly fee varies strongly across countries, time and app categories, with no identifiable pattern; supports case-by-case assessment</t>
  </si>
  <si>
    <t xml:space="preserve">Austria's telecoms regulator found no consistent effect of zero-rating on data allowances or prices across 15 EU countries.</t>
  </si>
  <si>
    <t xml:space="preserve">15 EU countries, 2015-18</t>
  </si>
  <si>
    <t xml:space="preserve">econometric (fixed effects); correlational</t>
  </si>
  <si>
    <t xml:space="preserve">https://www.rtr.at/TKP/aktuelles/publikationen/publikationen/ZeroRatingEU2019.en.html</t>
  </si>
  <si>
    <t xml:space="preserve">https://www.cullen-international.com/dam/jcr:f52e951f-2395-46ea-8a52-3266bace848a/Zero-Rating-in-the-EU-Andras-Robert-Kirali-Anton-Schwarz-RTR.pdf</t>
  </si>
  <si>
    <t xml:space="preserve">ec-2012-gdpr-ia</t>
  </si>
  <si>
    <t xml:space="preserve">European Commission (2012), Impact Assessment accompanying the data protection reform (executive summary SEC(2012) 73), SEC(2012) 72</t>
  </si>
  <si>
    <t xml:space="preserve">ex-ante (Standard Cost Model)</t>
  </si>
  <si>
    <t xml:space="preserve">administrative burden; internal market</t>
  </si>
  <si>
    <t xml:space="preserve">Fragmentation costs firms about EUR 2.9bn/yr in administrative burden; the reform would save about EUR 2.3bn/yr</t>
  </si>
  <si>
    <t xml:space="preserve">The Commission expected the GDPR to cut red tape for businesses by about EUR 2.3 billion a year by replacing 28 national regimes with one.</t>
  </si>
  <si>
    <t xml:space="preserve">forecast; covers administrative burden only, not compliance costs</t>
  </si>
  <si>
    <t xml:space="preserve">https://eur-lex.europa.eu/legal-content/EN/TXT/?uri=CELEX:52012SC0073</t>
  </si>
  <si>
    <t xml:space="preserve">ec-2024-gdpr-report</t>
  </si>
  <si>
    <t xml:space="preserve">European Commission (2024), Second report on the application of the General Data Protection Regulation, COM(2024) 357</t>
  </si>
  <si>
    <t xml:space="preserve">review (enforcement statistics, stakeholder input)</t>
  </si>
  <si>
    <t xml:space="preserve">enforcement; resources; SMEs</t>
  </si>
  <si>
    <t xml:space="preserve">Over 6,680 fines (~EUR 4.2bn); DPA staff up &gt;25% in 14 Member States; calls for more support for SMEs and more consistent interpretation; no estimate of costs or benefits</t>
  </si>
  <si>
    <t xml:space="preserve">The Commission judges the GDPR to be working but says enforcement is uneven between countries and SMEs need more practical help.</t>
  </si>
  <si>
    <t xml:space="preserve">EU, 2018-2024</t>
  </si>
  <si>
    <t xml:space="preserve">self-evaluation; no economic impact estimates</t>
  </si>
  <si>
    <t xml:space="preserve">https://eur-lex.europa.eu/legal-content/EN/TXT/?uri=CELEX:52024DC0357</t>
  </si>
  <si>
    <t xml:space="preserve">jia-jin-wagman-2021</t>
  </si>
  <si>
    <t xml:space="preserve">Jia, Jin &amp; Wagman (2021), The Short-Run Effects of the General Data Protection Regulation on Technology Venture Investment, Marketing Science (NBER w25248)</t>
  </si>
  <si>
    <t xml:space="preserve">causal: difference-in-differences (EU vs US ventures)</t>
  </si>
  <si>
    <t xml:space="preserve">venture investment</t>
  </si>
  <si>
    <t xml:space="preserve">Negative post-GDPR effects on EU tech ventures relative to US ones in the number of deals, total amounts raised and amount per deal</t>
  </si>
  <si>
    <t xml:space="preserve">After the GDPR, EU technology start-ups raised less venture funding, in fewer deals, than comparable US start-ups.</t>
  </si>
  <si>
    <t xml:space="preserve">EU vs US, 2018</t>
  </si>
  <si>
    <t xml:space="preserve">short-run only</t>
  </si>
  <si>
    <t xml:space="preserve">paywalled (NBER version open)</t>
  </si>
  <si>
    <t xml:space="preserve">https://www.nber.org/papers/w25248</t>
  </si>
  <si>
    <t xml:space="preserve">johnson-shriver-goldberg-2023</t>
  </si>
  <si>
    <t xml:space="preserve">Johnson, Shriver &amp; Goldberg (2023), Privacy and Market Concentration: Intended and Unintended Consequences of the GDPR, Management Science 69(10)</t>
  </si>
  <si>
    <t xml:space="preserve">causal: event study (27,000+ websites)</t>
  </si>
  <si>
    <t xml:space="preserve">competition (web technology vendors)</t>
  </si>
  <si>
    <t xml:space="preserve">negative (higher concentration)</t>
  </si>
  <si>
    <t xml:space="preserve">Website use of web-technology vendors fell 15% for EU users in the week after enforcement; vendor-market concentration rose 17%, mainly benefiting Google and Facebook; aggregate effects faded by end-2018 but persisted for advertising vendors</t>
  </si>
  <si>
    <t xml:space="preserve">The GDPR led websites to drop smaller data vendors, increasing the market share of Google and Facebook.</t>
  </si>
  <si>
    <t xml:space="preserve">global websites, 2018</t>
  </si>
  <si>
    <t xml:space="preserve">short-run; persistence only for ad vendors</t>
  </si>
  <si>
    <t xml:space="preserve">https://doi.org/10.1287/mnsc.2023.4709</t>
  </si>
  <si>
    <t xml:space="preserve">goldberg-johnson-shriver-2024</t>
  </si>
  <si>
    <t xml:space="preserve">Goldberg, Johnson &amp; Shriver (2024), Regulating Privacy Online: An Economic Evaluation of the GDPR, American Economic Journal: Economic Policy 16(1)</t>
  </si>
  <si>
    <t xml:space="preserve">causal: difference-in-differences (1,084 online firms, Adobe Analytics)</t>
  </si>
  <si>
    <t xml:space="preserve">firm performance (web traffic, revenue)</t>
  </si>
  <si>
    <t xml:space="preserve">About 12% fewer recorded EU page views and 12% less recorded website revenue after enforcement, decomposed into real effects and reduced data recording</t>
  </si>
  <si>
    <t xml:space="preserve">Websites recorded about 12% fewer visits and revenue from EU users after the GDPR, partly because less data was collected.</t>
  </si>
  <si>
    <t xml:space="preserve">1,084 firms, 2018</t>
  </si>
  <si>
    <t xml:space="preserve">measured effect mixes real and recording effects</t>
  </si>
  <si>
    <t xml:space="preserve">https://doi.org/10.1257/pol.20210309</t>
  </si>
  <si>
    <t xml:space="preserve">peukert-et-al-2022</t>
  </si>
  <si>
    <t xml:space="preserve">Peukert, Bechtold, Batikas &amp; Kretschmer (2022), Regulatory Spillovers and Data Governance: Evidence from the GDPR, Marketing Science</t>
  </si>
  <si>
    <t xml:space="preserve">causal: difference-in-differences (websites)</t>
  </si>
  <si>
    <t xml:space="preserve">negative (higher concentration; spillovers)</t>
  </si>
  <si>
    <t xml:space="preserve">The GDPR affected websites beyond the EU and increased market concentration among web technology vendors</t>
  </si>
  <si>
    <t xml:space="preserve">The GDPR's effects spread beyond the EU and strengthened the position of the largest web-technology providers.</t>
  </si>
  <si>
    <t xml:space="preserve">global, 2018</t>
  </si>
  <si>
    <t xml:space="preserve">https://doi.org/10.1287/mksc.2021.1339</t>
  </si>
  <si>
    <t xml:space="preserve">janssen-et-al-2022</t>
  </si>
  <si>
    <t xml:space="preserve">Janssen, Kesler, Kummer &amp; Waldfogel (2022), GDPR and the Lost Generation of Innovative Apps, NBER Working Paper 30028</t>
  </si>
  <si>
    <t xml:space="preserve">causal + structural model (4.1m Google Play apps, 2016-2019)</t>
  </si>
  <si>
    <t xml:space="preserve">innovation (app entry/exit); consumer welfare</t>
  </si>
  <si>
    <t xml:space="preserve">GDPR induced the exit of about a third of available apps; new app entry fell by half; long-run consumer surplus and app usage about a third lower</t>
  </si>
  <si>
    <t xml:space="preserve">The GDPR pushed about a third of apps off Google Play and halved the launch of new apps, reducing consumer welfare by an estimated third.</t>
  </si>
  <si>
    <t xml:space="preserve">Google Play, 2016-2019</t>
  </si>
  <si>
    <t xml:space="preserve">structural model drives the welfare estimate</t>
  </si>
  <si>
    <t xml:space="preserve">https://www.nber.org/papers/w30028</t>
  </si>
  <si>
    <t xml:space="preserve">frey-presidente-2024</t>
  </si>
  <si>
    <t xml:space="preserve">Frey &amp; Presidente (2024), Privacy regulation and firm performance: Estimating the GDPR effect globally, Economic Inquiry</t>
  </si>
  <si>
    <t xml:space="preserve">causal: difference-in-differences by exposure to EU markets</t>
  </si>
  <si>
    <t xml:space="preserve">firm performance (profits, costs); innovation (patenting)</t>
  </si>
  <si>
    <t xml:space="preserve">negative (costs); positive (privacy-tech patenting)</t>
  </si>
  <si>
    <t xml:space="preserve">Technology firms targeting EU consumers saw profits fall 2.1% (no effect on sales); higher extra expenses and wage bills; faster patenting in GDPR-related technologies</t>
  </si>
  <si>
    <t xml:space="preserve">Firms exposed to the EU market earned slightly lower profits after the GDPR because of higher compliance costs, though they also patented more in privacy technology.</t>
  </si>
  <si>
    <t xml:space="preserve">global firms</t>
  </si>
  <si>
    <t xml:space="preserve">https://doi.org/10.1111/ecin.13213</t>
  </si>
  <si>
    <t xml:space="preserve">demirer-et-al-2024</t>
  </si>
  <si>
    <t xml:space="preserve">Demirer, Jimenez-Hernandez, Li &amp; Peng (2024), Data, Privacy Laws and Firm Production: Evidence from the GDPR, NBER Working Paper 32146 (rev. Feb 2026)</t>
  </si>
  <si>
    <t xml:space="preserve">causal: difference-in-differences (cloud-computing provider data) + production function</t>
  </si>
  <si>
    <t xml:space="preserve">compliance costs; data use</t>
  </si>
  <si>
    <t xml:space="preserve">negative (higher data costs; small overall)</t>
  </si>
  <si>
    <t xml:space="preserve">EU firms cut data storage 26% and data processing 15% vs US firms; equivalent to a 22% rise in the cost of data, but only 0.1-0.6% higher overall production costs</t>
  </si>
  <si>
    <t xml:space="preserve">The GDPR made data about 22% more expensive for EU firms, so they stored and processed less, though the effect on total costs was small.</t>
  </si>
  <si>
    <t xml:space="preserve">EU vs US firms, 7 years</t>
  </si>
  <si>
    <t xml:space="preserve">https://www.nber.org/papers/w32146</t>
  </si>
  <si>
    <t xml:space="preserve">aridor-che-salz-2023</t>
  </si>
  <si>
    <t xml:space="preserve">Aridor, Che &amp; Salz (2023), The Effect of Privacy Regulation on the Data Industry: Empirical Evidence from GDPR, RAND Journal of Economics (NBER w26900)</t>
  </si>
  <si>
    <t xml:space="preserve">causal: difference-in-differences (online travel intermediary)</t>
  </si>
  <si>
    <t xml:space="preserve">data use; advertising value</t>
  </si>
  <si>
    <t xml:space="preserve">Opt-in requirement cut observed consumers by 12.5%, but remaining consumers were tracked longer and became more valuable to advertisers, offsetting part of the loss</t>
  </si>
  <si>
    <t xml:space="preserve">About 1 in 8 users opted out of tracking under the GDPR; those who stayed became easier to track and more valuable to advertisers.</t>
  </si>
  <si>
    <t xml:space="preserve">travel intermediary, 2018</t>
  </si>
  <si>
    <t xml:space="preserve">single firm</t>
  </si>
  <si>
    <t xml:space="preserve">https://www.nber.org/papers/w26900</t>
  </si>
  <si>
    <t xml:space="preserve">ec-2015-portability-ia</t>
  </si>
  <si>
    <t xml:space="preserve">European Commission (2015), Impact Assessment accompanying the proposal for a Regulation to ensure the cross-border portability of online content services in the internal market, SWD(2015) 270</t>
  </si>
  <si>
    <t xml:space="preserve">ex-ante (survey-based demand estimate)</t>
  </si>
  <si>
    <t xml:space="preserve">consumer access; demand for portability</t>
  </si>
  <si>
    <t xml:space="preserve">Estimated 29 million potential users of portability of paid subscriptions (5.7% of EU consumers), forecast to reach about 72 million (14%) by 2020; costs for providers expected to be limited</t>
  </si>
  <si>
    <t xml:space="preserve">The Commission estimated that around 29 million Europeans could benefit from taking their paid streaming subscriptions abroad, rising to about 72 million by 2020.</t>
  </si>
  <si>
    <t xml:space="preserve">EU28, forecast</t>
  </si>
  <si>
    <t xml:space="preserve">https://eur-lex.europa.eu/legal-content/EN/TXT/?uri=CELEX:52015SC0270</t>
  </si>
  <si>
    <t xml:space="preserve">https://ec.europa.eu/newsroom/dae/redirection/document/87793</t>
  </si>
  <si>
    <t xml:space="preserve">ec-2022-portability-report</t>
  </si>
  <si>
    <t xml:space="preserve">European Commission (2022), Report on the application of Regulation (EU) 2017/1128 on cross-border portability of online content services in the internal market, SWD(2022) 173</t>
  </si>
  <si>
    <t xml:space="preserve">Commission review report</t>
  </si>
  <si>
    <t xml:space="preserve">review (synthesis of survey, Eurobarometer and stakeholder evidence)</t>
  </si>
  <si>
    <t xml:space="preserve">consumer use and satisfaction; provider compliance; rightholder revenues</t>
  </si>
  <si>
    <t xml:space="preserve">Regulation 'has proven to function well overall'; 32% of subscribers had used portability abroad, 58% of users satisfied; very few complaints; no significant revenue loss for rightholders reported; some non-compliance (time limits, too many verification means, small providers not offering portability)</t>
  </si>
  <si>
    <t xml:space="preserve">The Commission's 2022 review concluded the rules work well: about a third of subscribers had used their services abroad, few complained, and rightholders reported no significant revenue loss, though some providers still restrict portability.</t>
  </si>
  <si>
    <t xml:space="preserve">EU, 2018-2021</t>
  </si>
  <si>
    <t xml:space="preserve">descriptive; no counterfactual</t>
  </si>
  <si>
    <t xml:space="preserve">https://eur-lex.europa.eu/legal-content/EN/TXT/?uri=CELEX:52022SC0173</t>
  </si>
  <si>
    <t xml:space="preserve">https://ec.europa.eu/newsroom/dae/redirection/document/87791</t>
  </si>
  <si>
    <t xml:space="preserve">visionary-analytics-2022-portability</t>
  </si>
  <si>
    <t xml:space="preserve">Visionary Analytics with Kantar Public (for DG CNECT) (2022), Study on the Portability Regulation - Final report (SMART 2019/0024), European Commission, DG CNECT</t>
  </si>
  <si>
    <t xml:space="preserve">surveys (62 providers, 40 consumer bodies), mystery shopping of 39 services, 63 interviews, case studies</t>
  </si>
  <si>
    <t xml:space="preserve">compliance; provider costs; rightholder impacts</t>
  </si>
  <si>
    <t xml:space="preserve">Overwhelming majority of providers apply the Regulation; music, e-book and games sectors faced no significant costs; audiovisual and sports providers made changes with mostly minor costs; 10 providers limit temporary presence to 14 days-1 year; cross-border users under 5% of each provider's subscribers</t>
  </si>
  <si>
    <t xml:space="preserve">An evaluation study for the Commission found most services comply at small cost, but ten limit how long subscribers can use them abroad and some small providers ignore the rules.</t>
  </si>
  <si>
    <t xml:space="preserve">EU/EEA, 2020-2021</t>
  </si>
  <si>
    <t xml:space="preserve">descriptive survey; self-reported costs</t>
  </si>
  <si>
    <t xml:space="preserve">full text read (abstract and summary sections)</t>
  </si>
  <si>
    <t xml:space="preserve">https://ec.europa.eu/newsroom/dae/redirection/document/87794</t>
  </si>
  <si>
    <t xml:space="preserve">eurobarometer-477a-2019</t>
  </si>
  <si>
    <t xml:space="preserve">European Commission (Kantar) (2019), Flash Eurobarometer 477a: Accessing content online and cross-border portability of online content services, Flash Eurobarometer 477a</t>
  </si>
  <si>
    <t xml:space="preserve">survey</t>
  </si>
  <si>
    <t xml:space="preserve">representative survey (fieldwork Feb 2019)</t>
  </si>
  <si>
    <t xml:space="preserve">awareness; use; satisfaction</t>
  </si>
  <si>
    <t xml:space="preserve">52% aware of portability; 32% of subscribers had tried to access services while in another Member State; 58% of users satisfied</t>
  </si>
  <si>
    <t xml:space="preserve">A 2019 EU-wide survey found half of Europeans knew about the portability right and most of those who used it were satisfied.</t>
  </si>
  <si>
    <t xml:space="preserve">EU28, Feb 2019</t>
  </si>
  <si>
    <t xml:space="preserve">representative survey; one wave only</t>
  </si>
  <si>
    <t xml:space="preserve">page summary via Commission report (figures as cited in SWD(2022) 173)</t>
  </si>
  <si>
    <t xml:space="preserve">https://ec.europa.eu/newsroom/dae/redirection/document/87795</t>
  </si>
  <si>
    <t xml:space="preserve">eao-2019-portability-free</t>
  </si>
  <si>
    <t xml:space="preserve">European Audiovisual Observatory (2019), First feedback from the implementation of the Portability Regulation by free online video services, European Audiovisual Observatory (Council of Europe)</t>
  </si>
  <si>
    <t xml:space="preserve">report (intergovernmental body)</t>
  </si>
  <si>
    <t xml:space="preserve">descriptive survey of free online video services</t>
  </si>
  <si>
    <t xml:space="preserve">voluntary uptake of portability by free services</t>
  </si>
  <si>
    <t xml:space="preserve">Of 13 free online video services in the sample, 4 had implemented portability, 2 were implementing and 7 considering; uptake led by public broadcasters; mandatory login and verification costs deter others</t>
  </si>
  <si>
    <t xml:space="preserve">Few free streaming services (mostly public broadcasters) had chosen to offer portability by 2019, citing login and verification costs.</t>
  </si>
  <si>
    <t xml:space="preserve">Europe, 2019</t>
  </si>
  <si>
    <t xml:space="preserve">small sample; descriptive</t>
  </si>
  <si>
    <t xml:space="preserve">full text read (conclusions)</t>
  </si>
  <si>
    <t xml:space="preserve">https://ec.europa.eu/newsroom/dae/redirection/document/87790</t>
  </si>
  <si>
    <t xml:space="preserve">ec-2016-eecc-ia</t>
  </si>
  <si>
    <t xml:space="preserve">European Commission (2016), Impact Assessment accompanying the proposals for a Directive establishing the European Electronic Communications Code and a BEREC Regulation (executive summary SWD(2016) 304), SWD(2016) 303</t>
  </si>
  <si>
    <t xml:space="preserve">ex-ante (macroeconomic model)</t>
  </si>
  <si>
    <t xml:space="preserve">GDP; employment; productivity; 5G benefits</t>
  </si>
  <si>
    <t xml:space="preserve">If all preferred options implemented by 2020: cumulative +1.45% GDP and +0.18% employment by 2025, labour productivity +0.8% 2020-25; consistent spectrum assignment yields 5G benefits of EUR 146.5bn a year; institutional cost about EUR 208.5m</t>
  </si>
  <si>
    <t xml:space="preserve">The Commission forecast that the new telecoms code would lift EU GDP by 1.45% and jobs by 0.18% by 2025 by boosting investment in fast networks and 5G.</t>
  </si>
  <si>
    <t xml:space="preserve">EU, forecast to 2025</t>
  </si>
  <si>
    <t xml:space="preserve">model-based forecast 'with qualifications'</t>
  </si>
  <si>
    <t xml:space="preserve">https://eur-lex.europa.eu/legal-content/EN/TXT/?uri=CELEX:52016SC0304</t>
  </si>
  <si>
    <t xml:space="preserve">ec-2026-eecc-review</t>
  </si>
  <si>
    <t xml:space="preserve">European Commission (2026), Report on the functioning of the European Electronic Communications Code, Directive (EU) 2018/1972, COM(2026) 35 (Council doc. 5633/26)</t>
  </si>
  <si>
    <t xml:space="preserve">ex-post review (Arts. 122-123)</t>
  </si>
  <si>
    <t xml:space="preserve">access regulation; co-investment; single market</t>
  </si>
  <si>
    <t xml:space="preserve">EECC helped achieve/maintain effective competition and protect end-users, but as a Directive left significant room for national divergence; Art. 76 co-investment never formally applied by any regulator and should be revised or removed; functional separation unused; symmetric access used in 8 countries</t>
  </si>
  <si>
    <t xml:space="preserve">The Commission's own review found the code kept markets competitive but did little to create a single telecoms market, and its flagship tool to encourage joint fibre investment was never used.</t>
  </si>
  <si>
    <t xml:space="preserve">EU, Dec 2020-2025</t>
  </si>
  <si>
    <t xml:space="preserve">https://data.consilium.europa.eu/doc/document/ST-5633-2026-INIT/en/pdf</t>
  </si>
  <si>
    <t xml:space="preserve">ec-2026-dna-ia-evaluation</t>
  </si>
  <si>
    <t xml:space="preserve">European Commission (2026), Impact Assessment accompanying the Digital Networks Act proposal, Annex 11: Evaluation of the EECC, BEREC Regulation, Open Internet Regulation and certain aspects of the ePrivacy Directive, SWD(2026) 13, Part 3/3</t>
  </si>
  <si>
    <t xml:space="preserve">ex-post evaluation (DESI data, studies, consultation)</t>
  </si>
  <si>
    <t xml:space="preserve">coverage; investment; prices</t>
  </si>
  <si>
    <t xml:space="preserve">Fixed VHCN coverage 82.5% of households in 2024, fibre 69.2% (rural 58.8%); 5G 94.3% (rural 79.6%); some governments and most industry stakeholders argued the EECC missed its connectivity and investment objectives; consumers saw wider availability and competitive prices</t>
  </si>
  <si>
    <t xml:space="preserve">The Commission's evaluation shows fast networks now reach most homes (fibre 69%), but views split on whether the code helped, and rural areas and advanced 5G still lag.</t>
  </si>
  <si>
    <t xml:space="preserve">EU-27, 2020-2024</t>
  </si>
  <si>
    <t xml:space="preserve">descriptive; no causal attribution</t>
  </si>
  <si>
    <t xml:space="preserve">https://ec.europa.eu/transparency/documents-register/api/files/SWD(2026)13_2/090166e52c637a2e</t>
  </si>
  <si>
    <t xml:space="preserve">ec-2022-eecc-referral</t>
  </si>
  <si>
    <t xml:space="preserve">European Commission (2022), EU Electronic Communications Code: Commission refers 10 Member States to the Court of Justice of the EU, Press release IP/22/1975, 6 April 2022</t>
  </si>
  <si>
    <t xml:space="preserve">Commission enforcement record</t>
  </si>
  <si>
    <t xml:space="preserve">transposition</t>
  </si>
  <si>
    <t xml:space="preserve">24 infringement procedures opened Feb 2021 after the 21 Dec 2020 deadline; reasoned opinions to 18 Member States; ES, HR, LV, LT, IE, PL, PT, RO, SI, SE referred to the Court</t>
  </si>
  <si>
    <t xml:space="preserve">More than a year after the deadline, ten countries still had not transposed the code and were taken to court.</t>
  </si>
  <si>
    <t xml:space="preserve">EU</t>
  </si>
  <si>
    <t xml:space="preserve">official record</t>
  </si>
  <si>
    <t xml:space="preserve">https://ec.europa.eu/commission/presscorner/detail/en/ip_22_1975</t>
  </si>
  <si>
    <t xml:space="preserve">briglauer-cambini-fetzer-huschelrath-2017</t>
  </si>
  <si>
    <t xml:space="preserve">Briglauer, Cambini, Fetzer &amp; Hüschelrath (2017), The European Electronic Communications Code: A critical appraisal with a focus on incentivizing investment in next generation broadband networks, Telecommunications Policy 41(10): 948-961</t>
  </si>
  <si>
    <t xml:space="preserve">literature review / ex-ante appraisal</t>
  </si>
  <si>
    <t xml:space="preserve">investment incentives; co-investment; access regulation</t>
  </si>
  <si>
    <t xml:space="preserve">mixed (forecast)</t>
  </si>
  <si>
    <t xml:space="preserve">EECC generally a step in the right direction, but expected effects on investment incentives, implementation challenges and high complexity of the measures leave substantial room for improvement</t>
  </si>
  <si>
    <t xml:space="preserve">Economists reviewing the proposal judged it a step forward but warned its investment tools were too complex - a warning borne out by the non-use of co-investment rules.</t>
  </si>
  <si>
    <t xml:space="preserve">EU, ex-ante</t>
  </si>
  <si>
    <t xml:space="preserve">review of theory and evidence</t>
  </si>
  <si>
    <t xml:space="preserve">https://doi.org/10.1016/j.telpol.2017.07.011</t>
  </si>
  <si>
    <t xml:space="preserve">briglauer-cambini-grajek-2018</t>
  </si>
  <si>
    <t xml:space="preserve">Briglauer, Cambini &amp; Grajek (2018), Speeding up the internet: Regulation and investment in the European fiber optic infrastructure, International Journal of Industrial Organization 61: 613-652</t>
  </si>
  <si>
    <t xml:space="preserve">panel econometrics, EU-27 over a decade (pre-EECC framework)</t>
  </si>
  <si>
    <t xml:space="preserve">fibre investment</t>
  </si>
  <si>
    <t xml:space="preserve">negative (access regulation)</t>
  </si>
  <si>
    <t xml:space="preserve">More stringent access regulation of both legacy copper and fibre networks harms fibre investment by incumbent telecom operators, but does not affect cable TV operators</t>
  </si>
  <si>
    <t xml:space="preserve">Under the previous rules, tougher access regulation reduced incumbents' fibre investment - the trade-off the EECC tried to address.</t>
  </si>
  <si>
    <t xml:space="preserve">EU-27, about ten years to mid-2010s</t>
  </si>
  <si>
    <t xml:space="preserve">observational panel; addresses predecessor framework</t>
  </si>
  <si>
    <t xml:space="preserve">https://doi.org/10.1016/j.ijindorg.2018.01.006</t>
  </si>
  <si>
    <t xml:space="preserve">http://static.esmt.org/publications/workingpapers/ESMT-17-02.pdf</t>
  </si>
  <si>
    <t xml:space="preserve">grajek-roller-2012</t>
  </si>
  <si>
    <t xml:space="preserve">Grajek &amp; Röller (2012), Regulation and Investment in Network Industries: Evidence from European Telecoms, Journal of Law and Economics 55(1): 189-216</t>
  </si>
  <si>
    <t xml:space="preserve">panel econometrics with endogenous regulation (70 fixed-line operators, 20 countries, 10 years)</t>
  </si>
  <si>
    <t xml:space="preserve">telecom investment</t>
  </si>
  <si>
    <t xml:space="preserve">Access regulation negatively affects both total industry and individual carrier investment; evidence of a regulatory commitment problem</t>
  </si>
  <si>
    <t xml:space="preserve">A classic study found that forcing incumbents to open their networks to rivals lowered overall telecom investment in Europe.</t>
  </si>
  <si>
    <t xml:space="preserve">20 European countries, 10 years (to mid-2000s)</t>
  </si>
  <si>
    <t xml:space="preserve">observational panel; predecessor framework</t>
  </si>
  <si>
    <t xml:space="preserve">https://doi.org/10.1086/661196</t>
  </si>
  <si>
    <t xml:space="preserve">ec-2016-geoblocking-ia</t>
  </si>
  <si>
    <t xml:space="preserve">European Commission (2016), Impact Assessment accompanying the Geo-blocking Regulation proposal (executive summary SWD(2016) 174), SWD(2016) 173</t>
  </si>
  <si>
    <t xml:space="preserve">ex-ante (simulation based on consumer electronics)</t>
  </si>
  <si>
    <t xml:space="preserve">cross-border trade; prices; consumer surplus</t>
  </si>
  <si>
    <t xml:space="preserve">Lifting geo-blocking: market size +1.1%, net trade expansion +0.4%, prices -0.5% offline and -0.6% online, consumer surplus +0.8%; baseline 37% success of cross-border purchase attempts (2015)</t>
  </si>
  <si>
    <t xml:space="preserve">The Commission expected small price falls (about 0.5%) and a 0.8% gain for consumers, starting from a baseline where only 37% of cross-border online purchase attempts succeeded.</t>
  </si>
  <si>
    <t xml:space="preserve">https://eur-lex.europa.eu/legal-content/EN/TXT/?uri=CELEX:52016SC0174</t>
  </si>
  <si>
    <t xml:space="preserve">ec-2020-geoblocking-review</t>
  </si>
  <si>
    <t xml:space="preserve">European Commission (2020), First short-term review of the Geo-blocking Regulation, COM(2020) 766</t>
  </si>
  <si>
    <t xml:space="preserve">mystery shopping (about 9,000 websites, 2019) and stakeholder input</t>
  </si>
  <si>
    <t xml:space="preserve">website access; registration; purchase success</t>
  </si>
  <si>
    <t xml:space="preserve">positive (modest)</t>
  </si>
  <si>
    <t xml:space="preserve">Rerouting and access denial decreased versus 2015; registration blocking halved; purchase success slightly up; but only 1 in 3 attempts succeeded when cross-border delivery was requested; about 50% of consumers aware of the rules (Feb 2019); too early to assess all effects; no extension to copyrighted content proposed</t>
  </si>
  <si>
    <t xml:space="preserve">The first review found less outright blocking of foreign shoppers, but most cross-border purchases still failed because traders refuse to deliver abroad, which the Regulation allows.</t>
  </si>
  <si>
    <t xml:space="preserve">EU, 2015 vs 2019</t>
  </si>
  <si>
    <t xml:space="preserve">descriptive before/after</t>
  </si>
  <si>
    <t xml:space="preserve">https://eur-lex.europa.eu/legal-content/EN/TXT/?uri=CELEX:52020DC0766</t>
  </si>
  <si>
    <t xml:space="preserve">alaveras-duchbrown-martens-2020-gbr</t>
  </si>
  <si>
    <t xml:space="preserve">Alaveras, Duch-Brown &amp; Martens (2020), Geo-blocking regulation: an assessment of its impact on the EU Digital Single Market, JRC Digital Economy Working Paper 2020-02 (JRC121480)</t>
  </si>
  <si>
    <t xml:space="preserve">Commission research (JRC working paper)</t>
  </si>
  <si>
    <t xml:space="preserve">before/after panel regression on page-view data for about 10,000 e-commerce websites (Feb 2018-Oct 2019)</t>
  </si>
  <si>
    <t xml:space="preserve">cross-border e-commerce traffic</t>
  </si>
  <si>
    <t xml:space="preserve">Regulation increased real cross-border e-commerce activity inside the EU by 9.2-13% depending on specification, and EU consumers' cross-border trade with sites anywhere by 11.2-11.9%</t>
  </si>
  <si>
    <t xml:space="preserve">Commission researchers found cross-border visits to online shops in the EU rose by roughly 9-13% after the ban took effect.</t>
  </si>
  <si>
    <t xml:space="preserve">EU, 2018-19</t>
  </si>
  <si>
    <t xml:space="preserve">quasi-experimental (before/after with country-pair controls); traffic as proxy for sales</t>
  </si>
  <si>
    <t xml:space="preserve">https://publications.jrc.ec.europa.eu/repository/handle/JRC121480</t>
  </si>
  <si>
    <t xml:space="preserve">duchbrown-martens-2016-geoblocking</t>
  </si>
  <si>
    <t xml:space="preserve">Duch-Brown &amp; Martens (2016), The Economic Impact of Removing Geo-blocking Restrictions in the EU Digital Single Market, JRC Digital Economy Working Paper 2016/02</t>
  </si>
  <si>
    <t xml:space="preserve">structural simulation (consumer electronics, 10 countries, 2012-15)</t>
  </si>
  <si>
    <t xml:space="preserve">consumer and producer surplus</t>
  </si>
  <si>
    <t xml:space="preserve">Both consumers and producers would gain from removing geo-blocking; smaller countries gain comparatively more</t>
  </si>
  <si>
    <t xml:space="preserve">A simulation behind the impact assessment found both shoppers and sellers would gain from ending geo-blocking, especially in small countries.</t>
  </si>
  <si>
    <t xml:space="preserve">EU, 2012-15</t>
  </si>
  <si>
    <t xml:space="preserve">https://publications.jrc.ec.europa.eu/repository/handle/JRC101100</t>
  </si>
  <si>
    <t xml:space="preserve">https://ec.europa.eu/jrc/sites/jrcsh/files/JRC101100.pdf</t>
  </si>
  <si>
    <t xml:space="preserve">http://web.archive.org/web/20260615014441/https://publications.jrc.ec.europa.eu/repository/handle/JRC101100</t>
  </si>
  <si>
    <t xml:space="preserve">bourreau-manenti-2023-geoblocking</t>
  </si>
  <si>
    <t xml:space="preserve">Bourreau &amp; Manenti (2023), Selling cross-border in online markets: The impact of the ban on geoblocking strategies, International Journal of Industrial Organization 86</t>
  </si>
  <si>
    <t xml:space="preserve">theoretical model</t>
  </si>
  <si>
    <t xml:space="preserve">prices; investment; welfare</t>
  </si>
  <si>
    <t xml:space="preserve">Geoblocking softens competition; a ban lowers online and offline prices, but when firms can invest in online demand the ban may reduce investment and welfare</t>
  </si>
  <si>
    <t xml:space="preserve">A theory paper finds a geo-blocking ban cuts prices in the short run but could reduce firms' investment in online sales in the long run.</t>
  </si>
  <si>
    <t xml:space="preserve">theory</t>
  </si>
  <si>
    <t xml:space="preserve">theoretical</t>
  </si>
  <si>
    <t xml:space="preserve">https://doi.org/10.1016/j.ijindorg.2022.102892</t>
  </si>
  <si>
    <t xml:space="preserve">eca-2025-geoblocking</t>
  </si>
  <si>
    <t xml:space="preserve">European Court of Auditors (2025), Special report 03/2025: Geo-blocking, ECA special report 03/2025</t>
  </si>
  <si>
    <t xml:space="preserve">EU audit</t>
  </si>
  <si>
    <t xml:space="preserve">audit (documents, interviews, enforcement data)</t>
  </si>
  <si>
    <t xml:space="preserve">enforcement; consumer awareness</t>
  </si>
  <si>
    <t xml:space="preserve">Progress made, but unjustified geo-blocking persists; weak and uneven enforcement (penalties from EUR 26 to EUR 5m); low awareness of support; recommends examining extension to audiovisual services</t>
  </si>
  <si>
    <t xml:space="preserve">The EU's auditors found the Regulation helped but unjustified geo-blocking persists and enforcement differs sharply between countries.</t>
  </si>
  <si>
    <t xml:space="preserve">EU, 2018-24</t>
  </si>
  <si>
    <t xml:space="preserve">audit</t>
  </si>
  <si>
    <t xml:space="preserve">https://www.eca.europa.eu/ECAHTMLNews/NEWS-SR-2025-03/en/body.html</t>
  </si>
  <si>
    <t xml:space="preserve">European Commission (2016), Impact Assessment on the modernisation of EU copyright rules (executive summary SWD(2016) 302), SWD(2016) 301</t>
  </si>
  <si>
    <t xml:space="preserve">licensing revenue; compliance costs; legal certainty</t>
  </si>
  <si>
    <t xml:space="preserve">Qualitative only: press publishers' right to strengthen bargaining position without higher fees for services already licensing; upload-platform obligation to generate extra revenue for right holders with limited costs; costs could not be quantified overall for lack of data</t>
  </si>
  <si>
    <t xml:space="preserve">The Commission expected the new rules to help publishers and right holders license content to online platforms, but put no numbers on the gains.</t>
  </si>
  <si>
    <t xml:space="preserve">forecast; largely unquantified</t>
  </si>
  <si>
    <t xml:space="preserve">https://eur-lex.europa.eu/legal-content/EN/TXT/?uri=CELEX:52016SC0302</t>
  </si>
  <si>
    <t xml:space="preserve">ec-2024-art17-6-assessment</t>
  </si>
  <si>
    <t xml:space="preserve">European Commission (2024), Assessment of the impact of Article 17(6) of Directive (EU) 2019/790, SWD(2024) 259 final (Council doc. 15441/24)</t>
  </si>
  <si>
    <t xml:space="preserve">consultation of Member States and stakeholders</t>
  </si>
  <si>
    <t xml:space="preserve">start-up liability regime; licensing</t>
  </si>
  <si>
    <t xml:space="preserve">inconclusive</t>
  </si>
  <si>
    <t xml:space="preserve">Limited evidence; very few Member States identified any platform under the start-up regime; no platform replied; right holders allege abuses without substantiation; 'difficult to draw at this stage any further conclusion'. Full Art. 17 review due no sooner than June 2026</t>
  </si>
  <si>
    <t xml:space="preserve">The Commission's first look at the lighter rules for upload start-ups found almost no evidence either way, partly because transposition was late.</t>
  </si>
  <si>
    <t xml:space="preserve">EU, 2023-24</t>
  </si>
  <si>
    <t xml:space="preserve">consultation-based; low response</t>
  </si>
  <si>
    <t xml:space="preserve">https://data.consilium.europa.eu/doc/document/ST-15441-2024-INIT/en/pdf</t>
  </si>
  <si>
    <t xml:space="preserve">calzada-gil-2020-news-aggregators</t>
  </si>
  <si>
    <t xml:space="preserve">Calzada &amp; Gil (2020), What Do News Aggregators Do? Evidence from Google News in Spain and Germany, Marketing Science 39(1)</t>
  </si>
  <si>
    <t xml:space="preserve">difference-in-differences (Google News closure in Spain, Dec 2014; France and Italy as controls)</t>
  </si>
  <si>
    <t xml:space="preserve">news traffic; advertising revenue</t>
  </si>
  <si>
    <t xml:space="preserve">negative (for ancillary right)</t>
  </si>
  <si>
    <t xml:space="preserve">Spain's 2014 ancillary right led Google News to close; daily visits to Spanish news outlets fell 8-14% relative to France/Italy, with lower ad revenue; Germany's opt-in did not affect opted-out outlets overall but cut Axel Springer visits by 7%</t>
  </si>
  <si>
    <t xml:space="preserve">When Spain's publishers' right made Google News leave the country, visits to Spanish news sites fell by 8-14%, suggesting aggregators send readers to publishers rather than replace them.</t>
  </si>
  <si>
    <t xml:space="preserve">Spain, Germany, 2014-15</t>
  </si>
  <si>
    <t xml:space="preserve">causal (DiD); predecessor national laws, not Art. 15 itself</t>
  </si>
  <si>
    <t xml:space="preserve">https://doi.org/10.1287/mksc.2019.1150</t>
  </si>
  <si>
    <t xml:space="preserve">https://diposit.ub.edu/dspace/handle/2445/150425</t>
  </si>
  <si>
    <t xml:space="preserve">athey-mobius-pal-2021-aggregators</t>
  </si>
  <si>
    <t xml:space="preserve">Athey, Mobius &amp; Pal (2021), The Impact of Aggregators on Internet News Consumption, NBER Working Paper 28746</t>
  </si>
  <si>
    <t xml:space="preserve">synthetic control (browsing data of 100,000+ users in Spain around Google News closure)</t>
  </si>
  <si>
    <t xml:space="preserve">news consumption; publisher traffic</t>
  </si>
  <si>
    <t xml:space="preserve">Google News shutdown cut overall news consumption of its users by about 20% and page views on other publishers by 10%; losses concentrated on small publishers</t>
  </si>
  <si>
    <t xml:space="preserve">After Google News closed in Spain, its users read about 20% less news and small publishers lost the most traffic.</t>
  </si>
  <si>
    <t xml:space="preserve">Spain, 2014-15</t>
  </si>
  <si>
    <t xml:space="preserve">causal (synthetic control); predecessor national law</t>
  </si>
  <si>
    <t xml:space="preserve">Data from Microsoft users; Athey and Mobius affiliated with Microsoft Research</t>
  </si>
  <si>
    <t xml:space="preserve">https://www.nber.org/papers/w28746</t>
  </si>
  <si>
    <t xml:space="preserve">https://www.nber.org/system/files/working_papers/w28746/w28746.pdf</t>
  </si>
  <si>
    <t xml:space="preserve">jrc-2016-news-aggregation</t>
  </si>
  <si>
    <t xml:space="preserve">European Commission Joint Research Centre (2017), The economics of online news aggregation and neighbouring rights for news publishers (draft, released after access-to-documents request), JRC draft presented 2016, disclosed Dec 2017</t>
  </si>
  <si>
    <t xml:space="preserve">Commission research (draft)</t>
  </si>
  <si>
    <t xml:space="preserve">literature and evidence review (Spain, Germany)</t>
  </si>
  <si>
    <t xml:space="preserve">publisher revenue; traffic</t>
  </si>
  <si>
    <t xml:space="preserve">Aggregators increase traffic and ad revenue for newspapers; the market value of the German and Spanish rights 'so far remain zero'</t>
  </si>
  <si>
    <t xml:space="preserve">An internal Commission research paper, not published at the time, found that earlier national publishers' rights had raised no money and that news aggregators help publishers.</t>
  </si>
  <si>
    <t xml:space="preserve">Spain, Germany</t>
  </si>
  <si>
    <t xml:space="preserve">draft; not peer-reviewed</t>
  </si>
  <si>
    <t xml:space="preserve">https://www.create.ac.uk/?p=16974</t>
  </si>
  <si>
    <t xml:space="preserve">adlc-2021-2024-google-neighbouring-rights</t>
  </si>
  <si>
    <t xml:space="preserve">Autorité de la concurrence (France) (2024), Decisions 21-D-17 (EUR 500m fine, July 2021) and 24-D-03 (EUR 250m fine, March 2024) against Google on press publishers' related rights, French competition authority decisions</t>
  </si>
  <si>
    <t xml:space="preserve">national regulator enforcement</t>
  </si>
  <si>
    <t xml:space="preserve">negotiation with publishers</t>
  </si>
  <si>
    <t xml:space="preserve">Google fined EUR 500m for not negotiating in good faith with publishers after interim measures (2020), then EUR 250m for breaching four of seven commitments made in 2022</t>
  </si>
  <si>
    <t xml:space="preserve">France's competition authority had to fine Google twice (EUR 500m and EUR 250m) to make it negotiate payments to news publishers under the new right.</t>
  </si>
  <si>
    <t xml:space="preserve">France, 2019-24</t>
  </si>
  <si>
    <t xml:space="preserve">https://www.autoritedelaconcurrence.fr/fr/entityprint/pdf/node/10179</t>
  </si>
  <si>
    <t xml:space="preserve">doseva-et-al-2022-uploaders</t>
  </si>
  <si>
    <t xml:space="preserve">Doseva, Schmid-Petri, Schillmöller &amp; Heckmann (2022), Uploaders' perceptions of the German implementation of the EU copyright reform and their preferences for copyright regulation, Internet Policy Review 11(4)</t>
  </si>
  <si>
    <t xml:space="preserve">qualitative interviews (n=19) and content analysis of consultation comments (n=17)</t>
  </si>
  <si>
    <t xml:space="preserve">freedom of expression; user perceptions</t>
  </si>
  <si>
    <t xml:space="preserve">negative (perceived)</t>
  </si>
  <si>
    <t xml:space="preserve">Uploaders see state-mandated upload filters as restricting free expression and consider the German safeguards against filters ineffective in practice</t>
  </si>
  <si>
    <t xml:space="preserve">Interviews with German content creators found they see upload filters as a threat to free expression and doubt national safeguards work.</t>
  </si>
  <si>
    <t xml:space="preserve">Germany, 2021-22</t>
  </si>
  <si>
    <t xml:space="preserve">qualitative; small sample</t>
  </si>
  <si>
    <t xml:space="preserve">https://policyreview.info/articles/analysis/uploaders-perceptions-german-implementation-eu-copyright-reform</t>
  </si>
  <si>
    <t xml:space="preserve">http://web.archive.org/web/20260607102546/https://policyreview.info/articles/analysis/uploaders-perceptions-german-implementation-eu-copyright-reform</t>
  </si>
  <si>
    <t xml:space="preserve">ec-2018-psi-ia</t>
  </si>
  <si>
    <t xml:space="preserve">European Commission (2018), Impact Assessment accompanying the proposal for a Directive on the re-use of public sector information (executive summary SWD(2018) 128), SWD(2018) 127</t>
  </si>
  <si>
    <t xml:space="preserve">ex-ante (Deloitte support study model)</t>
  </si>
  <si>
    <t xml:space="preserve">economic value; jobs; costs</t>
  </si>
  <si>
    <t xml:space="preserve">Direct economic value of PSI EUR 52bn in 2018; preferred option lifts it to about EUR 194bn in 2028 (30% above EUR 150bn baseline); jobs 709,000 vs 518,000; cost of opening data EUR 2.7bn vs 4.1bn baseline</t>
  </si>
  <si>
    <t xml:space="preserve">The Commission forecast that the recast would make public data worth about EUR 194 billion a year to the economy by 2028, 30% more than without it, and support about 190,000 extra jobs.</t>
  </si>
  <si>
    <t xml:space="preserve">EU-28, forecast to 2028/2030</t>
  </si>
  <si>
    <t xml:space="preserve">forecast; model-based</t>
  </si>
  <si>
    <t xml:space="preserve">https://eur-lex.europa.eu/legal-content/EN/TXT/?uri=CELEX:52018SC0127</t>
  </si>
  <si>
    <t xml:space="preserve">ec-2018-psi-evaluation</t>
  </si>
  <si>
    <t xml:space="preserve">European Commission (2018), Evaluation of Directive 2003/98/EC on the re-use of public sector information (executive summary SWD(2018) 129), SWD(2018) 145</t>
  </si>
  <si>
    <t xml:space="preserve">review (Deloitte study, Open Data Maturity report, consultations)</t>
  </si>
  <si>
    <t xml:space="preserve">competition; jobs and services; cross-border re-use</t>
  </si>
  <si>
    <t xml:space="preserve">PSI Directive effective in ensuring fairer competition and enabling new jobs and services, less so for cross-border re-use; positive cost-benefit balance; challenges remain on dynamic data, charging above marginal cost, data lock-in</t>
  </si>
  <si>
    <t xml:space="preserve">The Commission's evaluation of the earlier PSI rules found they helped create services and jobs but that real-time data and high fees were still holding re-use back.</t>
  </si>
  <si>
    <t xml:space="preserve">EU, 2003-2017</t>
  </si>
  <si>
    <t xml:space="preserve">self-evaluation; benefits largely qualitative</t>
  </si>
  <si>
    <t xml:space="preserve">https://eur-lex.europa.eu/legal-content/EN/TXT/?uri=CELEX:52018SC0145</t>
  </si>
  <si>
    <t xml:space="preserve">ec-2022-hvd-ia</t>
  </si>
  <si>
    <t xml:space="preserve">European Commission (2022), Impact assessment report accompanying the Implementing Regulation laying down a list of specific high-value datasets (executive summary SWD(2022) 433), SWD(2022) 432</t>
  </si>
  <si>
    <t xml:space="preserve">economic value of high-value datasets</t>
  </si>
  <si>
    <t xml:space="preserve">Direct effect of preferred option EUR 75bn in 2028, EUR 6bn above baseline; indirect forward effect EUR 201bn (EUR 16bn above baseline); figures described as estimates as dataset value is hard to isolate</t>
  </si>
  <si>
    <t xml:space="preserve">The Commission expected free, API-based access to key public datasets to add about EUR 6 billion a year in direct value by 2028.</t>
  </si>
  <si>
    <t xml:space="preserve">EU, forecast to 2028</t>
  </si>
  <si>
    <t xml:space="preserve">https://eur-lex.europa.eu/legal-content/EN/TXT/?uri=CELEX:52022SC0433</t>
  </si>
  <si>
    <t xml:space="preserve">https://edz.bib.uni-mannheim.de/edz/pdf/swd/2022/swd-2022-0433-en.pdf</t>
  </si>
  <si>
    <t xml:space="preserve">odm-2025</t>
  </si>
  <si>
    <t xml:space="preserve">data.europa.eu (European Commission) (2025), Open Data Maturity Report 2025, data.europa.eu</t>
  </si>
  <si>
    <t xml:space="preserve">Commission monitoring report</t>
  </si>
  <si>
    <t xml:space="preserve">self-assessment questionnaire of national administrations</t>
  </si>
  <si>
    <t xml:space="preserve">policy; portals; quality; impact</t>
  </si>
  <si>
    <t xml:space="preserve">positive (activity)</t>
  </si>
  <si>
    <t xml:space="preserve">EU-27 average maturity 86% in 2025 (+3 pp); impact dimension least mature at 82%; HVD implementation ongoing</t>
  </si>
  <si>
    <t xml:space="preserve">Countries rate their open data policies and portals highly (86% on average), but score lowest on showing actual impact.</t>
  </si>
  <si>
    <t xml:space="preserve">EU-27, 2025</t>
  </si>
  <si>
    <t xml:space="preserve">self-reported; measures readiness, not outcomes</t>
  </si>
  <si>
    <t xml:space="preserve">https://data.europa.eu/sites/default/files/2025-12/2025_odm_report_7.pdf</t>
  </si>
  <si>
    <t xml:space="preserve">edp-2020-economic-impact</t>
  </si>
  <si>
    <t xml:space="preserve">European Data Portal (Capgemini Invent et al.) (2020), The Economic Impact of Open Data: Opportunities for value creation in Europe, European Data Portal study for the European Commission</t>
  </si>
  <si>
    <t xml:space="preserve">market sizing model</t>
  </si>
  <si>
    <t xml:space="preserve">market size; jobs; efficiency gains</t>
  </si>
  <si>
    <t xml:space="preserve">positive (estimate)</t>
  </si>
  <si>
    <t xml:space="preserve">Open data market size estimated at EUR 184bn (2019), forecast EUR 199.5-334.2bn in 2025</t>
  </si>
  <si>
    <t xml:space="preserve">A Commission-funded study put the value of Europe's open data market at EUR 184 billion in 2019, but did not test what the Directive itself contributed.</t>
  </si>
  <si>
    <t xml:space="preserve">EU27+, 2019-2025</t>
  </si>
  <si>
    <t xml:space="preserve">modelled estimate; no attribution to the Directive</t>
  </si>
  <si>
    <t xml:space="preserve">https://data.europa.eu/en/publications/open-data-impact</t>
  </si>
  <si>
    <t xml:space="preserve">nagaraj-2022-landsat</t>
  </si>
  <si>
    <t xml:space="preserve">Nagaraj (2022), The Private Impact of Public Data: Landsat Satellite Maps Increased Gold Discoveries and Encouraged Entry, Management Science 68(1), 564-582</t>
  </si>
  <si>
    <t xml:space="preserve">causal: quasi-experiment using timing and cloud-cover variation in Landsat coverage</t>
  </si>
  <si>
    <t xml:space="preserve">discoveries; firm entry</t>
  </si>
  <si>
    <t xml:space="preserve">Free public satellite data nearly doubled the rate of significant gold discoveries in newly mapped regions and raised new entrants' share of discoveries from about 10% to 25%</t>
  </si>
  <si>
    <t xml:space="preserve">When the US released free satellite maps, gold discoveries nearly doubled and newcomers found a much bigger share - evidence that opening public data can boost competition, though not a test of the EU Directive.</t>
  </si>
  <si>
    <t xml:space="preserve">global gold exploration, US data release</t>
  </si>
  <si>
    <t xml:space="preserve">not EU-specific; indirect evidence for the Directive's logic</t>
  </si>
  <si>
    <t xml:space="preserve">https://doi.org/10.1287/mnsc.2020.3878</t>
  </si>
  <si>
    <t xml:space="preserve">ec-2024-fdi-evaluation</t>
  </si>
  <si>
    <t xml:space="preserve">European Commission (2024), Evaluation of Regulation (EU) 2019/452 establishing a framework for the screening of foreign direct investments into the Union (executive summary SWD(2024) 24), SWD(2024) 23</t>
  </si>
  <si>
    <t xml:space="preserve">review (OECD study, ECA report, stakeholder consultation)</t>
  </si>
  <si>
    <t xml:space="preserve">security; FDI flows; administrative burden</t>
  </si>
  <si>
    <t xml:space="preserve">Positive impact on protecting security and public order; 'has not had chilling effects on the flow of FDI into the EU'; burden reasonable; blind spots from Member States without screening, intra-EU structured investments outside scope, short timelines and divergent national rules</t>
  </si>
  <si>
    <t xml:space="preserve">The Commission concluded that the screening framework helps protect security without deterring investment, but has gaps because some countries do not screen and national rules differ.</t>
  </si>
  <si>
    <t xml:space="preserve">EU, Oct 2020-Jun 2023</t>
  </si>
  <si>
    <t xml:space="preserve">self-evaluation; no causal test of chilling effect</t>
  </si>
  <si>
    <t xml:space="preserve">https://eur-lex.europa.eu/legal-content/EN/TXT/?uri=CELEX:52024SC0023</t>
  </si>
  <si>
    <t xml:space="preserve">ec-2025-fdi-fifth-annual-report</t>
  </si>
  <si>
    <t xml:space="preserve">European Commission (2025), Fifth Annual Report on the screening of foreign direct investments into the Union, COM(2025) 632</t>
  </si>
  <si>
    <t xml:space="preserve">administrative statistics</t>
  </si>
  <si>
    <t xml:space="preserve">screening activity; FDI flows</t>
  </si>
  <si>
    <t xml:space="preserve">n/a (activity)</t>
  </si>
  <si>
    <t xml:space="preserve">2024: 477 notifications from 21 Member States (488 in 2023); 92% closed in Phase 1; Commission opinions in &lt;2% of cases; 3,136 national cases (1,808 in 2023); 86% of screened cases cleared unconditionally, 9% with conditions, ~1% blocked; 24 Member States with screening legislation; EU FDI inflows down 8.4% in 2024</t>
  </si>
  <si>
    <t xml:space="preserve">In 2024 EU countries handled over 3,000 screening cases and blocked about 1% of those formally screened; the Commission cleared 92% of cross-border notifications within 15 days.</t>
  </si>
  <si>
    <t xml:space="preserve">activity data only</t>
  </si>
  <si>
    <t xml:space="preserve">https://eur-lex.europa.eu/legal-content/EN/TXT/?uri=CELEX:52025DC0632</t>
  </si>
  <si>
    <t xml:space="preserve">https://data.consilium.europa.eu/doc/document/ST-13990-2025-INIT/en/pdf</t>
  </si>
  <si>
    <t xml:space="preserve">eca-2023-fdi-screening</t>
  </si>
  <si>
    <t xml:space="preserve">European Court of Auditors (2023), Screening foreign direct investments in the EU: First steps taken, but significant limitations remain in addressing security and public-order risks effectively, Special Report 27/2023</t>
  </si>
  <si>
    <t xml:space="preserve">audit (sample of notified cases, all Commission opinions 2020-2022)</t>
  </si>
  <si>
    <t xml:space="preserve">effectiveness; efficiency</t>
  </si>
  <si>
    <t xml:space="preserve">Commission took appropriate steps, but 'significant limitations' reduce effectiveness: six Member States lacked screening, divergent scope create 'multiple blind spots'; cooperation mechanism only 'partially effective'; high volume of low-risk cases overburdens it</t>
  </si>
  <si>
    <t xml:space="preserve">The EU's auditors found the framework a useful first step but riddled with blind spots because several countries did not screen investments at all.</t>
  </si>
  <si>
    <t xml:space="preserve">EU, 2020-2022</t>
  </si>
  <si>
    <t xml:space="preserve">audit; no economic impact analysis</t>
  </si>
  <si>
    <t xml:space="preserve">https://www.eca.europa.eu/ECAHTML/SR-2023-27/en/body.html</t>
  </si>
  <si>
    <t xml:space="preserve">oecd-2022-fdi-framework</t>
  </si>
  <si>
    <t xml:space="preserve">OECD (2022), Framework for Screening Foreign Direct Investment into the EU: Assessing effectiveness and efficiency, OECD Publishing (study for the European Commission)</t>
  </si>
  <si>
    <t xml:space="preserve">desk research and interviews with authorities</t>
  </si>
  <si>
    <t xml:space="preserve">Positive overall assessment but 12 issues diminish effectiveness or efficiency, first among them Member States without any screening mechanism; reforms suggested for each</t>
  </si>
  <si>
    <t xml:space="preserve">An OECD review for the Commission judged the system broadly positive but listed 12 weaknesses, starting with countries that had no screening at all.</t>
  </si>
  <si>
    <t xml:space="preserve">process evaluation; co-financed by the EU</t>
  </si>
  <si>
    <t xml:space="preserve">https://www.oecd.org/en/publications/framework-for-screening-foreign-direct-investment-into-the-eu_f75ec890-en.html</t>
  </si>
  <si>
    <t xml:space="preserve">eichenauer-wang-2024</t>
  </si>
  <si>
    <t xml:space="preserve">Eichenauer &amp; Wang (2024), Mild Deglobalization: Foreign Investment Screening and Cross-Border Investment, Kiel Working Paper 2265</t>
  </si>
  <si>
    <t xml:space="preserve">causal: staggered triple-difference (deal-level cross-border M&amp;A, OECD and EU countries, 2007-2022)</t>
  </si>
  <si>
    <t xml:space="preserve">cross-border M&amp;A</t>
  </si>
  <si>
    <t xml:space="preserve">Introducing screening reduces the number of M&amp;A in a newly screened sector by 11.7-16.0%; driven by minority acquisitions and by deals involving foreign governments/SOEs or US investors; no reduction for intra-EU/EFTA deals</t>
  </si>
  <si>
    <t xml:space="preserve">The first cross-country study finds that when a sector becomes subject to investment screening, foreign takeovers in it fall by roughly 12-16%.</t>
  </si>
  <si>
    <t xml:space="preserve">OECD and EU countries, 2007-2022</t>
  </si>
  <si>
    <t xml:space="preserve">measures national screening, not the EU Regulation alone</t>
  </si>
  <si>
    <t xml:space="preserve">https://ifw-kiel.de/publications/mild-deglobalization-foreign-investment-screening-and-cross-border-investment-32640</t>
  </si>
  <si>
    <t xml:space="preserve">mau-2023-ism</t>
  </si>
  <si>
    <t xml:space="preserve">Mau (2023), Screening or deterring investments into the European Union?, Maastricht University SBE blog (summary of working paper Mau 2023)</t>
  </si>
  <si>
    <t xml:space="preserve">working paper (blog summary)</t>
  </si>
  <si>
    <t xml:space="preserve">regression analysis of M&amp;A by non-EU buyers in EU countries adopting screening mechanisms</t>
  </si>
  <si>
    <t xml:space="preserve">EU countries adopting a screening mechanism in line with the EU framework saw significantly larger decreases in overall M&amp;A activity; cannot confirm the effect is driven by Chinese or state-controlled investors</t>
  </si>
  <si>
    <t xml:space="preserve">An early study finds that EU countries which introduced screening under the EU framework saw bigger drops in foreign takeovers, and not only from China.</t>
  </si>
  <si>
    <t xml:space="preserve">EU, 2005-2022</t>
  </si>
  <si>
    <t xml:space="preserve">early results; full paper not reviewed</t>
  </si>
  <si>
    <t xml:space="preserve">page summary (blog read)</t>
  </si>
  <si>
    <t xml:space="preserve">https://maastrichtuniversity.nl/news/screening-or-deterring-investments-european-union</t>
  </si>
  <si>
    <t xml:space="preserve">ec-2018-p2b-ia</t>
  </si>
  <si>
    <t xml:space="preserve">European Commission (2018), Impact assessment accompanying the proposal on fairness and transparency for business users of online intermediation services (executive summary SWD(2018) 139), SWD(2018) 138</t>
  </si>
  <si>
    <t xml:space="preserve">platform economy turnover; compliance costs</t>
  </si>
  <si>
    <t xml:space="preserve">Preferred option would reverse a trust-related dampening effect on the platform economy worth EUR 0.81-4.05bn; costs up to about 1 FTE for small platforms and about 0.03% of turnover for large ones; no costs for merchants</t>
  </si>
  <si>
    <t xml:space="preserve">The Commission expected fairer, more transparent platform terms to unlock EUR 0.8-4 billion of extra online trade at small cost to platforms.</t>
  </si>
  <si>
    <t xml:space="preserve">https://eur-lex.europa.eu/legal-content/EN/TXT/?uri=CELEX:52018SC0139</t>
  </si>
  <si>
    <t xml:space="preserve">ec-2023-p2b-review</t>
  </si>
  <si>
    <t xml:space="preserve">European Commission (2023), First preliminary review on the implementation of Regulation (EU) 2019/1150 (with SWD(2023) 300), COM(2023) 525</t>
  </si>
  <si>
    <t xml:space="preserve">review (support study: 308 interviews, survey of business users in 8 Member States, review of terms of 300 platforms, focus groups)</t>
  </si>
  <si>
    <t xml:space="preserve">compliance; awareness; complaint handling</t>
  </si>
  <si>
    <t xml:space="preserve">positive but limited</t>
  </si>
  <si>
    <t xml:space="preserve">Initial positive effects but full potential not reached; widespread non-compliance and low awareness; only about a third of platforms disclose ranking parameters; 19 of 179 publish complaint reports; 25 of 179 list two mediators</t>
  </si>
  <si>
    <t xml:space="preserve">Three years in, the Commission found that most platforms were not fully complying and most businesses did not know their rights.</t>
  </si>
  <si>
    <t xml:space="preserve">https://eur-lex.europa.eu/legal-content/EN/TXT/?uri=CELEX:52023DC0525</t>
  </si>
  <si>
    <t xml:space="preserve">sovrano-lognoul-bacchelli-2024</t>
  </si>
  <si>
    <t xml:space="preserve">Sovrano, Lognoul &amp; Bacchelli (2024), An Empirical Study on Compliance with Ranking Transparency in the Software Documentation of EU Online Platforms, ICSE-SEIS 2024 (arXiv 2312.14794)</t>
  </si>
  <si>
    <t xml:space="preserve">descriptive compliance audit (six platforms) plus automated assessment tools</t>
  </si>
  <si>
    <t xml:space="preserve">ranking transparency compliance</t>
  </si>
  <si>
    <t xml:space="preserve">Substantial differences in how Amazon, Bing, Booking, Google, Tripadvisor and Yahoo document ranking under P2B Article 5; compliance remains a challenge</t>
  </si>
  <si>
    <t xml:space="preserve">An audit of six major platforms found very uneven explanations of how they rank sellers and results, as the Regulation requires.</t>
  </si>
  <si>
    <t xml:space="preserve">EU, 2023</t>
  </si>
  <si>
    <t xml:space="preserve">https://arxiv.org/abs/2312.14794</t>
  </si>
  <si>
    <t xml:space="preserve">https://arxiv.org/pdf/2312.14794</t>
  </si>
  <si>
    <t xml:space="preserve">ccpc-2023-p2b-survey</t>
  </si>
  <si>
    <t xml:space="preserve">Competition and Consumer Protection Commission (Ireland) / Ipsos (2023), Platform to Business research: survey of businesses using online platforms (Q4 2022), CCPC</t>
  </si>
  <si>
    <t xml:space="preserve">national regulator</t>
  </si>
  <si>
    <t xml:space="preserve">survey (n=177, not fully representative)</t>
  </si>
  <si>
    <t xml:space="preserve">awareness</t>
  </si>
  <si>
    <t xml:space="preserve">negative (low awareness)</t>
  </si>
  <si>
    <t xml:space="preserve">51% of businesses had no knowledge of the P2B Regulation, 21% knew only its name, 24% its main provisions, 4% detailed knowledge</t>
  </si>
  <si>
    <t xml:space="preserve">Half of Irish businesses selling through platforms had never heard of the rules meant to protect them.</t>
  </si>
  <si>
    <t xml:space="preserve">Ireland, autumn 2022</t>
  </si>
  <si>
    <t xml:space="preserve">small, indicative sample</t>
  </si>
  <si>
    <t xml:space="preserve">https://www.ccpc.ie/business/wp-content/uploads/sites/3/2023/01/P2B-Survey-Q4-2022.pdf</t>
  </si>
  <si>
    <t xml:space="preserve">ccpc-2026-p2b-sweep</t>
  </si>
  <si>
    <t xml:space="preserve">Competition and Consumer Protection Commission (Ireland) (2026), CCPC conducts sweep of online platforms to identify potential breaches of the Platform to Business Regulation, CCPC press release, 1 May 2026</t>
  </si>
  <si>
    <t xml:space="preserve">national regulator (enforcement)</t>
  </si>
  <si>
    <t xml:space="preserve">enforcement sweep (17 platforms, late 2025)</t>
  </si>
  <si>
    <t xml:space="preserve">About 80% of platforms swept had some element of non-compliance (complaint handling, mediation, terms); followed a notable rise in complaints in 2025</t>
  </si>
  <si>
    <t xml:space="preserve">Six years after the rules took effect, Ireland's regulator found about four in five platforms checked still breached them in some way.</t>
  </si>
  <si>
    <t xml:space="preserve">Ireland, late 2025</t>
  </si>
  <si>
    <t xml:space="preserve">https://www.ccpc.ie/business/ccpc-conducts-sweep-of-online-platforms-to-identify-potential-breaches-of-the-platform-to-business-regulation/</t>
  </si>
  <si>
    <t xml:space="preserve">ec-2025-digital-omnibus-p2b</t>
  </si>
  <si>
    <t xml:space="preserve">European Commission (2025), Proposal for a Digital Omnibus Regulation (repealing, among others, Regulation (EU) 2019/1150), COM(2025) 837</t>
  </si>
  <si>
    <t xml:space="preserve">Commission legislative proposal</t>
  </si>
  <si>
    <t xml:space="preserve">policy assessment (internal analysis, consultation)</t>
  </si>
  <si>
    <t xml:space="preserve">regulatory overlap; burden</t>
  </si>
  <si>
    <t xml:space="preserve">Proposes repeal of the P2B Regulation: DSA and DMA have largely overtaken it, it has 'only residual value'; cites 2023 review finding low awareness, insufficient compliance and very limited complaints</t>
  </si>
  <si>
    <t xml:space="preserve">In November 2025 the Commission proposed scrapping the P2B Regulation, saying newer platform laws had overtaken it.</t>
  </si>
  <si>
    <t xml:space="preserve">proposal; not an evaluation</t>
  </si>
  <si>
    <t xml:space="preserve">https://eur-lex.europa.eu/legal-content/EN/TXT/?uri=CELEX:52025PC0837</t>
  </si>
  <si>
    <t xml:space="preserve">ec-2024-rrf-midterm-evaluation</t>
  </si>
  <si>
    <t xml:space="preserve">European Commission (2024), Mid-term evaluation of the Recovery and Resilience Facility (Staff Working Document accompanying COM(2024) 82), SWD(2024) 70</t>
  </si>
  <si>
    <t xml:space="preserve">mid-term evaluation; QUEST and NiGEM macro-model simulations (ex-ante style)</t>
  </si>
  <si>
    <t xml:space="preserve">GDP; employment; spreads; implementation</t>
  </si>
  <si>
    <t xml:space="preserve">positive (model-based)</t>
  </si>
  <si>
    <t xml:space="preserve">QUEST: NGEU could raise EU real GDP by up to 1.4% in 2026 and employment by up to 0.8%; largest gains (about 3.5%) in Spain and Bulgaria; spillovers worth a quarter to a third of the total. NiGEM: EU GDP 0.4% higher in 2022, unemployment about 0.2 pp lower. Commission stresses these are model predictions, not ex-post estimates</t>
  </si>
  <si>
    <t xml:space="preserve">The Commission's mid-term evaluation used economic models to estimate the fund could lift EU output by up to 1.4% by 2026, but says these are model forecasts, not measured effects.</t>
  </si>
  <si>
    <t xml:space="preserve">EU, 2021-2026</t>
  </si>
  <si>
    <t xml:space="preserve">model simulation; no counterfactual data</t>
  </si>
  <si>
    <t xml:space="preserve">full text read (macro section)</t>
  </si>
  <si>
    <t xml:space="preserve">https://eur-lex.europa.eu/legal-content/EN/TXT/?uri=CELEX:52024SC0070</t>
  </si>
  <si>
    <t xml:space="preserve">https://eur-lex.europa.eu/legal-content/EN/TXT/PDF/?uri=CELEX:52024SC0070</t>
  </si>
  <si>
    <t xml:space="preserve">ec-2026-rrf-implementation-report</t>
  </si>
  <si>
    <t xml:space="preserve">European Commission (2026), Report on the implementation of the Recovery and Resilience Facility, COM(2026) 546</t>
  </si>
  <si>
    <t xml:space="preserve">monitoring report (disbursements, milestones, common indicators)</t>
  </si>
  <si>
    <t xml:space="preserve">absorption; milestones and targets; outputs</t>
  </si>
  <si>
    <t xml:space="preserve">EUR 450bn (79% of envelope) disbursed by 1 Oct 2026; 4,082 of 5,981 milestones and targets fulfilled (68%); EUR 123bn final requests under assessment; common indicators lack targets and counterfactual and data cannot be audited by the Commission</t>
  </si>
  <si>
    <t xml:space="preserve">By October 2026, the EU had paid out EUR 450 billion (79% of the fund) and countries had met about two-thirds of their agreed milestones; the Commission admits its indicators cannot show what the money achieved.</t>
  </si>
  <si>
    <t xml:space="preserve">administrative data; self-reported by Member States</t>
  </si>
  <si>
    <t xml:space="preserve">full text read (summary, disbursement and indicator sections)</t>
  </si>
  <si>
    <t xml:space="preserve">https://eur-lex.europa.eu/legal-content/EN/TXT/?uri=CELEX:52026DC0546</t>
  </si>
  <si>
    <t xml:space="preserve">https://eur-lex.europa.eu/legal-content/EN/TXT/PDF/?uri=CELEX:52026DC0546</t>
  </si>
  <si>
    <t xml:space="preserve">bankowski-et-al-2024-ecb-op362</t>
  </si>
  <si>
    <t xml:space="preserve">Bańkowski, K., Benalal, N., Bouabdallah, O., De Stefani, R., Dorrucci, E., Huber, C., Jacquinot, P., Modery, W., Nerlich, C., Rodríguez-Vives, M., Szörfi, B., Zorell, N. &amp; Zwick, C. (2024), Four years into NextGenerationEU: what impact on the euro area economy?, ECB Occasional Paper No 362</t>
  </si>
  <si>
    <t xml:space="preserve">central bank research</t>
  </si>
  <si>
    <t xml:space="preserve">macro-model simulations (several models and scenarios) plus tentative panel evidence on reforms</t>
  </si>
  <si>
    <t xml:space="preserve">GDP; inflation; public debt; institutional quality</t>
  </si>
  <si>
    <t xml:space="preserve">positive (smaller and later than first expected)</t>
  </si>
  <si>
    <t xml:space="preserve">RRF spending and reforms could raise euro-area GDP by around 0.4-0.9% by 2026 and 0.8-1.2% by 2031 depending on capital productivity and absorption; limited inflation effect; impact shifted over time due to widespread implementation delays; tentative evidence reforms modestly improved institutional quality</t>
  </si>
  <si>
    <t xml:space="preserve">ECB staff estimate the recovery fund could raise euro-area output by 0.4-0.9% by 2026, less and later than first hoped because of widespread delays.</t>
  </si>
  <si>
    <t xml:space="preserve">euro area, 2021-2031</t>
  </si>
  <si>
    <t xml:space="preserve">model-based; scenario range</t>
  </si>
  <si>
    <t xml:space="preserve">https://www.ecb.europa.eu/pub/pdf/scpops/ecb.op362~c055a591dd.en.pdf</t>
  </si>
  <si>
    <t xml:space="preserve">http://web.archive.org/web/20260801032817/https://www.ecb.europa.eu/pub/pdf/scpops/ecb.op362~c055a591dd.en.pdf</t>
  </si>
  <si>
    <t xml:space="preserve">eca-2024-sr13-rrf-absorption</t>
  </si>
  <si>
    <t xml:space="preserve">European Court of Auditors (2024), Absorption of funds from the Recovery and Resilience Facility - Progressing with delays and risks remain regarding the completion of measures and therefore the achievement of RRF objectives (Special report 13/2024), ECA Special report 13/2024</t>
  </si>
  <si>
    <t xml:space="preserve">performance audit (incl. visits to ES, IT, SK, RO)</t>
  </si>
  <si>
    <t xml:space="preserve">absorption; delays; flow to final recipients</t>
  </si>
  <si>
    <t xml:space="preserve">negative (implementation risks)</t>
  </si>
  <si>
    <t xml:space="preserve">EUR 213bn disbursed by end-2023 (incl. EUR 56.5bn pre-financing); seven Member States had received no milestone-based payments; about half of funds received had reached final recipients by Oct 2023; delays from inflation, underestimated timelines, rule uncertainty and weak administrative capacity; disbursements do not necessarily reflect the quantity and importance of milestones achieved</t>
  </si>
  <si>
    <t xml:space="preserve">EU auditors found the recovery fund was being spent late, only about half the money paid to governments had reached final recipients by late 2023, and payments did not always match what was achieved.</t>
  </si>
  <si>
    <t xml:space="preserve">EU, 2021-2023</t>
  </si>
  <si>
    <t xml:space="preserve">https://www.eca.europa.eu/ECAPublications/SR-2024-13/SR-2024-13_EN.pdf</t>
  </si>
  <si>
    <t xml:space="preserve">eca-2023-sr26-rrf-performance</t>
  </si>
  <si>
    <t xml:space="preserve">European Court of Auditors (2023), The Recovery and Resilience Facility's performance monitoring framework - Measuring implementation progress but not sufficient to capture performance (Special report 26/2023), ECA Special report 26/2023</t>
  </si>
  <si>
    <t xml:space="preserve">performance audit</t>
  </si>
  <si>
    <t xml:space="preserve">monitoring framework</t>
  </si>
  <si>
    <t xml:space="preserve">negative (measurement gap)</t>
  </si>
  <si>
    <t xml:space="preserve">Milestones and targets measure implementation progress but are limited for assessing performance; common indicators give an incomplete view of outputs and results</t>
  </si>
  <si>
    <t xml:space="preserve">EU auditors concluded that for a fund billed as performance-based, the EU can track progress but cannot measure actual performance.</t>
  </si>
  <si>
    <t xml:space="preserve">https://www.eca.europa.eu/ECAPublications/SR-2023-26/SR-2023-26_EN.pdf</t>
  </si>
  <si>
    <t xml:space="preserve">busse-caselli-fotiou-2026-imf</t>
  </si>
  <si>
    <t xml:space="preserve">Busse, M., Caselli, F. &amp; Fotiou, A. (2026), The EU's Recovery and Resilience Facility: Experience and Lessons for the Next Multiannual Financial Framework, IMF Working Paper WP/26/114</t>
  </si>
  <si>
    <t xml:space="preserve">working paper (IMF)</t>
  </si>
  <si>
    <t xml:space="preserve">sectoral and cross-country empirical analysis</t>
  </si>
  <si>
    <t xml:space="preserve">output; employment; sovereign debt markets; reforms</t>
  </si>
  <si>
    <t xml:space="preserve">positive (short-term)</t>
  </si>
  <si>
    <t xml:space="preserve">Short-term demand boost supported jobs and output, especially in countries with large allocations; much growth impact still expected as absorption accelerates; joint borrowing helped stabilise sovereign debt markets; performance conditionality supported reforms in some countries; slow absorption remains a constraint</t>
  </si>
  <si>
    <t xml:space="preserve">IMF economists find the fund gave a short-term boost to jobs and output in countries that received most, and calmed debt markets, but slow spending limits its impact so far.</t>
  </si>
  <si>
    <t xml:space="preserve">EU, 2021-2025</t>
  </si>
  <si>
    <t xml:space="preserve">empirical, early; identification details not verified</t>
  </si>
  <si>
    <t xml:space="preserve">https://www.elibrary.imf.org/view/journals/001/2026/114/article-A001-en.xml</t>
  </si>
  <si>
    <t xml:space="preserve">https://www.astrid-online.it/static/upload/wpie/wpiea2026114-source-pdf.pdf</t>
  </si>
  <si>
    <t xml:space="preserve">pfeiffer-varga-intveld-2022</t>
  </si>
  <si>
    <t xml:space="preserve">Pfeiffer, P., Varga, J. &amp; in 't Veld, J. (2022), Quantifying spillovers of coordinated investment stimulus in the EU, Macroeconomic Dynamics 27: 1843-1865</t>
  </si>
  <si>
    <t xml:space="preserve">DSGE model simulation (QUEST)</t>
  </si>
  <si>
    <t xml:space="preserve">GDP; cross-border spillovers</t>
  </si>
  <si>
    <t xml:space="preserve">Basis of the Commission's NGEU estimates: coordinated investment across Member States generates substantial positive cross-border spillovers</t>
  </si>
  <si>
    <t xml:space="preserve">Commission economists' model showing that spending the recovery funds at the same time in all countries amplifies the boost to growth through cross-border spillovers.</t>
  </si>
  <si>
    <t xml:space="preserve">EU, simulation</t>
  </si>
  <si>
    <t xml:space="preserve">model; authors are Commission staff</t>
  </si>
  <si>
    <t xml:space="preserve">Authors are European Commission (DG ECFIN) staff</t>
  </si>
  <si>
    <t xml:space="preserve">page summary via search (bibliographic data via Crossref)</t>
  </si>
  <si>
    <t xml:space="preserve">https://doi.org/10.1017/s1365100522000487</t>
  </si>
  <si>
    <t xml:space="preserve">ec-2018-horizon-europe-ia</t>
  </si>
  <si>
    <t xml:space="preserve">European Commission (2018), Impact Assessment accompanying the proposals for Horizon Europe (executive summary SWD(2018) 308), SWD(2018) 307</t>
  </si>
  <si>
    <t xml:space="preserve">ex-ante (QUEST, RHOMOLO and NEMESIS macro models)</t>
  </si>
  <si>
    <t xml:space="preserve">GDP; jobs; leverage</t>
  </si>
  <si>
    <t xml:space="preserve">Continuation scenario: average GDP increase of 0.08-0.19% over 25 years, up to EUR 11 of GDP per euro invested; up to 100,000 direct R&amp;I jobs in 2021-2027 and up to 200,000 indirect jobs in 2027-2036; Horizon Europe changes add +0.04% to +0.1% of GDP (EUR 800-975bn over 25 years)</t>
  </si>
  <si>
    <t xml:space="preserve">The Commission forecast that Horizon Europe would add up to EUR 11 to EU output for every euro spent over 25 years and create up to 100,000 research jobs during the programme.</t>
  </si>
  <si>
    <t xml:space="preserve">EU, forecast 2021-2045</t>
  </si>
  <si>
    <t xml:space="preserve">full text read (Part 1 key sections)</t>
  </si>
  <si>
    <t xml:space="preserve">https://eur-lex.europa.eu/legal-content/EN/TXT/?uri=CELEX:52018SC0307</t>
  </si>
  <si>
    <t xml:space="preserve">ec-2024-h2020-expost</t>
  </si>
  <si>
    <t xml:space="preserve">European Commission (2024), Ex-post evaluation of Horizon 2020, the EU Framework Programme for Research and Innovation (Staff Working Document), SWD(2024) 29</t>
  </si>
  <si>
    <t xml:space="preserve">ex-post evaluation; synthesis incl. counterfactual studies and macro models</t>
  </si>
  <si>
    <t xml:space="preserve">firm growth; investment; GDP</t>
  </si>
  <si>
    <t xml:space="preserve">Counterfactual studies show positive causal effects on beneficiary firms (employment +20%, assets and revenues ~+30%; SME Instrument beneficiaries attracted 46-97% more follow-on investment); macro models put peak GDP gain at +0.18-0.25% and total gains to 2040 at EUR 429bn (RHOMOLO), below the interim evaluation's expectations except in NEMESIS</t>
  </si>
  <si>
    <t xml:space="preserve">The Commission's final evaluation of Horizon 2020 found funded firms grew faster than similar rejected applicants, while model-based GDP gains came in lower than previously expected in two of three models.</t>
  </si>
  <si>
    <t xml:space="preserve">EU, 2014-2020 (outcomes to 2022)</t>
  </si>
  <si>
    <t xml:space="preserve">mixed: some causal firm-level studies plus models</t>
  </si>
  <si>
    <t xml:space="preserve">full text read (effectiveness sections)</t>
  </si>
  <si>
    <t xml:space="preserve">https://eur-lex.europa.eu/legal-content/EN/TXT/?uri=CELEX:52024SC0029</t>
  </si>
  <si>
    <t xml:space="preserve">ec-2025-horizon-europe-interim</t>
  </si>
  <si>
    <t xml:space="preserve">European Commission (2025), Interim Evaluation of the Horizon Europe Framework Programme for Research and Innovation (2021-2024), SWD(2025) 110</t>
  </si>
  <si>
    <t xml:space="preserve">interim evaluation; monitoring data and macro-model simulations (NEMESIS, RHOMOLO, FIDELIO)</t>
  </si>
  <si>
    <t xml:space="preserve">jobs; leverage; GDP; success rates</t>
  </si>
  <si>
    <t xml:space="preserve">39,543 FTE jobs created or maintained (21% of projects reporting); EUR 10.2bn co-investment; GDP multiplier of 4-11 by 2045 and 'on track' vs the IA; success rate 16.4% but 7 in 10 high-quality proposals unfunded</t>
  </si>
  <si>
    <t xml:space="preserve">The interim evaluation says Horizon Europe is on track, but its growth estimates are model re-runs and 7 in 10 high-quality proposals go unfunded.</t>
  </si>
  <si>
    <t xml:space="preserve">EU, 2021-2024</t>
  </si>
  <si>
    <t xml:space="preserve">monitoring and models; no counterfactual on Horizon Europe yet</t>
  </si>
  <si>
    <t xml:space="preserve">full text read (impact and efficiency sections)</t>
  </si>
  <si>
    <t xml:space="preserve">https://eur-lex.europa.eu/legal-content/EN/TXT/?uri=CELEX:52025SC0110</t>
  </si>
  <si>
    <t xml:space="preserve">santoleri-et-al-2024-rd-grants</t>
  </si>
  <si>
    <t xml:space="preserve">Santoleri, P., Mina, A., Di Minin, A. &amp; Martelli, I. (2024), The Causal Effects of R&amp;D Grants: Evidence from a Regression Discontinuity, Review of Economics and Statistics 106(6): 1495-1510</t>
  </si>
  <si>
    <t xml:space="preserve">regression discontinuity (Horizon 2020 SME Instrument evaluation scores)</t>
  </si>
  <si>
    <t xml:space="preserve">investment; patents; growth; survival; entry</t>
  </si>
  <si>
    <t xml:space="preserve">Grants trigger sizable impacts on firm outcomes, consistent with reduced financial frictions; effect due to funding, not certification ('Seal of Excellence' quality stamps alone do not improve performance); private returns comparable to US SBIR; spillovers via higher entrepreneurial entry. Commission evaluation cites 15-31% more citation-weighted patents</t>
  </si>
  <si>
    <t xml:space="preserve">A rigorous study of the EU's SME Instrument found that winning a grant (rather than just a quality label) made small firms invest, patent and grow more and made them less likely to fail.</t>
  </si>
  <si>
    <t xml:space="preserve">EU, Horizon 2020 (2014-2017 calls)</t>
  </si>
  <si>
    <t xml:space="preserve">causal (RD); predecessor programme</t>
  </si>
  <si>
    <t xml:space="preserve">https://doi.org/10.1162/rest_a_01233</t>
  </si>
  <si>
    <t xml:space="preserve">https://papers.ssrn.com/sol3/papers.cfm?abstract_id=3637867</t>
  </si>
  <si>
    <t xml:space="preserve">mitra-niakaros-2023-horizon-effect</t>
  </si>
  <si>
    <t xml:space="preserve">Mitra, A. &amp; Niakaros, K. (European Commission, DG RTD) (2023), The Horizon effect: A counterfactual analysis of EU research &amp; innovation grants, Publications Office of the EU (R&amp;I Paper Series)</t>
  </si>
  <si>
    <t xml:space="preserve">Commission staff working paper</t>
  </si>
  <si>
    <t xml:space="preserve">difference-in-differences (about 40,000 applicant firms, CORDA + ORBIS, 2010-2022)</t>
  </si>
  <si>
    <t xml:space="preserve">employment; assets; revenues</t>
  </si>
  <si>
    <t xml:space="preserve">Firms receiving a first Horizon 2020 grant increased employment by about 20% and total assets and revenues by about 30% relative to comparable non-funded applicants with high-quality proposals; effects concentrated in ICT and professional/scientific services, insignificant elsewhere</t>
  </si>
  <si>
    <t xml:space="preserve">Commission economists found companies that won Horizon 2020 grants grew jobs by about a fifth and revenue by about 30% compared with similar firms that narrowly missed out, mostly in tech and professional services.</t>
  </si>
  <si>
    <t xml:space="preserve">EU, 2014-2022</t>
  </si>
  <si>
    <t xml:space="preserve">quasi-experimental (DiD); authors are Commission staff</t>
  </si>
  <si>
    <t xml:space="preserve">Authors are European Commission (DG Research and Innovation) staff evaluating their own programme</t>
  </si>
  <si>
    <t xml:space="preserve">https://data.europa.eu/doi/10.2777/584781</t>
  </si>
  <si>
    <t xml:space="preserve">ghirelli-et-al-2023-erc</t>
  </si>
  <si>
    <t xml:space="preserve">Ghirelli, C., Havari, E., Meroni, E. &amp; Verzillo, S. (2023), The Long-Term Causal Effects of Winning an ERC Grant, IZA Discussion Paper 16108 / Banco de España Working Paper 2313</t>
  </si>
  <si>
    <t xml:space="preserve">regression discontinuity and difference-in-differences (all ERC applicants 2007-2013, Scopus records)</t>
  </si>
  <si>
    <t xml:space="preserve">scientific productivity; citation impact; further EU funding</t>
  </si>
  <si>
    <t xml:space="preserve">Near the funding cut-off (RD) no significant effect on productivity or quality; DiD on broader population finds positive long-term effects in some fields (Chemistry, Universe and Earth Sciences, Medicine, etc.), driven by top-ranked applicants</t>
  </si>
  <si>
    <t xml:space="preserve">A study of European Research Council grants found winning made no measurable difference to the output of researchers just above the funding line, though top-ranked winners in some fields did gain.</t>
  </si>
  <si>
    <t xml:space="preserve">EU, ERC 2007-2013 (FP7)</t>
  </si>
  <si>
    <t xml:space="preserve">causal (RD) plus DiD; predecessor programme</t>
  </si>
  <si>
    <t xml:space="preserve">https://docs.iza.org/dp16108.pdf</t>
  </si>
  <si>
    <t xml:space="preserve">ec-2020-nis2-ia</t>
  </si>
  <si>
    <t xml:space="preserve">European Commission (2020), Impact Assessment accompanying the proposal for a Directive on measures for a high common level of cybersecurity across the Union (executive summary SWD(2020) 344), SWD(2020) 345</t>
  </si>
  <si>
    <t xml:space="preserve">ex-ante (economic modelling from support study)</t>
  </si>
  <si>
    <t xml:space="preserve">incident costs; ICT security spending; authorities' resources</t>
  </si>
  <si>
    <t xml:space="preserve">Preferred option may cut the cost of cybersecurity incidents by EUR 11.3bn over ten years; entities in scope would need up to 22% more ICT security spending in the first years (12% for those already covered); authorities' resources up about 20-30%</t>
  </si>
  <si>
    <t xml:space="preserve">The Commission expected NIS 2 to cut the cost of cyber incidents by EUR 11.3 billion over ten years, while companies newly covered would raise security spending by up to 22%.</t>
  </si>
  <si>
    <t xml:space="preserve">EU, 10-year forecast</t>
  </si>
  <si>
    <t xml:space="preserve">forecast; IA notes lack of systematic data</t>
  </si>
  <si>
    <t xml:space="preserve">https://eur-lex.europa.eu/legal-content/EN/TXT/?uri=CELEX:52020SC0344</t>
  </si>
  <si>
    <t xml:space="preserve">http://web.archive.org/web/20240705204139/https://eur-lex.europa.eu/legal-content/EN/TXT/?uri=celex%3A52020SC0344</t>
  </si>
  <si>
    <t xml:space="preserve">ec-2020-nis1-evaluation</t>
  </si>
  <si>
    <t xml:space="preserve">European Commission (2020), Evaluation of the functioning of the NIS Directive (Annex 5 of the NIS 2 impact assessment), SWD(2020) 345, Part 2</t>
  </si>
  <si>
    <t xml:space="preserve">ex-post evaluation (desk research, surveys, country visits)</t>
  </si>
  <si>
    <t xml:space="preserve">scope; consistency; cooperation</t>
  </si>
  <si>
    <t xml:space="preserve">NIS1 raised awareness and capabilities but scope was too narrow and national identification of operators very inconsistent; no data available to measure NIS1's actual impact on security spending; evaluation limited on effectiveness and efficiency by data gaps</t>
  </si>
  <si>
    <t xml:space="preserve">The Commission's review of the first NIS Directive found it changed mindsets but left large gaps between countries - e.g. major hospitals covered in one country but not another - and no data existed to measure its effect on spending.</t>
  </si>
  <si>
    <t xml:space="preserve">EU-27, 2018-2020</t>
  </si>
  <si>
    <t xml:space="preserve">qualitative; data gaps acknowledged</t>
  </si>
  <si>
    <t xml:space="preserve">https://eur-lex.europa.eu/legal-content/EN/TXT/?uri=CELEX:52020SC0345</t>
  </si>
  <si>
    <t xml:space="preserve">wavestone-icf-ceps-2021-nis-review</t>
  </si>
  <si>
    <t xml:space="preserve">Wavestone, ICF &amp; CEPS (Adami, Cole, Massacci, Polito, Pupillo et al.) for DG CONNECT (2021), Study to support the review of Directive (EU) 2016/1148 (NIS Directive), No. 2020-665, Publications Office of the EU, ISBN 978-92-76-31316-8</t>
  </si>
  <si>
    <t xml:space="preserve">Commission-contracted study</t>
  </si>
  <si>
    <t xml:space="preserve">retrospective evaluation + forward-looking support to IA; surveys of authorities and operators</t>
  </si>
  <si>
    <t xml:space="preserve">effectiveness; costs; scope</t>
  </si>
  <si>
    <t xml:space="preserve">Support study behind the NIS1 evaluation and the IA's EUR 11.3bn benefit estimate; surveys covered 46 competent authorities, 49 operators of essential services and 9 digital service providers</t>
  </si>
  <si>
    <t xml:space="preserve">The contractor study that fed the Commission's review of the first NIS Directive and its cost-benefit model for NIS 2.</t>
  </si>
  <si>
    <t xml:space="preserve">EU, 2020</t>
  </si>
  <si>
    <t xml:space="preserve">contractor study; small survey samples</t>
  </si>
  <si>
    <t xml:space="preserve">CEPS (co-author) hosts this metrics project</t>
  </si>
  <si>
    <t xml:space="preserve">https://op.europa.eu/en/publication-detail/-/publication/3b6ad641-d23c-11eb-ac72-01aa75ed71a1</t>
  </si>
  <si>
    <t xml:space="preserve">enisa-2020-nis-investments</t>
  </si>
  <si>
    <t xml:space="preserve">ENISA (2020), NIS Investments (first edition), ENISA report, 11 Dec 2020</t>
  </si>
  <si>
    <t xml:space="preserve">agency report (survey)</t>
  </si>
  <si>
    <t xml:space="preserve">survey of 251 operators and digital service providers in FR, DE, IT, ES, PL</t>
  </si>
  <si>
    <t xml:space="preserve">perceived effect; security spending</t>
  </si>
  <si>
    <t xml:space="preserve">positive (self-reported)</t>
  </si>
  <si>
    <t xml:space="preserve">82% of respondents said the NIS Directive had a positive effect on their information security; EU organisations spend on average 41% less on information security than US counterparts</t>
  </si>
  <si>
    <t xml:space="preserve">In ENISA's first survey, 82% of operators said the first NIS Directive improved their security, though EU firms spent 41% less on security than US firms.</t>
  </si>
  <si>
    <t xml:space="preserve">5 Member States, 2019-20</t>
  </si>
  <si>
    <t xml:space="preserve">self-reported; no counterfactual</t>
  </si>
  <si>
    <t xml:space="preserve">https://www.enisa.europa.eu/news/enisa-news/nis-directive-has-positive-effect-though-study-finds-gaps-in-cybersecurity-investment-exist</t>
  </si>
  <si>
    <t xml:space="preserve">enisa-2024-nis-investments</t>
  </si>
  <si>
    <t xml:space="preserve">ENISA (2024), NIS Investments 2024, ENISA report, Nov 2024</t>
  </si>
  <si>
    <t xml:space="preserve">survey of 1,350 organisations, 27 Member States; old-vs-new-sector comparison (descriptive)</t>
  </si>
  <si>
    <t xml:space="preserve">security spending; staffing; maturity</t>
  </si>
  <si>
    <t xml:space="preserve">Organisations earmark 9.0% of IT investment for information security (+1.9 pp); 89% need more security staff for NIS2; 34% of SMEs cannot request the extra budget; sectors already under NIS1 report higher maturity (e.g. 6.8 vs 6.2 risk management) than newly covered sectors</t>
  </si>
  <si>
    <t xml:space="preserve">Pre-NIS 2 baseline: firms spend 9% of IT budgets on security, most expect NIS 2 to raise costs, and sectors already regulated under the first directive report better security than newcomers.</t>
  </si>
  <si>
    <t xml:space="preserve">EU-27, 2023-24</t>
  </si>
  <si>
    <t xml:space="preserve">descriptive; old-vs-new sector gap not causal</t>
  </si>
  <si>
    <t xml:space="preserve">https://www.enisa.europa.eu/publications/nis-investments-2024</t>
  </si>
  <si>
    <t xml:space="preserve">https://www.enisa.europa.eu/sites/default/files/2024-11/CSPA%20-%20NIS%20Investments%20-%202024_0.pdf</t>
  </si>
  <si>
    <t xml:space="preserve">enisa-2025-nis-investments</t>
  </si>
  <si>
    <t xml:space="preserve">ENISA (2025), NIS Investments 2025, ENISA report, Dec 2025</t>
  </si>
  <si>
    <t xml:space="preserve">survey of 1,080 professionals (83% large firms)</t>
  </si>
  <si>
    <t xml:space="preserve">security spending; compliance drivers; patching; talent</t>
  </si>
  <si>
    <t xml:space="preserve">Security spending stable at about 9% of IT budgets (median EUR 1.5m), shifting to technology and outsourcing; compliance is the main investment driver (70%); 28% take over three months to patch critical vulnerabilities; 30% did no assessment in 12 months</t>
  </si>
  <si>
    <t xml:space="preserve">In the first year of NIS 2, security budgets held at about 9% of IT spending, compliance drove most investment, but many firms still patch slowly.</t>
  </si>
  <si>
    <t xml:space="preserve">EU-27, 2024-25</t>
  </si>
  <si>
    <t xml:space="preserve">descriptive survey</t>
  </si>
  <si>
    <t xml:space="preserve">https://www.enisa.europa.eu/publications/nis-investments-2025</t>
  </si>
  <si>
    <t xml:space="preserve">https://www.enisa.europa.eu/sites/default/files/2026-02/NIS%20Investments%202025%20-%20Main%20report.pdf</t>
  </si>
  <si>
    <t xml:space="preserve">http://web.archive.org/web/20260806080039/https://www.enisa.europa.eu/publications/nis-investments-2025</t>
  </si>
  <si>
    <t xml:space="preserve">enisa-2024-state-of-cybersecurity</t>
  </si>
  <si>
    <t xml:space="preserve">ENISA with NIS Cooperation Group and European Commission (2024), 2024 Report on the State of Cybersecurity in the Union, ENISA report (NIS2 Art. 18), Dec 2024</t>
  </si>
  <si>
    <t xml:space="preserve">agency report</t>
  </si>
  <si>
    <t xml:space="preserve">descriptive assessment</t>
  </si>
  <si>
    <t xml:space="preserve">threat level; national capabilities</t>
  </si>
  <si>
    <t xml:space="preserve">n/a (baseline)</t>
  </si>
  <si>
    <t xml:space="preserve">First report under NIS2 Art. 18; finds a substantial threat level and broadly aligned national strategies; data collected while transposition ongoing, intended as baseline for later NIS2 assessments</t>
  </si>
  <si>
    <t xml:space="preserve">ENISA's first EU-wide state-of-cybersecurity report, intended as the baseline against which NIS 2 will be judged.</t>
  </si>
  <si>
    <t xml:space="preserve">https://www.enisa.europa.eu/publications/2024-report-on-the-state-of-the-cybersecurity-in-the-union</t>
  </si>
  <si>
    <t xml:space="preserve">ec-2026-nis2-referral</t>
  </si>
  <si>
    <t xml:space="preserve">European Commission (2026), Commission refers Ireland, Spain, France and the Netherlands to the Court of Justice for failing to transpose the rules on cybersecurity, Press release IP/26/1499, 8 July 2026</t>
  </si>
  <si>
    <t xml:space="preserve">Deadline 17 Oct 2024; formal notices 28 Nov 2024, reasoned opinions 7 May 2025; four Member States referred with request for financial sanctions; targeted NIS2 amendments proposed 20 Jan 2026</t>
  </si>
  <si>
    <t xml:space="preserve">Nearly two years after the deadline, four countries had still not fully transposed NIS 2 and were taken to court.</t>
  </si>
  <si>
    <t xml:space="preserve">https://ec.europa.eu/commission/presscorner/detail/en/ip_26_1499</t>
  </si>
  <si>
    <t xml:space="preserve">http://web.archive.org/web/20260811180832/https://ec.europa.eu/commission/presscorner/detail/en/ip_26_1499</t>
  </si>
  <si>
    <t xml:space="preserve">ec-2021-roaming-ia</t>
  </si>
  <si>
    <t xml:space="preserve">European Commission (2021), Impact Assessment accompanying the Roaming Regulation recast (executive summary SWD(2021) 27), SWD(2021) 28</t>
  </si>
  <si>
    <t xml:space="preserve">ex-ante (sustainability model)</t>
  </si>
  <si>
    <t xml:space="preserve">operator margins; surcharges; quality of service</t>
  </si>
  <si>
    <t xml:space="preserve">Lower wholesale caps reduce unsustainable negative roaming margins by 42% (2023) and 52% (2025) vs baseline; users at risk of surcharges cut by more than 40%; compliance costs under 6 person-days per operator per year; about 170 million roaming customers</t>
  </si>
  <si>
    <t xml:space="preserve">The Commission expected lower wholesale caps to keep roaming at home prices sustainable for operators and to cut the number of people facing surcharges by over 40%.</t>
  </si>
  <si>
    <t xml:space="preserve">EU/EEA, forecast</t>
  </si>
  <si>
    <t xml:space="preserve">https://eur-lex.europa.eu/legal-content/EN/TXT/?uri=CELEX:52021SC0027</t>
  </si>
  <si>
    <t xml:space="preserve">ec-2019-roaming-review</t>
  </si>
  <si>
    <t xml:space="preserve">European Commission (2019), Report on the review of the roaming market, COM(2019) 616</t>
  </si>
  <si>
    <t xml:space="preserve">descriptive (BEREC data)</t>
  </si>
  <si>
    <t xml:space="preserve">roaming traffic</t>
  </si>
  <si>
    <t xml:space="preserve">Summer 2018 roaming data use 12 times and voice 3 times summer 2016 levels; average roaming data use 440 MB/month vs 60 MB</t>
  </si>
  <si>
    <t xml:space="preserve">Two years after roaming charges ended, people used 12 times more mobile data when travelling in the EU.</t>
  </si>
  <si>
    <t xml:space="preserve">EU/EEA, 2016-19</t>
  </si>
  <si>
    <t xml:space="preserve">https://eur-lex.europa.eu/legal-content/EN/TXT/?uri=CELEX:52019DC0616</t>
  </si>
  <si>
    <t xml:space="preserve">ec-2025-roaming-review</t>
  </si>
  <si>
    <t xml:space="preserve">European Commission (2025), Report on the review of the roaming market, COM(2025) 324 (with SWD(2025) 164)</t>
  </si>
  <si>
    <t xml:space="preserve">descriptive (BEREC data, Eurobarometer, QoS measurement study)</t>
  </si>
  <si>
    <t xml:space="preserve">traffic; wholesale prices; domestic prices; quality of service</t>
  </si>
  <si>
    <t xml:space="preserve">positive (with QoS gaps)</t>
  </si>
  <si>
    <t xml:space="preserve">RLAH fit for purpose; data roaming up 48-fold (Q3) since 2017; wholesale data prices EUR 0.7/GB in Q3 2024 (-50% vs 2021); no MNO derogations since 2022; domestic ARPU stable 2019-24; but 76% of roamers get slower download speeds than at home</t>
  </si>
  <si>
    <t xml:space="preserve">The Commission found roaming at home prices working well, with no sign of higher domestic bills, but most travellers still get slower mobile internet abroad than at home.</t>
  </si>
  <si>
    <t xml:space="preserve">EU/EEA, 2017-24</t>
  </si>
  <si>
    <t xml:space="preserve">https://eur-lex.europa.eu/legal-content/EN/TXT/?uri=CELEX:52025DC0324</t>
  </si>
  <si>
    <t xml:space="preserve">http://web.archive.org/web/20260727101405/https://eur-lex.europa.eu/legal-content/EN/TXT/?uri=CELEX:52025DC0324</t>
  </si>
  <si>
    <t xml:space="preserve">quinn-godinho-peukert-2024-rlah</t>
  </si>
  <si>
    <t xml:space="preserve">Quinn, Godinho de Matos &amp; Peukert (2024), The Welfare Effects of Mobile Internet Access: Evidence from Roam-Like-at-Home, The Economic Journal 134(659)</t>
  </si>
  <si>
    <t xml:space="preserve">demand/welfare estimation on individual-level mobile consumption data around the June 2017 reform</t>
  </si>
  <si>
    <t xml:space="preserve">consumer surplus; mobile data use</t>
  </si>
  <si>
    <t xml:space="preserve">Consumer surplus rose by about EUR 2.44 per user per travel day; around 40% of gains from new users (lower deadweight loss); effects differ by usage intensity and business vs leisure travel</t>
  </si>
  <si>
    <t xml:space="preserve">Ending roaming charges was worth about EUR 2.44 per traveller per day to consumers, partly because many people started using mobile internet abroad for the first time.</t>
  </si>
  <si>
    <t xml:space="preserve">EEA travellers, around 2017</t>
  </si>
  <si>
    <t xml:space="preserve">quasi-experimental; individual-level data from operator records</t>
  </si>
  <si>
    <t xml:space="preserve">https://doi.org/10.1093/ej/uead101</t>
  </si>
  <si>
    <t xml:space="preserve">https://www.cesifo.org/DocDL/cesifo1_wp9612.pdf</t>
  </si>
  <si>
    <t xml:space="preserve">canzian-et-al-2025-price-caps</t>
  </si>
  <si>
    <t xml:space="preserve">Canzian, Mazzarella, Ronchail, Verboven &amp; Verzillo (2025), Evaluating the impact of price caps - Evidence from the European roam-like-at-home regulation, International Journal of Industrial Organization 103 (earlier CEPR DP16554, CESifo WP 9303)</t>
  </si>
  <si>
    <t xml:space="preserve">difference-in-differences (rest-of-world roaming as control) plus welfare analysis</t>
  </si>
  <si>
    <t xml:space="preserve">roaming traffic; revenues; consumer surplus; profits</t>
  </si>
  <si>
    <t xml:space="preserve">Large but uneven effects on retail and wholesale traffic and revenues; consumer surplus gains large, mainly from data, and bigger in small open economies and countries with previously high prices; total welfare rises as consumer gains outweigh profit losses</t>
  </si>
  <si>
    <t xml:space="preserve">A study by JRC and university economists found ending roaming charges raised total welfare: consumers' gains, especially on data, far outweighed operators' lost profits.</t>
  </si>
  <si>
    <t xml:space="preserve">EEA vs rest of world, around 2017</t>
  </si>
  <si>
    <t xml:space="preserve">causal (DiD)</t>
  </si>
  <si>
    <t xml:space="preserve">https://doi.org/10.1016/j.ijindorg.2024.103115</t>
  </si>
  <si>
    <t xml:space="preserve">https://www.cesifo.org/DocDL/cesifo1_wp9303.pdf</t>
  </si>
  <si>
    <t xml:space="preserve">grzybowski-munoz-2023-roaming</t>
  </si>
  <si>
    <t xml:space="preserve">Grzybowski &amp; Muñoz-Acevedo (2023), Impact of roaming regulation on revenues and prices of mobile operators in the EU, International Journal of Industrial Organization 89</t>
  </si>
  <si>
    <t xml:space="preserve">difference-in-differences and hedonic price regressions (operator and plan-level data)</t>
  </si>
  <si>
    <t xml:space="preserve">operator ARPU; domestic tariffs</t>
  </si>
  <si>
    <t xml:space="preserve">Roaming regulation decreased mobile operators' revenues per user but had no impact on tariffs in the latest phase (no domestic waterbed)</t>
  </si>
  <si>
    <t xml:space="preserve">Roaming rules cut operators' revenue per customer but did not push up domestic mobile prices.</t>
  </si>
  <si>
    <t xml:space="preserve">EU, 2010s</t>
  </si>
  <si>
    <t xml:space="preserve">https://doi.org/10.1016/j.ijindorg.2023.102927</t>
  </si>
  <si>
    <t xml:space="preserve">https://www.cesifo.org/DocDL/cesifo1_wp9235.pdf</t>
  </si>
  <si>
    <t xml:space="preserve">boto-garcia-santana-2026-tourism</t>
  </si>
  <si>
    <t xml:space="preserve">Boto-García &amp; Santana-Gallego (2026), Roam Like at Home: The Effect of Zero-Roaming Charges on Tourism Flows, SSRN working paper</t>
  </si>
  <si>
    <t xml:space="preserve">structural gravity model with difference-in-differences (world tourist arrivals 2012-2019) plus survey microdata</t>
  </si>
  <si>
    <t xml:space="preserve">tourism flows</t>
  </si>
  <si>
    <t xml:space="preserve">Abolishing roaming charges significantly increased intra-EEA tourism flows, especially from higher-income origins and between distant country pairs; survey evidence shows more trips and more mobile internet use abroad</t>
  </si>
  <si>
    <t xml:space="preserve">A new working paper finds that ending roaming charges led to more tourist trips within Europe.</t>
  </si>
  <si>
    <t xml:space="preserve">EEA vs world, 2012-19</t>
  </si>
  <si>
    <t xml:space="preserve">causal (DiD); not peer-reviewed</t>
  </si>
  <si>
    <t xml:space="preserve">https://doi.org/10.2139/ssrn.7076621</t>
  </si>
  <si>
    <t xml:space="preserve">ec-2020-dga-ia</t>
  </si>
  <si>
    <t xml:space="preserve">European Commission (2020), Impact assessment report accompanying the Data Governance Act proposal (executive summary SWD(2020) 296), SWD(2020) 295</t>
  </si>
  <si>
    <t xml:space="preserve">data economy value; compliance costs; public-sector savings</t>
  </si>
  <si>
    <t xml:space="preserve">Preferred package worth EUR 7.2-10.9bn to the EU data economy in 2028; labelling cost EUR 20,000-50,000 per intermediary; public-sector set-up EUR 10.6m per Member State with efficiency savings of about EUR 684m a year</t>
  </si>
  <si>
    <t xml:space="preserve">The Commission expected the DGA to add EUR 7-11 billion to the EU data economy by 2028 by building trust in data sharing.</t>
  </si>
  <si>
    <t xml:space="preserve">https://eur-lex.europa.eu/legal-content/EN/TXT/?uri=CELEX:52020SC0296</t>
  </si>
  <si>
    <t xml:space="preserve">vonditfurth-lienemann-2022</t>
  </si>
  <si>
    <t xml:space="preserve">von Ditfurth &amp; Lienemann (2022), The Data Governance Act: Promoting or Restricting Data Intermediaries?, Competition and Regulation in Network Industries 23(4)</t>
  </si>
  <si>
    <t xml:space="preserve">legal, policy and competition-economics analysis (ex-ante)</t>
  </si>
  <si>
    <t xml:space="preserve">market entry; competition among intermediaries</t>
  </si>
  <si>
    <t xml:space="preserve">negative/mixed (expected)</t>
  </si>
  <si>
    <t xml:space="preserve">Examines the DGA's prior-notification regime and conditions on data intermediaries (Art. 10-15) and asks whether they promote or restrict trustworthy, competitive data sharing; highlights risks that the conditions restrict intermediaries' business models</t>
  </si>
  <si>
    <t xml:space="preserve">Researchers warn that the DGA's strict conditions on data intermediaries may hold back the very services it aims to encourage.</t>
  </si>
  <si>
    <t xml:space="preserve">conceptual</t>
  </si>
  <si>
    <t xml:space="preserve">https://doi.org/10.1177/17835917221141324</t>
  </si>
  <si>
    <t xml:space="preserve">carovano-finck-2023</t>
  </si>
  <si>
    <t xml:space="preserve">Carovano &amp; Finck (2023), Regulating data intermediaries: The impact of the Data Governance Act on the EU's data economy, Computer Law &amp; Security Review 50: 105830</t>
  </si>
  <si>
    <t xml:space="preserve">legal analysis (ex-ante)</t>
  </si>
  <si>
    <t xml:space="preserve">viability of intermediaries; legal coherence</t>
  </si>
  <si>
    <t xml:space="preserve">negative (expected)</t>
  </si>
  <si>
    <t xml:space="preserve">DGA rests on questionable assumptions, imposes requirements not all intermediaries can meet and entrenches a form of intermediation that may be economically non-viable; inconsistencies with GDPR, Data Act and DMA; may hinder its own objectives</t>
  </si>
  <si>
    <t xml:space="preserve">Legal scholars argue the DGA's design could make data intermediaries commercially unviable and clashes with other EU data laws.</t>
  </si>
  <si>
    <t xml:space="preserve">paywalled (SSRN version open)</t>
  </si>
  <si>
    <t xml:space="preserve">https://doi.org/10.1016/j.clsr.2023.105830</t>
  </si>
  <si>
    <t xml:space="preserve">https://ssrn.com/abstract=4422263</t>
  </si>
  <si>
    <t xml:space="preserve">ec-2024-dga-infringements</t>
  </si>
  <si>
    <t xml:space="preserve">European Commission (2024), Commission calls on 10 Member States to comply with the Data Governance Act, Press release, 16 December 2024</t>
  </si>
  <si>
    <t xml:space="preserve">infringement procedure</t>
  </si>
  <si>
    <t xml:space="preserve">negative (slow implementation)</t>
  </si>
  <si>
    <t xml:space="preserve">Reasoned opinions to Czechia, Germany, Estonia, Greece, Cyprus, Luxembourg, Austria, Poland, Portugal and Slovenia for not designating or empowering DGA authorities, following letters of formal notice in 2024</t>
  </si>
  <si>
    <t xml:space="preserve">Over a year after the DGA applied, ten countries still had not set up the authorities needed to run it.</t>
  </si>
  <si>
    <t xml:space="preserve">administrative record</t>
  </si>
  <si>
    <t xml:space="preserve">https://digital-strategy.ec.europa.eu/en/news/commission-calls-10-member-states-comply-data-governance-act</t>
  </si>
  <si>
    <t xml:space="preserve">ec-2026-dga-registers</t>
  </si>
  <si>
    <t xml:space="preserve">European Commission (2026), EU registers of data intermediation services and of recognised data altruism organisations, Shaping Europe's digital future (pages updated July-August 2026)</t>
  </si>
  <si>
    <t xml:space="preserve">count of notified entities</t>
  </si>
  <si>
    <t xml:space="preserve">uptake</t>
  </si>
  <si>
    <t xml:space="preserve">low uptake</t>
  </si>
  <si>
    <t xml:space="preserve">38 data intermediation services notified in 10 Member States; 7 recognised data altruism organisations in 4 Member States</t>
  </si>
  <si>
    <t xml:space="preserve">Nearly three years after the DGA applied, 38 data intermediaries and 7 data altruism organisations had registered EU-wide.</t>
  </si>
  <si>
    <t xml:space="preserve">EU, to August 2026</t>
  </si>
  <si>
    <t xml:space="preserve">count only; no data on volumes shared</t>
  </si>
  <si>
    <t xml:space="preserve">https://digital-strategy.ec.europa.eu/en/policies/data-intermediary-services</t>
  </si>
  <si>
    <t xml:space="preserve">https://digital-strategy.ec.europa.eu/en/policies/data-altruism-organisations</t>
  </si>
  <si>
    <t xml:space="preserve">ec-2025-digital-omnibus-dga</t>
  </si>
  <si>
    <t xml:space="preserve">European Commission (2025), Proposal for a Digital Omnibus Regulation (repealing Regulation (EU) 2022/868), COM(2025) 837</t>
  </si>
  <si>
    <t xml:space="preserve">regulatory burden; uptake</t>
  </si>
  <si>
    <t xml:space="preserve">Proposes repealing the DGA and moving streamlined rules on data intermediation and data altruism into the Data Act; mandatory notification for intermediaries becomes a voluntary label 'for this market to grow'; reporting duties for altruism organisations dropped</t>
  </si>
  <si>
    <t xml:space="preserve">In November 2025 the Commission proposed scrapping the DGA as a separate law and making its intermediary rules voluntary, implicitly acknowledging weak uptake.</t>
  </si>
  <si>
    <t xml:space="preserve">ec-2020-dma-ia</t>
  </si>
  <si>
    <t xml:space="preserve">European Commission (2020), Impact Assessment Report accompanying the DMA proposal, SWD(2020) 363; Executive summary SWD(2020) 364</t>
  </si>
  <si>
    <t xml:space="preserve">ex-ante assessment / modelling</t>
  </si>
  <si>
    <t xml:space="preserve">consumer welfare; compliance costs; SMEs</t>
  </si>
  <si>
    <t xml:space="preserve">Consumer surplus +EUR 13bn/yr; compliance costs for gatekeepers not quantified; SMEs expected to benefit</t>
  </si>
  <si>
    <t xml:space="preserve">The Commission forecast that the DMA would raise consumer surplus by about EUR 13 billion a year, but did not estimate compliance costs for gatekeepers.</t>
  </si>
  <si>
    <t xml:space="preserve">forecast; no compliance-cost figure</t>
  </si>
  <si>
    <t xml:space="preserve">https://eur-lex.europa.eu/legal-content/EN/TXT/?uri=CELEX:52020SC0364</t>
  </si>
  <si>
    <t xml:space="preserve">http://web.archive.org/web/20250615204207/https://eur-lex.europa.eu/legal-content/EN/TXT/?uri=CELEX:52020SC0364</t>
  </si>
  <si>
    <t xml:space="preserve">ec-2026-dma-review</t>
  </si>
  <si>
    <t xml:space="preserve">European Commission (2026), Staff Working Document accompanying the Report on the Review of the DMA, SWD(2026) 123, 28 April 2026</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</si>
  <si>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</si>
  <si>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</si>
  <si>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</si>
  <si>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</si>
  <si>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The Commission finds that the DMA has started to change how gatekeepers behave and to open their ecosystems, but says most effects cannot yet be measured and proposes no legislative changes.</t>
  </si>
  <si>
    <t xml:space="preserve">EU, 2023-2025</t>
  </si>
  <si>
    <t xml:space="preserve">self-evaluation; no quantified outcome indicators</t>
  </si>
  <si>
    <t xml:space="preserve">https://eur-lex.europa.eu/legal-content/EN/TXT/?uri=CELEX:52026SC0123</t>
  </si>
  <si>
    <t xml:space="preserve">http://web.archive.org/web/20261002180620/https://eur-lex.europa.eu/legal-content/EN/TXT/?uri=celex%3A52026SC0123</t>
  </si>
  <si>
    <t xml:space="preserve">ec-2025-apple-meta-fines</t>
  </si>
  <si>
    <t xml:space="preserve">European Commission (2025), press release: Commission finds Apple and Meta in breach of the DMA, 23 April 2025</t>
  </si>
  <si>
    <t xml:space="preserve">Commission enforcement</t>
  </si>
  <si>
    <t xml:space="preserve">sanctions</t>
  </si>
  <si>
    <t xml:space="preserve">Apple EUR 500m, Meta EUR 200m</t>
  </si>
  <si>
    <t xml:space="preserve">First DMA fines: EUR 500 million for Apple (anti-steering in the App Store) and EUR 200 million for Meta (pay-or-consent).</t>
  </si>
  <si>
    <t xml:space="preserve">primary source</t>
  </si>
  <si>
    <t xml:space="preserve">page read</t>
  </si>
  <si>
    <t xml:space="preserve">https://digital-strategy.ec.europa.eu/en/news/commission-finds-apple-and-meta-breach-digital-markets-act</t>
  </si>
  <si>
    <t xml:space="preserve">ec-2026-google-fines</t>
  </si>
  <si>
    <t xml:space="preserve">European Commission (2026), press release: Commission fines Google EUR 890 million for breaches of the DMA, 23 July 2026</t>
  </si>
  <si>
    <t xml:space="preserve">EUR 460m (search self-preferencing, Art 6(5)) and EUR 430m (Google Play anti-steering, Art 5(4))</t>
  </si>
  <si>
    <t xml:space="preserve">Google fined EUR 460 million for favouring its own services in search results and EUR 430 million for restricting app developers from steering users to cheaper offers outside Google Play.</t>
  </si>
  <si>
    <t xml:space="preserve">https://digital-strategy.ec.europa.eu/en/news/commission-fines-google-eu890-million-breaches-digital-markets-act</t>
  </si>
  <si>
    <t xml:space="preserve">http://web.archive.org/web/20260919064216/https://digital-strategy.ec.europa.eu/en/news/commission-fines-google-eu890-million-breaches-digital-markets-act</t>
  </si>
  <si>
    <t xml:space="preserve">akesson-2026-choice-screens</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</si>
  <si>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</si>
  <si>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</si>
  <si>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</si>
  <si>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</si>
  <si>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</si>
  <si>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Browser choice screens required by the DMA substantially increased use of rival browsers: Firefox usage rose 91% on iPhones and 13% on Android compared with what would otherwise have happened.</t>
  </si>
  <si>
    <t xml:space="preserve">EU vs non-EU, 2024-2025</t>
  </si>
  <si>
    <t xml:space="preserve">strong design (difference-in-differences); not peer-reviewed; two authors are Mozilla employees and Mozilla provided the data (Firefox is an affected rival)</t>
  </si>
  <si>
    <t xml:space="preserve">Two authors are Mozilla employees; Mozilla provided the data</t>
  </si>
  <si>
    <t xml:space="preserve">abstract only</t>
  </si>
  <si>
    <t xml:space="preserve">https://www.nber.org/papers/w35112</t>
  </si>
  <si>
    <t xml:space="preserve">https://www.nber.org/system/files/working_papers/w35112/w35112.pdf</t>
  </si>
  <si>
    <t xml:space="preserve">http://web.archive.org/web/20260920031758/https://www.nber.org/papers/w35112</t>
  </si>
  <si>
    <t xml:space="preserve">pape-rossi-2026-maps</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</si>
  <si>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</si>
  <si>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</si>
  <si>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</si>
  <si>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</si>
  <si>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</si>
  <si>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</si>
  <si>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When Google removed the direct link to Google Maps from EU search results, users simply searched for "google maps" instead; rival map services gained no meaningful traffic.</t>
  </si>
  <si>
    <t xml:space="preserve">EU vs European non-EU, 2024</t>
  </si>
  <si>
    <t xml:space="preserve">strong design; one remedy only</t>
  </si>
  <si>
    <t xml:space="preserve">open (summary)</t>
  </si>
  <si>
    <t xml:space="preserve">summary article read</t>
  </si>
  <si>
    <t xml:space="preserve">https://www.promarket.org/2026/05/18/the-dmas-google-maps-experiment-shows-that-competition-is-not-one-click-away/</t>
  </si>
  <si>
    <t xml:space="preserve">yang-2025-entry-investment</t>
  </si>
  <si>
    <t xml:space="preserve">Yang, J. (2025), Unintended effects of Digital Market Act on new entry and investment, Digital Policy, Regulation and Governance, doi:10.1108/DPRG-03-2025-0080</t>
  </si>
  <si>
    <t xml:space="preserve">causal: difference-in-differences (1,034 start-up and investment records, 27 EU countries, 2020-2024)</t>
  </si>
  <si>
    <t xml:space="preserve">firm entry; venture investment</t>
  </si>
  <si>
    <t xml:space="preserve">DMA negatively affected new entry and investment in DMA-related industries</t>
  </si>
  <si>
    <t xml:space="preserve">Using start-up and investment records from 27 EU countries, the study finds fewer new entrants and less investment in industries affected by the DMA.</t>
  </si>
  <si>
    <t xml:space="preserve">small sample; short post-period; abstract only</t>
  </si>
  <si>
    <t xml:space="preserve">paywalled (abstract open)</t>
  </si>
  <si>
    <t xml:space="preserve">https://doi.org/10.1108/DPRG-03-2025-0080</t>
  </si>
  <si>
    <t xml:space="preserve">decarolis-li-paternollo-defaults</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</si>
  <si>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</si>
  <si>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</si>
  <si>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</si>
  <si>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</si>
  <si>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</si>
  <si>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Across the EEA, Russia and Turkey, changes to default search settings reduced Google's market share; the DMA-specific effect has not been separately confirmed here.</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</si>
  <si>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</si>
  <si>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</si>
  <si>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</si>
  <si>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</si>
  <si>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http://web.archive.org/web/20240330211131/https://www.tse-fr.eu/sites/default/files/TSE/documents/conf/2022/Yale/decarolis.pdf</t>
  </si>
  <si>
    <t xml:space="preserve">jrc-2021-expert-panel</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</si>
  <si>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</si>
  <si>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</si>
  <si>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</si>
  <si>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</si>
  <si>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Supports intervention but warns legal uncertainty could chill innovation</t>
  </si>
  <si>
    <t xml:space="preserve">Before adoption, a panel of economists supported intervention but warned that legal uncertainty could discourage innovation.</t>
  </si>
  <si>
    <t xml:space="preserve">ex-ante expert opinion</t>
  </si>
  <si>
    <t xml:space="preserve">seen via search</t>
  </si>
  <si>
    <t xml:space="preserve">https://ide.mit.edu/wp-content/uploads/2021/02/jrc122910_external_study_report_-_the_eu_digital_markets_act.pdf</t>
  </si>
  <si>
    <t xml:space="preserve">http://web.archive.org/web/20260622103357/https://ide.mit.edu/wp-content/uploads/2021/02/jrc122910_external_study_report_-_the_eu_digital_markets_act.pdf</t>
  </si>
  <si>
    <t xml:space="preserve">oxera-2021-innovation</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</si>
  <si>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</si>
  <si>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</si>
  <si>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</si>
  <si>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</si>
  <si>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</si>
  <si>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</si>
  <si>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An experiment commissioned by Amazon suggests rules of this kind would reduce innovation in highly digital industries.</t>
  </si>
  <si>
    <t xml:space="preserve">experimental</t>
  </si>
  <si>
    <t xml:space="preserve">funded by a gatekeeper; ex-ante</t>
  </si>
  <si>
    <t xml:space="preserve">Commissioned by Amazon, a designated gatekeeper</t>
  </si>
  <si>
    <t xml:space="preserve">https://www.oxera.com/wp-content/uploads/2021/05/The-Digital-Markets-Act-and-incentives-to-innovate_final.pdf</t>
  </si>
  <si>
    <t xml:space="preserve">cerre-2025-dma-evaluation</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</si>
  <si>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</si>
  <si>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</si>
  <si>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</si>
  <si>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</si>
  <si>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</si>
  <si>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Sets out how the DMA should be evaluated (effectiveness, efficiency, consistency) and which indicators to use; notes early gains for users and complexity for firms and regulators.</t>
  </si>
  <si>
    <t xml:space="preserve">methodological, not impact evidence</t>
  </si>
  <si>
    <t xml:space="preserve">https://cerre.eu/wp-content/uploads/2025/03/DMA-Evaluation_FINAL.pdf</t>
  </si>
  <si>
    <t xml:space="preserve">http://web.archive.org/web/20260211002559/https://cerre.eu/wp-content/uploads/2025/03/DMA-Evaluation_FINAL.pdf</t>
  </si>
  <si>
    <t xml:space="preserve">madio-manenti-motta-2026-tying</t>
  </si>
  <si>
    <t xml:space="preserve">Madio, L., Manenti, F. M. &amp; Motta, M. (2026), Platform Tying and its Effects, CEPR Discussion Paper 21771 (version of 21 July 2026)</t>
  </si>
  <si>
    <t xml:space="preserve">theory (two-sided market model with simulations)</t>
  </si>
  <si>
    <t xml:space="preserve">consumer surplus; welfare; competition (self-preferencing remedies)</t>
  </si>
  <si>
    <t xml:space="preserve">supports DMA design (theory)</t>
  </si>
  <si>
    <t xml:space="preserve">Tying a gatekeeper's own service can harm consumers who never use the gatekeeper, by shrinking rivals' seller base; demotion of rivals is always welfare-reducing in their simulations; a common-access rule of the DMA type removes the harm and remains profitable for the platform</t>
  </si>
  <si>
    <t xml:space="preserve">A theory paper showing why favouring a platform's own services can hurt even consumers who reach rivals directly, and that the DMA's equal-access approach removes this harm while remaining profitable for the platform. It does not measure the DMA's actual effects.</t>
  </si>
  <si>
    <t xml:space="preserve">theory, not impact evidence; presented at "The Economics of the DMA" workshop (Brussels, 2025) and to DG Competition</t>
  </si>
  <si>
    <t xml:space="preserve">https://www.dropbox.com/scl/fi/mti6y93fgwpj2n55mz9uf/3M__Platform_Tying_and_its_effects-21July2026.pdf?rlkey=fgdxhc9hzw1pnrros19ce71kt&amp;dl=0</t>
  </si>
  <si>
    <t xml:space="preserve">https://www.dropbox.com/scl/fi/mti6y93fgwpj2n55mz9uf/3M__Platform_Tying_and_its_effects-21July2026.pdf?rlkey=fgdxhc9hzw1pnrros19ce71kt&amp;dl=1</t>
  </si>
  <si>
    <t xml:space="preserve">waldfogel-2024-amazon</t>
  </si>
  <si>
    <t xml:space="preserve">Waldfogel, J. (2024), Amazon Self-preferencing in the Shadow of the Digital Markets Act, NBER Working Paper 32299</t>
  </si>
  <si>
    <t xml:space="preserve">causal-leaning: before/after gatekeeper designation, compared with 142 other brands (8m+ search results, 22 Amazon domains)</t>
  </si>
  <si>
    <t xml:space="preserve">self-preferencing (search ranking)</t>
  </si>
  <si>
    <t xml:space="preserve">positive (less self-preferencing)</t>
  </si>
  <si>
    <t xml:space="preserve">Amazon's own products ranked about 30 positions better than comparable products; shortly after Amazon's designation as gatekeeper (Sept 2023) the advantage fell to about 20 positions, with no change for other brands; the change appeared in Europe and elsewhere</t>
  </si>
  <si>
    <t xml:space="preserve">Using over 8 million Amazon search results, the study finds Amazon's ranking advantage for its own products fell by about a third soon after the EU designated it a gatekeeper - and the change also showed up outside the EU.</t>
  </si>
  <si>
    <t xml:space="preserve">22 Amazon domains (US, Europe, other), 2023-2024</t>
  </si>
  <si>
    <t xml:space="preserve">strong data; not peer-reviewed; designation-timing comparison, no formal control market (change was global)</t>
  </si>
  <si>
    <t xml:space="preserve">https://www.nber.org/papers/w32299</t>
  </si>
  <si>
    <t xml:space="preserve">https://www.nber.org/system/files/working_papers/w32299/w32299.pdf</t>
  </si>
  <si>
    <t xml:space="preserve">http://web.archive.org/web/20260731120857/https://www.nber.org/papers/w32299</t>
  </si>
  <si>
    <t xml:space="preserve">farronato-fradkin-mackay-2023</t>
  </si>
  <si>
    <t xml:space="preserve">Farronato, C., Fradkin, A. &amp; MacKay, A. (2023), Self-Preferencing at Amazon: Evidence from Search Rankings, AEA Papers and Proceedings 113: 239-243 (NBER w30894)</t>
  </si>
  <si>
    <t xml:space="preserve">descriptive/econometric (pre-DMA baseline)</t>
  </si>
  <si>
    <t xml:space="preserve">context (pre-DMA)</t>
  </si>
  <si>
    <t xml:space="preserve">Documents that Amazon-branded products rank higher in Amazon search than observably similar products (pre-DMA baseline for the self-preferencing ban)</t>
  </si>
  <si>
    <t xml:space="preserve">Pre-DMA evidence that Amazon ranks its own-brand products higher in search results than similar products - the kind of conduct the DMA's self-preferencing ban targets.</t>
  </si>
  <si>
    <t xml:space="preserve">Amazon US, pre-DMA</t>
  </si>
  <si>
    <t xml:space="preserve">context, not a DMA effect</t>
  </si>
  <si>
    <t xml:space="preserve">cited by Madio-Manenti-Motta; title/DOI checked (Crossref)</t>
  </si>
  <si>
    <t xml:space="preserve">https://doi.org/10.1257/pandp.20231068</t>
  </si>
  <si>
    <t xml:space="preserve">motta-2023-self-preferencing</t>
  </si>
  <si>
    <t xml:space="preserve">Motta, M. (2023), Self-preferencing and foreclosure in digital markets: Theories of harm for abuse cases, International Journal of Industrial Organization 90: 102974</t>
  </si>
  <si>
    <t xml:space="preserve">competition (self-preferencing theories of harm)</t>
  </si>
  <si>
    <t xml:space="preserve">context (theory)</t>
  </si>
  <si>
    <t xml:space="preserve">Sets out when self-preferencing by platforms can foreclose rivals and harm consumers; underpins the rationale for ex ante self-preferencing rules</t>
  </si>
  <si>
    <t xml:space="preserve">Explains the economic mechanisms by which a platform favouring its own products can exclude rivals - the theory behind the DMA's self-preferencing ban.</t>
  </si>
  <si>
    <t xml:space="preserve">theory, not impact evidence</t>
  </si>
  <si>
    <t xml:space="preserve">paywalled (CEPR DP17730 version)</t>
  </si>
  <si>
    <t xml:space="preserve">cited by Madio-Manenti-Motta; listed on author homepage</t>
  </si>
  <si>
    <t xml:space="preserve">https://doi.org/10.1016/j.ijindorg.2023.102974</t>
  </si>
  <si>
    <t xml:space="preserve">motta-peitz-2020-expert-report</t>
  </si>
  <si>
    <t xml:space="preserve">Motta, M. &amp; Peitz, M. (2020), Intervention triggers and underlying theories of harm: expert advice for the Impact Assessment of a New Competition Tool, report for DG Competition</t>
  </si>
  <si>
    <t xml:space="preserve">policy (expert report for the Commission)</t>
  </si>
  <si>
    <t xml:space="preserve">competition</t>
  </si>
  <si>
    <t xml:space="preserve">context (ex-ante)</t>
  </si>
  <si>
    <t xml:space="preserve">One of the expert reports the Commission commissioned for the New Competition Tool / DMA impact assessment, on structural competition problems and theories of harm</t>
  </si>
  <si>
    <t xml:space="preserve">An expert report commissioned by the Commission that fed into the impact assessment behind the DMA, setting out when intervention in digital markets is justified.</t>
  </si>
  <si>
    <t xml:space="preserve">ex-ante expert opinion; cited in SWD(2020) 363 part 2</t>
  </si>
  <si>
    <t xml:space="preserve">open (via impact assessment annex)</t>
  </si>
  <si>
    <t xml:space="preserve">citation seen in impact assessment (search result); report text not read</t>
  </si>
  <si>
    <t xml:space="preserve">https://competition-policy.ec.europa.eu/system/files/2021-09/DMA_impact_assessment_part2.pdf</t>
  </si>
  <si>
    <t xml:space="preserve">ec-2020-dsa-ia</t>
  </si>
  <si>
    <t xml:space="preserve">European Commission (2020), Impact Assessment accompanying the DSA proposal (executive summary SWD(2020) 349), SWD(2020) 348</t>
  </si>
  <si>
    <t xml:space="preserve">cross-border trade; compliance costs</t>
  </si>
  <si>
    <t xml:space="preserve">Cross-border digital trade expected to rise 1-1.8%; direct costs proportionate to size and reach; less legal fragmentation</t>
  </si>
  <si>
    <t xml:space="preserve">The Commission expected the DSA to raise cross-border digital trade by 1-1.8% by replacing diverging national rules.</t>
  </si>
  <si>
    <t xml:space="preserve">https://eur-lex.europa.eu/legal-content/EN/TXT/?uri=CELEX:52020SC0349</t>
  </si>
  <si>
    <t xml:space="preserve">http://web.archive.org/web/20240527030044/https://eur-lex.europa.eu/legal-content/EN/TXT/?uri=celex%3A52020SC0349</t>
  </si>
  <si>
    <t xml:space="preserve">ec-2025-x-dsa-fine</t>
  </si>
  <si>
    <t xml:space="preserve">European Commission (2025), First DSA non-compliance decision: X fined EUR 120 million, Decision of 5 December 2025 (as reported by eucrim)</t>
  </si>
  <si>
    <t xml:space="preserve">Commission enforcement (secondary report)</t>
  </si>
  <si>
    <t xml:space="preserve">EUR 120m for deceptive 'blue checkmark' verification, inadequate advertising repository and refusing researchers access to public data</t>
  </si>
  <si>
    <t xml:space="preserve">The first DSA fine: EUR 120 million against X for misleading verification badges, an incomplete ad library and blocking researchers.</t>
  </si>
  <si>
    <t xml:space="preserve">secondary report of Commission decision</t>
  </si>
  <si>
    <t xml:space="preserve">https://eucrim.eu/news/eu-fines-x-120-million-in-first-dsa-non-compliance-decision/</t>
  </si>
  <si>
    <t xml:space="preserve">kaushal-et-al-2024</t>
  </si>
  <si>
    <t xml:space="preserve">Kaushal, van de Kerkhof, Goanta, Spanakis &amp; Iamnitchi (2024), Automated Transparency: A Legal and Empirical Analysis of the Digital Services Act Transparency Database, ACM FAccT 2024 (arXiv 2404.02894)</t>
  </si>
  <si>
    <t xml:space="preserve">descriptive (sample of 131m statements of reasons, Nov 2023)</t>
  </si>
  <si>
    <t xml:space="preserve">transparency; content moderation</t>
  </si>
  <si>
    <t xml:space="preserve">Some transparency gains, but compliance problematic because the database lets platforms exercise wide discretion; terms-of-service grounds dominate over illegal content</t>
  </si>
  <si>
    <t xml:space="preserve">The DSA's public database of moderation decisions adds some transparency, but platforms report so inconsistently that it is hard to rely on.</t>
  </si>
  <si>
    <t xml:space="preserve">EU, Nov 2023</t>
  </si>
  <si>
    <t xml:space="preserve">descriptive; early period</t>
  </si>
  <si>
    <t xml:space="preserve">https://arxiv.org/abs/2404.02894</t>
  </si>
  <si>
    <t xml:space="preserve">https://arxiv.org/pdf/2404.02894</t>
  </si>
  <si>
    <t xml:space="preserve">http://web.archive.org/web/20260810112321/https://arxiv.org/abs/2404.02894</t>
  </si>
  <si>
    <t xml:space="preserve">trujillo-fagni-cresci-2023</t>
  </si>
  <si>
    <t xml:space="preserve">Trujillo, Fagni &amp; Cresci (2023), The DSA Transparency Database: Auditing Self-reported Moderation Actions by Social Media, arXiv 2312.10269</t>
  </si>
  <si>
    <t xml:space="preserve">descriptive (all 353m records from 8 largest platforms, first 100 days)</t>
  </si>
  <si>
    <t xml:space="preserve">Platforms adhered only in part to the database's structure; structure partly inadequate; large cross-platform differences; database contents inconsistent with platforms' own transparency reports</t>
  </si>
  <si>
    <t xml:space="preserve">An audit of 353 million moderation records found the big platforms only partly comply with the DSA database and that their submissions contradict their own reports.</t>
  </si>
  <si>
    <t xml:space="preserve">EU, Sept-Dec 2023</t>
  </si>
  <si>
    <t xml:space="preserve">https://arxiv.org/abs/2312.10269</t>
  </si>
  <si>
    <t xml:space="preserve">https://arxiv.org/pdf/2312.10269</t>
  </si>
  <si>
    <t xml:space="preserve">ec-2020-dora-ia</t>
  </si>
  <si>
    <t xml:space="preserve">European Commission (2020), Impact Assessment accompanying the proposal for a Regulation on digital operational resilience for the financial sector (executive summary SWD(2020) 199), SWD(2020) 198</t>
  </si>
  <si>
    <t xml:space="preserve">incident costs; reporting burden; testing costs</t>
  </si>
  <si>
    <t xml:space="preserve">Operational incident costs for EU financial sector estimated at EUR 2-27bn a year (industry assessments), which DORA would mitigate; removing overlapping reporting could save some of the largest banks EUR 40-100m a year; threat-led penetration testing 0.1-0.3% of ICT budget; one-off IT costs hard to quantify</t>
  </si>
  <si>
    <t xml:space="preserve">The Commission expected DORA to curb ICT incidents that may cost EU finance EUR 2-27 billion a year and to save the biggest banks up to EUR 100 million a year in duplicate reporting.</t>
  </si>
  <si>
    <t xml:space="preserve">forecast; benefits not monetised</t>
  </si>
  <si>
    <t xml:space="preserve">https://eur-lex.europa.eu/legal-content/EN/TXT/?uri=CELEX:52020SC0199</t>
  </si>
  <si>
    <t xml:space="preserve">esas-2024-dora-dry-run</t>
  </si>
  <si>
    <t xml:space="preserve">EBA, EIOPA &amp; ESMA (Joint Committee) (2024), DORA dry run exercise on reporting of registers of information - summary report, ESA 2024 35, 17 Dec 2024</t>
  </si>
  <si>
    <t xml:space="preserve">administrative data (voluntary dry run)</t>
  </si>
  <si>
    <t xml:space="preserve">data quality of third-party registers</t>
  </si>
  <si>
    <t xml:space="preserve">1,039 financial entities participated; of 947 registers analysed only 6.5% passed all 116 data-quality checks; missing mandatory information made up 86% of errors</t>
  </si>
  <si>
    <t xml:space="preserve">In a 2024 test run, only 6.5% of financial firms' registers of their IT suppliers passed all quality checks, showing how little firms knew about their dependencies.</t>
  </si>
  <si>
    <t xml:space="preserve">best-efforts exercise</t>
  </si>
  <si>
    <t xml:space="preserve">https://eba.europa.eu/sites/default/files/2024-12/c1454b59-15cc-445e-be14-966e3338cedc/ESA%202024%2035%20DORA%20Dry%20Run%20exercise%20summary%20report%20for%20publication.pdf</t>
  </si>
  <si>
    <t xml:space="preserve">http://web.archive.org/web/20251122234947/https://www.eba.europa.eu/sites/default/files/2024-12/c1454b59-15cc-445e-be14-966e3338cedc/ESA%202024%2035%20DORA%20Dry%20Run%20exercise%20summary%20report%20for%20publication.pdf</t>
  </si>
  <si>
    <t xml:space="preserve">esas-2025-ctpp-list</t>
  </si>
  <si>
    <t xml:space="preserve">EBA, EIOPA &amp; ESMA (2025), List of designated critical ICT third-party service providers under DORA, ESAs publication, 18 Nov 2025</t>
  </si>
  <si>
    <t xml:space="preserve">agency decision</t>
  </si>
  <si>
    <t xml:space="preserve">third-party oversight</t>
  </si>
  <si>
    <t xml:space="preserve">19 providers designated as critical (Accenture, AWS, Bloomberg, Capgemini, Colt, Deutsche Telekom, Equinix, FIS, Google Cloud, IBM, InterXion, Kyndryl, LSEG Data, Microsoft, NTT DATA, Oracle, Orange, SAP, TCS) based on registers of information</t>
  </si>
  <si>
    <t xml:space="preserve">In November 2025 EU regulators put 19 tech suppliers to banks and insurers - including the big cloud providers - under direct oversight.</t>
  </si>
  <si>
    <t xml:space="preserve">EU, 2025</t>
  </si>
  <si>
    <t xml:space="preserve">https://www.eiopa.europa.eu/european-supervisory-authorities-designate-critical-ict-third-party-providers-under-digital-2025-11-18_en</t>
  </si>
  <si>
    <t xml:space="preserve">enisa-2024-nis-investments-dora</t>
  </si>
  <si>
    <t xml:space="preserve">ENISA (2024), NIS Investments 2024 (section on readiness for DORA and other legislation), ENISA report, Nov 2024</t>
  </si>
  <si>
    <t xml:space="preserve">survey of 1,350 organisations</t>
  </si>
  <si>
    <t xml:space="preserve">staffing needs for compliance</t>
  </si>
  <si>
    <t xml:space="preserve">84% of surveyed organisations will need additional cybersecurity staff to comply with DORA (89% for NIS2, 85% for CRA)</t>
  </si>
  <si>
    <t xml:space="preserve">Most organisations surveyed by ENISA said DORA will require them to hire more security staff.</t>
  </si>
  <si>
    <t xml:space="preserve">EU-27, 2024</t>
  </si>
  <si>
    <t xml:space="preserve">self-reported; not limited to financial entities</t>
  </si>
  <si>
    <t xml:space="preserve">rubrik-2025-dora-costs</t>
  </si>
  <si>
    <t xml:space="preserve">Rubrik Zero Labs (reported by Infosecurity Magazine) (2025), DORA Compliance Costs Soar Past EUR 1m for Many UK and EU Businesses, Infosecurity Magazine, 16 Jan 2025</t>
  </si>
  <si>
    <t xml:space="preserve">industry survey</t>
  </si>
  <si>
    <t xml:space="preserve">survey of 350 CISOs (UK and EU)</t>
  </si>
  <si>
    <t xml:space="preserve">compliance costs</t>
  </si>
  <si>
    <t xml:space="preserve">negative (cost)</t>
  </si>
  <si>
    <t xml:space="preserve">38% of EU (47% of UK) CISOs said their organisation spent over EUR 1m on DORA/PRA compliance in 24 months; 30% of EU respondents EUR 501k-1m</t>
  </si>
  <si>
    <t xml:space="preserve">A vendor survey found more than a third of EU financial security chiefs had spent over EUR 1 million preparing for DORA.</t>
  </si>
  <si>
    <t xml:space="preserve">UK and EU, 2023-24</t>
  </si>
  <si>
    <t xml:space="preserve">vendor survey; mixes DORA with UK rules</t>
  </si>
  <si>
    <t xml:space="preserve">Rubrik sells data-resilience software marketed for DORA compliance</t>
  </si>
  <si>
    <t xml:space="preserve">https://www.infosecurity-magazine.com/news/dora-compliance-costs-soar/</t>
  </si>
  <si>
    <t xml:space="preserve">http://web.archive.org/web/20260722070138/https://www.infosecurity-magazine.com/news/dora-compliance-costs-soar/</t>
  </si>
  <si>
    <t xml:space="preserve">veeam-censuswide-2025-dora</t>
  </si>
  <si>
    <t xml:space="preserve">Censuswide for Veeam Software (reported by Help Net Security) (2025), Six months into DORA, most financial firms are still not ready, Help Net Security, 25 July 2025</t>
  </si>
  <si>
    <t xml:space="preserve">survey of senior IT decision-makers in UK, FR, DE, NL</t>
  </si>
  <si>
    <t xml:space="preserve">readiness; costs</t>
  </si>
  <si>
    <t xml:space="preserve">96% say their data resilience is not where it needs to be; 37% face higher costs passed on by ICT vendors; 22% see digital regulation as a barrier to innovation or competition; about a quarter had not implemented incident reporting or resilience testing</t>
  </si>
  <si>
    <t xml:space="preserve">Six months after DORA applied, a vendor survey found most financial firms still felt unprepared, and over a third faced higher prices from IT suppliers.</t>
  </si>
  <si>
    <t xml:space="preserve">4 countries, 2025</t>
  </si>
  <si>
    <t xml:space="preserve">vendor survey; sample size not stated</t>
  </si>
  <si>
    <t xml:space="preserve">Veeam sells backup/resilience software</t>
  </si>
  <si>
    <t xml:space="preserve">https://www.helpnetsecurity.com/2025/07/25/dora-compliance-challenges-financial-firms/</t>
  </si>
  <si>
    <t xml:space="preserve">http://web.archive.org/web/20260616055036/https://www.helpnetsecurity.com/2025/07/25/dora-compliance-challenges-financial-firms/</t>
  </si>
  <si>
    <t xml:space="preserve">ec-2020-mica-ia</t>
  </si>
  <si>
    <t xml:space="preserve">European Commission (2020), Impact Assessment accompanying the proposal for a Regulation on Markets in Crypto-assets (executive summary SWD(2020) 381), SWD(2020) 380</t>
  </si>
  <si>
    <t xml:space="preserve">remittance costs; funding costs; compliance costs</t>
  </si>
  <si>
    <t xml:space="preserve">Remittance cost savings EUR 220-570m a year; crypto-asset funding costs 20-40% lower than IPOs of similar size; one-off compliance costs EUR 2.8-16.5m and ongoing EUR 2.2-24m for newly regulated service providers; about EUR 35,000 per SME issuance</t>
  </si>
  <si>
    <t xml:space="preserve">The Commission expected MiCA to save EUR 220-570 million a year on remittances and give start-ups cheaper funding than stock-market listings, at modest compliance cost.</t>
  </si>
  <si>
    <t xml:space="preserve">https://eur-lex.europa.eu/legal-content/EN/TXT/?uri=CELEX:52020SC0381</t>
  </si>
  <si>
    <t xml:space="preserve">esma-2026-mica-register</t>
  </si>
  <si>
    <t xml:space="preserve">ESMA (2026), Interim MiCA register (authorised CASPs, e-money token issuers, ART issuers, non-compliant entities), ESMA CSV files, accessed 10 Oct 2026</t>
  </si>
  <si>
    <t xml:space="preserve">administrative data (own count)</t>
  </si>
  <si>
    <t xml:space="preserve">authorisations</t>
  </si>
  <si>
    <t xml:space="preserve">370 authorised CASP entries (365 entities) in 27 EU/EEA states (Germany 103, France 36, Netherlands 29); 25 e-money token issuers; no asset-referenced token issuers; 173 entities flagged as non-compliant</t>
  </si>
  <si>
    <t xml:space="preserve">By October 2026, about 365 crypto firms had a MiCA licence, more than a quarter of them in Germany, while no one had been authorised to issue an asset-backed 'stablecoin' basket.</t>
  </si>
  <si>
    <t xml:space="preserve">EU/EEA, Dec 2024-Oct 2026</t>
  </si>
  <si>
    <t xml:space="preserve">administrative data; own tabulation</t>
  </si>
  <si>
    <t xml:space="preserve">https://www.esma.europa.eu/esmas-activities/digital-finance-and-innovation/markets-crypto-assets-regulation-mica</t>
  </si>
  <si>
    <t xml:space="preserve">calissano-giuglini-reiche-2024</t>
  </si>
  <si>
    <t xml:space="preserve">Calissano, Giuglini &amp; Reiche (ESMA) (2024), Crypto-assets: Market structures and EU relevance, ESMA TRV Risk Analysis, 10 April 2024</t>
  </si>
  <si>
    <t xml:space="preserve">descriptive market data analysis</t>
  </si>
  <si>
    <t xml:space="preserve">trading structure; euro share; concentration</t>
  </si>
  <si>
    <t xml:space="preserve">Only 20-30% of transactions involve fiat; euro plays a minor role and MiCA's announcement has not raised euro transactions; ten exchanges process about 90% of trades; about 55% of volume on exchanges holding an EU VASP licence, though most likely occurs outside the EU</t>
  </si>
  <si>
    <t xml:space="preserve">Before MiCA applied, ESMA found the euro played only a minor role in crypto trading and the new law's announcement had not changed that.</t>
  </si>
  <si>
    <t xml:space="preserve">Global/EU, to early 2024</t>
  </si>
  <si>
    <t xml:space="preserve">https://www.esma.europa.eu/sites/default/files/2024-04/ESMA50-524821-3153_risk_article_crypto_assets_market_structures_and_eu_relevance.pdf</t>
  </si>
  <si>
    <t xml:space="preserve">borri-shakhnov-2026</t>
  </si>
  <si>
    <t xml:space="preserve">Borri &amp; Shakhnov (2026), Does Regulation Bite at Gateways? Evidence from MiCA and Stablecoins, arXiv 2607.09514</t>
  </si>
  <si>
    <t xml:space="preserve">event study / treated-vs-control comparison of 14 exchanges (EEA-facing vs global), daily 2024-2025</t>
  </si>
  <si>
    <t xml:space="preserve">stablecoin market shares; trading volume</t>
  </si>
  <si>
    <t xml:space="preserve">Aggregate stablecoin market shares and volumes barely move after MiCA-driven USDT delistings; on EEA-facing exchanges USDC share rises by 0.82 and relative volume by 0.54 pre-event standard deviations as USDT trading contracts</t>
  </si>
  <si>
    <t xml:space="preserve">MiCA pushed EU-facing exchanges from the unlicensed USDT stablecoin to the licensed USDC, but barely changed the global market.</t>
  </si>
  <si>
    <t xml:space="preserve">14 exchanges, Jan 2024-Dec 2025</t>
  </si>
  <si>
    <t xml:space="preserve">quasi-experimental; recent preprint</t>
  </si>
  <si>
    <t xml:space="preserve">https://arxiv.org/abs/2607.09514</t>
  </si>
  <si>
    <t xml:space="preserve">https://arxiv.org/pdf/2607.09514</t>
  </si>
  <si>
    <t xml:space="preserve">fauche-2025-micar-euro-stablecoins</t>
  </si>
  <si>
    <t xml:space="preserve">Fauche (2025), The impact of MiCAR on the stablecoin market (summary of master's thesis), Financial Forum / Bank- en Financiewezen, 10 Dec 2025</t>
  </si>
  <si>
    <t xml:space="preserve">master's thesis (summary article)</t>
  </si>
  <si>
    <t xml:space="preserve">event study (5 euro stablecoins) and difference-in-differences vs non-EU stablecoins, around EP approval 20 April 2023</t>
  </si>
  <si>
    <t xml:space="preserve">returns; volatility; trading volume</t>
  </si>
  <si>
    <t xml:space="preserve">no effect</t>
  </si>
  <si>
    <t xml:space="preserve">No significant effect of MiCAR approval on returns, volatility or trading volume overall; positive return response for the three largest euro stablecoins</t>
  </si>
  <si>
    <t xml:space="preserve">A student study found MiCA's approval had no measurable effect on euro stablecoins' prices or trading, apart from a small positive reaction for the largest coins.</t>
  </si>
  <si>
    <t xml:space="preserve">EU, Mar-May 2023</t>
  </si>
  <si>
    <t xml:space="preserve">short window; small sample; not peer reviewed</t>
  </si>
  <si>
    <t xml:space="preserve">https://financialforum.be/en/bfw-digitaal/the-impact-of-micar-on-the-stablecoin-market</t>
  </si>
  <si>
    <t xml:space="preserve">http://web.archive.org/web/20260411232523/https://financialforum.be/en/bfw-digitaal/the-impact-of-micar-on-the-stablecoin-market</t>
  </si>
  <si>
    <t xml:space="preserve">decta-2026-euro-stablecoins</t>
  </si>
  <si>
    <t xml:space="preserve">Decta (2026), Euro Stablecoin Trends Report 2026: The MiCA-Compliant Coins in the EU Market, Decta (payments company) report</t>
  </si>
  <si>
    <t xml:space="preserve">industry report</t>
  </si>
  <si>
    <t xml:space="preserve">descriptive (market data, 52 weeks)</t>
  </si>
  <si>
    <t xml:space="preserve">euro stablecoin market cap and volume</t>
  </si>
  <si>
    <t xml:space="preserve">positive (descriptive)</t>
  </si>
  <si>
    <t xml:space="preserve">Market cap of eight MiCA-compliant euro stablecoins rose 128% from USD 295.6m to USD 673.9m (June 2025-June 2026); average daily trading volume up 43%</t>
  </si>
  <si>
    <t xml:space="preserve">Licensed euro stablecoins more than doubled in value over the year after MiCA, though from a very small base.</t>
  </si>
  <si>
    <t xml:space="preserve">EU, 2025-26</t>
  </si>
  <si>
    <t xml:space="preserve">Decta is a payments/card-processing company</t>
  </si>
  <si>
    <t xml:space="preserve">https://www.decta.com/company/media/euro-stablecoin-trends-report-2026</t>
  </si>
  <si>
    <t xml:space="preserve">ec-2022-dataact-ia</t>
  </si>
  <si>
    <t xml:space="preserve">European Commission (2022), Impact assessment report accompanying the Data Act proposal (executive summary SWD(2022) 35), SWD(2022) 34</t>
  </si>
  <si>
    <t xml:space="preserve">ex-ante (support study; macroeconomic modelling)</t>
  </si>
  <si>
    <t xml:space="preserve">GDP; jobs; data-access value; compliance costs</t>
  </si>
  <si>
    <t xml:space="preserve">Preferred option raises EU-27 GDP by 1.98 percentage points by 2028 and creates 2.2m jobs; benefits up to EUR 196.7bn a year from IoT data access, EUR 7.4bn from contractual fairness, EUR 7.1bn from cloud switching; one-off costs EUR 410m for manufacturers and EUR 552.5m for B2G</t>
  </si>
  <si>
    <t xml:space="preserve">The Commission forecast that giving users and businesses rights to device data would add about 2% to EU GDP by 2028 at modest cost.</t>
  </si>
  <si>
    <t xml:space="preserve">EU-27, forecast 2024-2028</t>
  </si>
  <si>
    <t xml:space="preserve">forecast; large modelled gains</t>
  </si>
  <si>
    <t xml:space="preserve">https://eur-lex.europa.eu/legal-content/EN/TXT/?uri=CELEX:52022SC0035</t>
  </si>
  <si>
    <t xml:space="preserve">ec-2022-dataact-press</t>
  </si>
  <si>
    <t xml:space="preserve">European Commission (2022), Data Act: Commission proposes measures for a fair and innovative data economy (press release), IP/22/1113, 23 February 2022</t>
  </si>
  <si>
    <t xml:space="preserve">Commission communication</t>
  </si>
  <si>
    <t xml:space="preserve">ex-ante (summary of IA)</t>
  </si>
  <si>
    <t xml:space="preserve">New rules expected to create EUR 270 billion of additional GDP by 2028</t>
  </si>
  <si>
    <t xml:space="preserve">The headline promise: EUR 270 billion of extra GDP by 2028.</t>
  </si>
  <si>
    <t xml:space="preserve">https://ec.europa.eu/commission/presscorner/detail/en/ip_22_1113</t>
  </si>
  <si>
    <t xml:space="preserve">kerber-2023-iot-data</t>
  </si>
  <si>
    <t xml:space="preserve">Kerber (2023), Governance of IoT Data: Why the EU Data Act Will not Fulfill Its Objectives, GRUR International 72(2): 120-135</t>
  </si>
  <si>
    <t xml:space="preserve">law-and-economics analysis (ex-ante)</t>
  </si>
  <si>
    <t xml:space="preserve">data access; innovation; consumers</t>
  </si>
  <si>
    <t xml:space="preserve">Act correctly identifies manufacturers' de facto exclusive control of IoT data, but its user-access mechanism is likely weak and largely ineffective because it protects data holders' control too strongly; it will not achieve its goals of empowering users and unlocking data for innovation</t>
  </si>
  <si>
    <t xml:space="preserve">An economist argues the Data Act leaves device makers in control of the data, so it is unlikely to deliver the promised innovation.</t>
  </si>
  <si>
    <t xml:space="preserve">EU, proposal</t>
  </si>
  <si>
    <t xml:space="preserve">conceptual; not empirical</t>
  </si>
  <si>
    <t xml:space="preserve">https://doi.org/10.1093/grurint/ikac107</t>
  </si>
  <si>
    <t xml:space="preserve">martens-2023-bruegel-dataact</t>
  </si>
  <si>
    <t xml:space="preserve">Martens (2023), Pro- and anti-competitive provisions in the proposed European Union Data Act, Bruegel Working Paper 01/2023</t>
  </si>
  <si>
    <t xml:space="preserve">think tank working paper</t>
  </si>
  <si>
    <t xml:space="preserve">economic analysis (ex-ante)</t>
  </si>
  <si>
    <t xml:space="preserve">competition; data markets</t>
  </si>
  <si>
    <t xml:space="preserve">mixed (expected)</t>
  </si>
  <si>
    <t xml:space="preserve">Access and portability rights weaken manufacturers' de facto monopoly over product data, but the Act gives them a de jure right to monopolistic pricing of data transfers, bans using data to build competing products and bars transfers to DMA gatekeepers; fuzzy definitions add uncertainty</t>
  </si>
  <si>
    <t xml:space="preserve">A Bruegel economist finds the Data Act both opens up device data and protects manufacturers in ways that could hold back competition.</t>
  </si>
  <si>
    <t xml:space="preserve">https://www.bruegel.org/working-paper/pro-and-anti-competitive-provisions-proposed-european-union-data-act</t>
  </si>
  <si>
    <t xml:space="preserve">https://hdl.handle.net/10419/274180</t>
  </si>
  <si>
    <t xml:space="preserve">cerre-2023-dataact</t>
  </si>
  <si>
    <t xml:space="preserve">Krämer (coord.), Colangelo, Richter &amp; Schnurr (CERRE) (2023), Data Act: Towards a Balanced EU Data Regulation, CERRE report, March 2023</t>
  </si>
  <si>
    <t xml:space="preserve">think tank report</t>
  </si>
  <si>
    <t xml:space="preserve">legal-economic analysis (ex-ante)</t>
  </si>
  <si>
    <t xml:space="preserve">B2B/B2C access; B2G; cloud switching</t>
  </si>
  <si>
    <t xml:space="preserve">Supports a new data-portability style access right but calls for simpler, clearer rules; recommends limiting B2G sharing to ad hoc access with cost-based compensation; warns of complexity and legal uncertainty</t>
  </si>
  <si>
    <t xml:space="preserve">A CERRE expert group backed the Data Act's aims but warned its rules were complex and uncertain, and proposed simplifications.</t>
  </si>
  <si>
    <t xml:space="preserve">CERRE is funded partly by industry members, including large digital firms</t>
  </si>
  <si>
    <t xml:space="preserve">https://cerre.eu/publications/data-act-towards-a-balanced-eu-data-regulation/</t>
  </si>
  <si>
    <t xml:space="preserve">bitkom-2025-dataact-survey</t>
  </si>
  <si>
    <t xml:space="preserve">Bitkom (2025), Data Act: Kaum Unternehmen vorbereitet (survey of 605 companies), Bitkom press release, 20 May 2025</t>
  </si>
  <si>
    <t xml:space="preserve">survey (605 German firms with 20+ employees, March-April 2025)</t>
  </si>
  <si>
    <t xml:space="preserve">compliance readiness</t>
  </si>
  <si>
    <t xml:space="preserve">negative (low readiness)</t>
  </si>
  <si>
    <t xml:space="preserve">Only 1% of companies had fully and 4% partly implemented the Data Act; 10% had just started, 30% had not started; 52% believed it did not apply to them</t>
  </si>
  <si>
    <t xml:space="preserve">Months before the Act applied, almost no German companies were ready and half thought it did not concern them.</t>
  </si>
  <si>
    <t xml:space="preserve">Germany, spring 2025</t>
  </si>
  <si>
    <t xml:space="preserve">industry-commissioned survey</t>
  </si>
  <si>
    <t xml:space="preserve">Bitkom is the German digital industry association and lobbied on the Act</t>
  </si>
  <si>
    <t xml:space="preserve">https://www.bitkom.org/Presse/Presseinformation/Data-Act-Kaum-Unternehmen-vorbereitet</t>
  </si>
  <si>
    <t xml:space="preserve">ec-2025-digital-omnibus-dataact</t>
  </si>
  <si>
    <t xml:space="preserve">European Commission (2025), Proposal for a Digital Omnibus Regulation (amending Regulation (EU) 2023/2854), COM(2025) 837</t>
  </si>
  <si>
    <t xml:space="preserve">regulatory burden; consolidation</t>
  </si>
  <si>
    <t xml:space="preserve">Folds the Data Governance Act, Free Flow Regulation and Open Data Directive into the Data Act and amends it; claims savings of at least EUR 1bn a year plus EUR 1bn one-off across the package; Data Act evaluation by 12 September 2028</t>
  </si>
  <si>
    <t xml:space="preserve">Barely two months after the Data Act applied, the Commission proposed amending it and merging other data laws into it to cut red tape.</t>
  </si>
  <si>
    <t xml:space="preserve">proposal; savings not independently checked</t>
  </si>
  <si>
    <t xml:space="preserve">ec-2021-aml-package-ia</t>
  </si>
  <si>
    <t xml:space="preserve">European Commission (2021), Impact Assessment accompanying the Anti-money laundering package (executive summary SWD(2021) 191), SWD(2021) 190</t>
  </si>
  <si>
    <t xml:space="preserve">ex-ante (qualitative; cost estimates for new Authority)</t>
  </si>
  <si>
    <t xml:space="preserve">money laundering detection; compliance costs; supervision</t>
  </si>
  <si>
    <t xml:space="preserve">More consistent rules and an EU authority expected to reduce undetected ML/TF (Europol estimate: well over EUR 100bn/yr); EUR 10,000 cash ceiling; AMLA cost about EUR 40m/yr; lower compliance costs for cross-border institutions; monitoring via STR counts, STR quality and FIU information exchange</t>
  </si>
  <si>
    <t xml:space="preserve">The Commission expected harmonised rules, a cash-payment cap and a new EU authority to cut money laundering, at a cost of about EUR 40 million a year for the authority, but gave no estimate of how much laundering would fall.</t>
  </si>
  <si>
    <t xml:space="preserve">forecast; benefits not quantified</t>
  </si>
  <si>
    <t xml:space="preserve">full text read (executive summary and monitoring section)</t>
  </si>
  <si>
    <t xml:space="preserve">https://eur-lex.europa.eu/legal-content/EN/TXT/?uri=CELEX:52021SC0190</t>
  </si>
  <si>
    <t xml:space="preserve">https://eur-lex.europa.eu/legal-content/EN/TXT/PDF/?uri=CELEX:52021SC0190</t>
  </si>
  <si>
    <t xml:space="preserve">pol-2020-aml-effectiveness</t>
  </si>
  <si>
    <t xml:space="preserve">Pol, R.F. (2020), Anti-money laundering: The world's least effective policy experiment? Together, we can fix it, Policy Design and Practice 3(1): 73-94</t>
  </si>
  <si>
    <t xml:space="preserve">review and synthesis of published estimates (global)</t>
  </si>
  <si>
    <t xml:space="preserve">criminal finances; compliance costs</t>
  </si>
  <si>
    <t xml:space="preserve">AML policy has less than 0.1% impact on criminal finances; compliance costs exceed recovered criminal funds more than a hundred times over; data poorly validated so findings not definitive</t>
  </si>
  <si>
    <t xml:space="preserve">A widely cited review estimates that anti-money-laundering rules worldwide remove less than 0.1% of criminal money while costing over a hundred times more than they recover, though the data are weak.</t>
  </si>
  <si>
    <t xml:space="preserve">global</t>
  </si>
  <si>
    <t xml:space="preserve">synthesis of weak data; not specific to the AMLR</t>
  </si>
  <si>
    <t xml:space="preserve">https://doi.org/10.1080/25741292.2020.1725366</t>
  </si>
  <si>
    <t xml:space="preserve">https://www.tandfonline.com/doi/pdf/10.1080/25741292.2020.1725366</t>
  </si>
  <si>
    <t xml:space="preserve">slutzky-villamizar-williams-2026</t>
  </si>
  <si>
    <t xml:space="preserve">Slutzky, P., Villamizar-Villegas, M. &amp; Williams, T. (2026), Drug money and bank lending: the unintended consequences of anti-money laundering policies, Journal of Law, Economics, and Organization (earlier IIEP Working Paper 2019-5)</t>
  </si>
  <si>
    <t xml:space="preserve">difference-in-differences (Colombia's 2008 SARLAFT AML reform; bank-municipality and bank-firm credit data)</t>
  </si>
  <si>
    <t xml:space="preserve">deposits; bank lending; firm sales, investment, employment</t>
  </si>
  <si>
    <t xml:space="preserve">negative (unintended costs)</t>
  </si>
  <si>
    <t xml:space="preserve">After the AML reform deposits fell in high drug-trafficking municipalities; banks reliant on those deposits cut lending elsewhere; small firms dependent on affected banks saw lower sales, investment, profitability and employment</t>
  </si>
  <si>
    <t xml:space="preserve">A study of a Colombian anti-money-laundering reform found it drained deposits from drug-trafficking areas, leading banks to cut lending to small firms elsewhere, which then invested and hired less.</t>
  </si>
  <si>
    <t xml:space="preserve">Colombia, 2008</t>
  </si>
  <si>
    <t xml:space="preserve">causal; non-EU setting</t>
  </si>
  <si>
    <t xml:space="preserve">https://doi.org/10.1093/jleo/ewaf024</t>
  </si>
  <si>
    <t xml:space="preserve">https://www.runi.ac.il/media/rlci13b3/drug-money-and-bank-lending.pdf</t>
  </si>
  <si>
    <t xml:space="preserve">eba-2022-derisking-opinion</t>
  </si>
  <si>
    <t xml:space="preserve">European Banking Authority (2022), Opinion of the European Banking Authority on 'de-risking' (EBA/Op/2022/01), EBA, 5 January 2022</t>
  </si>
  <si>
    <t xml:space="preserve">EU agency report</t>
  </si>
  <si>
    <t xml:space="preserve">survey of competent authorities and stakeholders (2020-21)</t>
  </si>
  <si>
    <t xml:space="preserve">de-risking; financial exclusion; competition</t>
  </si>
  <si>
    <t xml:space="preserve">De-risking occurs across the EU and affects payment and e-money institutions, asylum seekers from high-risk jurisdictions and non-profits; can cause adverse economic outcomes or financial exclusion; scale cannot be quantified for lack of statistics</t>
  </si>
  <si>
    <t xml:space="preserve">The EU banking authority found banks across the EU drop whole groups of customers - payment firms, charities, asylum seekers - to avoid money-laundering risk, causing financial exclusion, though it could not measure how much.</t>
  </si>
  <si>
    <t xml:space="preserve">EU, 2020-21</t>
  </si>
  <si>
    <t xml:space="preserve">qualitative; scale unquantified</t>
  </si>
  <si>
    <t xml:space="preserve">https://www.eba.europa.eu/publications-and-media/press-releases/eba-alerts-detrimental-impact-unwarranted-de-risking-and</t>
  </si>
  <si>
    <t xml:space="preserve">http://web.archive.org/web/20260926054127/https://www.eba.europa.eu/publications-and-media/press-releases/eba-alerts-detrimental-impact-unwarranted-de-risking-and</t>
  </si>
  <si>
    <t xml:space="preserve">rice-vonpeter-boar-2020</t>
  </si>
  <si>
    <t xml:space="preserve">Rice, T., von Peter, G. &amp; Boar, C. (2020), On the global retreat of correspondent banks, BIS Quarterly Review, March 2020</t>
  </si>
  <si>
    <t xml:space="preserve">descriptive panel analysis of SWIFT data, 2011-2018</t>
  </si>
  <si>
    <t xml:space="preserve">correspondent banking relationships; de-risking</t>
  </si>
  <si>
    <t xml:space="preserve">Active correspondent banks fell about 20% since 2011; jurisdictions with weaker governance and AML controls lost more relationships; payments may shift to less regulated channels</t>
  </si>
  <si>
    <t xml:space="preserve">BIS research shows the number of active correspondent banks fell about 20% since 2011, hitting countries with weaker anti-money-laundering controls hardest and potentially pushing payments into less regulated channels.</t>
  </si>
  <si>
    <t xml:space="preserve">global, 2011-2018</t>
  </si>
  <si>
    <t xml:space="preserve">descriptive/correlational</t>
  </si>
  <si>
    <t xml:space="preserve">https://www.bis.org/publ/qtrpdf/r_qt2003g.htm</t>
  </si>
  <si>
    <t xml:space="preserve">https://www.bis.org/publ/qtrpdf/r_qt2003g.pdf</t>
  </si>
  <si>
    <t xml:space="preserve">eca-2021-aml-banking</t>
  </si>
  <si>
    <t xml:space="preserve">European Court of Auditors (2021), EU efforts to fight money laundering in the banking sector are fragmented and implementation is insufficient (Special report 13/2021), ECA Special report 13/2021</t>
  </si>
  <si>
    <t xml:space="preserve">supervision; enforcement</t>
  </si>
  <si>
    <t xml:space="preserve">negative (pre-reform baseline)</t>
  </si>
  <si>
    <t xml:space="preserve">Institutional fragmentation and poor coordination at EU level; supervision national with insufficient EU oversight; limited EU tools to ensure application of AML rules</t>
  </si>
  <si>
    <t xml:space="preserve">The EU's auditors found pre-reform anti-money-laundering supervision fragmented and weakly enforced - the problem the AMLR and new EU authority aim to fix.</t>
  </si>
  <si>
    <t xml:space="preserve">EU, pre-2021</t>
  </si>
  <si>
    <t xml:space="preserve">audit; baseline evidence</t>
  </si>
  <si>
    <t xml:space="preserve">https://op.europa.eu/webpub/eca/special-reports/fight-money-laundering-13-2021/en/</t>
  </si>
  <si>
    <t xml:space="preserve">europol-2017-suspicion-action</t>
  </si>
  <si>
    <t xml:space="preserve">Europol (2017), From suspicion to action: Converting financial intelligence into greater operational impact, Europol</t>
  </si>
  <si>
    <t xml:space="preserve">descriptive (FIU and STR statistics, 2006-2014)</t>
  </si>
  <si>
    <t xml:space="preserve">suspicious transaction reports; confiscation</t>
  </si>
  <si>
    <t xml:space="preserve">Only around 10% of STRs lead to further investigation; barely 1% of criminal proceeds in the EU are confiscated</t>
  </si>
  <si>
    <t xml:space="preserve">Europol found only about one in ten suspicious-transaction reports is investigated further and barely 1% of criminal proceeds are confiscated - a baseline for judging the AMLR.</t>
  </si>
  <si>
    <t xml:space="preserve">EU, 2006-2014</t>
  </si>
  <si>
    <t xml:space="preserve">descriptive baseline</t>
  </si>
  <si>
    <t xml:space="preserve">https://www.europol.europa.eu/publications-events/publications/suspicion-to-action-converting-financial-intelligence-greater-operational-impact</t>
  </si>
  <si>
    <t xml:space="preserve">ec-2021-aiact-ia</t>
  </si>
  <si>
    <t xml:space="preserve">European Commission (2021), Impact Assessment accompanying the AI Act proposal (executive summary SWD(2021) 85), SWD(2021) 84</t>
  </si>
  <si>
    <t xml:space="preserve">compliance costs; SMEs; trust</t>
  </si>
  <si>
    <t xml:space="preserve">Aggregate compliance cost EUR 100-500m by 2025 (up to 4-5% of investment in high-risk AI, assumed 5-15% of applications), plus 2-5% verification costs; SMEs expected to benefit from higher trust</t>
  </si>
  <si>
    <t xml:space="preserve">The Commission expected compliance to cost EUR 100-500 million in total by 2025, because only 5-15% of AI systems would count as high-risk.</t>
  </si>
  <si>
    <t xml:space="preserve">https://eur-lex.europa.eu/legal-content/EN/TXT/?uri=CELEX:52021SC0085</t>
  </si>
  <si>
    <t xml:space="preserve">http://web.archive.org/web/20260212030150/https://eur-lex.europa.eu/legal-content/EN/TXT/?uri=CELEX%3A52021SC0085</t>
  </si>
  <si>
    <t xml:space="preserve">eurostat-ai-use-2025</t>
  </si>
  <si>
    <t xml:space="preserve">Eurostat (2025), Use of artificial intelligence in enterprises, Statistics Explained (data extracted December 2025)</t>
  </si>
  <si>
    <t xml:space="preserve">official statistics</t>
  </si>
  <si>
    <t xml:space="preserve">AI uptake</t>
  </si>
  <si>
    <t xml:space="preserve">n/a (monitoring indicator)</t>
  </si>
  <si>
    <t xml:space="preserve">AI use by EU enterprises (10+ employees): 7.7% (2021), 8.1% (2023), 13.5% (2024), 19.95% (2025); large enterprises 55%; Denmark 42%, Romania 5%</t>
  </si>
  <si>
    <t xml:space="preserve">One in five EU firms used AI in 2025, up from one in thirteen in 2023 - one of the Act's own success indicators, though the rise reflects the generative-AI boom rather than the Act.</t>
  </si>
  <si>
    <t xml:space="preserve">EU-27, 2021-2025</t>
  </si>
  <si>
    <t xml:space="preserve">descriptive; not causal</t>
  </si>
  <si>
    <t xml:space="preserve">search summary of official release</t>
  </si>
  <si>
    <t xml:space="preserve">https://ec.europa.eu/eurostat/statistics-explained/index.php/Use_of_artificial_intelligence_in_enterprises</t>
  </si>
  <si>
    <t xml:space="preserve">ai-omnibus-2026</t>
  </si>
  <si>
    <t xml:space="preserve">Council of the EU / European Parliament (2026), Digital Omnibus on AI (amending the AI Act): postponement of high-risk obligations, Political agreement 7 May 2026; Parliament 16 June, Council 29 June 2026</t>
  </si>
  <si>
    <t xml:space="preserve">legislative record (secondary summary)</t>
  </si>
  <si>
    <t xml:space="preserve">legislative record</t>
  </si>
  <si>
    <t xml:space="preserve">High-risk obligations postponed from 2 Aug 2026 to 2 Dec 2027 (Annex III) and from 2 Aug 2027 to 2 Aug 2028 (Annex I)</t>
  </si>
  <si>
    <t xml:space="preserve">Two years after adoption, EU lawmakers postponed the AI Act's main high-risk rules by more than a year to give firms and standard-setters more time.</t>
  </si>
  <si>
    <t xml:space="preserve">law-firm summary; check Official Journal text</t>
  </si>
  <si>
    <t xml:space="preserve">search summary</t>
  </si>
  <si>
    <t xml:space="preserve">https://www.addleshawgoddard.com/en/insights/insights-briefings/2026/technology/ai-omnibus-provisional-agreement-changes-eu-ai-act-delayed-deadlines/</t>
  </si>
  <si>
    <t xml:space="preserve">http://web.archive.org/web/20260616000131/https://www.addleshawgoddard.com/en/insights/insights-briefings/2026/technology/ai-omnibus-provisional-agreement-changes-eu-ai-act-delayed-deadlines/</t>
  </si>
  <si>
    <t xml:space="preserve">appliedai-2022-startups</t>
  </si>
  <si>
    <t xml:space="preserve">appliedAI Institute / Digital Poland et al. (2022), AI Act Impact Survey: Exploring the impact of the AI Act on startups in Europe, Survey of 113 AI start-ups and VC firms</t>
  </si>
  <si>
    <t xml:space="preserve">industry/advocacy survey</t>
  </si>
  <si>
    <t xml:space="preserve">survey (ex-ante, draft Act)</t>
  </si>
  <si>
    <t xml:space="preserve">innovation; investment; compliance burden</t>
  </si>
  <si>
    <t xml:space="preserve">33-50% of start-ups expected their systems to be high-risk (vs 5-15% assumed by the Commission); about 16% considered stopping AI development or relocating outside the EU; 73% of surveyed VCs expected reduced competitiveness</t>
  </si>
  <si>
    <t xml:space="preserve">Before adoption, many AI start-ups expected far more of their products to be classed as high-risk than the Commission assumed, and some considered leaving the EU.</t>
  </si>
  <si>
    <t xml:space="preserve">EU start-ups, 2022</t>
  </si>
  <si>
    <t xml:space="preserve">small, self-selected sample; expectations not outcomes</t>
  </si>
  <si>
    <t xml:space="preserve">Start-up and digital-industry associations</t>
  </si>
  <si>
    <t xml:space="preserve">https://www.digitalpoland.org/en/blog/2022/12/artificial-intelligence-act-will-reduce-the-competitiveness-of-the-european-ai-ecosystem</t>
  </si>
  <si>
    <t xml:space="preserve">http://web.archive.org/web/20260514221615/https://digitalpoland.org/en/blog/2022/12/artificial-intelligence-act-will-reduce-the-competitiveness-of-the-european-ai-ecosystem</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</si>
  <si>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</si>
  <si>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</si>
  <si>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</si>
  <si>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</si>
  <si>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</si>
  <si>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</si>
  <si>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</si>
  <si>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</si>
  <si>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</si>
  <si>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</si>
  <si>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</si>
  <si>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</si>
  <si>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</si>
  <si>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</si>
  <si>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</si>
  <si>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</si>
  <si>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</si>
  <si>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</si>
  <si>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</si>
  <si>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</si>
  <si>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</si>
  <si>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</si>
  <si>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</si>
  <si>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</si>
  <si>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</si>
  <si>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</si>
  <si>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</si>
  <si>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</si>
  <si>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</si>
  <si>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</si>
  <si>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</si>
  <si>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</si>
  <si>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</si>
  <si>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</si>
  <si>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</si>
  <si>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</si>
  <si>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</si>
  <si>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</si>
  <si>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</si>
  <si>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</si>
  <si>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</si>
  <si>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</si>
  <si>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</si>
  <si>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</si>
  <si>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</si>
  <si>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</si>
  <si>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</si>
  <si>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</si>
  <si>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</si>
  <si>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</si>
  <si>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</si>
  <si>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</si>
  <si>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</si>
  <si>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</si>
  <si>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</si>
  <si>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</si>
  <si>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</si>
  <si>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</si>
  <si>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</si>
  <si>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</si>
  <si>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</si>
  <si>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</si>
  <si>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</si>
  <si>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</si>
  <si>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</si>
  <si>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</si>
  <si>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</si>
  <si>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</si>
  <si>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</si>
  <si>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</si>
  <si>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</si>
  <si>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</si>
  <si>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</si>
  <si>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</si>
  <si>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</si>
  <si>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</si>
  <si>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</si>
  <si>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</si>
  <si>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</si>
  <si>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</si>
  <si>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</si>
  <si>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</si>
  <si>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</si>
  <si>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</si>
  <si>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</si>
  <si>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</si>
  <si>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 Impact evidence (pilot: DMA)</t>
  </si>
  <si>
    <t xml:space="preserve">- `proposal_indicators`: the specific objectives (LFS 1.4.2), expected results and impact (1.4.3), indicators of results and impact (1.4.4) and other quantified promises from the original Commission proposal and impact assessment, each with the evidence found, a status (measured / partially measured / reported as activity / mixed evidence / not measured) and sources.</t>
  </si>
  <si>
    <t xml:space="preserve">- `impact_literature`: one row per source, typed (Commission impact assessment / evaluation / enforcement record, peer-reviewed, working paper, policy, industry-funded), with method (causal designs flagged), outcomes, direction, headline finding and a quality note. Every row was found and checked; the `verified` column says whether the full text, an abstract or only a search summary was read. Interested-party authorship or funding is flagged.</t>
  </si>
  <si>
    <t xml:space="preserve">- Sources: EUR-Lex (proposal, impact assessment, Commission review), Commission press releases, NBER, Crossref, CERRE, JRC, and web search for working papers and policy reports. OpenAlex was rate-limited during the pilot.</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</si>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</sst>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row>
    <row r="2" customFormat="false" ht="15" hidden="false" customHeight="false" outlineLevel="0" collapsed="false">
      <c r="A2" s="2" t="n">
        <v>1</v>
      </c>
      <c r="B2" s="2" t="s">
        <v>68</v>
      </c>
      <c r="C2" s="2" t="s">
        <v>69</v>
      </c>
      <c r="D2" s="2" t="s">
        <v>70</v>
      </c>
      <c r="E2" s="2" t="s">
        <v>71</v>
      </c>
      <c r="F2" s="2" t="s">
        <v>72</v>
      </c>
      <c r="G2" s="2" t="s">
        <v>73</v>
      </c>
      <c r="H2" s="2" t="s">
        <v>74</v>
      </c>
      <c r="I2" s="2" t="s">
        <v>74</v>
      </c>
      <c r="J2" s="2" t="s">
        <v>75</v>
      </c>
      <c r="K2" s="2" t="s">
        <v>76</v>
      </c>
      <c r="L2" s="2" t="s">
        <v>76</v>
      </c>
      <c r="M2" s="2" t="s">
        <v>77</v>
      </c>
      <c r="N2" s="2" t="s">
        <v>78</v>
      </c>
      <c r="O2" s="2" t="s">
        <v>79</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80</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2" t="n">
        <f aca="false">COUNTIFS(guidance_agencies!$A$2:$A$81,$A2,guidance_agencies!$D$2:$D$81,"EDPB")</f>
        <v>0</v>
      </c>
      <c r="AQ2" s="2" t="n">
        <f aca="false">COUNTIFS(guidance_agencies!$A$2:$A$81,$A2,guidance_agencies!$D$2:$D$81,"EBA")</f>
        <v>0</v>
      </c>
      <c r="AR2" s="2" t="n">
        <f aca="false">COUNTIFS(guidance_agencies!$A$2:$A$81,$A2,guidance_agencies!$D$2:$D$81,"ESMA")</f>
        <v>0</v>
      </c>
      <c r="AS2" s="3" t="n">
        <f aca="false">SUMIFS(secondary_acts!$S$2:$S$771,secondary_acts!$A$2:$A$771,$A2,secondary_acts!$E$2:$E$771,"implementing")+SUMIFS(secondary_acts!$S$2:$S$771,secondary_acts!$A$2:$A$771,$A2,secondary_acts!$E$2:$E$771,"delegated")</f>
        <v>0</v>
      </c>
      <c r="AT2" s="3" t="n">
        <v>207</v>
      </c>
      <c r="AU2" s="2" t="n">
        <v>24</v>
      </c>
      <c r="AV2" s="2" t="n">
        <v>1</v>
      </c>
      <c r="AW2" s="2" t="s">
        <v>81</v>
      </c>
      <c r="AX2" s="2" t="s">
        <v>81</v>
      </c>
      <c r="AY2" s="2" t="n">
        <v>2</v>
      </c>
      <c r="AZ2" s="2" t="s">
        <v>82</v>
      </c>
      <c r="BA2" s="2" t="s">
        <v>83</v>
      </c>
      <c r="BB2" s="2" t="n">
        <v>841</v>
      </c>
      <c r="BC2" s="2" t="n">
        <v>5</v>
      </c>
      <c r="BD2" s="2" t="n">
        <v>0</v>
      </c>
      <c r="BE2" s="2" t="n">
        <f aca="false">IF(ISNUMBER(BB2),Q2-BB2,"")</f>
        <v>25</v>
      </c>
      <c r="BF2" s="4" t="n">
        <f aca="false">IF(AND(ISNUMBER(BB2),BB2&gt;0),(Q2-BB2)/BB2,"")</f>
        <v>0.0297265160523187</v>
      </c>
      <c r="BG2" s="2" t="n">
        <f aca="false">IF(ISNUMBER(BC2),X2-BC2,"")</f>
        <v>1</v>
      </c>
      <c r="BH2" s="4" t="n">
        <f aca="false">IF(AND(ISNUMBER(BC2),BC2&gt;0),(X2-BC2)/BC2,"")</f>
        <v>0.2</v>
      </c>
      <c r="BI2" s="2" t="n">
        <f aca="false">IF(ISNUMBER(BD2),AD2-BD2,"")</f>
        <v>0</v>
      </c>
      <c r="BJ2" s="2"/>
      <c r="BK2" s="2"/>
      <c r="BL2" s="2"/>
      <c r="BM2" s="2"/>
      <c r="BN2" s="2"/>
      <c r="BO2" s="2"/>
      <c r="BP2" s="2"/>
    </row>
    <row r="3" customFormat="false" ht="15" hidden="false" customHeight="false" outlineLevel="0" collapsed="false">
      <c r="A3" s="2" t="n">
        <v>2</v>
      </c>
      <c r="B3" s="2" t="s">
        <v>84</v>
      </c>
      <c r="C3" s="2" t="s">
        <v>85</v>
      </c>
      <c r="D3" s="2" t="s">
        <v>86</v>
      </c>
      <c r="E3" s="2" t="s">
        <v>71</v>
      </c>
      <c r="F3" s="2" t="s">
        <v>87</v>
      </c>
      <c r="G3" s="2" t="s">
        <v>88</v>
      </c>
      <c r="H3" s="2" t="s">
        <v>89</v>
      </c>
      <c r="I3" s="2" t="s">
        <v>90</v>
      </c>
      <c r="J3" s="2" t="s">
        <v>91</v>
      </c>
      <c r="K3" s="2" t="s">
        <v>76</v>
      </c>
      <c r="L3" s="2" t="s">
        <v>76</v>
      </c>
      <c r="M3" s="2" t="s">
        <v>92</v>
      </c>
      <c r="N3" s="2" t="s">
        <v>78</v>
      </c>
      <c r="O3" s="2" t="s">
        <v>93</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94</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2" t="n">
        <f aca="false">COUNTIFS(guidance_agencies!$A$2:$A$81,$A3,guidance_agencies!$D$2:$D$81,"EDPB")</f>
        <v>0</v>
      </c>
      <c r="AQ3" s="2" t="n">
        <f aca="false">COUNTIFS(guidance_agencies!$A$2:$A$81,$A3,guidance_agencies!$D$2:$D$81,"EBA")</f>
        <v>0</v>
      </c>
      <c r="AR3" s="2" t="n">
        <f aca="false">COUNTIFS(guidance_agencies!$A$2:$A$81,$A3,guidance_agencies!$D$2:$D$81,"ESMA")</f>
        <v>0</v>
      </c>
      <c r="AS3" s="3" t="n">
        <f aca="false">SUMIFS(secondary_acts!$S$2:$S$771,secondary_acts!$A$2:$A$771,$A3,secondary_acts!$E$2:$E$771,"implementing")+SUMIFS(secondary_acts!$S$2:$S$771,secondary_acts!$A$2:$A$771,$A3,secondary_acts!$E$2:$E$771,"delegated")</f>
        <v>0</v>
      </c>
      <c r="AT3" s="3" t="n">
        <v>1342</v>
      </c>
      <c r="AU3" s="2" t="n">
        <v>25</v>
      </c>
      <c r="AV3" s="2" t="n">
        <v>2</v>
      </c>
      <c r="AW3" s="2" t="s">
        <v>95</v>
      </c>
      <c r="AX3" s="2" t="s">
        <v>96</v>
      </c>
      <c r="AY3" s="2" t="n">
        <v>13</v>
      </c>
      <c r="AZ3" s="2" t="s">
        <v>97</v>
      </c>
      <c r="BA3" s="2" t="s">
        <v>83</v>
      </c>
      <c r="BB3" s="2" t="n">
        <v>2059</v>
      </c>
      <c r="BC3" s="2" t="n">
        <v>11</v>
      </c>
      <c r="BD3" s="2" t="n">
        <v>0</v>
      </c>
      <c r="BE3" s="2" t="n">
        <f aca="false">IF(ISNUMBER(BB3),Q3-BB3,"")</f>
        <v>1261</v>
      </c>
      <c r="BF3" s="4" t="n">
        <f aca="false">IF(AND(ISNUMBER(BB3),BB3&gt;0),(Q3-BB3)/BB3,"")</f>
        <v>0.612433220009714</v>
      </c>
      <c r="BG3" s="2" t="n">
        <f aca="false">IF(ISNUMBER(BC3),X3-BC3,"")</f>
        <v>15</v>
      </c>
      <c r="BH3" s="4" t="n">
        <f aca="false">IF(AND(ISNUMBER(BC3),BC3&gt;0),(X3-BC3)/BC3,"")</f>
        <v>1.36363636363636</v>
      </c>
      <c r="BI3" s="2" t="n">
        <f aca="false">IF(ISNUMBER(BD3),AD3-BD3,"")</f>
        <v>6</v>
      </c>
      <c r="BJ3" s="2"/>
      <c r="BK3" s="2"/>
      <c r="BL3" s="2"/>
      <c r="BM3" s="2"/>
      <c r="BN3" s="2"/>
      <c r="BO3" s="2"/>
      <c r="BP3" s="2"/>
    </row>
    <row r="4" customFormat="false" ht="15" hidden="false" customHeight="false" outlineLevel="0" collapsed="false">
      <c r="A4" s="2" t="n">
        <v>3</v>
      </c>
      <c r="B4" s="2" t="s">
        <v>98</v>
      </c>
      <c r="C4" s="2" t="s">
        <v>99</v>
      </c>
      <c r="D4" s="2" t="s">
        <v>100</v>
      </c>
      <c r="E4" s="2" t="s">
        <v>71</v>
      </c>
      <c r="F4" s="2" t="s">
        <v>101</v>
      </c>
      <c r="G4" s="2" t="s">
        <v>88</v>
      </c>
      <c r="H4" s="2" t="s">
        <v>102</v>
      </c>
      <c r="I4" s="2" t="s">
        <v>103</v>
      </c>
      <c r="J4" s="2" t="s">
        <v>104</v>
      </c>
      <c r="K4" s="2" t="s">
        <v>76</v>
      </c>
      <c r="L4" s="2" t="s">
        <v>76</v>
      </c>
      <c r="M4" s="2" t="s">
        <v>105</v>
      </c>
      <c r="N4" s="2" t="s">
        <v>78</v>
      </c>
      <c r="O4" s="2" t="s">
        <v>106</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107</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2" t="n">
        <f aca="false">COUNTIFS(guidance_agencies!$A$2:$A$81,$A4,guidance_agencies!$D$2:$D$81,"EDPB")</f>
        <v>0</v>
      </c>
      <c r="AQ4" s="2" t="n">
        <f aca="false">COUNTIFS(guidance_agencies!$A$2:$A$81,$A4,guidance_agencies!$D$2:$D$81,"EBA")</f>
        <v>0</v>
      </c>
      <c r="AR4" s="2" t="n">
        <f aca="false">COUNTIFS(guidance_agencies!$A$2:$A$81,$A4,guidance_agencies!$D$2:$D$81,"ESMA")</f>
        <v>0</v>
      </c>
      <c r="AS4" s="3" t="n">
        <f aca="false">SUMIFS(secondary_acts!$S$2:$S$771,secondary_acts!$A$2:$A$771,$A4,secondary_acts!$E$2:$E$771,"implementing")+SUMIFS(secondary_acts!$S$2:$S$771,secondary_acts!$A$2:$A$771,$A4,secondary_acts!$E$2:$E$771,"delegated")</f>
        <v>0</v>
      </c>
      <c r="AT4" s="3" t="n">
        <v>207</v>
      </c>
      <c r="AU4" s="2" t="n">
        <v>23</v>
      </c>
      <c r="AV4" s="2" t="n">
        <v>1</v>
      </c>
      <c r="AW4" s="2" t="s">
        <v>108</v>
      </c>
      <c r="AX4" s="2" t="s">
        <v>108</v>
      </c>
      <c r="AY4" s="2" t="n">
        <v>1</v>
      </c>
      <c r="AZ4" s="2" t="s">
        <v>109</v>
      </c>
      <c r="BA4" s="2" t="s">
        <v>83</v>
      </c>
      <c r="BB4" s="2" t="n">
        <v>3122</v>
      </c>
      <c r="BC4" s="2" t="n">
        <v>30</v>
      </c>
      <c r="BD4" s="2" t="n">
        <v>0</v>
      </c>
      <c r="BE4" s="2" t="n">
        <f aca="false">IF(ISNUMBER(BB4),Q4-BB4,"")</f>
        <v>1428</v>
      </c>
      <c r="BF4" s="4" t="n">
        <f aca="false">IF(AND(ISNUMBER(BB4),BB4&gt;0),(Q4-BB4)/BB4,"")</f>
        <v>0.457399103139013</v>
      </c>
      <c r="BG4" s="2" t="n">
        <f aca="false">IF(ISNUMBER(BC4),X4-BC4,"")</f>
        <v>5</v>
      </c>
      <c r="BH4" s="4" t="n">
        <f aca="false">IF(AND(ISNUMBER(BC4),BC4&gt;0),(X4-BC4)/BC4,"")</f>
        <v>0.166666666666667</v>
      </c>
      <c r="BI4" s="2" t="n">
        <f aca="false">IF(ISNUMBER(BD4),AD4-BD4,"")</f>
        <v>4</v>
      </c>
      <c r="BJ4" s="2"/>
      <c r="BK4" s="2"/>
      <c r="BL4" s="2"/>
      <c r="BM4" s="2"/>
      <c r="BN4" s="2"/>
      <c r="BO4" s="2"/>
      <c r="BP4" s="2" t="s">
        <v>110</v>
      </c>
    </row>
    <row r="5" customFormat="false" ht="15" hidden="false" customHeight="false" outlineLevel="0" collapsed="false">
      <c r="A5" s="2" t="n">
        <v>4</v>
      </c>
      <c r="B5" s="2" t="s">
        <v>111</v>
      </c>
      <c r="C5" s="2" t="s">
        <v>112</v>
      </c>
      <c r="D5" s="2" t="s">
        <v>113</v>
      </c>
      <c r="E5" s="2" t="s">
        <v>71</v>
      </c>
      <c r="F5" s="2" t="s">
        <v>114</v>
      </c>
      <c r="G5" s="2" t="s">
        <v>88</v>
      </c>
      <c r="H5" s="2" t="s">
        <v>115</v>
      </c>
      <c r="I5" s="2" t="s">
        <v>116</v>
      </c>
      <c r="J5" s="2" t="s">
        <v>117</v>
      </c>
      <c r="K5" s="2" t="s">
        <v>76</v>
      </c>
      <c r="L5" s="2" t="s">
        <v>76</v>
      </c>
      <c r="M5" s="2" t="s">
        <v>118</v>
      </c>
      <c r="N5" s="2" t="s">
        <v>78</v>
      </c>
      <c r="O5" s="2" t="s">
        <v>119</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120</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2" t="n">
        <f aca="false">COUNTIFS(guidance_agencies!$A$2:$A$81,$A5,guidance_agencies!$D$2:$D$81,"EDPB")</f>
        <v>0</v>
      </c>
      <c r="AQ5" s="2" t="n">
        <f aca="false">COUNTIFS(guidance_agencies!$A$2:$A$81,$A5,guidance_agencies!$D$2:$D$81,"EBA")</f>
        <v>0</v>
      </c>
      <c r="AR5" s="2" t="n">
        <f aca="false">COUNTIFS(guidance_agencies!$A$2:$A$81,$A5,guidance_agencies!$D$2:$D$81,"ESMA")</f>
        <v>0</v>
      </c>
      <c r="AS5" s="3" t="n">
        <f aca="false">SUMIFS(secondary_acts!$S$2:$S$771,secondary_acts!$A$2:$A$771,$A5,secondary_acts!$E$2:$E$771,"implementing")+SUMIFS(secondary_acts!$S$2:$S$771,secondary_acts!$A$2:$A$771,$A5,secondary_acts!$E$2:$E$771,"delegated")</f>
        <v>0</v>
      </c>
      <c r="AT5" s="3" t="n">
        <v>1049</v>
      </c>
      <c r="AU5" s="2" t="n">
        <v>22</v>
      </c>
      <c r="AV5" s="2" t="n">
        <v>1</v>
      </c>
      <c r="AW5" s="2" t="s">
        <v>108</v>
      </c>
      <c r="AX5" s="2" t="s">
        <v>108</v>
      </c>
      <c r="AY5" s="2" t="n">
        <v>1</v>
      </c>
      <c r="AZ5" s="2" t="s">
        <v>121</v>
      </c>
      <c r="BA5" s="2" t="s">
        <v>83</v>
      </c>
      <c r="BB5" s="2" t="n">
        <v>4314</v>
      </c>
      <c r="BC5" s="2" t="n">
        <v>28</v>
      </c>
      <c r="BD5" s="2" t="n">
        <v>2</v>
      </c>
      <c r="BE5" s="2" t="n">
        <f aca="false">IF(ISNUMBER(BB5),Q5-BB5,"")</f>
        <v>1180</v>
      </c>
      <c r="BF5" s="4" t="n">
        <f aca="false">IF(AND(ISNUMBER(BB5),BB5&gt;0),(Q5-BB5)/BB5,"")</f>
        <v>0.273528048215114</v>
      </c>
      <c r="BG5" s="2" t="n">
        <f aca="false">IF(ISNUMBER(BC5),X5-BC5,"")</f>
        <v>5</v>
      </c>
      <c r="BH5" s="4" t="n">
        <f aca="false">IF(AND(ISNUMBER(BC5),BC5&gt;0),(X5-BC5)/BC5,"")</f>
        <v>0.178571428571429</v>
      </c>
      <c r="BI5" s="2" t="n">
        <f aca="false">IF(ISNUMBER(BD5),AD5-BD5,"")</f>
        <v>6</v>
      </c>
      <c r="BJ5" s="2" t="s">
        <v>122</v>
      </c>
      <c r="BK5" s="2" t="s">
        <v>123</v>
      </c>
      <c r="BL5" s="2" t="n">
        <v>2</v>
      </c>
      <c r="BM5" s="2" t="n">
        <v>2</v>
      </c>
      <c r="BN5" s="2" t="n">
        <v>4</v>
      </c>
      <c r="BO5" s="2" t="n">
        <v>0</v>
      </c>
      <c r="BP5" s="2"/>
    </row>
    <row r="6" customFormat="false" ht="15" hidden="false" customHeight="false" outlineLevel="0" collapsed="false">
      <c r="A6" s="2" t="n">
        <v>5</v>
      </c>
      <c r="B6" s="2" t="s">
        <v>124</v>
      </c>
      <c r="C6" s="2" t="s">
        <v>125</v>
      </c>
      <c r="D6" s="2" t="s">
        <v>113</v>
      </c>
      <c r="E6" s="2" t="s">
        <v>71</v>
      </c>
      <c r="F6" s="2" t="s">
        <v>126</v>
      </c>
      <c r="G6" s="2" t="s">
        <v>88</v>
      </c>
      <c r="H6" s="2" t="s">
        <v>127</v>
      </c>
      <c r="I6" s="2" t="s">
        <v>128</v>
      </c>
      <c r="J6" s="2" t="s">
        <v>129</v>
      </c>
      <c r="K6" s="2" t="s">
        <v>76</v>
      </c>
      <c r="L6" s="2" t="s">
        <v>76</v>
      </c>
      <c r="M6" s="2" t="s">
        <v>130</v>
      </c>
      <c r="N6" s="2" t="s">
        <v>78</v>
      </c>
      <c r="O6" s="2" t="s">
        <v>131</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132</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2" t="n">
        <f aca="false">COUNTIFS(guidance_agencies!$A$2:$A$81,$A6,guidance_agencies!$D$2:$D$81,"EDPB")</f>
        <v>0</v>
      </c>
      <c r="AQ6" s="2" t="n">
        <f aca="false">COUNTIFS(guidance_agencies!$A$2:$A$81,$A6,guidance_agencies!$D$2:$D$81,"EBA")</f>
        <v>0</v>
      </c>
      <c r="AR6" s="2" t="n">
        <f aca="false">COUNTIFS(guidance_agencies!$A$2:$A$81,$A6,guidance_agencies!$D$2:$D$81,"ESMA")</f>
        <v>0</v>
      </c>
      <c r="AS6" s="3" t="n">
        <f aca="false">SUMIFS(secondary_acts!$S$2:$S$771,secondary_acts!$A$2:$A$771,$A6,secondary_acts!$E$2:$E$771,"implementing")+SUMIFS(secondary_acts!$S$2:$S$771,secondary_acts!$A$2:$A$771,$A6,secondary_acts!$E$2:$E$771,"delegated")</f>
        <v>143</v>
      </c>
      <c r="AT6" s="3"/>
      <c r="AU6" s="2"/>
      <c r="AV6" s="2" t="n">
        <v>2</v>
      </c>
      <c r="AW6" s="2" t="s">
        <v>133</v>
      </c>
      <c r="AX6" s="2" t="s">
        <v>134</v>
      </c>
      <c r="AY6" s="2" t="n">
        <v>20</v>
      </c>
      <c r="AZ6" s="2" t="s">
        <v>135</v>
      </c>
      <c r="BA6" s="2" t="s">
        <v>136</v>
      </c>
      <c r="BB6" s="2"/>
      <c r="BC6" s="2"/>
      <c r="BD6" s="2"/>
      <c r="BE6" s="2" t="str">
        <f aca="false">IF(ISNUMBER(BB6),Q6-BB6,"")</f>
        <v/>
      </c>
      <c r="BF6" s="4" t="str">
        <f aca="false">IF(AND(ISNUMBER(BB6),BB6&gt;0),(Q6-BB6)/BB6,"")</f>
        <v/>
      </c>
      <c r="BG6" s="2" t="str">
        <f aca="false">IF(ISNUMBER(BC6),X6-BC6,"")</f>
        <v/>
      </c>
      <c r="BH6" s="4" t="str">
        <f aca="false">IF(AND(ISNUMBER(BC6),BC6&gt;0),(X6-BC6)/BC6,"")</f>
        <v/>
      </c>
      <c r="BI6" s="2" t="str">
        <f aca="false">IF(ISNUMBER(BD6),AD6-BD6,"")</f>
        <v/>
      </c>
      <c r="BJ6" s="2"/>
      <c r="BK6" s="2"/>
      <c r="BL6" s="2"/>
      <c r="BM6" s="2"/>
      <c r="BN6" s="2"/>
      <c r="BO6" s="2"/>
      <c r="BP6" s="2"/>
    </row>
    <row r="7" customFormat="false" ht="15" hidden="false" customHeight="false" outlineLevel="0" collapsed="false">
      <c r="A7" s="2" t="n">
        <v>6</v>
      </c>
      <c r="B7" s="2" t="s">
        <v>137</v>
      </c>
      <c r="C7" s="2" t="s">
        <v>138</v>
      </c>
      <c r="D7" s="2" t="s">
        <v>86</v>
      </c>
      <c r="E7" s="2" t="s">
        <v>71</v>
      </c>
      <c r="F7" s="2" t="s">
        <v>139</v>
      </c>
      <c r="G7" s="2" t="s">
        <v>73</v>
      </c>
      <c r="H7" s="2" t="s">
        <v>140</v>
      </c>
      <c r="I7" s="2" t="s">
        <v>141</v>
      </c>
      <c r="J7" s="2" t="s">
        <v>142</v>
      </c>
      <c r="K7" s="2" t="s">
        <v>76</v>
      </c>
      <c r="L7" s="2" t="s">
        <v>76</v>
      </c>
      <c r="M7" s="2" t="s">
        <v>143</v>
      </c>
      <c r="N7" s="2" t="s">
        <v>78</v>
      </c>
      <c r="O7" s="2" t="s">
        <v>144</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145</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2" t="n">
        <f aca="false">COUNTIFS(guidance_agencies!$A$2:$A$81,$A7,guidance_agencies!$D$2:$D$81,"EDPB")</f>
        <v>0</v>
      </c>
      <c r="AQ7" s="2" t="n">
        <f aca="false">COUNTIFS(guidance_agencies!$A$2:$A$81,$A7,guidance_agencies!$D$2:$D$81,"EBA")</f>
        <v>0</v>
      </c>
      <c r="AR7" s="2" t="n">
        <f aca="false">COUNTIFS(guidance_agencies!$A$2:$A$81,$A7,guidance_agencies!$D$2:$D$81,"ESMA")</f>
        <v>0</v>
      </c>
      <c r="AS7" s="3" t="n">
        <f aca="false">SUMIFS(secondary_acts!$S$2:$S$771,secondary_acts!$A$2:$A$771,$A7,secondary_acts!$E$2:$E$771,"implementing")+SUMIFS(secondary_acts!$S$2:$S$771,secondary_acts!$A$2:$A$771,$A7,secondary_acts!$E$2:$E$771,"delegated")</f>
        <v>0</v>
      </c>
      <c r="AT7" s="3" t="n">
        <v>359</v>
      </c>
      <c r="AU7" s="2" t="n">
        <v>26</v>
      </c>
      <c r="AV7" s="2" t="n">
        <v>1</v>
      </c>
      <c r="AW7" s="2" t="s">
        <v>96</v>
      </c>
      <c r="AX7" s="2" t="s">
        <v>96</v>
      </c>
      <c r="AY7" s="2" t="n">
        <v>1</v>
      </c>
      <c r="AZ7" s="2" t="s">
        <v>146</v>
      </c>
      <c r="BA7" s="2" t="s">
        <v>147</v>
      </c>
      <c r="BB7" s="2" t="n">
        <v>1809</v>
      </c>
      <c r="BC7" s="2" t="n">
        <v>21</v>
      </c>
      <c r="BD7" s="2" t="n">
        <v>0</v>
      </c>
      <c r="BE7" s="2" t="n">
        <f aca="false">IF(ISNUMBER(BB7),Q7-BB7,"")</f>
        <v>92</v>
      </c>
      <c r="BF7" s="4" t="n">
        <f aca="false">IF(AND(ISNUMBER(BB7),BB7&gt;0),(Q7-BB7)/BB7,"")</f>
        <v>0.05085682697623</v>
      </c>
      <c r="BG7" s="2" t="n">
        <f aca="false">IF(ISNUMBER(BC7),X7-BC7,"")</f>
        <v>2</v>
      </c>
      <c r="BH7" s="4" t="n">
        <f aca="false">IF(AND(ISNUMBER(BC7),BC7&gt;0),(X7-BC7)/BC7,"")</f>
        <v>0.0952380952380952</v>
      </c>
      <c r="BI7" s="2" t="n">
        <f aca="false">IF(ISNUMBER(BD7),AD7-BD7,"")</f>
        <v>1</v>
      </c>
      <c r="BJ7" s="2"/>
      <c r="BK7" s="2"/>
      <c r="BL7" s="2"/>
      <c r="BM7" s="2"/>
      <c r="BN7" s="2"/>
      <c r="BO7" s="2"/>
      <c r="BP7" s="2"/>
    </row>
    <row r="8" customFormat="false" ht="15" hidden="false" customHeight="false" outlineLevel="0" collapsed="false">
      <c r="A8" s="2" t="n">
        <v>7</v>
      </c>
      <c r="B8" s="2" t="s">
        <v>148</v>
      </c>
      <c r="C8" s="2" t="s">
        <v>149</v>
      </c>
      <c r="D8" s="2" t="s">
        <v>100</v>
      </c>
      <c r="E8" s="2" t="s">
        <v>71</v>
      </c>
      <c r="F8" s="2" t="s">
        <v>150</v>
      </c>
      <c r="G8" s="2" t="s">
        <v>151</v>
      </c>
      <c r="H8" s="2" t="s">
        <v>152</v>
      </c>
      <c r="I8" s="2" t="s">
        <v>153</v>
      </c>
      <c r="J8" s="2" t="s">
        <v>154</v>
      </c>
      <c r="K8" s="2" t="s">
        <v>76</v>
      </c>
      <c r="L8" s="2" t="s">
        <v>76</v>
      </c>
      <c r="M8" s="2" t="s">
        <v>155</v>
      </c>
      <c r="N8" s="2" t="s">
        <v>78</v>
      </c>
      <c r="O8" s="2" t="s">
        <v>156</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157</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2" t="n">
        <f aca="false">COUNTIFS(guidance_agencies!$A$2:$A$81,$A8,guidance_agencies!$D$2:$D$81,"EDPB")</f>
        <v>0</v>
      </c>
      <c r="AQ8" s="2" t="n">
        <f aca="false">COUNTIFS(guidance_agencies!$A$2:$A$81,$A8,guidance_agencies!$D$2:$D$81,"EBA")</f>
        <v>0</v>
      </c>
      <c r="AR8" s="2" t="n">
        <f aca="false">COUNTIFS(guidance_agencies!$A$2:$A$81,$A8,guidance_agencies!$D$2:$D$81,"ESMA")</f>
        <v>0</v>
      </c>
      <c r="AS8" s="3" t="n">
        <f aca="false">SUMIFS(secondary_acts!$S$2:$S$771,secondary_acts!$A$2:$A$771,$A8,secondary_acts!$E$2:$E$771,"implementing")+SUMIFS(secondary_acts!$S$2:$S$771,secondary_acts!$A$2:$A$771,$A8,secondary_acts!$E$2:$E$771,"delegated")</f>
        <v>0</v>
      </c>
      <c r="AT8" s="3" t="n">
        <v>1103</v>
      </c>
      <c r="AU8" s="2" t="n">
        <v>28</v>
      </c>
      <c r="AV8" s="2" t="n">
        <v>2</v>
      </c>
      <c r="AW8" s="2" t="s">
        <v>158</v>
      </c>
      <c r="AX8" s="2" t="s">
        <v>108</v>
      </c>
      <c r="AY8" s="2" t="n">
        <v>8</v>
      </c>
      <c r="AZ8" s="2" t="s">
        <v>159</v>
      </c>
      <c r="BA8" s="2" t="s">
        <v>147</v>
      </c>
      <c r="BB8" s="2" t="n">
        <v>5152</v>
      </c>
      <c r="BC8" s="2" t="n">
        <v>27</v>
      </c>
      <c r="BD8" s="2" t="n">
        <v>0</v>
      </c>
      <c r="BE8" s="2" t="n">
        <f aca="false">IF(ISNUMBER(BB8),Q8-BB8,"")</f>
        <v>2975</v>
      </c>
      <c r="BF8" s="4" t="n">
        <f aca="false">IF(AND(ISNUMBER(BB8),BB8&gt;0),(Q8-BB8)/BB8,"")</f>
        <v>0.577445652173913</v>
      </c>
      <c r="BG8" s="2" t="n">
        <f aca="false">IF(ISNUMBER(BC8),X8-BC8,"")</f>
        <v>8</v>
      </c>
      <c r="BH8" s="4" t="n">
        <f aca="false">IF(AND(ISNUMBER(BC8),BC8&gt;0),(X8-BC8)/BC8,"")</f>
        <v>0.296296296296296</v>
      </c>
      <c r="BI8" s="2" t="n">
        <f aca="false">IF(ISNUMBER(BD8),AD8-BD8,"")</f>
        <v>0</v>
      </c>
      <c r="BJ8" s="2" t="s">
        <v>160</v>
      </c>
      <c r="BK8" s="2" t="s">
        <v>161</v>
      </c>
      <c r="BL8" s="2" t="n">
        <v>4</v>
      </c>
      <c r="BM8" s="2" t="n">
        <v>3</v>
      </c>
      <c r="BN8" s="2" t="n">
        <v>5</v>
      </c>
      <c r="BO8" s="2" t="n">
        <v>1</v>
      </c>
      <c r="BP8" s="2"/>
    </row>
    <row r="9" customFormat="false" ht="15" hidden="false" customHeight="false" outlineLevel="0" collapsed="false">
      <c r="A9" s="2" t="n">
        <v>8</v>
      </c>
      <c r="B9" s="2" t="s">
        <v>162</v>
      </c>
      <c r="C9" s="2" t="s">
        <v>163</v>
      </c>
      <c r="D9" s="2" t="s">
        <v>86</v>
      </c>
      <c r="E9" s="2" t="s">
        <v>71</v>
      </c>
      <c r="F9" s="2" t="s">
        <v>164</v>
      </c>
      <c r="G9" s="2" t="s">
        <v>151</v>
      </c>
      <c r="H9" s="2" t="s">
        <v>165</v>
      </c>
      <c r="I9" s="2" t="s">
        <v>165</v>
      </c>
      <c r="J9" s="2" t="s">
        <v>166</v>
      </c>
      <c r="K9" s="2" t="s">
        <v>76</v>
      </c>
      <c r="L9" s="2" t="s">
        <v>76</v>
      </c>
      <c r="M9" s="2" t="s">
        <v>167</v>
      </c>
      <c r="N9" s="2" t="s">
        <v>78</v>
      </c>
      <c r="O9" s="2" t="s">
        <v>168</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169</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2" t="n">
        <f aca="false">COUNTIFS(guidance_agencies!$A$2:$A$81,$A9,guidance_agencies!$D$2:$D$81,"EDPB")</f>
        <v>0</v>
      </c>
      <c r="AQ9" s="2" t="n">
        <f aca="false">COUNTIFS(guidance_agencies!$A$2:$A$81,$A9,guidance_agencies!$D$2:$D$81,"EBA")</f>
        <v>0</v>
      </c>
      <c r="AR9" s="2" t="n">
        <f aca="false">COUNTIFS(guidance_agencies!$A$2:$A$81,$A9,guidance_agencies!$D$2:$D$81,"ESMA")</f>
        <v>0</v>
      </c>
      <c r="AS9" s="3" t="n">
        <f aca="false">SUMIFS(secondary_acts!$S$2:$S$771,secondary_acts!$A$2:$A$771,$A9,secondary_acts!$E$2:$E$771,"implementing")+SUMIFS(secondary_acts!$S$2:$S$771,secondary_acts!$A$2:$A$771,$A9,secondary_acts!$E$2:$E$771,"delegated")</f>
        <v>0</v>
      </c>
      <c r="AT9" s="3" t="n">
        <v>2522</v>
      </c>
      <c r="AU9" s="2" t="n">
        <v>27</v>
      </c>
      <c r="AV9" s="2" t="n">
        <v>1</v>
      </c>
      <c r="AW9" s="2" t="s">
        <v>170</v>
      </c>
      <c r="AX9" s="2" t="s">
        <v>170</v>
      </c>
      <c r="AY9" s="2" t="n">
        <v>4</v>
      </c>
      <c r="AZ9" s="2" t="s">
        <v>171</v>
      </c>
      <c r="BA9" s="2" t="s">
        <v>147</v>
      </c>
      <c r="BB9" s="2" t="n">
        <v>7063</v>
      </c>
      <c r="BC9" s="2" t="n">
        <v>78</v>
      </c>
      <c r="BD9" s="2" t="n">
        <v>7</v>
      </c>
      <c r="BE9" s="2" t="n">
        <f aca="false">IF(ISNUMBER(BB9),Q9-BB9,"")</f>
        <v>3085</v>
      </c>
      <c r="BF9" s="4" t="n">
        <f aca="false">IF(AND(ISNUMBER(BB9),BB9&gt;0),(Q9-BB9)/BB9,"")</f>
        <v>0.436783236585021</v>
      </c>
      <c r="BG9" s="2" t="n">
        <f aca="false">IF(ISNUMBER(BC9),X9-BC9,"")</f>
        <v>-6</v>
      </c>
      <c r="BH9" s="4" t="n">
        <f aca="false">IF(AND(ISNUMBER(BC9),BC9&gt;0),(X9-BC9)/BC9,"")</f>
        <v>-0.0769230769230769</v>
      </c>
      <c r="BI9" s="2" t="n">
        <f aca="false">IF(ISNUMBER(BD9),AD9-BD9,"")</f>
        <v>-1</v>
      </c>
      <c r="BJ9" s="2" t="s">
        <v>172</v>
      </c>
      <c r="BK9" s="2" t="s">
        <v>173</v>
      </c>
      <c r="BL9" s="2" t="n">
        <v>3</v>
      </c>
      <c r="BM9" s="2" t="n">
        <v>3</v>
      </c>
      <c r="BN9" s="2" t="n">
        <v>6</v>
      </c>
      <c r="BO9" s="2" t="n">
        <v>0</v>
      </c>
      <c r="BP9" s="2"/>
    </row>
    <row r="10" customFormat="false" ht="15" hidden="false" customHeight="false" outlineLevel="0" collapsed="false">
      <c r="A10" s="2" t="n">
        <v>9</v>
      </c>
      <c r="B10" s="2" t="s">
        <v>174</v>
      </c>
      <c r="C10" s="2" t="s">
        <v>175</v>
      </c>
      <c r="D10" s="2" t="s">
        <v>176</v>
      </c>
      <c r="E10" s="2" t="s">
        <v>71</v>
      </c>
      <c r="F10" s="2" t="s">
        <v>177</v>
      </c>
      <c r="G10" s="2" t="s">
        <v>151</v>
      </c>
      <c r="H10" s="2" t="s">
        <v>178</v>
      </c>
      <c r="I10" s="2" t="s">
        <v>179</v>
      </c>
      <c r="J10" s="2" t="s">
        <v>180</v>
      </c>
      <c r="K10" s="2" t="s">
        <v>76</v>
      </c>
      <c r="L10" s="2" t="s">
        <v>76</v>
      </c>
      <c r="M10" s="2" t="s">
        <v>181</v>
      </c>
      <c r="N10" s="2" t="s">
        <v>78</v>
      </c>
      <c r="O10" s="2" t="s">
        <v>182</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183</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2" t="n">
        <f aca="false">COUNTIFS(guidance_agencies!$A$2:$A$81,$A10,guidance_agencies!$D$2:$D$81,"EDPB")</f>
        <v>1</v>
      </c>
      <c r="AQ10" s="2" t="n">
        <f aca="false">COUNTIFS(guidance_agencies!$A$2:$A$81,$A10,guidance_agencies!$D$2:$D$81,"EBA")</f>
        <v>0</v>
      </c>
      <c r="AR10" s="2" t="n">
        <f aca="false">COUNTIFS(guidance_agencies!$A$2:$A$81,$A10,guidance_agencies!$D$2:$D$81,"ESMA")</f>
        <v>0</v>
      </c>
      <c r="AS10" s="3" t="n">
        <f aca="false">SUMIFS(secondary_acts!$S$2:$S$771,secondary_acts!$A$2:$A$771,$A10,secondary_acts!$E$2:$E$771,"implementing")+SUMIFS(secondary_acts!$S$2:$S$771,secondary_acts!$A$2:$A$771,$A10,secondary_acts!$E$2:$E$771,"delegated")</f>
        <v>0</v>
      </c>
      <c r="AT10" s="3" t="n">
        <v>1004</v>
      </c>
      <c r="AU10" s="2" t="n">
        <v>28</v>
      </c>
      <c r="AV10" s="2" t="n">
        <v>2</v>
      </c>
      <c r="AW10" s="2" t="s">
        <v>184</v>
      </c>
      <c r="AX10" s="2" t="s">
        <v>185</v>
      </c>
      <c r="AY10" s="2" t="n">
        <v>4</v>
      </c>
      <c r="AZ10" s="2" t="s">
        <v>186</v>
      </c>
      <c r="BA10" s="2" t="s">
        <v>147</v>
      </c>
      <c r="BB10" s="2" t="n">
        <v>5154</v>
      </c>
      <c r="BC10" s="2" t="n">
        <v>39</v>
      </c>
      <c r="BD10" s="2" t="n">
        <v>14</v>
      </c>
      <c r="BE10" s="2" t="n">
        <f aca="false">IF(ISNUMBER(BB10),Q10-BB10,"")</f>
        <v>3466</v>
      </c>
      <c r="BF10" s="4" t="n">
        <f aca="false">IF(AND(ISNUMBER(BB10),BB10&gt;0),(Q10-BB10)/BB10,"")</f>
        <v>0.672487388436166</v>
      </c>
      <c r="BG10" s="2" t="n">
        <f aca="false">IF(ISNUMBER(BC10),X10-BC10,"")</f>
        <v>10</v>
      </c>
      <c r="BH10" s="4" t="n">
        <f aca="false">IF(AND(ISNUMBER(BC10),BC10&gt;0),(X10-BC10)/BC10,"")</f>
        <v>0.256410256410256</v>
      </c>
      <c r="BI10" s="2" t="n">
        <f aca="false">IF(ISNUMBER(BD10),AD10-BD10,"")</f>
        <v>3</v>
      </c>
      <c r="BJ10" s="2" t="s">
        <v>187</v>
      </c>
      <c r="BK10" s="2" t="s">
        <v>188</v>
      </c>
      <c r="BL10" s="2" t="n">
        <v>2</v>
      </c>
      <c r="BM10" s="2" t="n">
        <v>2</v>
      </c>
      <c r="BN10" s="2" t="n">
        <v>2</v>
      </c>
      <c r="BO10" s="2" t="n">
        <v>1</v>
      </c>
      <c r="BP10" s="2"/>
    </row>
    <row r="11" customFormat="false" ht="15" hidden="false" customHeight="false" outlineLevel="0" collapsed="false">
      <c r="A11" s="2" t="n">
        <v>10</v>
      </c>
      <c r="B11" s="2" t="s">
        <v>189</v>
      </c>
      <c r="C11" s="2" t="s">
        <v>190</v>
      </c>
      <c r="D11" s="2" t="s">
        <v>70</v>
      </c>
      <c r="E11" s="2" t="s">
        <v>71</v>
      </c>
      <c r="F11" s="2" t="s">
        <v>177</v>
      </c>
      <c r="G11" s="2" t="s">
        <v>88</v>
      </c>
      <c r="H11" s="2" t="s">
        <v>191</v>
      </c>
      <c r="I11" s="2" t="s">
        <v>192</v>
      </c>
      <c r="J11" s="2" t="s">
        <v>193</v>
      </c>
      <c r="K11" s="2" t="s">
        <v>76</v>
      </c>
      <c r="L11" s="2" t="s">
        <v>76</v>
      </c>
      <c r="M11" s="2" t="s">
        <v>194</v>
      </c>
      <c r="N11" s="2" t="s">
        <v>78</v>
      </c>
      <c r="O11" s="2" t="s">
        <v>195</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196</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2" t="n">
        <f aca="false">COUNTIFS(guidance_agencies!$A$2:$A$81,$A11,guidance_agencies!$D$2:$D$81,"EDPB")</f>
        <v>0</v>
      </c>
      <c r="AQ11" s="2" t="n">
        <f aca="false">COUNTIFS(guidance_agencies!$A$2:$A$81,$A11,guidance_agencies!$D$2:$D$81,"EBA")</f>
        <v>0</v>
      </c>
      <c r="AR11" s="2" t="n">
        <f aca="false">COUNTIFS(guidance_agencies!$A$2:$A$81,$A11,guidance_agencies!$D$2:$D$81,"ESMA")</f>
        <v>0</v>
      </c>
      <c r="AS11" s="3" t="n">
        <f aca="false">SUMIFS(secondary_acts!$S$2:$S$771,secondary_acts!$A$2:$A$771,$A11,secondary_acts!$E$2:$E$771,"implementing")+SUMIFS(secondary_acts!$S$2:$S$771,secondary_acts!$A$2:$A$771,$A11,secondary_acts!$E$2:$E$771,"delegated")</f>
        <v>818</v>
      </c>
      <c r="AT11" s="3"/>
      <c r="AU11" s="2"/>
      <c r="AV11" s="2" t="n">
        <v>0</v>
      </c>
      <c r="AW11" s="2"/>
      <c r="AX11" s="2"/>
      <c r="AY11" s="2" t="n">
        <v>1</v>
      </c>
      <c r="AZ11" s="2" t="s">
        <v>197</v>
      </c>
      <c r="BA11" s="2" t="s">
        <v>83</v>
      </c>
      <c r="BB11" s="2" t="n">
        <v>4076</v>
      </c>
      <c r="BC11" s="2" t="n">
        <v>33</v>
      </c>
      <c r="BD11" s="2" t="n">
        <v>0</v>
      </c>
      <c r="BE11" s="2" t="n">
        <f aca="false">IF(ISNUMBER(BB11),Q11-BB11,"")</f>
        <v>121</v>
      </c>
      <c r="BF11" s="4" t="n">
        <f aca="false">IF(AND(ISNUMBER(BB11),BB11&gt;0),(Q11-BB11)/BB11,"")</f>
        <v>0.0296859666339549</v>
      </c>
      <c r="BG11" s="2" t="n">
        <f aca="false">IF(ISNUMBER(BC11),X11-BC11,"")</f>
        <v>-7</v>
      </c>
      <c r="BH11" s="4" t="n">
        <f aca="false">IF(AND(ISNUMBER(BC11),BC11&gt;0),(X11-BC11)/BC11,"")</f>
        <v>-0.212121212121212</v>
      </c>
      <c r="BI11" s="2" t="n">
        <f aca="false">IF(ISNUMBER(BD11),AD11-BD11,"")</f>
        <v>0</v>
      </c>
      <c r="BJ11" s="2"/>
      <c r="BK11" s="2"/>
      <c r="BL11" s="2"/>
      <c r="BM11" s="2"/>
      <c r="BN11" s="2"/>
      <c r="BO11" s="2"/>
      <c r="BP11" s="2" t="s">
        <v>110</v>
      </c>
    </row>
    <row r="12" customFormat="false" ht="15" hidden="false" customHeight="false" outlineLevel="0" collapsed="false">
      <c r="A12" s="2" t="n">
        <v>11</v>
      </c>
      <c r="B12" s="2" t="s">
        <v>198</v>
      </c>
      <c r="C12" s="2" t="s">
        <v>199</v>
      </c>
      <c r="D12" s="2" t="s">
        <v>200</v>
      </c>
      <c r="E12" s="2" t="s">
        <v>71</v>
      </c>
      <c r="F12" s="2" t="s">
        <v>201</v>
      </c>
      <c r="G12" s="2" t="s">
        <v>151</v>
      </c>
      <c r="H12" s="2" t="s">
        <v>202</v>
      </c>
      <c r="I12" s="2" t="s">
        <v>203</v>
      </c>
      <c r="J12" s="2" t="s">
        <v>204</v>
      </c>
      <c r="K12" s="2" t="s">
        <v>76</v>
      </c>
      <c r="L12" s="2" t="s">
        <v>76</v>
      </c>
      <c r="M12" s="2" t="s">
        <v>205</v>
      </c>
      <c r="N12" s="2" t="s">
        <v>78</v>
      </c>
      <c r="O12" s="2" t="s">
        <v>206</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207</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2" t="n">
        <f aca="false">COUNTIFS(guidance_agencies!$A$2:$A$81,$A12,guidance_agencies!$D$2:$D$81,"EDPB")</f>
        <v>0</v>
      </c>
      <c r="AQ12" s="2" t="n">
        <f aca="false">COUNTIFS(guidance_agencies!$A$2:$A$81,$A12,guidance_agencies!$D$2:$D$81,"EBA")</f>
        <v>0</v>
      </c>
      <c r="AR12" s="2" t="n">
        <f aca="false">COUNTIFS(guidance_agencies!$A$2:$A$81,$A12,guidance_agencies!$D$2:$D$81,"ESMA")</f>
        <v>0</v>
      </c>
      <c r="AS12" s="3" t="n">
        <f aca="false">SUMIFS(secondary_acts!$S$2:$S$771,secondary_acts!$A$2:$A$771,$A12,secondary_acts!$E$2:$E$771,"implementing")+SUMIFS(secondary_acts!$S$2:$S$771,secondary_acts!$A$2:$A$771,$A12,secondary_acts!$E$2:$E$771,"delegated")</f>
        <v>355</v>
      </c>
      <c r="AT12" s="3"/>
      <c r="AU12" s="2"/>
      <c r="AV12" s="2" t="n">
        <v>0</v>
      </c>
      <c r="AW12" s="2"/>
      <c r="AX12" s="2"/>
      <c r="AY12" s="2" t="n">
        <v>8</v>
      </c>
      <c r="AZ12" s="2"/>
      <c r="BA12" s="2" t="s">
        <v>208</v>
      </c>
      <c r="BB12" s="2"/>
      <c r="BC12" s="2"/>
      <c r="BD12" s="2"/>
      <c r="BE12" s="2" t="str">
        <f aca="false">IF(ISNUMBER(BB12),Q12-BB12,"")</f>
        <v/>
      </c>
      <c r="BF12" s="4" t="str">
        <f aca="false">IF(AND(ISNUMBER(BB12),BB12&gt;0),(Q12-BB12)/BB12,"")</f>
        <v/>
      </c>
      <c r="BG12" s="2" t="str">
        <f aca="false">IF(ISNUMBER(BC12),X12-BC12,"")</f>
        <v/>
      </c>
      <c r="BH12" s="4" t="str">
        <f aca="false">IF(AND(ISNUMBER(BC12),BC12&gt;0),(X12-BC12)/BC12,"")</f>
        <v/>
      </c>
      <c r="BI12" s="2" t="str">
        <f aca="false">IF(ISNUMBER(BD12),AD12-BD12,"")</f>
        <v/>
      </c>
      <c r="BJ12" s="2" t="s">
        <v>209</v>
      </c>
      <c r="BK12" s="2" t="s">
        <v>210</v>
      </c>
      <c r="BL12" s="2" t="n">
        <v>3</v>
      </c>
      <c r="BM12" s="2" t="n">
        <v>3</v>
      </c>
      <c r="BN12" s="2" t="n">
        <v>8</v>
      </c>
      <c r="BO12" s="2" t="n">
        <v>3</v>
      </c>
      <c r="BP12" s="2" t="s">
        <v>110</v>
      </c>
    </row>
    <row r="13" customFormat="false" ht="15" hidden="false" customHeight="false" outlineLevel="0" collapsed="false">
      <c r="A13" s="2" t="n">
        <v>12</v>
      </c>
      <c r="B13" s="2" t="s">
        <v>211</v>
      </c>
      <c r="C13" s="2" t="s">
        <v>212</v>
      </c>
      <c r="D13" s="2" t="s">
        <v>113</v>
      </c>
      <c r="E13" s="2" t="s">
        <v>71</v>
      </c>
      <c r="F13" s="2" t="s">
        <v>213</v>
      </c>
      <c r="G13" s="2" t="s">
        <v>151</v>
      </c>
      <c r="H13" s="2" t="s">
        <v>214</v>
      </c>
      <c r="I13" s="2" t="s">
        <v>215</v>
      </c>
      <c r="J13" s="2" t="s">
        <v>216</v>
      </c>
      <c r="K13" s="2" t="s">
        <v>76</v>
      </c>
      <c r="L13" s="2" t="s">
        <v>76</v>
      </c>
      <c r="M13" s="2" t="s">
        <v>217</v>
      </c>
      <c r="N13" s="2" t="s">
        <v>78</v>
      </c>
      <c r="O13" s="2" t="s">
        <v>218</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219</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2" t="n">
        <f aca="false">COUNTIFS(guidance_agencies!$A$2:$A$81,$A13,guidance_agencies!$D$2:$D$81,"EDPB")</f>
        <v>0</v>
      </c>
      <c r="AQ13" s="2" t="n">
        <f aca="false">COUNTIFS(guidance_agencies!$A$2:$A$81,$A13,guidance_agencies!$D$2:$D$81,"EBA")</f>
        <v>0</v>
      </c>
      <c r="AR13" s="2" t="n">
        <f aca="false">COUNTIFS(guidance_agencies!$A$2:$A$81,$A13,guidance_agencies!$D$2:$D$81,"ESMA")</f>
        <v>0</v>
      </c>
      <c r="AS13" s="3" t="n">
        <f aca="false">SUMIFS(secondary_acts!$S$2:$S$771,secondary_acts!$A$2:$A$771,$A13,secondary_acts!$E$2:$E$771,"implementing")+SUMIFS(secondary_acts!$S$2:$S$771,secondary_acts!$A$2:$A$771,$A13,secondary_acts!$E$2:$E$771,"delegated")</f>
        <v>0</v>
      </c>
      <c r="AT13" s="3" t="n">
        <v>2025</v>
      </c>
      <c r="AU13" s="2" t="n">
        <v>28</v>
      </c>
      <c r="AV13" s="2" t="n">
        <v>0</v>
      </c>
      <c r="AW13" s="2"/>
      <c r="AX13" s="2"/>
      <c r="AY13" s="2" t="n">
        <v>4</v>
      </c>
      <c r="AZ13" s="2" t="s">
        <v>220</v>
      </c>
      <c r="BA13" s="2" t="s">
        <v>83</v>
      </c>
      <c r="BB13" s="2" t="n">
        <v>8819</v>
      </c>
      <c r="BC13" s="2" t="n">
        <v>77</v>
      </c>
      <c r="BD13" s="2" t="n">
        <v>5</v>
      </c>
      <c r="BE13" s="2" t="n">
        <f aca="false">IF(ISNUMBER(BB13),Q13-BB13,"")</f>
        <v>-2838</v>
      </c>
      <c r="BF13" s="4" t="n">
        <f aca="false">IF(AND(ISNUMBER(BB13),BB13&gt;0),(Q13-BB13)/BB13,"")</f>
        <v>-0.321805193332577</v>
      </c>
      <c r="BG13" s="2" t="n">
        <f aca="false">IF(ISNUMBER(BC13),X13-BC13,"")</f>
        <v>-23</v>
      </c>
      <c r="BH13" s="4" t="n">
        <f aca="false">IF(AND(ISNUMBER(BC13),BC13&gt;0),(X13-BC13)/BC13,"")</f>
        <v>-0.298701298701299</v>
      </c>
      <c r="BI13" s="2" t="n">
        <f aca="false">IF(ISNUMBER(BD13),AD13-BD13,"")</f>
        <v>-1</v>
      </c>
      <c r="BJ13" s="2"/>
      <c r="BK13" s="2"/>
      <c r="BL13" s="2"/>
      <c r="BM13" s="2"/>
      <c r="BN13" s="2"/>
      <c r="BO13" s="2"/>
      <c r="BP13" s="2"/>
    </row>
    <row r="14" customFormat="false" ht="15" hidden="false" customHeight="false" outlineLevel="0" collapsed="false">
      <c r="A14" s="2" t="n">
        <v>13</v>
      </c>
      <c r="B14" s="2" t="s">
        <v>221</v>
      </c>
      <c r="C14" s="2" t="s">
        <v>222</v>
      </c>
      <c r="D14" s="2" t="s">
        <v>86</v>
      </c>
      <c r="E14" s="2" t="s">
        <v>71</v>
      </c>
      <c r="F14" s="2" t="s">
        <v>223</v>
      </c>
      <c r="G14" s="2" t="s">
        <v>151</v>
      </c>
      <c r="H14" s="2" t="s">
        <v>224</v>
      </c>
      <c r="I14" s="2" t="s">
        <v>225</v>
      </c>
      <c r="J14" s="2" t="s">
        <v>226</v>
      </c>
      <c r="K14" s="2" t="s">
        <v>76</v>
      </c>
      <c r="L14" s="2" t="s">
        <v>76</v>
      </c>
      <c r="M14" s="2" t="s">
        <v>227</v>
      </c>
      <c r="N14" s="2" t="s">
        <v>78</v>
      </c>
      <c r="O14" s="2" t="s">
        <v>228</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229</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2" t="n">
        <f aca="false">COUNTIFS(guidance_agencies!$A$2:$A$81,$A14,guidance_agencies!$D$2:$D$81,"EDPB")</f>
        <v>0</v>
      </c>
      <c r="AQ14" s="2" t="n">
        <f aca="false">COUNTIFS(guidance_agencies!$A$2:$A$81,$A14,guidance_agencies!$D$2:$D$81,"EBA")</f>
        <v>0</v>
      </c>
      <c r="AR14" s="2" t="n">
        <f aca="false">COUNTIFS(guidance_agencies!$A$2:$A$81,$A14,guidance_agencies!$D$2:$D$81,"ESMA")</f>
        <v>0</v>
      </c>
      <c r="AS14" s="3" t="n">
        <f aca="false">SUMIFS(secondary_acts!$S$2:$S$771,secondary_acts!$A$2:$A$771,$A14,secondary_acts!$E$2:$E$771,"implementing")+SUMIFS(secondary_acts!$S$2:$S$771,secondary_acts!$A$2:$A$771,$A14,secondary_acts!$E$2:$E$771,"delegated")</f>
        <v>0</v>
      </c>
      <c r="AT14" s="3" t="n">
        <v>3206</v>
      </c>
      <c r="AU14" s="2" t="n">
        <v>28</v>
      </c>
      <c r="AV14" s="2" t="n">
        <v>2</v>
      </c>
      <c r="AW14" s="2" t="s">
        <v>96</v>
      </c>
      <c r="AX14" s="2" t="s">
        <v>230</v>
      </c>
      <c r="AY14" s="2" t="n">
        <v>4</v>
      </c>
      <c r="AZ14" s="2" t="s">
        <v>231</v>
      </c>
      <c r="BA14" s="2" t="s">
        <v>83</v>
      </c>
      <c r="BB14" s="2" t="n">
        <v>6830</v>
      </c>
      <c r="BC14" s="2" t="n">
        <v>33</v>
      </c>
      <c r="BD14" s="2" t="n">
        <v>1</v>
      </c>
      <c r="BE14" s="2" t="n">
        <f aca="false">IF(ISNUMBER(BB14),Q14-BB14,"")</f>
        <v>2457</v>
      </c>
      <c r="BF14" s="4" t="n">
        <f aca="false">IF(AND(ISNUMBER(BB14),BB14&gt;0),(Q14-BB14)/BB14,"")</f>
        <v>0.359736456808199</v>
      </c>
      <c r="BG14" s="2" t="n">
        <f aca="false">IF(ISNUMBER(BC14),X14-BC14,"")</f>
        <v>15</v>
      </c>
      <c r="BH14" s="4" t="n">
        <f aca="false">IF(AND(ISNUMBER(BC14),BC14&gt;0),(X14-BC14)/BC14,"")</f>
        <v>0.454545454545455</v>
      </c>
      <c r="BI14" s="2" t="n">
        <f aca="false">IF(ISNUMBER(BD14),AD14-BD14,"")</f>
        <v>4</v>
      </c>
      <c r="BJ14" s="2" t="s">
        <v>232</v>
      </c>
      <c r="BK14" s="2" t="s">
        <v>233</v>
      </c>
      <c r="BL14" s="2" t="n">
        <v>4</v>
      </c>
      <c r="BM14" s="2" t="n">
        <v>4</v>
      </c>
      <c r="BN14" s="2" t="n">
        <v>8</v>
      </c>
      <c r="BO14" s="2" t="n">
        <v>1</v>
      </c>
      <c r="BP14" s="2"/>
    </row>
    <row r="15" customFormat="false" ht="15" hidden="false" customHeight="false" outlineLevel="0" collapsed="false">
      <c r="A15" s="2" t="n">
        <v>14</v>
      </c>
      <c r="B15" s="2" t="s">
        <v>234</v>
      </c>
      <c r="C15" s="2" t="s">
        <v>235</v>
      </c>
      <c r="D15" s="2" t="s">
        <v>236</v>
      </c>
      <c r="E15" s="2" t="s">
        <v>71</v>
      </c>
      <c r="F15" s="2" t="s">
        <v>237</v>
      </c>
      <c r="G15" s="2" t="s">
        <v>88</v>
      </c>
      <c r="H15" s="2" t="s">
        <v>238</v>
      </c>
      <c r="I15" s="2" t="s">
        <v>239</v>
      </c>
      <c r="J15" s="2" t="s">
        <v>240</v>
      </c>
      <c r="K15" s="2" t="s">
        <v>76</v>
      </c>
      <c r="L15" s="2" t="s">
        <v>76</v>
      </c>
      <c r="M15" s="2" t="s">
        <v>241</v>
      </c>
      <c r="N15" s="2" t="s">
        <v>78</v>
      </c>
      <c r="O15" s="2" t="s">
        <v>242</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243</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2" t="n">
        <f aca="false">COUNTIFS(guidance_agencies!$A$2:$A$81,$A15,guidance_agencies!$D$2:$D$81,"EDPB")</f>
        <v>0</v>
      </c>
      <c r="AQ15" s="2" t="n">
        <f aca="false">COUNTIFS(guidance_agencies!$A$2:$A$81,$A15,guidance_agencies!$D$2:$D$81,"EBA")</f>
        <v>0</v>
      </c>
      <c r="AR15" s="2" t="n">
        <f aca="false">COUNTIFS(guidance_agencies!$A$2:$A$81,$A15,guidance_agencies!$D$2:$D$81,"ESMA")</f>
        <v>0</v>
      </c>
      <c r="AS15" s="3" t="n">
        <f aca="false">SUMIFS(secondary_acts!$S$2:$S$771,secondary_acts!$A$2:$A$771,$A15,secondary_acts!$E$2:$E$771,"implementing")+SUMIFS(secondary_acts!$S$2:$S$771,secondary_acts!$A$2:$A$771,$A15,secondary_acts!$E$2:$E$771,"delegated")</f>
        <v>487</v>
      </c>
      <c r="AT15" s="3" t="n">
        <v>1745</v>
      </c>
      <c r="AU15" s="2" t="n">
        <v>26</v>
      </c>
      <c r="AV15" s="2" t="n">
        <v>35</v>
      </c>
      <c r="AW15" s="2" t="s">
        <v>244</v>
      </c>
      <c r="AX15" s="2" t="s">
        <v>245</v>
      </c>
      <c r="AY15" s="2" t="n">
        <v>23</v>
      </c>
      <c r="AZ15" s="2" t="s">
        <v>246</v>
      </c>
      <c r="BA15" s="2" t="s">
        <v>247</v>
      </c>
      <c r="BB15" s="2"/>
      <c r="BC15" s="2"/>
      <c r="BD15" s="2"/>
      <c r="BE15" s="2" t="str">
        <f aca="false">IF(ISNUMBER(BB15),Q15-BB15,"")</f>
        <v/>
      </c>
      <c r="BF15" s="4" t="str">
        <f aca="false">IF(AND(ISNUMBER(BB15),BB15&gt;0),(Q15-BB15)/BB15,"")</f>
        <v/>
      </c>
      <c r="BG15" s="2" t="str">
        <f aca="false">IF(ISNUMBER(BC15),X15-BC15,"")</f>
        <v/>
      </c>
      <c r="BH15" s="4" t="str">
        <f aca="false">IF(AND(ISNUMBER(BC15),BC15&gt;0),(X15-BC15)/BC15,"")</f>
        <v/>
      </c>
      <c r="BI15" s="2" t="str">
        <f aca="false">IF(ISNUMBER(BD15),AD15-BD15,"")</f>
        <v/>
      </c>
      <c r="BJ15" s="2"/>
      <c r="BK15" s="2"/>
      <c r="BL15" s="2"/>
      <c r="BM15" s="2"/>
      <c r="BN15" s="2"/>
      <c r="BO15" s="2"/>
      <c r="BP15" s="2"/>
    </row>
    <row r="16" customFormat="false" ht="15" hidden="false" customHeight="false" outlineLevel="0" collapsed="false">
      <c r="A16" s="2" t="n">
        <v>15</v>
      </c>
      <c r="B16" s="2" t="s">
        <v>248</v>
      </c>
      <c r="C16" s="2" t="s">
        <v>249</v>
      </c>
      <c r="D16" s="2" t="s">
        <v>100</v>
      </c>
      <c r="E16" s="2" t="s">
        <v>71</v>
      </c>
      <c r="F16" s="2" t="s">
        <v>250</v>
      </c>
      <c r="G16" s="2" t="s">
        <v>88</v>
      </c>
      <c r="H16" s="2" t="s">
        <v>251</v>
      </c>
      <c r="I16" s="2" t="s">
        <v>251</v>
      </c>
      <c r="J16" s="2" t="s">
        <v>252</v>
      </c>
      <c r="K16" s="2" t="s">
        <v>76</v>
      </c>
      <c r="L16" s="2" t="s">
        <v>76</v>
      </c>
      <c r="M16" s="2" t="s">
        <v>253</v>
      </c>
      <c r="N16" s="2" t="s">
        <v>78</v>
      </c>
      <c r="O16" s="2" t="s">
        <v>254</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255</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2" t="n">
        <f aca="false">COUNTIFS(guidance_agencies!$A$2:$A$81,$A16,guidance_agencies!$D$2:$D$81,"EDPB")</f>
        <v>0</v>
      </c>
      <c r="AQ16" s="2" t="n">
        <f aca="false">COUNTIFS(guidance_agencies!$A$2:$A$81,$A16,guidance_agencies!$D$2:$D$81,"EBA")</f>
        <v>0</v>
      </c>
      <c r="AR16" s="2" t="n">
        <f aca="false">COUNTIFS(guidance_agencies!$A$2:$A$81,$A16,guidance_agencies!$D$2:$D$81,"ESMA")</f>
        <v>0</v>
      </c>
      <c r="AS16" s="3" t="n">
        <f aca="false">SUMIFS(secondary_acts!$S$2:$S$771,secondary_acts!$A$2:$A$771,$A16,secondary_acts!$E$2:$E$771,"implementing")+SUMIFS(secondary_acts!$S$2:$S$771,secondary_acts!$A$2:$A$771,$A16,secondary_acts!$E$2:$E$771,"delegated")</f>
        <v>0</v>
      </c>
      <c r="AT16" s="3" t="n">
        <v>471</v>
      </c>
      <c r="AU16" s="2" t="n">
        <v>19</v>
      </c>
      <c r="AV16" s="2" t="n">
        <v>2</v>
      </c>
      <c r="AW16" s="2" t="s">
        <v>256</v>
      </c>
      <c r="AX16" s="2" t="s">
        <v>257</v>
      </c>
      <c r="AY16" s="2" t="n">
        <v>3</v>
      </c>
      <c r="AZ16" s="2" t="s">
        <v>258</v>
      </c>
      <c r="BA16" s="2" t="s">
        <v>147</v>
      </c>
      <c r="BB16" s="2" t="n">
        <v>17291</v>
      </c>
      <c r="BC16" s="2" t="n">
        <v>117</v>
      </c>
      <c r="BD16" s="2" t="n">
        <v>9</v>
      </c>
      <c r="BE16" s="2" t="n">
        <f aca="false">IF(ISNUMBER(BB16),Q16-BB16,"")</f>
        <v>-1651</v>
      </c>
      <c r="BF16" s="4" t="n">
        <f aca="false">IF(AND(ISNUMBER(BB16),BB16&gt;0),(Q16-BB16)/BB16,"")</f>
        <v>-0.0954831993522642</v>
      </c>
      <c r="BG16" s="2" t="n">
        <f aca="false">IF(ISNUMBER(BC16),X16-BC16,"")</f>
        <v>0</v>
      </c>
      <c r="BH16" s="4" t="n">
        <f aca="false">IF(AND(ISNUMBER(BC16),BC16&gt;0),(X16-BC16)/BC16,"")</f>
        <v>0</v>
      </c>
      <c r="BI16" s="2" t="n">
        <f aca="false">IF(ISNUMBER(BD16),AD16-BD16,"")</f>
        <v>0</v>
      </c>
      <c r="BJ16" s="2"/>
      <c r="BK16" s="2"/>
      <c r="BL16" s="2"/>
      <c r="BM16" s="2"/>
      <c r="BN16" s="2"/>
      <c r="BO16" s="2"/>
      <c r="BP16" s="2"/>
    </row>
    <row r="17" customFormat="false" ht="15" hidden="false" customHeight="false" outlineLevel="0" collapsed="false">
      <c r="A17" s="2" t="n">
        <v>16</v>
      </c>
      <c r="B17" s="2" t="s">
        <v>259</v>
      </c>
      <c r="C17" s="2" t="s">
        <v>260</v>
      </c>
      <c r="D17" s="2" t="s">
        <v>176</v>
      </c>
      <c r="E17" s="2" t="s">
        <v>71</v>
      </c>
      <c r="F17" s="2" t="s">
        <v>261</v>
      </c>
      <c r="G17" s="2" t="s">
        <v>151</v>
      </c>
      <c r="H17" s="2" t="s">
        <v>262</v>
      </c>
      <c r="I17" s="2" t="s">
        <v>263</v>
      </c>
      <c r="J17" s="2" t="s">
        <v>264</v>
      </c>
      <c r="K17" s="2" t="s">
        <v>76</v>
      </c>
      <c r="L17" s="2" t="s">
        <v>76</v>
      </c>
      <c r="M17" s="2" t="s">
        <v>265</v>
      </c>
      <c r="N17" s="2" t="s">
        <v>78</v>
      </c>
      <c r="O17" s="2" t="s">
        <v>266</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267</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2" t="n">
        <f aca="false">COUNTIFS(guidance_agencies!$A$2:$A$81,$A17,guidance_agencies!$D$2:$D$81,"EDPB")</f>
        <v>0</v>
      </c>
      <c r="AQ17" s="2" t="n">
        <f aca="false">COUNTIFS(guidance_agencies!$A$2:$A$81,$A17,guidance_agencies!$D$2:$D$81,"EBA")</f>
        <v>0</v>
      </c>
      <c r="AR17" s="2" t="n">
        <f aca="false">COUNTIFS(guidance_agencies!$A$2:$A$81,$A17,guidance_agencies!$D$2:$D$81,"ESMA")</f>
        <v>0</v>
      </c>
      <c r="AS17" s="3" t="n">
        <f aca="false">SUMIFS(secondary_acts!$S$2:$S$771,secondary_acts!$A$2:$A$771,$A17,secondary_acts!$E$2:$E$771,"implementing")+SUMIFS(secondary_acts!$S$2:$S$771,secondary_acts!$A$2:$A$771,$A17,secondary_acts!$E$2:$E$771,"delegated")</f>
        <v>43</v>
      </c>
      <c r="AT17" s="3"/>
      <c r="AU17" s="2"/>
      <c r="AV17" s="2" t="n">
        <v>2</v>
      </c>
      <c r="AW17" s="2" t="s">
        <v>268</v>
      </c>
      <c r="AX17" s="2" t="s">
        <v>269</v>
      </c>
      <c r="AY17" s="2" t="n">
        <v>2</v>
      </c>
      <c r="AZ17" s="2" t="s">
        <v>270</v>
      </c>
      <c r="BA17" s="2" t="s">
        <v>147</v>
      </c>
      <c r="BB17" s="2" t="n">
        <v>5421</v>
      </c>
      <c r="BC17" s="2" t="n">
        <v>68</v>
      </c>
      <c r="BD17" s="2" t="n">
        <v>4</v>
      </c>
      <c r="BE17" s="2" t="n">
        <f aca="false">IF(ISNUMBER(BB17),Q17-BB17,"")</f>
        <v>1093</v>
      </c>
      <c r="BF17" s="4" t="n">
        <f aca="false">IF(AND(ISNUMBER(BB17),BB17&gt;0),(Q17-BB17)/BB17,"")</f>
        <v>0.20162331673123</v>
      </c>
      <c r="BG17" s="2" t="n">
        <f aca="false">IF(ISNUMBER(BC17),X17-BC17,"")</f>
        <v>17</v>
      </c>
      <c r="BH17" s="4" t="n">
        <f aca="false">IF(AND(ISNUMBER(BC17),BC17&gt;0),(X17-BC17)/BC17,"")</f>
        <v>0.25</v>
      </c>
      <c r="BI17" s="2" t="n">
        <f aca="false">IF(ISNUMBER(BD17),AD17-BD17,"")</f>
        <v>1</v>
      </c>
      <c r="BJ17" s="2"/>
      <c r="BK17" s="2"/>
      <c r="BL17" s="2"/>
      <c r="BM17" s="2"/>
      <c r="BN17" s="2"/>
      <c r="BO17" s="2"/>
      <c r="BP17" s="2"/>
    </row>
    <row r="18" customFormat="false" ht="15" hidden="false" customHeight="false" outlineLevel="0" collapsed="false">
      <c r="A18" s="2" t="n">
        <v>17</v>
      </c>
      <c r="B18" s="2" t="s">
        <v>271</v>
      </c>
      <c r="C18" s="2" t="s">
        <v>272</v>
      </c>
      <c r="D18" s="2" t="s">
        <v>273</v>
      </c>
      <c r="E18" s="2" t="s">
        <v>71</v>
      </c>
      <c r="F18" s="2" t="s">
        <v>274</v>
      </c>
      <c r="G18" s="2" t="s">
        <v>151</v>
      </c>
      <c r="H18" s="2" t="s">
        <v>275</v>
      </c>
      <c r="I18" s="2" t="s">
        <v>275</v>
      </c>
      <c r="J18" s="2" t="s">
        <v>276</v>
      </c>
      <c r="K18" s="2" t="s">
        <v>76</v>
      </c>
      <c r="L18" s="2" t="s">
        <v>76</v>
      </c>
      <c r="M18" s="2" t="s">
        <v>277</v>
      </c>
      <c r="N18" s="2" t="s">
        <v>78</v>
      </c>
      <c r="O18" s="2" t="s">
        <v>278</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279</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2" t="n">
        <f aca="false">COUNTIFS(guidance_agencies!$A$2:$A$81,$A18,guidance_agencies!$D$2:$D$81,"EDPB")</f>
        <v>0</v>
      </c>
      <c r="AQ18" s="2" t="n">
        <f aca="false">COUNTIFS(guidance_agencies!$A$2:$A$81,$A18,guidance_agencies!$D$2:$D$81,"EBA")</f>
        <v>0</v>
      </c>
      <c r="AR18" s="2" t="n">
        <f aca="false">COUNTIFS(guidance_agencies!$A$2:$A$81,$A18,guidance_agencies!$D$2:$D$81,"ESMA")</f>
        <v>0</v>
      </c>
      <c r="AS18" s="3" t="n">
        <f aca="false">SUMIFS(secondary_acts!$S$2:$S$771,secondary_acts!$A$2:$A$771,$A18,secondary_acts!$E$2:$E$771,"implementing")+SUMIFS(secondary_acts!$S$2:$S$771,secondary_acts!$A$2:$A$771,$A18,secondary_acts!$E$2:$E$771,"delegated")</f>
        <v>0</v>
      </c>
      <c r="AT18" s="3" t="n">
        <v>1613</v>
      </c>
      <c r="AU18" s="2" t="n">
        <v>15</v>
      </c>
      <c r="AV18" s="2" t="n">
        <v>18</v>
      </c>
      <c r="AW18" s="2" t="s">
        <v>280</v>
      </c>
      <c r="AX18" s="2" t="s">
        <v>281</v>
      </c>
      <c r="AY18" s="2" t="n">
        <v>5</v>
      </c>
      <c r="AZ18" s="2" t="s">
        <v>282</v>
      </c>
      <c r="BA18" s="2" t="s">
        <v>147</v>
      </c>
      <c r="BB18" s="2" t="n">
        <v>14934</v>
      </c>
      <c r="BC18" s="2" t="n">
        <v>283</v>
      </c>
      <c r="BD18" s="2" t="n">
        <v>85</v>
      </c>
      <c r="BE18" s="2" t="n">
        <f aca="false">IF(ISNUMBER(BB18),Q18-BB18,"")</f>
        <v>4445</v>
      </c>
      <c r="BF18" s="4" t="n">
        <f aca="false">IF(AND(ISNUMBER(BB18),BB18&gt;0),(Q18-BB18)/BB18,"")</f>
        <v>0.297642962367751</v>
      </c>
      <c r="BG18" s="2" t="n">
        <f aca="false">IF(ISNUMBER(BC18),X18-BC18,"")</f>
        <v>46</v>
      </c>
      <c r="BH18" s="4" t="n">
        <f aca="false">IF(AND(ISNUMBER(BC18),BC18&gt;0),(X18-BC18)/BC18,"")</f>
        <v>0.162544169611307</v>
      </c>
      <c r="BI18" s="2" t="n">
        <f aca="false">IF(ISNUMBER(BD18),AD18-BD18,"")</f>
        <v>3</v>
      </c>
      <c r="BJ18" s="2"/>
      <c r="BK18" s="2"/>
      <c r="BL18" s="2"/>
      <c r="BM18" s="2"/>
      <c r="BN18" s="2"/>
      <c r="BO18" s="2"/>
      <c r="BP18" s="2"/>
    </row>
    <row r="19" customFormat="false" ht="15" hidden="false" customHeight="false" outlineLevel="0" collapsed="false">
      <c r="A19" s="2" t="n">
        <v>18</v>
      </c>
      <c r="B19" s="2" t="s">
        <v>283</v>
      </c>
      <c r="C19" s="2" t="s">
        <v>284</v>
      </c>
      <c r="D19" s="2" t="s">
        <v>86</v>
      </c>
      <c r="E19" s="2" t="s">
        <v>71</v>
      </c>
      <c r="F19" s="2" t="s">
        <v>285</v>
      </c>
      <c r="G19" s="2" t="s">
        <v>151</v>
      </c>
      <c r="H19" s="2" t="s">
        <v>95</v>
      </c>
      <c r="I19" s="2" t="s">
        <v>286</v>
      </c>
      <c r="J19" s="2" t="s">
        <v>287</v>
      </c>
      <c r="K19" s="2" t="s">
        <v>76</v>
      </c>
      <c r="L19" s="2" t="s">
        <v>76</v>
      </c>
      <c r="M19" s="2" t="s">
        <v>288</v>
      </c>
      <c r="N19" s="2" t="s">
        <v>78</v>
      </c>
      <c r="O19" s="2" t="s">
        <v>289</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290</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2" t="n">
        <f aca="false">COUNTIFS(guidance_agencies!$A$2:$A$81,$A19,guidance_agencies!$D$2:$D$81,"EDPB")</f>
        <v>0</v>
      </c>
      <c r="AQ19" s="2" t="n">
        <f aca="false">COUNTIFS(guidance_agencies!$A$2:$A$81,$A19,guidance_agencies!$D$2:$D$81,"EBA")</f>
        <v>0</v>
      </c>
      <c r="AR19" s="2" t="n">
        <f aca="false">COUNTIFS(guidance_agencies!$A$2:$A$81,$A19,guidance_agencies!$D$2:$D$81,"ESMA")</f>
        <v>0</v>
      </c>
      <c r="AS19" s="3" t="n">
        <f aca="false">SUMIFS(secondary_acts!$S$2:$S$771,secondary_acts!$A$2:$A$771,$A19,secondary_acts!$E$2:$E$771,"implementing")+SUMIFS(secondary_acts!$S$2:$S$771,secondary_acts!$A$2:$A$771,$A19,secondary_acts!$E$2:$E$771,"delegated")</f>
        <v>13</v>
      </c>
      <c r="AT19" s="3" t="n">
        <v>1559</v>
      </c>
      <c r="AU19" s="2" t="n">
        <v>28</v>
      </c>
      <c r="AV19" s="2" t="n">
        <v>4</v>
      </c>
      <c r="AW19" s="2" t="s">
        <v>291</v>
      </c>
      <c r="AX19" s="2" t="s">
        <v>230</v>
      </c>
      <c r="AY19" s="2" t="n">
        <v>6</v>
      </c>
      <c r="AZ19" s="2" t="s">
        <v>292</v>
      </c>
      <c r="BA19" s="2" t="s">
        <v>147</v>
      </c>
      <c r="BB19" s="2" t="n">
        <v>14168</v>
      </c>
      <c r="BC19" s="2" t="n">
        <v>98</v>
      </c>
      <c r="BD19" s="2" t="n">
        <v>40</v>
      </c>
      <c r="BE19" s="2" t="n">
        <f aca="false">IF(ISNUMBER(BB19),Q19-BB19,"")</f>
        <v>2614</v>
      </c>
      <c r="BF19" s="4" t="n">
        <f aca="false">IF(AND(ISNUMBER(BB19),BB19&gt;0),(Q19-BB19)/BB19,"")</f>
        <v>0.184500282326369</v>
      </c>
      <c r="BG19" s="2" t="n">
        <f aca="false">IF(ISNUMBER(BC19),X19-BC19,"")</f>
        <v>7</v>
      </c>
      <c r="BH19" s="4" t="n">
        <f aca="false">IF(AND(ISNUMBER(BC19),BC19&gt;0),(X19-BC19)/BC19,"")</f>
        <v>0.0714285714285714</v>
      </c>
      <c r="BI19" s="2" t="n">
        <f aca="false">IF(ISNUMBER(BD19),AD19-BD19,"")</f>
        <v>7</v>
      </c>
      <c r="BJ19" s="2" t="s">
        <v>293</v>
      </c>
      <c r="BK19" s="2" t="s">
        <v>294</v>
      </c>
      <c r="BL19" s="2" t="n">
        <v>3</v>
      </c>
      <c r="BM19" s="2" t="n">
        <v>2</v>
      </c>
      <c r="BN19" s="2" t="n">
        <v>6</v>
      </c>
      <c r="BO19" s="2" t="n">
        <v>1</v>
      </c>
      <c r="BP19" s="2"/>
    </row>
    <row r="20" customFormat="false" ht="15" hidden="false" customHeight="false" outlineLevel="0" collapsed="false">
      <c r="A20" s="2" t="n">
        <v>19</v>
      </c>
      <c r="B20" s="2" t="s">
        <v>295</v>
      </c>
      <c r="C20" s="2" t="s">
        <v>296</v>
      </c>
      <c r="D20" s="2" t="s">
        <v>236</v>
      </c>
      <c r="E20" s="2" t="s">
        <v>71</v>
      </c>
      <c r="F20" s="2" t="s">
        <v>297</v>
      </c>
      <c r="G20" s="2" t="s">
        <v>151</v>
      </c>
      <c r="H20" s="2" t="s">
        <v>298</v>
      </c>
      <c r="I20" s="2" t="s">
        <v>298</v>
      </c>
      <c r="J20" s="2" t="s">
        <v>299</v>
      </c>
      <c r="K20" s="2" t="s">
        <v>76</v>
      </c>
      <c r="L20" s="2" t="s">
        <v>76</v>
      </c>
      <c r="M20" s="2" t="s">
        <v>300</v>
      </c>
      <c r="N20" s="2" t="s">
        <v>78</v>
      </c>
      <c r="O20" s="2" t="s">
        <v>301</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302</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2" t="n">
        <f aca="false">COUNTIFS(guidance_agencies!$A$2:$A$81,$A20,guidance_agencies!$D$2:$D$81,"EDPB")</f>
        <v>0</v>
      </c>
      <c r="AQ20" s="2" t="n">
        <f aca="false">COUNTIFS(guidance_agencies!$A$2:$A$81,$A20,guidance_agencies!$D$2:$D$81,"EBA")</f>
        <v>0</v>
      </c>
      <c r="AR20" s="2" t="n">
        <f aca="false">COUNTIFS(guidance_agencies!$A$2:$A$81,$A20,guidance_agencies!$D$2:$D$81,"ESMA")</f>
        <v>0</v>
      </c>
      <c r="AS20" s="3" t="n">
        <f aca="false">SUMIFS(secondary_acts!$S$2:$S$771,secondary_acts!$A$2:$A$771,$A20,secondary_acts!$E$2:$E$771,"implementing")+SUMIFS(secondary_acts!$S$2:$S$771,secondary_acts!$A$2:$A$771,$A20,secondary_acts!$E$2:$E$771,"delegated")</f>
        <v>100</v>
      </c>
      <c r="AT20" s="3" t="n">
        <v>380</v>
      </c>
      <c r="AU20" s="2" t="n">
        <v>28</v>
      </c>
      <c r="AV20" s="2" t="n">
        <v>9</v>
      </c>
      <c r="AW20" s="2" t="s">
        <v>303</v>
      </c>
      <c r="AX20" s="2" t="s">
        <v>304</v>
      </c>
      <c r="AY20" s="2" t="n">
        <v>5</v>
      </c>
      <c r="AZ20" s="2" t="s">
        <v>305</v>
      </c>
      <c r="BA20" s="2" t="s">
        <v>147</v>
      </c>
      <c r="BB20" s="2" t="n">
        <v>6065</v>
      </c>
      <c r="BC20" s="2" t="n">
        <v>93</v>
      </c>
      <c r="BD20" s="2" t="n">
        <v>2</v>
      </c>
      <c r="BE20" s="2" t="n">
        <f aca="false">IF(ISNUMBER(BB20),Q20-BB20,"")</f>
        <v>1765</v>
      </c>
      <c r="BF20" s="4" t="n">
        <f aca="false">IF(AND(ISNUMBER(BB20),BB20&gt;0),(Q20-BB20)/BB20,"")</f>
        <v>0.291014014839242</v>
      </c>
      <c r="BG20" s="2" t="n">
        <f aca="false">IF(ISNUMBER(BC20),X20-BC20,"")</f>
        <v>18</v>
      </c>
      <c r="BH20" s="4" t="n">
        <f aca="false">IF(AND(ISNUMBER(BC20),BC20&gt;0),(X20-BC20)/BC20,"")</f>
        <v>0.193548387096774</v>
      </c>
      <c r="BI20" s="2" t="n">
        <f aca="false">IF(ISNUMBER(BD20),AD20-BD20,"")</f>
        <v>0</v>
      </c>
      <c r="BJ20" s="2" t="s">
        <v>306</v>
      </c>
      <c r="BK20" s="2" t="s">
        <v>307</v>
      </c>
      <c r="BL20" s="2" t="n">
        <v>4</v>
      </c>
      <c r="BM20" s="2" t="n">
        <v>4</v>
      </c>
      <c r="BN20" s="2" t="n">
        <v>4</v>
      </c>
      <c r="BO20" s="2" t="n">
        <v>0</v>
      </c>
      <c r="BP20" s="2"/>
    </row>
    <row r="21" customFormat="false" ht="15" hidden="false" customHeight="false" outlineLevel="0" collapsed="false">
      <c r="A21" s="2" t="n">
        <v>20</v>
      </c>
      <c r="B21" s="2" t="s">
        <v>308</v>
      </c>
      <c r="C21" s="2" t="s">
        <v>309</v>
      </c>
      <c r="D21" s="2" t="s">
        <v>176</v>
      </c>
      <c r="E21" s="2" t="s">
        <v>71</v>
      </c>
      <c r="F21" s="2" t="s">
        <v>310</v>
      </c>
      <c r="G21" s="2" t="s">
        <v>151</v>
      </c>
      <c r="H21" s="2" t="s">
        <v>311</v>
      </c>
      <c r="I21" s="2" t="s">
        <v>312</v>
      </c>
      <c r="J21" s="2" t="s">
        <v>313</v>
      </c>
      <c r="K21" s="2" t="s">
        <v>76</v>
      </c>
      <c r="L21" s="2" t="s">
        <v>76</v>
      </c>
      <c r="M21" s="2" t="s">
        <v>314</v>
      </c>
      <c r="N21" s="2" t="s">
        <v>78</v>
      </c>
      <c r="O21" s="2" t="s">
        <v>315</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316</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2" t="n">
        <f aca="false">COUNTIFS(guidance_agencies!$A$2:$A$81,$A21,guidance_agencies!$D$2:$D$81,"EDPB")</f>
        <v>47</v>
      </c>
      <c r="AQ21" s="2" t="n">
        <f aca="false">COUNTIFS(guidance_agencies!$A$2:$A$81,$A21,guidance_agencies!$D$2:$D$81,"EBA")</f>
        <v>0</v>
      </c>
      <c r="AR21" s="2" t="n">
        <f aca="false">COUNTIFS(guidance_agencies!$A$2:$A$81,$A21,guidance_agencies!$D$2:$D$81,"ESMA")</f>
        <v>0</v>
      </c>
      <c r="AS21" s="3" t="n">
        <f aca="false">SUMIFS(secondary_acts!$S$2:$S$771,secondary_acts!$A$2:$A$771,$A21,secondary_acts!$E$2:$E$771,"implementing")+SUMIFS(secondary_acts!$S$2:$S$771,secondary_acts!$A$2:$A$771,$A21,secondary_acts!$E$2:$E$771,"delegated")</f>
        <v>927</v>
      </c>
      <c r="AT21" s="3"/>
      <c r="AU21" s="2"/>
      <c r="AV21" s="2" t="n">
        <v>0</v>
      </c>
      <c r="AW21" s="2"/>
      <c r="AX21" s="2"/>
      <c r="AY21" s="2" t="n">
        <v>3</v>
      </c>
      <c r="AZ21" s="2" t="s">
        <v>317</v>
      </c>
      <c r="BA21" s="2" t="s">
        <v>147</v>
      </c>
      <c r="BB21" s="2" t="n">
        <v>35380</v>
      </c>
      <c r="BC21" s="2" t="n">
        <v>362</v>
      </c>
      <c r="BD21" s="2" t="n">
        <v>78</v>
      </c>
      <c r="BE21" s="2" t="n">
        <f aca="false">IF(ISNUMBER(BB21),Q21-BB21,"")</f>
        <v>18951</v>
      </c>
      <c r="BF21" s="4" t="n">
        <f aca="false">IF(AND(ISNUMBER(BB21),BB21&gt;0),(Q21-BB21)/BB21,"")</f>
        <v>0.535641605426795</v>
      </c>
      <c r="BG21" s="2" t="n">
        <f aca="false">IF(ISNUMBER(BC21),X21-BC21,"")</f>
        <v>55</v>
      </c>
      <c r="BH21" s="4" t="n">
        <f aca="false">IF(AND(ISNUMBER(BC21),BC21&gt;0),(X21-BC21)/BC21,"")</f>
        <v>0.151933701657459</v>
      </c>
      <c r="BI21" s="2" t="n">
        <f aca="false">IF(ISNUMBER(BD21),AD21-BD21,"")</f>
        <v>21</v>
      </c>
      <c r="BJ21" s="2" t="s">
        <v>318</v>
      </c>
      <c r="BK21" s="2" t="s">
        <v>319</v>
      </c>
      <c r="BL21" s="2" t="n">
        <v>8</v>
      </c>
      <c r="BM21" s="2" t="n">
        <v>3</v>
      </c>
      <c r="BN21" s="2" t="n">
        <v>10</v>
      </c>
      <c r="BO21" s="2" t="n">
        <v>8</v>
      </c>
      <c r="BP21" s="2"/>
    </row>
    <row r="22" customFormat="false" ht="15" hidden="false" customHeight="false" outlineLevel="0" collapsed="false">
      <c r="A22" s="2" t="n">
        <v>21</v>
      </c>
      <c r="B22" s="2" t="s">
        <v>320</v>
      </c>
      <c r="C22" s="2" t="s">
        <v>321</v>
      </c>
      <c r="D22" s="2" t="s">
        <v>322</v>
      </c>
      <c r="E22" s="2" t="s">
        <v>71</v>
      </c>
      <c r="F22" s="2" t="s">
        <v>310</v>
      </c>
      <c r="G22" s="2" t="s">
        <v>151</v>
      </c>
      <c r="H22" s="2" t="s">
        <v>311</v>
      </c>
      <c r="I22" s="2" t="s">
        <v>312</v>
      </c>
      <c r="J22" s="2" t="s">
        <v>323</v>
      </c>
      <c r="K22" s="2" t="s">
        <v>76</v>
      </c>
      <c r="L22" s="2" t="s">
        <v>76</v>
      </c>
      <c r="M22" s="2" t="s">
        <v>324</v>
      </c>
      <c r="N22" s="2" t="s">
        <v>78</v>
      </c>
      <c r="O22" s="2" t="s">
        <v>325</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326</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2" t="n">
        <f aca="false">COUNTIFS(guidance_agencies!$A$2:$A$81,$A22,guidance_agencies!$D$2:$D$81,"EDPB")</f>
        <v>2</v>
      </c>
      <c r="AQ22" s="2" t="n">
        <f aca="false">COUNTIFS(guidance_agencies!$A$2:$A$81,$A22,guidance_agencies!$D$2:$D$81,"EBA")</f>
        <v>0</v>
      </c>
      <c r="AR22" s="2" t="n">
        <f aca="false">COUNTIFS(guidance_agencies!$A$2:$A$81,$A22,guidance_agencies!$D$2:$D$81,"ESMA")</f>
        <v>0</v>
      </c>
      <c r="AS22" s="3" t="n">
        <f aca="false">SUMIFS(secondary_acts!$S$2:$S$771,secondary_acts!$A$2:$A$771,$A22,secondary_acts!$E$2:$E$771,"implementing")+SUMIFS(secondary_acts!$S$2:$S$771,secondary_acts!$A$2:$A$771,$A22,secondary_acts!$E$2:$E$771,"delegated")</f>
        <v>5</v>
      </c>
      <c r="AT22" s="3" t="n">
        <v>3772</v>
      </c>
      <c r="AU22" s="2" t="n">
        <v>28</v>
      </c>
      <c r="AV22" s="2" t="n">
        <v>0</v>
      </c>
      <c r="AW22" s="2"/>
      <c r="AX22" s="2"/>
      <c r="AY22" s="2" t="n">
        <v>3</v>
      </c>
      <c r="AZ22" s="2" t="s">
        <v>327</v>
      </c>
      <c r="BA22" s="2" t="s">
        <v>147</v>
      </c>
      <c r="BB22" s="2" t="n">
        <v>16067</v>
      </c>
      <c r="BC22" s="2" t="n">
        <v>193</v>
      </c>
      <c r="BD22" s="2" t="n">
        <v>26</v>
      </c>
      <c r="BE22" s="2" t="n">
        <f aca="false">IF(ISNUMBER(BB22),Q22-BB22,"")</f>
        <v>10643</v>
      </c>
      <c r="BF22" s="4" t="n">
        <f aca="false">IF(AND(ISNUMBER(BB22),BB22&gt;0),(Q22-BB22)/BB22,"")</f>
        <v>0.66241364287048</v>
      </c>
      <c r="BG22" s="2" t="n">
        <f aca="false">IF(ISNUMBER(BC22),X22-BC22,"")</f>
        <v>32</v>
      </c>
      <c r="BH22" s="4" t="n">
        <f aca="false">IF(AND(ISNUMBER(BC22),BC22&gt;0),(X22-BC22)/BC22,"")</f>
        <v>0.16580310880829</v>
      </c>
      <c r="BI22" s="2" t="n">
        <f aca="false">IF(ISNUMBER(BD22),AD22-BD22,"")</f>
        <v>-1</v>
      </c>
      <c r="BJ22" s="2"/>
      <c r="BK22" s="2"/>
      <c r="BL22" s="2"/>
      <c r="BM22" s="2"/>
      <c r="BN22" s="2"/>
      <c r="BO22" s="2"/>
      <c r="BP22" s="2"/>
    </row>
    <row r="23" customFormat="false" ht="15" hidden="false" customHeight="false" outlineLevel="0" collapsed="false">
      <c r="A23" s="2" t="n">
        <v>22</v>
      </c>
      <c r="B23" s="2" t="s">
        <v>328</v>
      </c>
      <c r="C23" s="2" t="s">
        <v>329</v>
      </c>
      <c r="D23" s="2" t="s">
        <v>273</v>
      </c>
      <c r="E23" s="2" t="s">
        <v>71</v>
      </c>
      <c r="F23" s="2" t="s">
        <v>330</v>
      </c>
      <c r="G23" s="2" t="s">
        <v>151</v>
      </c>
      <c r="H23" s="2" t="s">
        <v>331</v>
      </c>
      <c r="I23" s="2" t="s">
        <v>332</v>
      </c>
      <c r="J23" s="2" t="s">
        <v>333</v>
      </c>
      <c r="K23" s="2" t="s">
        <v>76</v>
      </c>
      <c r="L23" s="2" t="s">
        <v>76</v>
      </c>
      <c r="M23" s="2" t="s">
        <v>334</v>
      </c>
      <c r="N23" s="2" t="s">
        <v>78</v>
      </c>
      <c r="O23" s="2" t="s">
        <v>335</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336</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2" t="n">
        <f aca="false">COUNTIFS(guidance_agencies!$A$2:$A$81,$A23,guidance_agencies!$D$2:$D$81,"EDPB")</f>
        <v>0</v>
      </c>
      <c r="AQ23" s="2" t="n">
        <f aca="false">COUNTIFS(guidance_agencies!$A$2:$A$81,$A23,guidance_agencies!$D$2:$D$81,"EBA")</f>
        <v>0</v>
      </c>
      <c r="AR23" s="2" t="n">
        <f aca="false">COUNTIFS(guidance_agencies!$A$2:$A$81,$A23,guidance_agencies!$D$2:$D$81,"ESMA")</f>
        <v>0</v>
      </c>
      <c r="AS23" s="3" t="n">
        <f aca="false">SUMIFS(secondary_acts!$S$2:$S$771,secondary_acts!$A$2:$A$771,$A23,secondary_acts!$E$2:$E$771,"implementing")+SUMIFS(secondary_acts!$S$2:$S$771,secondary_acts!$A$2:$A$771,$A23,secondary_acts!$E$2:$E$771,"delegated")</f>
        <v>1377</v>
      </c>
      <c r="AT23" s="3"/>
      <c r="AU23" s="2"/>
      <c r="AV23" s="2" t="n">
        <v>2</v>
      </c>
      <c r="AW23" s="2" t="s">
        <v>337</v>
      </c>
      <c r="AX23" s="2" t="s">
        <v>257</v>
      </c>
      <c r="AY23" s="2" t="n">
        <v>12</v>
      </c>
      <c r="AZ23" s="2" t="s">
        <v>338</v>
      </c>
      <c r="BA23" s="2" t="s">
        <v>147</v>
      </c>
      <c r="BB23" s="2" t="n">
        <v>12741</v>
      </c>
      <c r="BC23" s="2" t="n">
        <v>163</v>
      </c>
      <c r="BD23" s="2" t="n">
        <v>15</v>
      </c>
      <c r="BE23" s="2" t="n">
        <f aca="false">IF(ISNUMBER(BB23),Q23-BB23,"")</f>
        <v>5794</v>
      </c>
      <c r="BF23" s="4" t="n">
        <f aca="false">IF(AND(ISNUMBER(BB23),BB23&gt;0),(Q23-BB23)/BB23,"")</f>
        <v>0.454752374224943</v>
      </c>
      <c r="BG23" s="2" t="n">
        <f aca="false">IF(ISNUMBER(BC23),X23-BC23,"")</f>
        <v>18</v>
      </c>
      <c r="BH23" s="4" t="n">
        <f aca="false">IF(AND(ISNUMBER(BC23),BC23&gt;0),(X23-BC23)/BC23,"")</f>
        <v>0.110429447852761</v>
      </c>
      <c r="BI23" s="2" t="n">
        <f aca="false">IF(ISNUMBER(BD23),AD23-BD23,"")</f>
        <v>11</v>
      </c>
      <c r="BJ23" s="2" t="s">
        <v>339</v>
      </c>
      <c r="BK23" s="2" t="s">
        <v>340</v>
      </c>
      <c r="BL23" s="2" t="n">
        <v>5</v>
      </c>
      <c r="BM23" s="2" t="n">
        <v>5</v>
      </c>
      <c r="BN23" s="2" t="n">
        <v>6</v>
      </c>
      <c r="BO23" s="2" t="n">
        <v>0</v>
      </c>
      <c r="BP23" s="2"/>
    </row>
    <row r="24" customFormat="false" ht="15" hidden="false" customHeight="false" outlineLevel="0" collapsed="false">
      <c r="A24" s="2" t="n">
        <v>23</v>
      </c>
      <c r="B24" s="2" t="s">
        <v>341</v>
      </c>
      <c r="C24" s="2" t="s">
        <v>342</v>
      </c>
      <c r="D24" s="2" t="s">
        <v>236</v>
      </c>
      <c r="E24" s="2" t="s">
        <v>71</v>
      </c>
      <c r="F24" s="2" t="s">
        <v>343</v>
      </c>
      <c r="G24" s="2" t="s">
        <v>151</v>
      </c>
      <c r="H24" s="2" t="s">
        <v>291</v>
      </c>
      <c r="I24" s="2" t="s">
        <v>344</v>
      </c>
      <c r="J24" s="2" t="s">
        <v>345</v>
      </c>
      <c r="K24" s="2" t="s">
        <v>76</v>
      </c>
      <c r="L24" s="2" t="s">
        <v>76</v>
      </c>
      <c r="M24" s="2" t="s">
        <v>346</v>
      </c>
      <c r="N24" s="2" t="s">
        <v>78</v>
      </c>
      <c r="O24" s="2" t="s">
        <v>347</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348</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2" t="n">
        <f aca="false">COUNTIFS(guidance_agencies!$A$2:$A$81,$A24,guidance_agencies!$D$2:$D$81,"EDPB")</f>
        <v>1</v>
      </c>
      <c r="AQ24" s="2" t="n">
        <f aca="false">COUNTIFS(guidance_agencies!$A$2:$A$81,$A24,guidance_agencies!$D$2:$D$81,"EBA")</f>
        <v>11</v>
      </c>
      <c r="AR24" s="2" t="n">
        <f aca="false">COUNTIFS(guidance_agencies!$A$2:$A$81,$A24,guidance_agencies!$D$2:$D$81,"ESMA")</f>
        <v>0</v>
      </c>
      <c r="AS24" s="3" t="n">
        <f aca="false">SUMIFS(secondary_acts!$S$2:$S$771,secondary_acts!$A$2:$A$771,$A24,secondary_acts!$E$2:$E$771,"implementing")+SUMIFS(secondary_acts!$S$2:$S$771,secondary_acts!$A$2:$A$771,$A24,secondary_acts!$E$2:$E$771,"delegated")</f>
        <v>468</v>
      </c>
      <c r="AT24" s="3" t="n">
        <v>2499</v>
      </c>
      <c r="AU24" s="2" t="n">
        <v>28</v>
      </c>
      <c r="AV24" s="2" t="n">
        <v>2</v>
      </c>
      <c r="AW24" s="2" t="s">
        <v>337</v>
      </c>
      <c r="AX24" s="2" t="s">
        <v>349</v>
      </c>
      <c r="AY24" s="2" t="n">
        <v>8</v>
      </c>
      <c r="AZ24" s="2" t="s">
        <v>350</v>
      </c>
      <c r="BA24" s="2" t="s">
        <v>147</v>
      </c>
      <c r="BB24" s="2" t="n">
        <v>34397</v>
      </c>
      <c r="BC24" s="2" t="n">
        <v>360</v>
      </c>
      <c r="BD24" s="2" t="n">
        <v>116</v>
      </c>
      <c r="BE24" s="2" t="n">
        <f aca="false">IF(ISNUMBER(BB24),Q24-BB24,"")</f>
        <v>13259</v>
      </c>
      <c r="BF24" s="4" t="n">
        <f aca="false">IF(AND(ISNUMBER(BB24),BB24&gt;0),(Q24-BB24)/BB24,"")</f>
        <v>0.38546966305201</v>
      </c>
      <c r="BG24" s="2" t="n">
        <f aca="false">IF(ISNUMBER(BC24),X24-BC24,"")</f>
        <v>102</v>
      </c>
      <c r="BH24" s="4" t="n">
        <f aca="false">IF(AND(ISNUMBER(BC24),BC24&gt;0),(X24-BC24)/BC24,"")</f>
        <v>0.283333333333333</v>
      </c>
      <c r="BI24" s="2" t="n">
        <f aca="false">IF(ISNUMBER(BD24),AD24-BD24,"")</f>
        <v>56</v>
      </c>
      <c r="BJ24" s="2" t="s">
        <v>351</v>
      </c>
      <c r="BK24" s="2" t="s">
        <v>352</v>
      </c>
      <c r="BL24" s="2" t="n">
        <v>5</v>
      </c>
      <c r="BM24" s="2" t="n">
        <v>4</v>
      </c>
      <c r="BN24" s="2" t="n">
        <v>4</v>
      </c>
      <c r="BO24" s="2" t="n">
        <v>1</v>
      </c>
      <c r="BP24" s="2"/>
    </row>
    <row r="25" customFormat="false" ht="15" hidden="false" customHeight="false" outlineLevel="0" collapsed="false">
      <c r="A25" s="2" t="n">
        <v>24</v>
      </c>
      <c r="B25" s="2" t="s">
        <v>353</v>
      </c>
      <c r="C25" s="2" t="s">
        <v>354</v>
      </c>
      <c r="D25" s="2" t="s">
        <v>70</v>
      </c>
      <c r="E25" s="2" t="s">
        <v>71</v>
      </c>
      <c r="F25" s="2" t="s">
        <v>355</v>
      </c>
      <c r="G25" s="2" t="s">
        <v>151</v>
      </c>
      <c r="H25" s="2" t="s">
        <v>291</v>
      </c>
      <c r="I25" s="2" t="s">
        <v>356</v>
      </c>
      <c r="J25" s="2" t="s">
        <v>357</v>
      </c>
      <c r="K25" s="2" t="s">
        <v>76</v>
      </c>
      <c r="L25" s="2" t="s">
        <v>76</v>
      </c>
      <c r="M25" s="2" t="s">
        <v>358</v>
      </c>
      <c r="N25" s="2" t="s">
        <v>78</v>
      </c>
      <c r="O25" s="2" t="s">
        <v>359</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360</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2" t="n">
        <f aca="false">COUNTIFS(guidance_agencies!$A$2:$A$81,$A25,guidance_agencies!$D$2:$D$81,"EDPB")</f>
        <v>0</v>
      </c>
      <c r="AQ25" s="2" t="n">
        <f aca="false">COUNTIFS(guidance_agencies!$A$2:$A$81,$A25,guidance_agencies!$D$2:$D$81,"EBA")</f>
        <v>0</v>
      </c>
      <c r="AR25" s="2" t="n">
        <f aca="false">COUNTIFS(guidance_agencies!$A$2:$A$81,$A25,guidance_agencies!$D$2:$D$81,"ESMA")</f>
        <v>0</v>
      </c>
      <c r="AS25" s="3" t="n">
        <f aca="false">SUMIFS(secondary_acts!$S$2:$S$771,secondary_acts!$A$2:$A$771,$A25,secondary_acts!$E$2:$E$771,"implementing")+SUMIFS(secondary_acts!$S$2:$S$771,secondary_acts!$A$2:$A$771,$A25,secondary_acts!$E$2:$E$771,"delegated")</f>
        <v>10</v>
      </c>
      <c r="AT25" s="3"/>
      <c r="AU25" s="2"/>
      <c r="AV25" s="2" t="n">
        <v>2</v>
      </c>
      <c r="AW25" s="2" t="s">
        <v>361</v>
      </c>
      <c r="AX25" s="2" t="s">
        <v>362</v>
      </c>
      <c r="AY25" s="2" t="n">
        <v>3</v>
      </c>
      <c r="AZ25" s="2" t="s">
        <v>363</v>
      </c>
      <c r="BA25" s="2" t="s">
        <v>147</v>
      </c>
      <c r="BB25" s="2" t="n">
        <v>30255</v>
      </c>
      <c r="BC25" s="2" t="n">
        <v>293</v>
      </c>
      <c r="BD25" s="2" t="n">
        <v>44</v>
      </c>
      <c r="BE25" s="2" t="n">
        <f aca="false">IF(ISNUMBER(BB25),Q25-BB25,"")</f>
        <v>-18965</v>
      </c>
      <c r="BF25" s="4" t="n">
        <f aca="false">IF(AND(ISNUMBER(BB25),BB25&gt;0),(Q25-BB25)/BB25,"")</f>
        <v>-0.626838539084449</v>
      </c>
      <c r="BG25" s="2" t="n">
        <f aca="false">IF(ISNUMBER(BC25),X25-BC25,"")</f>
        <v>-221</v>
      </c>
      <c r="BH25" s="4" t="n">
        <f aca="false">IF(AND(ISNUMBER(BC25),BC25&gt;0),(X25-BC25)/BC25,"")</f>
        <v>-0.754266211604096</v>
      </c>
      <c r="BI25" s="2" t="n">
        <f aca="false">IF(ISNUMBER(BD25),AD25-BD25,"")</f>
        <v>-15</v>
      </c>
      <c r="BJ25" s="2" t="s">
        <v>364</v>
      </c>
      <c r="BK25" s="2" t="s">
        <v>365</v>
      </c>
      <c r="BL25" s="2" t="n">
        <v>4</v>
      </c>
      <c r="BM25" s="2" t="n">
        <v>3</v>
      </c>
      <c r="BN25" s="2" t="n">
        <v>6</v>
      </c>
      <c r="BO25" s="2" t="n">
        <v>0</v>
      </c>
      <c r="BP25" s="2" t="s">
        <v>110</v>
      </c>
    </row>
    <row r="26" customFormat="false" ht="15" hidden="false" customHeight="false" outlineLevel="0" collapsed="false">
      <c r="A26" s="2" t="n">
        <v>25</v>
      </c>
      <c r="B26" s="2" t="s">
        <v>366</v>
      </c>
      <c r="C26" s="2" t="s">
        <v>367</v>
      </c>
      <c r="D26" s="2" t="s">
        <v>200</v>
      </c>
      <c r="E26" s="2" t="s">
        <v>71</v>
      </c>
      <c r="F26" s="2" t="s">
        <v>368</v>
      </c>
      <c r="G26" s="2" t="s">
        <v>73</v>
      </c>
      <c r="H26" s="2" t="s">
        <v>369</v>
      </c>
      <c r="I26" s="2" t="s">
        <v>370</v>
      </c>
      <c r="J26" s="2" t="s">
        <v>371</v>
      </c>
      <c r="K26" s="2" t="s">
        <v>76</v>
      </c>
      <c r="L26" s="2" t="s">
        <v>76</v>
      </c>
      <c r="M26" s="2" t="s">
        <v>372</v>
      </c>
      <c r="N26" s="2" t="s">
        <v>78</v>
      </c>
      <c r="O26" s="2" t="s">
        <v>373</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374</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2" t="n">
        <f aca="false">COUNTIFS(guidance_agencies!$A$2:$A$81,$A26,guidance_agencies!$D$2:$D$81,"EDPB")</f>
        <v>0</v>
      </c>
      <c r="AQ26" s="2" t="n">
        <f aca="false">COUNTIFS(guidance_agencies!$A$2:$A$81,$A26,guidance_agencies!$D$2:$D$81,"EBA")</f>
        <v>0</v>
      </c>
      <c r="AR26" s="2" t="n">
        <f aca="false">COUNTIFS(guidance_agencies!$A$2:$A$81,$A26,guidance_agencies!$D$2:$D$81,"ESMA")</f>
        <v>0</v>
      </c>
      <c r="AS26" s="3" t="n">
        <f aca="false">SUMIFS(secondary_acts!$S$2:$S$771,secondary_acts!$A$2:$A$771,$A26,secondary_acts!$E$2:$E$771,"implementing")+SUMIFS(secondary_acts!$S$2:$S$771,secondary_acts!$A$2:$A$771,$A26,secondary_acts!$E$2:$E$771,"delegated")</f>
        <v>0</v>
      </c>
      <c r="AT26" s="3"/>
      <c r="AU26" s="2"/>
      <c r="AV26" s="2" t="n">
        <v>0</v>
      </c>
      <c r="AW26" s="2"/>
      <c r="AX26" s="2"/>
      <c r="AY26" s="2" t="n">
        <v>2</v>
      </c>
      <c r="AZ26" s="2"/>
      <c r="BA26" s="2" t="s">
        <v>375</v>
      </c>
      <c r="BB26" s="2"/>
      <c r="BC26" s="2"/>
      <c r="BD26" s="2"/>
      <c r="BE26" s="2" t="str">
        <f aca="false">IF(ISNUMBER(BB26),Q26-BB26,"")</f>
        <v/>
      </c>
      <c r="BF26" s="4" t="str">
        <f aca="false">IF(AND(ISNUMBER(BB26),BB26&gt;0),(Q26-BB26)/BB26,"")</f>
        <v/>
      </c>
      <c r="BG26" s="2" t="str">
        <f aca="false">IF(ISNUMBER(BC26),X26-BC26,"")</f>
        <v/>
      </c>
      <c r="BH26" s="4" t="str">
        <f aca="false">IF(AND(ISNUMBER(BC26),BC26&gt;0),(X26-BC26)/BC26,"")</f>
        <v/>
      </c>
      <c r="BI26" s="2" t="str">
        <f aca="false">IF(ISNUMBER(BD26),AD26-BD26,"")</f>
        <v/>
      </c>
      <c r="BJ26" s="2"/>
      <c r="BK26" s="2"/>
      <c r="BL26" s="2"/>
      <c r="BM26" s="2"/>
      <c r="BN26" s="2"/>
      <c r="BO26" s="2"/>
      <c r="BP26" s="2" t="s">
        <v>376</v>
      </c>
    </row>
    <row r="27" customFormat="false" ht="15" hidden="false" customHeight="false" outlineLevel="0" collapsed="false">
      <c r="A27" s="2" t="n">
        <v>26</v>
      </c>
      <c r="B27" s="2" t="s">
        <v>377</v>
      </c>
      <c r="C27" s="2" t="s">
        <v>378</v>
      </c>
      <c r="D27" s="2" t="s">
        <v>113</v>
      </c>
      <c r="E27" s="2" t="s">
        <v>71</v>
      </c>
      <c r="F27" s="2" t="s">
        <v>379</v>
      </c>
      <c r="G27" s="2" t="s">
        <v>151</v>
      </c>
      <c r="H27" s="2" t="s">
        <v>380</v>
      </c>
      <c r="I27" s="2" t="s">
        <v>381</v>
      </c>
      <c r="J27" s="2" t="s">
        <v>382</v>
      </c>
      <c r="K27" s="2" t="s">
        <v>76</v>
      </c>
      <c r="L27" s="2" t="s">
        <v>76</v>
      </c>
      <c r="M27" s="2" t="s">
        <v>383</v>
      </c>
      <c r="N27" s="2" t="s">
        <v>78</v>
      </c>
      <c r="O27" s="2" t="s">
        <v>384</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385</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2" t="n">
        <f aca="false">COUNTIFS(guidance_agencies!$A$2:$A$81,$A27,guidance_agencies!$D$2:$D$81,"EDPB")</f>
        <v>0</v>
      </c>
      <c r="AQ27" s="2" t="n">
        <f aca="false">COUNTIFS(guidance_agencies!$A$2:$A$81,$A27,guidance_agencies!$D$2:$D$81,"EBA")</f>
        <v>0</v>
      </c>
      <c r="AR27" s="2" t="n">
        <f aca="false">COUNTIFS(guidance_agencies!$A$2:$A$81,$A27,guidance_agencies!$D$2:$D$81,"ESMA")</f>
        <v>0</v>
      </c>
      <c r="AS27" s="3" t="n">
        <f aca="false">SUMIFS(secondary_acts!$S$2:$S$771,secondary_acts!$A$2:$A$771,$A27,secondary_acts!$E$2:$E$771,"implementing")+SUMIFS(secondary_acts!$S$2:$S$771,secondary_acts!$A$2:$A$771,$A27,secondary_acts!$E$2:$E$771,"delegated")</f>
        <v>0</v>
      </c>
      <c r="AT27" s="3" t="n">
        <v>1446</v>
      </c>
      <c r="AU27" s="2" t="n">
        <v>28</v>
      </c>
      <c r="AV27" s="2" t="n">
        <v>0</v>
      </c>
      <c r="AW27" s="2"/>
      <c r="AX27" s="2"/>
      <c r="AY27" s="2" t="n">
        <v>1</v>
      </c>
      <c r="AZ27" s="2" t="s">
        <v>386</v>
      </c>
      <c r="BA27" s="2" t="s">
        <v>147</v>
      </c>
      <c r="BB27" s="2" t="n">
        <v>7646</v>
      </c>
      <c r="BC27" s="2" t="n">
        <v>53</v>
      </c>
      <c r="BD27" s="2" t="n">
        <v>1</v>
      </c>
      <c r="BE27" s="2" t="n">
        <f aca="false">IF(ISNUMBER(BB27),Q27-BB27,"")</f>
        <v>2273</v>
      </c>
      <c r="BF27" s="4" t="n">
        <f aca="false">IF(AND(ISNUMBER(BB27),BB27&gt;0),(Q27-BB27)/BB27,"")</f>
        <v>0.297279623332461</v>
      </c>
      <c r="BG27" s="2" t="n">
        <f aca="false">IF(ISNUMBER(BC27),X27-BC27,"")</f>
        <v>7</v>
      </c>
      <c r="BH27" s="4" t="n">
        <f aca="false">IF(AND(ISNUMBER(BC27),BC27&gt;0),(X27-BC27)/BC27,"")</f>
        <v>0.132075471698113</v>
      </c>
      <c r="BI27" s="2" t="n">
        <f aca="false">IF(ISNUMBER(BD27),AD27-BD27,"")</f>
        <v>3</v>
      </c>
      <c r="BJ27" s="2"/>
      <c r="BK27" s="2"/>
      <c r="BL27" s="2"/>
      <c r="BM27" s="2"/>
      <c r="BN27" s="2"/>
      <c r="BO27" s="2"/>
      <c r="BP27" s="2" t="s">
        <v>110</v>
      </c>
    </row>
    <row r="28" customFormat="false" ht="15" hidden="false" customHeight="false" outlineLevel="0" collapsed="false">
      <c r="A28" s="2" t="n">
        <v>27</v>
      </c>
      <c r="B28" s="2" t="s">
        <v>387</v>
      </c>
      <c r="C28" s="2" t="s">
        <v>388</v>
      </c>
      <c r="D28" s="2" t="s">
        <v>86</v>
      </c>
      <c r="E28" s="2" t="s">
        <v>71</v>
      </c>
      <c r="F28" s="2" t="s">
        <v>389</v>
      </c>
      <c r="G28" s="2" t="s">
        <v>151</v>
      </c>
      <c r="H28" s="2" t="s">
        <v>390</v>
      </c>
      <c r="I28" s="2" t="s">
        <v>391</v>
      </c>
      <c r="J28" s="2" t="s">
        <v>392</v>
      </c>
      <c r="K28" s="2" t="s">
        <v>76</v>
      </c>
      <c r="L28" s="2" t="s">
        <v>76</v>
      </c>
      <c r="M28" s="2" t="s">
        <v>393</v>
      </c>
      <c r="N28" s="2" t="s">
        <v>78</v>
      </c>
      <c r="O28" s="2" t="s">
        <v>394</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395</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2" t="n">
        <f aca="false">COUNTIFS(guidance_agencies!$A$2:$A$81,$A28,guidance_agencies!$D$2:$D$81,"EDPB")</f>
        <v>0</v>
      </c>
      <c r="AQ28" s="2" t="n">
        <f aca="false">COUNTIFS(guidance_agencies!$A$2:$A$81,$A28,guidance_agencies!$D$2:$D$81,"EBA")</f>
        <v>0</v>
      </c>
      <c r="AR28" s="2" t="n">
        <f aca="false">COUNTIFS(guidance_agencies!$A$2:$A$81,$A28,guidance_agencies!$D$2:$D$81,"ESMA")</f>
        <v>0</v>
      </c>
      <c r="AS28" s="3" t="n">
        <f aca="false">SUMIFS(secondary_acts!$S$2:$S$771,secondary_acts!$A$2:$A$771,$A28,secondary_acts!$E$2:$E$771,"implementing")+SUMIFS(secondary_acts!$S$2:$S$771,secondary_acts!$A$2:$A$771,$A28,secondary_acts!$E$2:$E$771,"delegated")</f>
        <v>0</v>
      </c>
      <c r="AT28" s="3" t="n">
        <v>1331</v>
      </c>
      <c r="AU28" s="2" t="n">
        <v>27</v>
      </c>
      <c r="AV28" s="2" t="n">
        <v>0</v>
      </c>
      <c r="AW28" s="2"/>
      <c r="AX28" s="2"/>
      <c r="AY28" s="2" t="n">
        <v>4</v>
      </c>
      <c r="AZ28" s="2" t="s">
        <v>396</v>
      </c>
      <c r="BA28" s="2" t="s">
        <v>147</v>
      </c>
      <c r="BB28" s="2" t="n">
        <v>9777</v>
      </c>
      <c r="BC28" s="2" t="n">
        <v>50</v>
      </c>
      <c r="BD28" s="2" t="n">
        <v>21</v>
      </c>
      <c r="BE28" s="2" t="n">
        <f aca="false">IF(ISNUMBER(BB28),Q28-BB28,"")</f>
        <v>8614</v>
      </c>
      <c r="BF28" s="4" t="n">
        <f aca="false">IF(AND(ISNUMBER(BB28),BB28&gt;0),(Q28-BB28)/BB28,"")</f>
        <v>0.881047356039685</v>
      </c>
      <c r="BG28" s="2" t="n">
        <f aca="false">IF(ISNUMBER(BC28),X28-BC28,"")</f>
        <v>1</v>
      </c>
      <c r="BH28" s="4" t="n">
        <f aca="false">IF(AND(ISNUMBER(BC28),BC28&gt;0),(X28-BC28)/BC28,"")</f>
        <v>0.02</v>
      </c>
      <c r="BI28" s="2" t="n">
        <f aca="false">IF(ISNUMBER(BD28),AD28-BD28,"")</f>
        <v>0</v>
      </c>
      <c r="BJ28" s="2"/>
      <c r="BK28" s="2"/>
      <c r="BL28" s="2"/>
      <c r="BM28" s="2"/>
      <c r="BN28" s="2"/>
      <c r="BO28" s="2"/>
      <c r="BP28" s="2" t="s">
        <v>110</v>
      </c>
    </row>
    <row r="29" customFormat="false" ht="15" hidden="false" customHeight="false" outlineLevel="0" collapsed="false">
      <c r="A29" s="2" t="n">
        <v>28</v>
      </c>
      <c r="B29" s="2" t="s">
        <v>397</v>
      </c>
      <c r="C29" s="2" t="s">
        <v>398</v>
      </c>
      <c r="D29" s="2" t="s">
        <v>86</v>
      </c>
      <c r="E29" s="2" t="s">
        <v>71</v>
      </c>
      <c r="F29" s="2" t="s">
        <v>389</v>
      </c>
      <c r="G29" s="2" t="s">
        <v>151</v>
      </c>
      <c r="H29" s="2" t="s">
        <v>390</v>
      </c>
      <c r="I29" s="2" t="s">
        <v>391</v>
      </c>
      <c r="J29" s="2" t="s">
        <v>392</v>
      </c>
      <c r="K29" s="2" t="s">
        <v>76</v>
      </c>
      <c r="L29" s="2" t="s">
        <v>76</v>
      </c>
      <c r="M29" s="2" t="s">
        <v>399</v>
      </c>
      <c r="N29" s="2" t="s">
        <v>78</v>
      </c>
      <c r="O29" s="2" t="s">
        <v>400</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401</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2" t="n">
        <f aca="false">COUNTIFS(guidance_agencies!$A$2:$A$81,$A29,guidance_agencies!$D$2:$D$81,"EDPB")</f>
        <v>0</v>
      </c>
      <c r="AQ29" s="2" t="n">
        <f aca="false">COUNTIFS(guidance_agencies!$A$2:$A$81,$A29,guidance_agencies!$D$2:$D$81,"EBA")</f>
        <v>0</v>
      </c>
      <c r="AR29" s="2" t="n">
        <f aca="false">COUNTIFS(guidance_agencies!$A$2:$A$81,$A29,guidance_agencies!$D$2:$D$81,"ESMA")</f>
        <v>0</v>
      </c>
      <c r="AS29" s="3" t="n">
        <f aca="false">SUMIFS(secondary_acts!$S$2:$S$771,secondary_acts!$A$2:$A$771,$A29,secondary_acts!$E$2:$E$771,"implementing")+SUMIFS(secondary_acts!$S$2:$S$771,secondary_acts!$A$2:$A$771,$A29,secondary_acts!$E$2:$E$771,"delegated")</f>
        <v>0</v>
      </c>
      <c r="AT29" s="3" t="n">
        <v>1291</v>
      </c>
      <c r="AU29" s="2" t="n">
        <v>27</v>
      </c>
      <c r="AV29" s="2" t="n">
        <v>1</v>
      </c>
      <c r="AW29" s="2" t="s">
        <v>402</v>
      </c>
      <c r="AX29" s="2" t="s">
        <v>402</v>
      </c>
      <c r="AY29" s="2" t="n">
        <v>3</v>
      </c>
      <c r="AZ29" s="2" t="s">
        <v>403</v>
      </c>
      <c r="BA29" s="2" t="s">
        <v>147</v>
      </c>
      <c r="BB29" s="2" t="n">
        <v>6775</v>
      </c>
      <c r="BC29" s="2" t="n">
        <v>30</v>
      </c>
      <c r="BD29" s="2" t="n">
        <v>13</v>
      </c>
      <c r="BE29" s="2" t="n">
        <f aca="false">IF(ISNUMBER(BB29),Q29-BB29,"")</f>
        <v>7556</v>
      </c>
      <c r="BF29" s="4" t="n">
        <f aca="false">IF(AND(ISNUMBER(BB29),BB29&gt;0),(Q29-BB29)/BB29,"")</f>
        <v>1.11527675276753</v>
      </c>
      <c r="BG29" s="2" t="n">
        <f aca="false">IF(ISNUMBER(BC29),X29-BC29,"")</f>
        <v>12</v>
      </c>
      <c r="BH29" s="4" t="n">
        <f aca="false">IF(AND(ISNUMBER(BC29),BC29&gt;0),(X29-BC29)/BC29,"")</f>
        <v>0.4</v>
      </c>
      <c r="BI29" s="2" t="n">
        <f aca="false">IF(ISNUMBER(BD29),AD29-BD29,"")</f>
        <v>-2</v>
      </c>
      <c r="BJ29" s="2"/>
      <c r="BK29" s="2"/>
      <c r="BL29" s="2"/>
      <c r="BM29" s="2"/>
      <c r="BN29" s="2"/>
      <c r="BO29" s="2"/>
      <c r="BP29" s="2"/>
    </row>
    <row r="30" customFormat="false" ht="15" hidden="false" customHeight="false" outlineLevel="0" collapsed="false">
      <c r="A30" s="2" t="n">
        <v>29</v>
      </c>
      <c r="B30" s="2" t="s">
        <v>404</v>
      </c>
      <c r="C30" s="2" t="s">
        <v>405</v>
      </c>
      <c r="D30" s="2" t="s">
        <v>200</v>
      </c>
      <c r="E30" s="2" t="s">
        <v>71</v>
      </c>
      <c r="F30" s="2" t="s">
        <v>406</v>
      </c>
      <c r="G30" s="2" t="s">
        <v>88</v>
      </c>
      <c r="H30" s="2" t="s">
        <v>407</v>
      </c>
      <c r="I30" s="2" t="s">
        <v>408</v>
      </c>
      <c r="J30" s="2" t="s">
        <v>409</v>
      </c>
      <c r="K30" s="2" t="s">
        <v>76</v>
      </c>
      <c r="L30" s="2" t="s">
        <v>76</v>
      </c>
      <c r="M30" s="2" t="s">
        <v>410</v>
      </c>
      <c r="N30" s="2" t="s">
        <v>78</v>
      </c>
      <c r="O30" s="2" t="s">
        <v>411</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412</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2" t="n">
        <f aca="false">COUNTIFS(guidance_agencies!$A$2:$A$81,$A30,guidance_agencies!$D$2:$D$81,"EDPB")</f>
        <v>0</v>
      </c>
      <c r="AQ30" s="2" t="n">
        <f aca="false">COUNTIFS(guidance_agencies!$A$2:$A$81,$A30,guidance_agencies!$D$2:$D$81,"EBA")</f>
        <v>0</v>
      </c>
      <c r="AR30" s="2" t="n">
        <f aca="false">COUNTIFS(guidance_agencies!$A$2:$A$81,$A30,guidance_agencies!$D$2:$D$81,"ESMA")</f>
        <v>0</v>
      </c>
      <c r="AS30" s="3" t="n">
        <f aca="false">SUMIFS(secondary_acts!$S$2:$S$771,secondary_acts!$A$2:$A$771,$A30,secondary_acts!$E$2:$E$771,"implementing")+SUMIFS(secondary_acts!$S$2:$S$771,secondary_acts!$A$2:$A$771,$A30,secondary_acts!$E$2:$E$771,"delegated")</f>
        <v>292</v>
      </c>
      <c r="AT30" s="3" t="n">
        <v>1440</v>
      </c>
      <c r="AU30" s="2" t="n">
        <v>10</v>
      </c>
      <c r="AV30" s="2" t="n">
        <v>6</v>
      </c>
      <c r="AW30" s="2" t="s">
        <v>413</v>
      </c>
      <c r="AX30" s="2" t="s">
        <v>414</v>
      </c>
      <c r="AY30" s="2" t="n">
        <v>3</v>
      </c>
      <c r="AZ30" s="2" t="s">
        <v>415</v>
      </c>
      <c r="BA30" s="2" t="s">
        <v>147</v>
      </c>
      <c r="BB30" s="2" t="n">
        <v>41520</v>
      </c>
      <c r="BC30" s="2" t="n">
        <v>471</v>
      </c>
      <c r="BD30" s="2" t="n">
        <v>123</v>
      </c>
      <c r="BE30" s="2" t="n">
        <f aca="false">IF(ISNUMBER(BB30),Q30-BB30,"")</f>
        <v>-1543</v>
      </c>
      <c r="BF30" s="4" t="n">
        <f aca="false">IF(AND(ISNUMBER(BB30),BB30&gt;0),(Q30-BB30)/BB30,"")</f>
        <v>-0.0371628131021195</v>
      </c>
      <c r="BG30" s="2" t="n">
        <f aca="false">IF(ISNUMBER(BC30),X30-BC30,"")</f>
        <v>-35</v>
      </c>
      <c r="BH30" s="4" t="n">
        <f aca="false">IF(AND(ISNUMBER(BC30),BC30&gt;0),(X30-BC30)/BC30,"")</f>
        <v>-0.0743099787685775</v>
      </c>
      <c r="BI30" s="2" t="n">
        <f aca="false">IF(ISNUMBER(BD30),AD30-BD30,"")</f>
        <v>-7</v>
      </c>
      <c r="BJ30" s="2"/>
      <c r="BK30" s="2"/>
      <c r="BL30" s="2"/>
      <c r="BM30" s="2"/>
      <c r="BN30" s="2"/>
      <c r="BO30" s="2"/>
      <c r="BP30" s="2"/>
    </row>
    <row r="31" customFormat="false" ht="15" hidden="false" customHeight="false" outlineLevel="0" collapsed="false">
      <c r="A31" s="2" t="n">
        <v>30</v>
      </c>
      <c r="B31" s="2" t="s">
        <v>416</v>
      </c>
      <c r="C31" s="2" t="s">
        <v>417</v>
      </c>
      <c r="D31" s="2" t="s">
        <v>86</v>
      </c>
      <c r="E31" s="2" t="s">
        <v>71</v>
      </c>
      <c r="F31" s="2" t="s">
        <v>418</v>
      </c>
      <c r="G31" s="2" t="s">
        <v>151</v>
      </c>
      <c r="H31" s="2" t="s">
        <v>419</v>
      </c>
      <c r="I31" s="2" t="s">
        <v>420</v>
      </c>
      <c r="J31" s="2" t="s">
        <v>421</v>
      </c>
      <c r="K31" s="2" t="s">
        <v>76</v>
      </c>
      <c r="L31" s="2" t="s">
        <v>76</v>
      </c>
      <c r="M31" s="2" t="s">
        <v>422</v>
      </c>
      <c r="N31" s="2" t="s">
        <v>78</v>
      </c>
      <c r="O31" s="2" t="s">
        <v>423</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424</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2" t="n">
        <f aca="false">COUNTIFS(guidance_agencies!$A$2:$A$81,$A31,guidance_agencies!$D$2:$D$81,"EDPB")</f>
        <v>0</v>
      </c>
      <c r="AQ31" s="2" t="n">
        <f aca="false">COUNTIFS(guidance_agencies!$A$2:$A$81,$A31,guidance_agencies!$D$2:$D$81,"EBA")</f>
        <v>0</v>
      </c>
      <c r="AR31" s="2" t="n">
        <f aca="false">COUNTIFS(guidance_agencies!$A$2:$A$81,$A31,guidance_agencies!$D$2:$D$81,"ESMA")</f>
        <v>0</v>
      </c>
      <c r="AS31" s="3" t="n">
        <f aca="false">SUMIFS(secondary_acts!$S$2:$S$771,secondary_acts!$A$2:$A$771,$A31,secondary_acts!$E$2:$E$771,"implementing")+SUMIFS(secondary_acts!$S$2:$S$771,secondary_acts!$A$2:$A$771,$A31,secondary_acts!$E$2:$E$771,"delegated")</f>
        <v>0</v>
      </c>
      <c r="AT31" s="3"/>
      <c r="AU31" s="2"/>
      <c r="AV31" s="2" t="n">
        <v>0</v>
      </c>
      <c r="AW31" s="2"/>
      <c r="AX31" s="2"/>
      <c r="AY31" s="2" t="n">
        <v>3</v>
      </c>
      <c r="AZ31" s="2" t="s">
        <v>425</v>
      </c>
      <c r="BA31" s="2" t="s">
        <v>147</v>
      </c>
      <c r="BB31" s="2" t="n">
        <v>6093</v>
      </c>
      <c r="BC31" s="2" t="n">
        <v>21</v>
      </c>
      <c r="BD31" s="2" t="n">
        <v>5</v>
      </c>
      <c r="BE31" s="2" t="n">
        <f aca="false">IF(ISNUMBER(BB31),Q31-BB31,"")</f>
        <v>2734</v>
      </c>
      <c r="BF31" s="4" t="n">
        <f aca="false">IF(AND(ISNUMBER(BB31),BB31&gt;0),(Q31-BB31)/BB31,"")</f>
        <v>0.448711636303955</v>
      </c>
      <c r="BG31" s="2" t="n">
        <f aca="false">IF(ISNUMBER(BC31),X31-BC31,"")</f>
        <v>3</v>
      </c>
      <c r="BH31" s="4" t="n">
        <f aca="false">IF(AND(ISNUMBER(BC31),BC31&gt;0),(X31-BC31)/BC31,"")</f>
        <v>0.142857142857143</v>
      </c>
      <c r="BI31" s="2" t="n">
        <f aca="false">IF(ISNUMBER(BD31),AD31-BD31,"")</f>
        <v>1</v>
      </c>
      <c r="BJ31" s="2" t="s">
        <v>426</v>
      </c>
      <c r="BK31" s="2" t="s">
        <v>427</v>
      </c>
      <c r="BL31" s="2" t="n">
        <v>4</v>
      </c>
      <c r="BM31" s="2" t="n">
        <v>3</v>
      </c>
      <c r="BN31" s="2" t="n">
        <v>6</v>
      </c>
      <c r="BO31" s="2" t="n">
        <v>0</v>
      </c>
      <c r="BP31" s="2" t="s">
        <v>110</v>
      </c>
    </row>
    <row r="32" customFormat="false" ht="15" hidden="false" customHeight="false" outlineLevel="0" collapsed="false">
      <c r="A32" s="2" t="n">
        <v>31</v>
      </c>
      <c r="B32" s="2" t="s">
        <v>428</v>
      </c>
      <c r="C32" s="2" t="s">
        <v>429</v>
      </c>
      <c r="D32" s="2" t="s">
        <v>86</v>
      </c>
      <c r="E32" s="2" t="s">
        <v>71</v>
      </c>
      <c r="F32" s="2" t="s">
        <v>418</v>
      </c>
      <c r="G32" s="2" t="s">
        <v>151</v>
      </c>
      <c r="H32" s="2" t="s">
        <v>430</v>
      </c>
      <c r="I32" s="2" t="s">
        <v>431</v>
      </c>
      <c r="J32" s="2" t="s">
        <v>432</v>
      </c>
      <c r="K32" s="2" t="s">
        <v>76</v>
      </c>
      <c r="L32" s="2" t="s">
        <v>76</v>
      </c>
      <c r="M32" s="2" t="s">
        <v>433</v>
      </c>
      <c r="N32" s="2" t="s">
        <v>78</v>
      </c>
      <c r="O32" s="2" t="s">
        <v>434</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435</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2" t="n">
        <f aca="false">COUNTIFS(guidance_agencies!$A$2:$A$81,$A32,guidance_agencies!$D$2:$D$81,"EDPB")</f>
        <v>0</v>
      </c>
      <c r="AQ32" s="2" t="n">
        <f aca="false">COUNTIFS(guidance_agencies!$A$2:$A$81,$A32,guidance_agencies!$D$2:$D$81,"EBA")</f>
        <v>0</v>
      </c>
      <c r="AR32" s="2" t="n">
        <f aca="false">COUNTIFS(guidance_agencies!$A$2:$A$81,$A32,guidance_agencies!$D$2:$D$81,"ESMA")</f>
        <v>0</v>
      </c>
      <c r="AS32" s="3" t="n">
        <f aca="false">SUMIFS(secondary_acts!$S$2:$S$771,secondary_acts!$A$2:$A$771,$A32,secondary_acts!$E$2:$E$771,"implementing")+SUMIFS(secondary_acts!$S$2:$S$771,secondary_acts!$A$2:$A$771,$A32,secondary_acts!$E$2:$E$771,"delegated")</f>
        <v>4</v>
      </c>
      <c r="AT32" s="3"/>
      <c r="AU32" s="2"/>
      <c r="AV32" s="2" t="n">
        <v>6</v>
      </c>
      <c r="AW32" s="2" t="s">
        <v>419</v>
      </c>
      <c r="AX32" s="2" t="s">
        <v>414</v>
      </c>
      <c r="AY32" s="2" t="n">
        <v>0</v>
      </c>
      <c r="AZ32" s="2" t="s">
        <v>436</v>
      </c>
      <c r="BA32" s="2" t="s">
        <v>147</v>
      </c>
      <c r="BB32" s="2" t="n">
        <v>14223</v>
      </c>
      <c r="BC32" s="2" t="n">
        <v>179</v>
      </c>
      <c r="BD32" s="2" t="n">
        <v>6</v>
      </c>
      <c r="BE32" s="2" t="n">
        <f aca="false">IF(ISNUMBER(BB32),Q32-BB32,"")</f>
        <v>1286</v>
      </c>
      <c r="BF32" s="4" t="n">
        <f aca="false">IF(AND(ISNUMBER(BB32),BB32&gt;0),(Q32-BB32)/BB32,"")</f>
        <v>0.0904169303241229</v>
      </c>
      <c r="BG32" s="2" t="n">
        <f aca="false">IF(ISNUMBER(BC32),X32-BC32,"")</f>
        <v>-28</v>
      </c>
      <c r="BH32" s="4" t="n">
        <f aca="false">IF(AND(ISNUMBER(BC32),BC32&gt;0),(X32-BC32)/BC32,"")</f>
        <v>-0.156424581005587</v>
      </c>
      <c r="BI32" s="2" t="n">
        <f aca="false">IF(ISNUMBER(BD32),AD32-BD32,"")</f>
        <v>1</v>
      </c>
      <c r="BJ32" s="2"/>
      <c r="BK32" s="2"/>
      <c r="BL32" s="2"/>
      <c r="BM32" s="2"/>
      <c r="BN32" s="2"/>
      <c r="BO32" s="2"/>
      <c r="BP32" s="2"/>
    </row>
    <row r="33" customFormat="false" ht="15" hidden="false" customHeight="false" outlineLevel="0" collapsed="false">
      <c r="A33" s="2" t="n">
        <v>32</v>
      </c>
      <c r="B33" s="2" t="s">
        <v>437</v>
      </c>
      <c r="C33" s="2" t="s">
        <v>438</v>
      </c>
      <c r="D33" s="2" t="s">
        <v>70</v>
      </c>
      <c r="E33" s="2" t="s">
        <v>71</v>
      </c>
      <c r="F33" s="2" t="s">
        <v>439</v>
      </c>
      <c r="G33" s="2" t="s">
        <v>151</v>
      </c>
      <c r="H33" s="2" t="s">
        <v>361</v>
      </c>
      <c r="I33" s="2" t="s">
        <v>440</v>
      </c>
      <c r="J33" s="2" t="s">
        <v>441</v>
      </c>
      <c r="K33" s="2" t="s">
        <v>76</v>
      </c>
      <c r="L33" s="2" t="s">
        <v>76</v>
      </c>
      <c r="M33" s="2" t="s">
        <v>442</v>
      </c>
      <c r="N33" s="2" t="s">
        <v>78</v>
      </c>
      <c r="O33" s="2" t="s">
        <v>443</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444</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2" t="n">
        <f aca="false">COUNTIFS(guidance_agencies!$A$2:$A$81,$A33,guidance_agencies!$D$2:$D$81,"EDPB")</f>
        <v>0</v>
      </c>
      <c r="AQ33" s="2" t="n">
        <f aca="false">COUNTIFS(guidance_agencies!$A$2:$A$81,$A33,guidance_agencies!$D$2:$D$81,"EBA")</f>
        <v>0</v>
      </c>
      <c r="AR33" s="2" t="n">
        <f aca="false">COUNTIFS(guidance_agencies!$A$2:$A$81,$A33,guidance_agencies!$D$2:$D$81,"ESMA")</f>
        <v>0</v>
      </c>
      <c r="AS33" s="3" t="n">
        <f aca="false">SUMIFS(secondary_acts!$S$2:$S$771,secondary_acts!$A$2:$A$771,$A33,secondary_acts!$E$2:$E$771,"implementing")+SUMIFS(secondary_acts!$S$2:$S$771,secondary_acts!$A$2:$A$771,$A33,secondary_acts!$E$2:$E$771,"delegated")</f>
        <v>135</v>
      </c>
      <c r="AT33" s="3" t="n">
        <v>3034</v>
      </c>
      <c r="AU33" s="2" t="n">
        <v>28</v>
      </c>
      <c r="AV33" s="2" t="n">
        <v>1</v>
      </c>
      <c r="AW33" s="2" t="s">
        <v>337</v>
      </c>
      <c r="AX33" s="2" t="s">
        <v>337</v>
      </c>
      <c r="AY33" s="2" t="n">
        <v>7</v>
      </c>
      <c r="AZ33" s="2" t="s">
        <v>445</v>
      </c>
      <c r="BA33" s="2" t="s">
        <v>147</v>
      </c>
      <c r="BB33" s="2" t="n">
        <v>109321</v>
      </c>
      <c r="BC33" s="2" t="n">
        <v>893</v>
      </c>
      <c r="BD33" s="2" t="n">
        <v>72</v>
      </c>
      <c r="BE33" s="2" t="n">
        <f aca="false">IF(ISNUMBER(BB33),Q33-BB33,"")</f>
        <v>-11915</v>
      </c>
      <c r="BF33" s="4" t="n">
        <f aca="false">IF(AND(ISNUMBER(BB33),BB33&gt;0),(Q33-BB33)/BB33,"")</f>
        <v>-0.108990953247775</v>
      </c>
      <c r="BG33" s="2" t="n">
        <f aca="false">IF(ISNUMBER(BC33),X33-BC33,"")</f>
        <v>-58</v>
      </c>
      <c r="BH33" s="4" t="n">
        <f aca="false">IF(AND(ISNUMBER(BC33),BC33&gt;0),(X33-BC33)/BC33,"")</f>
        <v>-0.06494960806271</v>
      </c>
      <c r="BI33" s="2" t="n">
        <f aca="false">IF(ISNUMBER(BD33),AD33-BD33,"")</f>
        <v>23</v>
      </c>
      <c r="BJ33" s="2" t="s">
        <v>446</v>
      </c>
      <c r="BK33" s="2" t="s">
        <v>447</v>
      </c>
      <c r="BL33" s="2" t="n">
        <v>5</v>
      </c>
      <c r="BM33" s="2" t="n">
        <v>3</v>
      </c>
      <c r="BN33" s="2" t="n">
        <v>7</v>
      </c>
      <c r="BO33" s="2" t="n">
        <v>0</v>
      </c>
      <c r="BP33" s="2"/>
    </row>
    <row r="34" customFormat="false" ht="15" hidden="false" customHeight="false" outlineLevel="0" collapsed="false">
      <c r="A34" s="2" t="n">
        <v>33</v>
      </c>
      <c r="B34" s="2" t="s">
        <v>448</v>
      </c>
      <c r="C34" s="2" t="s">
        <v>449</v>
      </c>
      <c r="D34" s="2" t="s">
        <v>100</v>
      </c>
      <c r="E34" s="2" t="s">
        <v>71</v>
      </c>
      <c r="F34" s="2" t="s">
        <v>439</v>
      </c>
      <c r="G34" s="2" t="s">
        <v>151</v>
      </c>
      <c r="H34" s="2" t="s">
        <v>108</v>
      </c>
      <c r="I34" s="2" t="s">
        <v>450</v>
      </c>
      <c r="J34" s="2" t="s">
        <v>451</v>
      </c>
      <c r="K34" s="2" t="s">
        <v>76</v>
      </c>
      <c r="L34" s="2" t="s">
        <v>76</v>
      </c>
      <c r="M34" s="2" t="s">
        <v>452</v>
      </c>
      <c r="N34" s="2" t="s">
        <v>78</v>
      </c>
      <c r="O34" s="2" t="s">
        <v>453</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454</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2" t="n">
        <f aca="false">COUNTIFS(guidance_agencies!$A$2:$A$81,$A34,guidance_agencies!$D$2:$D$81,"EDPB")</f>
        <v>0</v>
      </c>
      <c r="AQ34" s="2" t="n">
        <f aca="false">COUNTIFS(guidance_agencies!$A$2:$A$81,$A34,guidance_agencies!$D$2:$D$81,"EBA")</f>
        <v>0</v>
      </c>
      <c r="AR34" s="2" t="n">
        <f aca="false">COUNTIFS(guidance_agencies!$A$2:$A$81,$A34,guidance_agencies!$D$2:$D$81,"ESMA")</f>
        <v>0</v>
      </c>
      <c r="AS34" s="3" t="n">
        <f aca="false">SUMIFS(secondary_acts!$S$2:$S$771,secondary_acts!$A$2:$A$771,$A34,secondary_acts!$E$2:$E$771,"implementing")+SUMIFS(secondary_acts!$S$2:$S$771,secondary_acts!$A$2:$A$771,$A34,secondary_acts!$E$2:$E$771,"delegated")</f>
        <v>0</v>
      </c>
      <c r="AT34" s="3" t="n">
        <v>1039</v>
      </c>
      <c r="AU34" s="2" t="n">
        <v>27</v>
      </c>
      <c r="AV34" s="2" t="n">
        <v>0</v>
      </c>
      <c r="AW34" s="2"/>
      <c r="AX34" s="2"/>
      <c r="AY34" s="2" t="n">
        <v>3</v>
      </c>
      <c r="AZ34" s="2" t="s">
        <v>455</v>
      </c>
      <c r="BA34" s="2" t="s">
        <v>147</v>
      </c>
      <c r="BB34" s="2" t="n">
        <v>8820</v>
      </c>
      <c r="BC34" s="2" t="n">
        <v>45</v>
      </c>
      <c r="BD34" s="2" t="n">
        <v>6</v>
      </c>
      <c r="BE34" s="2" t="n">
        <f aca="false">IF(ISNUMBER(BB34),Q34-BB34,"")</f>
        <v>13858</v>
      </c>
      <c r="BF34" s="4" t="n">
        <f aca="false">IF(AND(ISNUMBER(BB34),BB34&gt;0),(Q34-BB34)/BB34,"")</f>
        <v>1.57120181405896</v>
      </c>
      <c r="BG34" s="2" t="n">
        <f aca="false">IF(ISNUMBER(BC34),X34-BC34,"")</f>
        <v>55</v>
      </c>
      <c r="BH34" s="4" t="n">
        <f aca="false">IF(AND(ISNUMBER(BC34),BC34&gt;0),(X34-BC34)/BC34,"")</f>
        <v>1.22222222222222</v>
      </c>
      <c r="BI34" s="2" t="n">
        <f aca="false">IF(ISNUMBER(BD34),AD34-BD34,"")</f>
        <v>3</v>
      </c>
      <c r="BJ34" s="2" t="s">
        <v>456</v>
      </c>
      <c r="BK34" s="2" t="s">
        <v>457</v>
      </c>
      <c r="BL34" s="2" t="n">
        <v>4</v>
      </c>
      <c r="BM34" s="2" t="n">
        <v>1</v>
      </c>
      <c r="BN34" s="2" t="n">
        <v>7</v>
      </c>
      <c r="BO34" s="2" t="n">
        <v>0</v>
      </c>
      <c r="BP34" s="2" t="s">
        <v>110</v>
      </c>
    </row>
    <row r="35" customFormat="false" ht="15" hidden="false" customHeight="false" outlineLevel="0" collapsed="false">
      <c r="A35" s="2" t="n">
        <v>34</v>
      </c>
      <c r="B35" s="2" t="s">
        <v>458</v>
      </c>
      <c r="C35" s="2" t="s">
        <v>459</v>
      </c>
      <c r="D35" s="2" t="s">
        <v>100</v>
      </c>
      <c r="E35" s="2" t="s">
        <v>71</v>
      </c>
      <c r="F35" s="2" t="s">
        <v>439</v>
      </c>
      <c r="G35" s="2" t="s">
        <v>151</v>
      </c>
      <c r="H35" s="2" t="s">
        <v>108</v>
      </c>
      <c r="I35" s="2" t="s">
        <v>450</v>
      </c>
      <c r="J35" s="2" t="s">
        <v>451</v>
      </c>
      <c r="K35" s="2" t="s">
        <v>76</v>
      </c>
      <c r="L35" s="2" t="s">
        <v>76</v>
      </c>
      <c r="M35" s="2" t="s">
        <v>460</v>
      </c>
      <c r="N35" s="2" t="s">
        <v>78</v>
      </c>
      <c r="O35" s="2" t="s">
        <v>461</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462</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2" t="n">
        <f aca="false">COUNTIFS(guidance_agencies!$A$2:$A$81,$A35,guidance_agencies!$D$2:$D$81,"EDPB")</f>
        <v>0</v>
      </c>
      <c r="AQ35" s="2" t="n">
        <f aca="false">COUNTIFS(guidance_agencies!$A$2:$A$81,$A35,guidance_agencies!$D$2:$D$81,"EBA")</f>
        <v>0</v>
      </c>
      <c r="AR35" s="2" t="n">
        <f aca="false">COUNTIFS(guidance_agencies!$A$2:$A$81,$A35,guidance_agencies!$D$2:$D$81,"ESMA")</f>
        <v>0</v>
      </c>
      <c r="AS35" s="3" t="n">
        <f aca="false">SUMIFS(secondary_acts!$S$2:$S$771,secondary_acts!$A$2:$A$771,$A35,secondary_acts!$E$2:$E$771,"implementing")+SUMIFS(secondary_acts!$S$2:$S$771,secondary_acts!$A$2:$A$771,$A35,secondary_acts!$E$2:$E$771,"delegated")</f>
        <v>0</v>
      </c>
      <c r="AT35" s="3" t="n">
        <v>550</v>
      </c>
      <c r="AU35" s="2" t="n">
        <v>26</v>
      </c>
      <c r="AV35" s="2" t="n">
        <v>0</v>
      </c>
      <c r="AW35" s="2"/>
      <c r="AX35" s="2"/>
      <c r="AY35" s="2" t="n">
        <v>1</v>
      </c>
      <c r="AZ35" s="2" t="s">
        <v>463</v>
      </c>
      <c r="BA35" s="2" t="s">
        <v>147</v>
      </c>
      <c r="BB35" s="2" t="n">
        <v>3313</v>
      </c>
      <c r="BC35" s="2" t="n">
        <v>10</v>
      </c>
      <c r="BD35" s="2" t="n">
        <v>5</v>
      </c>
      <c r="BE35" s="2" t="n">
        <f aca="false">IF(ISNUMBER(BB35),Q35-BB35,"")</f>
        <v>2667</v>
      </c>
      <c r="BF35" s="4" t="n">
        <f aca="false">IF(AND(ISNUMBER(BB35),BB35&gt;0),(Q35-BB35)/BB35,"")</f>
        <v>0.805010564443103</v>
      </c>
      <c r="BG35" s="2" t="n">
        <f aca="false">IF(ISNUMBER(BC35),X35-BC35,"")</f>
        <v>13</v>
      </c>
      <c r="BH35" s="4" t="n">
        <f aca="false">IF(AND(ISNUMBER(BC35),BC35&gt;0),(X35-BC35)/BC35,"")</f>
        <v>1.3</v>
      </c>
      <c r="BI35" s="2" t="n">
        <f aca="false">IF(ISNUMBER(BD35),AD35-BD35,"")</f>
        <v>-4</v>
      </c>
      <c r="BJ35" s="2"/>
      <c r="BK35" s="2"/>
      <c r="BL35" s="2"/>
      <c r="BM35" s="2"/>
      <c r="BN35" s="2"/>
      <c r="BO35" s="2"/>
      <c r="BP35" s="2" t="s">
        <v>110</v>
      </c>
    </row>
    <row r="36" customFormat="false" ht="15" hidden="false" customHeight="false" outlineLevel="0" collapsed="false">
      <c r="A36" s="2" t="n">
        <v>35</v>
      </c>
      <c r="B36" s="2" t="s">
        <v>464</v>
      </c>
      <c r="C36" s="2" t="s">
        <v>465</v>
      </c>
      <c r="D36" s="2" t="s">
        <v>176</v>
      </c>
      <c r="E36" s="2" t="s">
        <v>71</v>
      </c>
      <c r="F36" s="2" t="s">
        <v>466</v>
      </c>
      <c r="G36" s="2" t="s">
        <v>151</v>
      </c>
      <c r="H36" s="2" t="s">
        <v>467</v>
      </c>
      <c r="I36" s="2" t="s">
        <v>468</v>
      </c>
      <c r="J36" s="2" t="s">
        <v>361</v>
      </c>
      <c r="K36" s="2" t="s">
        <v>76</v>
      </c>
      <c r="L36" s="2" t="s">
        <v>76</v>
      </c>
      <c r="M36" s="2" t="s">
        <v>469</v>
      </c>
      <c r="N36" s="2" t="s">
        <v>78</v>
      </c>
      <c r="O36" s="2" t="s">
        <v>470</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471</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2" t="n">
        <f aca="false">COUNTIFS(guidance_agencies!$A$2:$A$81,$A36,guidance_agencies!$D$2:$D$81,"EDPB")</f>
        <v>0</v>
      </c>
      <c r="AQ36" s="2" t="n">
        <f aca="false">COUNTIFS(guidance_agencies!$A$2:$A$81,$A36,guidance_agencies!$D$2:$D$81,"EBA")</f>
        <v>0</v>
      </c>
      <c r="AR36" s="2" t="n">
        <f aca="false">COUNTIFS(guidance_agencies!$A$2:$A$81,$A36,guidance_agencies!$D$2:$D$81,"ESMA")</f>
        <v>0</v>
      </c>
      <c r="AS36" s="3" t="n">
        <f aca="false">SUMIFS(secondary_acts!$S$2:$S$771,secondary_acts!$A$2:$A$771,$A36,secondary_acts!$E$2:$E$771,"implementing")+SUMIFS(secondary_acts!$S$2:$S$771,secondary_acts!$A$2:$A$771,$A36,secondary_acts!$E$2:$E$771,"delegated")</f>
        <v>115</v>
      </c>
      <c r="AT36" s="3"/>
      <c r="AU36" s="2"/>
      <c r="AV36" s="2" t="n">
        <v>0</v>
      </c>
      <c r="AW36" s="2"/>
      <c r="AX36" s="2"/>
      <c r="AY36" s="2" t="n">
        <v>3</v>
      </c>
      <c r="AZ36" s="2" t="s">
        <v>472</v>
      </c>
      <c r="BA36" s="2" t="s">
        <v>147</v>
      </c>
      <c r="BB36" s="2" t="n">
        <v>28900</v>
      </c>
      <c r="BC36" s="2" t="n">
        <v>232</v>
      </c>
      <c r="BD36" s="2" t="n">
        <v>80</v>
      </c>
      <c r="BE36" s="2" t="n">
        <f aca="false">IF(ISNUMBER(BB36),Q36-BB36,"")</f>
        <v>8518</v>
      </c>
      <c r="BF36" s="4" t="n">
        <f aca="false">IF(AND(ISNUMBER(BB36),BB36&gt;0),(Q36-BB36)/BB36,"")</f>
        <v>0.294740484429066</v>
      </c>
      <c r="BG36" s="2" t="n">
        <f aca="false">IF(ISNUMBER(BC36),X36-BC36,"")</f>
        <v>101</v>
      </c>
      <c r="BH36" s="4" t="n">
        <f aca="false">IF(AND(ISNUMBER(BC36),BC36&gt;0),(X36-BC36)/BC36,"")</f>
        <v>0.435344827586207</v>
      </c>
      <c r="BI36" s="2" t="n">
        <f aca="false">IF(ISNUMBER(BD36),AD36-BD36,"")</f>
        <v>62</v>
      </c>
      <c r="BJ36" s="2"/>
      <c r="BK36" s="2"/>
      <c r="BL36" s="2"/>
      <c r="BM36" s="2"/>
      <c r="BN36" s="2"/>
      <c r="BO36" s="2"/>
      <c r="BP36" s="2" t="s">
        <v>110</v>
      </c>
    </row>
    <row r="37" customFormat="false" ht="15" hidden="false" customHeight="false" outlineLevel="0" collapsed="false">
      <c r="A37" s="2" t="n">
        <v>36</v>
      </c>
      <c r="B37" s="2" t="s">
        <v>473</v>
      </c>
      <c r="C37" s="2" t="s">
        <v>474</v>
      </c>
      <c r="D37" s="2" t="s">
        <v>273</v>
      </c>
      <c r="E37" s="2" t="s">
        <v>71</v>
      </c>
      <c r="F37" s="2" t="s">
        <v>475</v>
      </c>
      <c r="G37" s="2" t="s">
        <v>151</v>
      </c>
      <c r="H37" s="2" t="s">
        <v>476</v>
      </c>
      <c r="I37" s="2" t="s">
        <v>468</v>
      </c>
      <c r="J37" s="2" t="s">
        <v>361</v>
      </c>
      <c r="K37" s="2" t="s">
        <v>76</v>
      </c>
      <c r="L37" s="2" t="s">
        <v>76</v>
      </c>
      <c r="M37" s="2" t="s">
        <v>477</v>
      </c>
      <c r="N37" s="2" t="s">
        <v>78</v>
      </c>
      <c r="O37" s="2" t="s">
        <v>478</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479</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2" t="n">
        <f aca="false">COUNTIFS(guidance_agencies!$A$2:$A$81,$A37,guidance_agencies!$D$2:$D$81,"EDPB")</f>
        <v>0</v>
      </c>
      <c r="AQ37" s="2" t="n">
        <f aca="false">COUNTIFS(guidance_agencies!$A$2:$A$81,$A37,guidance_agencies!$D$2:$D$81,"EBA")</f>
        <v>0</v>
      </c>
      <c r="AR37" s="2" t="n">
        <f aca="false">COUNTIFS(guidance_agencies!$A$2:$A$81,$A37,guidance_agencies!$D$2:$D$81,"ESMA")</f>
        <v>0</v>
      </c>
      <c r="AS37" s="3" t="n">
        <f aca="false">SUMIFS(secondary_acts!$S$2:$S$771,secondary_acts!$A$2:$A$771,$A37,secondary_acts!$E$2:$E$771,"implementing")+SUMIFS(secondary_acts!$S$2:$S$771,secondary_acts!$A$2:$A$771,$A37,secondary_acts!$E$2:$E$771,"delegated")</f>
        <v>173</v>
      </c>
      <c r="AT37" s="3"/>
      <c r="AU37" s="2"/>
      <c r="AV37" s="2" t="n">
        <v>6</v>
      </c>
      <c r="AW37" s="2" t="s">
        <v>480</v>
      </c>
      <c r="AX37" s="2" t="s">
        <v>481</v>
      </c>
      <c r="AY37" s="2" t="n">
        <v>2</v>
      </c>
      <c r="AZ37" s="2" t="s">
        <v>482</v>
      </c>
      <c r="BA37" s="2" t="s">
        <v>147</v>
      </c>
      <c r="BB37" s="2" t="n">
        <v>12019</v>
      </c>
      <c r="BC37" s="2" t="n">
        <v>118</v>
      </c>
      <c r="BD37" s="2" t="n">
        <v>3</v>
      </c>
      <c r="BE37" s="2" t="n">
        <f aca="false">IF(ISNUMBER(BB37),Q37-BB37,"")</f>
        <v>8236</v>
      </c>
      <c r="BF37" s="4" t="n">
        <f aca="false">IF(AND(ISNUMBER(BB37),BB37&gt;0),(Q37-BB37)/BB37,"")</f>
        <v>0.68524835676845</v>
      </c>
      <c r="BG37" s="2" t="n">
        <f aca="false">IF(ISNUMBER(BC37),X37-BC37,"")</f>
        <v>20</v>
      </c>
      <c r="BH37" s="4" t="n">
        <f aca="false">IF(AND(ISNUMBER(BC37),BC37&gt;0),(X37-BC37)/BC37,"")</f>
        <v>0.169491525423729</v>
      </c>
      <c r="BI37" s="2" t="n">
        <f aca="false">IF(ISNUMBER(BD37),AD37-BD37,"")</f>
        <v>3</v>
      </c>
      <c r="BJ37" s="2"/>
      <c r="BK37" s="2"/>
      <c r="BL37" s="2"/>
      <c r="BM37" s="2"/>
      <c r="BN37" s="2"/>
      <c r="BO37" s="2"/>
      <c r="BP37" s="2"/>
    </row>
    <row r="38" customFormat="false" ht="15" hidden="false" customHeight="false" outlineLevel="0" collapsed="false">
      <c r="A38" s="2" t="n">
        <v>37</v>
      </c>
      <c r="B38" s="2" t="s">
        <v>483</v>
      </c>
      <c r="C38" s="2" t="s">
        <v>484</v>
      </c>
      <c r="D38" s="2" t="s">
        <v>485</v>
      </c>
      <c r="E38" s="2" t="s">
        <v>71</v>
      </c>
      <c r="F38" s="2" t="s">
        <v>158</v>
      </c>
      <c r="G38" s="2" t="s">
        <v>151</v>
      </c>
      <c r="H38" s="2" t="s">
        <v>108</v>
      </c>
      <c r="I38" s="2" t="s">
        <v>486</v>
      </c>
      <c r="J38" s="2" t="s">
        <v>487</v>
      </c>
      <c r="K38" s="2" t="s">
        <v>76</v>
      </c>
      <c r="L38" s="2" t="s">
        <v>76</v>
      </c>
      <c r="M38" s="2" t="s">
        <v>488</v>
      </c>
      <c r="N38" s="2" t="s">
        <v>78</v>
      </c>
      <c r="O38" s="2" t="s">
        <v>489</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490</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2" t="n">
        <f aca="false">COUNTIFS(guidance_agencies!$A$2:$A$81,$A38,guidance_agencies!$D$2:$D$81,"EDPB")</f>
        <v>0</v>
      </c>
      <c r="AQ38" s="2" t="n">
        <f aca="false">COUNTIFS(guidance_agencies!$A$2:$A$81,$A38,guidance_agencies!$D$2:$D$81,"EBA")</f>
        <v>0</v>
      </c>
      <c r="AR38" s="2" t="n">
        <f aca="false">COUNTIFS(guidance_agencies!$A$2:$A$81,$A38,guidance_agencies!$D$2:$D$81,"ESMA")</f>
        <v>0</v>
      </c>
      <c r="AS38" s="3" t="n">
        <f aca="false">SUMIFS(secondary_acts!$S$2:$S$771,secondary_acts!$A$2:$A$771,$A38,secondary_acts!$E$2:$E$771,"implementing")+SUMIFS(secondary_acts!$S$2:$S$771,secondary_acts!$A$2:$A$771,$A38,secondary_acts!$E$2:$E$771,"delegated")</f>
        <v>383</v>
      </c>
      <c r="AT38" s="3"/>
      <c r="AU38" s="2"/>
      <c r="AV38" s="2" t="n">
        <v>1</v>
      </c>
      <c r="AW38" s="2" t="s">
        <v>414</v>
      </c>
      <c r="AX38" s="2" t="s">
        <v>414</v>
      </c>
      <c r="AY38" s="2" t="n">
        <v>7</v>
      </c>
      <c r="AZ38" s="2" t="s">
        <v>491</v>
      </c>
      <c r="BA38" s="2" t="s">
        <v>147</v>
      </c>
      <c r="BB38" s="2" t="n">
        <v>19728</v>
      </c>
      <c r="BC38" s="2" t="n">
        <v>262</v>
      </c>
      <c r="BD38" s="2" t="n">
        <v>19</v>
      </c>
      <c r="BE38" s="2" t="n">
        <f aca="false">IF(ISNUMBER(BB38),Q38-BB38,"")</f>
        <v>10732</v>
      </c>
      <c r="BF38" s="4" t="n">
        <f aca="false">IF(AND(ISNUMBER(BB38),BB38&gt;0),(Q38-BB38)/BB38,"")</f>
        <v>0.543998377939984</v>
      </c>
      <c r="BG38" s="2" t="n">
        <f aca="false">IF(ISNUMBER(BC38),X38-BC38,"")</f>
        <v>120</v>
      </c>
      <c r="BH38" s="4" t="n">
        <f aca="false">IF(AND(ISNUMBER(BC38),BC38&gt;0),(X38-BC38)/BC38,"")</f>
        <v>0.458015267175573</v>
      </c>
      <c r="BI38" s="2" t="n">
        <f aca="false">IF(ISNUMBER(BD38),AD38-BD38,"")</f>
        <v>-1</v>
      </c>
      <c r="BJ38" s="2"/>
      <c r="BK38" s="2"/>
      <c r="BL38" s="2"/>
      <c r="BM38" s="2"/>
      <c r="BN38" s="2"/>
      <c r="BO38" s="2"/>
      <c r="BP38" s="2"/>
    </row>
    <row r="39" customFormat="false" ht="15" hidden="false" customHeight="false" outlineLevel="0" collapsed="false">
      <c r="A39" s="2" t="n">
        <v>38</v>
      </c>
      <c r="B39" s="2" t="s">
        <v>492</v>
      </c>
      <c r="C39" s="2" t="s">
        <v>493</v>
      </c>
      <c r="D39" s="2" t="s">
        <v>176</v>
      </c>
      <c r="E39" s="2" t="s">
        <v>71</v>
      </c>
      <c r="F39" s="2" t="s">
        <v>158</v>
      </c>
      <c r="G39" s="2" t="s">
        <v>151</v>
      </c>
      <c r="H39" s="2" t="s">
        <v>256</v>
      </c>
      <c r="I39" s="2" t="s">
        <v>494</v>
      </c>
      <c r="J39" s="2" t="s">
        <v>495</v>
      </c>
      <c r="K39" s="2" t="s">
        <v>76</v>
      </c>
      <c r="L39" s="2" t="s">
        <v>76</v>
      </c>
      <c r="M39" s="2" t="s">
        <v>496</v>
      </c>
      <c r="N39" s="2" t="s">
        <v>78</v>
      </c>
      <c r="O39" s="2" t="s">
        <v>497</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2" t="n">
        <f aca="false">COUNTIFS(guidance_agencies!$A$2:$A$81,$A39,guidance_agencies!$D$2:$D$81,"EDPB")</f>
        <v>0</v>
      </c>
      <c r="AQ39" s="2" t="n">
        <f aca="false">COUNTIFS(guidance_agencies!$A$2:$A$81,$A39,guidance_agencies!$D$2:$D$81,"EBA")</f>
        <v>0</v>
      </c>
      <c r="AR39" s="2" t="n">
        <f aca="false">COUNTIFS(guidance_agencies!$A$2:$A$81,$A39,guidance_agencies!$D$2:$D$81,"ESMA")</f>
        <v>0</v>
      </c>
      <c r="AS39" s="3" t="n">
        <f aca="false">SUMIFS(secondary_acts!$S$2:$S$771,secondary_acts!$A$2:$A$771,$A39,secondary_acts!$E$2:$E$771,"implementing")+SUMIFS(secondary_acts!$S$2:$S$771,secondary_acts!$A$2:$A$771,$A39,secondary_acts!$E$2:$E$771,"delegated")</f>
        <v>0</v>
      </c>
      <c r="AT39" s="3"/>
      <c r="AU39" s="2"/>
      <c r="AV39" s="2" t="n">
        <v>0</v>
      </c>
      <c r="AW39" s="2"/>
      <c r="AX39" s="2"/>
      <c r="AY39" s="2" t="n">
        <v>0</v>
      </c>
      <c r="AZ39" s="2" t="s">
        <v>498</v>
      </c>
      <c r="BA39" s="2" t="s">
        <v>147</v>
      </c>
      <c r="BB39" s="2" t="n">
        <v>4345</v>
      </c>
      <c r="BC39" s="2" t="n">
        <v>29</v>
      </c>
      <c r="BD39" s="2" t="n">
        <v>0</v>
      </c>
      <c r="BE39" s="2" t="n">
        <f aca="false">IF(ISNUMBER(BB39),Q39-BB39,"")</f>
        <v>1930</v>
      </c>
      <c r="BF39" s="4" t="n">
        <f aca="false">IF(AND(ISNUMBER(BB39),BB39&gt;0),(Q39-BB39)/BB39,"")</f>
        <v>0.444188722669735</v>
      </c>
      <c r="BG39" s="2" t="n">
        <f aca="false">IF(ISNUMBER(BC39),X39-BC39,"")</f>
        <v>2</v>
      </c>
      <c r="BH39" s="4" t="n">
        <f aca="false">IF(AND(ISNUMBER(BC39),BC39&gt;0),(X39-BC39)/BC39,"")</f>
        <v>0.0689655172413793</v>
      </c>
      <c r="BI39" s="2" t="n">
        <f aca="false">IF(ISNUMBER(BD39),AD39-BD39,"")</f>
        <v>0</v>
      </c>
      <c r="BJ39" s="2"/>
      <c r="BK39" s="2"/>
      <c r="BL39" s="2"/>
      <c r="BM39" s="2"/>
      <c r="BN39" s="2"/>
      <c r="BO39" s="2"/>
      <c r="BP39" s="2"/>
    </row>
    <row r="40" customFormat="false" ht="15" hidden="false" customHeight="false" outlineLevel="0" collapsed="false">
      <c r="A40" s="2" t="n">
        <v>39</v>
      </c>
      <c r="B40" s="2" t="s">
        <v>499</v>
      </c>
      <c r="C40" s="2" t="s">
        <v>500</v>
      </c>
      <c r="D40" s="2" t="s">
        <v>200</v>
      </c>
      <c r="E40" s="2" t="s">
        <v>71</v>
      </c>
      <c r="F40" s="2" t="s">
        <v>158</v>
      </c>
      <c r="G40" s="2" t="s">
        <v>151</v>
      </c>
      <c r="H40" s="2" t="s">
        <v>501</v>
      </c>
      <c r="I40" s="2" t="s">
        <v>502</v>
      </c>
      <c r="J40" s="2" t="s">
        <v>503</v>
      </c>
      <c r="K40" s="2" t="s">
        <v>76</v>
      </c>
      <c r="L40" s="2" t="s">
        <v>76</v>
      </c>
      <c r="M40" s="2" t="s">
        <v>504</v>
      </c>
      <c r="N40" s="2" t="s">
        <v>78</v>
      </c>
      <c r="O40" s="2" t="s">
        <v>505</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506</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2" t="n">
        <f aca="false">COUNTIFS(guidance_agencies!$A$2:$A$81,$A40,guidance_agencies!$D$2:$D$81,"EDPB")</f>
        <v>0</v>
      </c>
      <c r="AQ40" s="2" t="n">
        <f aca="false">COUNTIFS(guidance_agencies!$A$2:$A$81,$A40,guidance_agencies!$D$2:$D$81,"EBA")</f>
        <v>0</v>
      </c>
      <c r="AR40" s="2" t="n">
        <f aca="false">COUNTIFS(guidance_agencies!$A$2:$A$81,$A40,guidance_agencies!$D$2:$D$81,"ESMA")</f>
        <v>0</v>
      </c>
      <c r="AS40" s="3" t="n">
        <f aca="false">SUMIFS(secondary_acts!$S$2:$S$771,secondary_acts!$A$2:$A$771,$A40,secondary_acts!$E$2:$E$771,"implementing")+SUMIFS(secondary_acts!$S$2:$S$771,secondary_acts!$A$2:$A$771,$A40,secondary_acts!$E$2:$E$771,"delegated")</f>
        <v>1</v>
      </c>
      <c r="AT40" s="3"/>
      <c r="AU40" s="2"/>
      <c r="AV40" s="2" t="n">
        <v>2</v>
      </c>
      <c r="AW40" s="2" t="s">
        <v>507</v>
      </c>
      <c r="AX40" s="2" t="s">
        <v>508</v>
      </c>
      <c r="AY40" s="2" t="n">
        <v>1</v>
      </c>
      <c r="AZ40" s="2" t="s">
        <v>509</v>
      </c>
      <c r="BA40" s="2" t="s">
        <v>147</v>
      </c>
      <c r="BB40" s="2" t="n">
        <v>4087</v>
      </c>
      <c r="BC40" s="2" t="n">
        <v>31</v>
      </c>
      <c r="BD40" s="2" t="n">
        <v>2</v>
      </c>
      <c r="BE40" s="2" t="n">
        <f aca="false">IF(ISNUMBER(BB40),Q40-BB40,"")</f>
        <v>3727</v>
      </c>
      <c r="BF40" s="4" t="n">
        <f aca="false">IF(AND(ISNUMBER(BB40),BB40&gt;0),(Q40-BB40)/BB40,"")</f>
        <v>0.911915830682652</v>
      </c>
      <c r="BG40" s="2" t="n">
        <f aca="false">IF(ISNUMBER(BC40),X40-BC40,"")</f>
        <v>39</v>
      </c>
      <c r="BH40" s="4" t="n">
        <f aca="false">IF(AND(ISNUMBER(BC40),BC40&gt;0),(X40-BC40)/BC40,"")</f>
        <v>1.25806451612903</v>
      </c>
      <c r="BI40" s="2" t="n">
        <f aca="false">IF(ISNUMBER(BD40),AD40-BD40,"")</f>
        <v>3</v>
      </c>
      <c r="BJ40" s="2" t="s">
        <v>510</v>
      </c>
      <c r="BK40" s="2" t="s">
        <v>511</v>
      </c>
      <c r="BL40" s="2" t="n">
        <v>3</v>
      </c>
      <c r="BM40" s="2" t="n">
        <v>3</v>
      </c>
      <c r="BN40" s="2" t="n">
        <v>6</v>
      </c>
      <c r="BO40" s="2" t="n">
        <v>1</v>
      </c>
      <c r="BP40" s="2"/>
    </row>
    <row r="41" customFormat="false" ht="15" hidden="false" customHeight="false" outlineLevel="0" collapsed="false">
      <c r="A41" s="2" t="n">
        <v>40</v>
      </c>
      <c r="B41" s="2" t="s">
        <v>512</v>
      </c>
      <c r="C41" s="2" t="s">
        <v>513</v>
      </c>
      <c r="D41" s="2" t="s">
        <v>322</v>
      </c>
      <c r="E41" s="2" t="s">
        <v>71</v>
      </c>
      <c r="F41" s="2" t="s">
        <v>158</v>
      </c>
      <c r="G41" s="2" t="s">
        <v>151</v>
      </c>
      <c r="H41" s="2" t="s">
        <v>108</v>
      </c>
      <c r="I41" s="2" t="s">
        <v>514</v>
      </c>
      <c r="J41" s="2" t="s">
        <v>515</v>
      </c>
      <c r="K41" s="2" t="s">
        <v>76</v>
      </c>
      <c r="L41" s="2" t="s">
        <v>76</v>
      </c>
      <c r="M41" s="2" t="s">
        <v>516</v>
      </c>
      <c r="N41" s="2" t="s">
        <v>78</v>
      </c>
      <c r="O41" s="2" t="s">
        <v>517</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2" t="n">
        <f aca="false">COUNTIFS(guidance_agencies!$A$2:$A$81,$A41,guidance_agencies!$D$2:$D$81,"EDPB")</f>
        <v>0</v>
      </c>
      <c r="AQ41" s="2" t="n">
        <f aca="false">COUNTIFS(guidance_agencies!$A$2:$A$81,$A41,guidance_agencies!$D$2:$D$81,"EBA")</f>
        <v>0</v>
      </c>
      <c r="AR41" s="2" t="n">
        <f aca="false">COUNTIFS(guidance_agencies!$A$2:$A$81,$A41,guidance_agencies!$D$2:$D$81,"ESMA")</f>
        <v>0</v>
      </c>
      <c r="AS41" s="3" t="n">
        <f aca="false">SUMIFS(secondary_acts!$S$2:$S$771,secondary_acts!$A$2:$A$771,$A41,secondary_acts!$E$2:$E$771,"implementing")+SUMIFS(secondary_acts!$S$2:$S$771,secondary_acts!$A$2:$A$771,$A41,secondary_acts!$E$2:$E$771,"delegated")</f>
        <v>0</v>
      </c>
      <c r="AT41" s="3" t="n">
        <v>2301</v>
      </c>
      <c r="AU41" s="2" t="n">
        <v>25</v>
      </c>
      <c r="AV41" s="2" t="n">
        <v>0</v>
      </c>
      <c r="AW41" s="2"/>
      <c r="AX41" s="2"/>
      <c r="AY41" s="2" t="n">
        <v>0</v>
      </c>
      <c r="AZ41" s="2" t="s">
        <v>518</v>
      </c>
      <c r="BA41" s="2" t="s">
        <v>147</v>
      </c>
      <c r="BB41" s="2" t="n">
        <v>5501</v>
      </c>
      <c r="BC41" s="2" t="n">
        <v>45</v>
      </c>
      <c r="BD41" s="2" t="n">
        <v>2</v>
      </c>
      <c r="BE41" s="2" t="n">
        <f aca="false">IF(ISNUMBER(BB41),Q41-BB41,"")</f>
        <v>1108</v>
      </c>
      <c r="BF41" s="4" t="n">
        <f aca="false">IF(AND(ISNUMBER(BB41),BB41&gt;0),(Q41-BB41)/BB41,"")</f>
        <v>0.201417924013816</v>
      </c>
      <c r="BG41" s="2" t="n">
        <f aca="false">IF(ISNUMBER(BC41),X41-BC41,"")</f>
        <v>7</v>
      </c>
      <c r="BH41" s="4" t="n">
        <f aca="false">IF(AND(ISNUMBER(BC41),BC41&gt;0),(X41-BC41)/BC41,"")</f>
        <v>0.155555555555556</v>
      </c>
      <c r="BI41" s="2" t="n">
        <f aca="false">IF(ISNUMBER(BD41),AD41-BD41,"")</f>
        <v>-1</v>
      </c>
      <c r="BJ41" s="2"/>
      <c r="BK41" s="2"/>
      <c r="BL41" s="2"/>
      <c r="BM41" s="2"/>
      <c r="BN41" s="2"/>
      <c r="BO41" s="2"/>
      <c r="BP41" s="2"/>
    </row>
    <row r="42" customFormat="false" ht="15" hidden="false" customHeight="false" outlineLevel="0" collapsed="false">
      <c r="A42" s="2" t="n">
        <v>41</v>
      </c>
      <c r="B42" s="2" t="s">
        <v>519</v>
      </c>
      <c r="C42" s="2" t="s">
        <v>520</v>
      </c>
      <c r="D42" s="2" t="s">
        <v>200</v>
      </c>
      <c r="E42" s="2" t="s">
        <v>71</v>
      </c>
      <c r="F42" s="2" t="s">
        <v>521</v>
      </c>
      <c r="G42" s="2" t="s">
        <v>151</v>
      </c>
      <c r="H42" s="2" t="s">
        <v>413</v>
      </c>
      <c r="I42" s="2" t="s">
        <v>522</v>
      </c>
      <c r="J42" s="2" t="s">
        <v>523</v>
      </c>
      <c r="K42" s="2" t="s">
        <v>76</v>
      </c>
      <c r="L42" s="2" t="s">
        <v>76</v>
      </c>
      <c r="M42" s="2" t="s">
        <v>524</v>
      </c>
      <c r="N42" s="2" t="s">
        <v>78</v>
      </c>
      <c r="O42" s="2" t="s">
        <v>525</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526</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2" t="n">
        <f aca="false">COUNTIFS(guidance_agencies!$A$2:$A$81,$A42,guidance_agencies!$D$2:$D$81,"EDPB")</f>
        <v>0</v>
      </c>
      <c r="AQ42" s="2" t="n">
        <f aca="false">COUNTIFS(guidance_agencies!$A$2:$A$81,$A42,guidance_agencies!$D$2:$D$81,"EBA")</f>
        <v>0</v>
      </c>
      <c r="AR42" s="2" t="n">
        <f aca="false">COUNTIFS(guidance_agencies!$A$2:$A$81,$A42,guidance_agencies!$D$2:$D$81,"ESMA")</f>
        <v>0</v>
      </c>
      <c r="AS42" s="3" t="n">
        <f aca="false">SUMIFS(secondary_acts!$S$2:$S$771,secondary_acts!$A$2:$A$771,$A42,secondary_acts!$E$2:$E$771,"implementing")+SUMIFS(secondary_acts!$S$2:$S$771,secondary_acts!$A$2:$A$771,$A42,secondary_acts!$E$2:$E$771,"delegated")</f>
        <v>117</v>
      </c>
      <c r="AT42" s="3"/>
      <c r="AU42" s="2"/>
      <c r="AV42" s="2" t="n">
        <v>6</v>
      </c>
      <c r="AW42" s="2" t="s">
        <v>527</v>
      </c>
      <c r="AX42" s="2" t="s">
        <v>528</v>
      </c>
      <c r="AY42" s="2" t="n">
        <v>12</v>
      </c>
      <c r="AZ42" s="2" t="s">
        <v>529</v>
      </c>
      <c r="BA42" s="2" t="s">
        <v>147</v>
      </c>
      <c r="BB42" s="2" t="n">
        <v>19992</v>
      </c>
      <c r="BC42" s="2" t="n">
        <v>188</v>
      </c>
      <c r="BD42" s="2" t="n">
        <v>11</v>
      </c>
      <c r="BE42" s="2" t="n">
        <f aca="false">IF(ISNUMBER(BB42),Q42-BB42,"")</f>
        <v>4096</v>
      </c>
      <c r="BF42" s="4" t="n">
        <f aca="false">IF(AND(ISNUMBER(BB42),BB42&gt;0),(Q42-BB42)/BB42,"")</f>
        <v>0.204881952781112</v>
      </c>
      <c r="BG42" s="2" t="n">
        <f aca="false">IF(ISNUMBER(BC42),X42-BC42,"")</f>
        <v>10</v>
      </c>
      <c r="BH42" s="4" t="n">
        <f aca="false">IF(AND(ISNUMBER(BC42),BC42&gt;0),(X42-BC42)/BC42,"")</f>
        <v>0.0531914893617021</v>
      </c>
      <c r="BI42" s="2" t="n">
        <f aca="false">IF(ISNUMBER(BD42),AD42-BD42,"")</f>
        <v>4</v>
      </c>
      <c r="BJ42" s="2"/>
      <c r="BK42" s="2"/>
      <c r="BL42" s="2"/>
      <c r="BM42" s="2"/>
      <c r="BN42" s="2"/>
      <c r="BO42" s="2"/>
      <c r="BP42" s="2"/>
    </row>
    <row r="43" customFormat="false" ht="15" hidden="false" customHeight="false" outlineLevel="0" collapsed="false">
      <c r="A43" s="2" t="n">
        <v>42</v>
      </c>
      <c r="B43" s="2" t="s">
        <v>530</v>
      </c>
      <c r="C43" s="2" t="s">
        <v>531</v>
      </c>
      <c r="D43" s="2" t="s">
        <v>322</v>
      </c>
      <c r="E43" s="2" t="s">
        <v>71</v>
      </c>
      <c r="F43" s="2" t="s">
        <v>532</v>
      </c>
      <c r="G43" s="2" t="s">
        <v>151</v>
      </c>
      <c r="H43" s="2" t="s">
        <v>527</v>
      </c>
      <c r="I43" s="2" t="s">
        <v>533</v>
      </c>
      <c r="J43" s="2" t="s">
        <v>534</v>
      </c>
      <c r="K43" s="2" t="s">
        <v>76</v>
      </c>
      <c r="L43" s="2" t="s">
        <v>76</v>
      </c>
      <c r="M43" s="2" t="s">
        <v>535</v>
      </c>
      <c r="N43" s="2" t="s">
        <v>78</v>
      </c>
      <c r="O43" s="2" t="s">
        <v>536</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537</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2" t="n">
        <f aca="false">COUNTIFS(guidance_agencies!$A$2:$A$81,$A43,guidance_agencies!$D$2:$D$81,"EDPB")</f>
        <v>0</v>
      </c>
      <c r="AQ43" s="2" t="n">
        <f aca="false">COUNTIFS(guidance_agencies!$A$2:$A$81,$A43,guidance_agencies!$D$2:$D$81,"EBA")</f>
        <v>0</v>
      </c>
      <c r="AR43" s="2" t="n">
        <f aca="false">COUNTIFS(guidance_agencies!$A$2:$A$81,$A43,guidance_agencies!$D$2:$D$81,"ESMA")</f>
        <v>0</v>
      </c>
      <c r="AS43" s="3" t="n">
        <f aca="false">SUMIFS(secondary_acts!$S$2:$S$771,secondary_acts!$A$2:$A$771,$A43,secondary_acts!$E$2:$E$771,"implementing")+SUMIFS(secondary_acts!$S$2:$S$771,secondary_acts!$A$2:$A$771,$A43,secondary_acts!$E$2:$E$771,"delegated")</f>
        <v>59</v>
      </c>
      <c r="AT43" s="3"/>
      <c r="AU43" s="2"/>
      <c r="AV43" s="2" t="n">
        <v>0</v>
      </c>
      <c r="AW43" s="2"/>
      <c r="AX43" s="2"/>
      <c r="AY43" s="2" t="n">
        <v>2</v>
      </c>
      <c r="AZ43" s="2" t="s">
        <v>538</v>
      </c>
      <c r="BA43" s="2" t="s">
        <v>147</v>
      </c>
      <c r="BB43" s="2" t="n">
        <v>16549</v>
      </c>
      <c r="BC43" s="2" t="n">
        <v>137</v>
      </c>
      <c r="BD43" s="2" t="n">
        <v>4</v>
      </c>
      <c r="BE43" s="2" t="n">
        <f aca="false">IF(ISNUMBER(BB43),Q43-BB43,"")</f>
        <v>14631</v>
      </c>
      <c r="BF43" s="4" t="n">
        <f aca="false">IF(AND(ISNUMBER(BB43),BB43&gt;0),(Q43-BB43)/BB43,"")</f>
        <v>0.884101758414406</v>
      </c>
      <c r="BG43" s="2" t="n">
        <f aca="false">IF(ISNUMBER(BC43),X43-BC43,"")</f>
        <v>71</v>
      </c>
      <c r="BH43" s="4" t="n">
        <f aca="false">IF(AND(ISNUMBER(BC43),BC43&gt;0),(X43-BC43)/BC43,"")</f>
        <v>0.518248175182482</v>
      </c>
      <c r="BI43" s="2" t="n">
        <f aca="false">IF(ISNUMBER(BD43),AD43-BD43,"")</f>
        <v>9</v>
      </c>
      <c r="BJ43" s="2"/>
      <c r="BK43" s="2"/>
      <c r="BL43" s="2"/>
      <c r="BM43" s="2"/>
      <c r="BN43" s="2"/>
      <c r="BO43" s="2"/>
      <c r="BP43" s="2"/>
    </row>
    <row r="44" customFormat="false" ht="15" hidden="false" customHeight="false" outlineLevel="0" collapsed="false">
      <c r="A44" s="2" t="n">
        <v>43</v>
      </c>
      <c r="B44" s="2" t="s">
        <v>539</v>
      </c>
      <c r="C44" s="2" t="s">
        <v>540</v>
      </c>
      <c r="D44" s="2" t="s">
        <v>176</v>
      </c>
      <c r="E44" s="2" t="s">
        <v>71</v>
      </c>
      <c r="F44" s="2" t="s">
        <v>541</v>
      </c>
      <c r="G44" s="2" t="s">
        <v>151</v>
      </c>
      <c r="H44" s="2" t="s">
        <v>413</v>
      </c>
      <c r="I44" s="2" t="s">
        <v>542</v>
      </c>
      <c r="J44" s="2" t="s">
        <v>543</v>
      </c>
      <c r="K44" s="2" t="s">
        <v>76</v>
      </c>
      <c r="L44" s="2" t="s">
        <v>76</v>
      </c>
      <c r="M44" s="2" t="s">
        <v>544</v>
      </c>
      <c r="N44" s="2" t="s">
        <v>78</v>
      </c>
      <c r="O44" s="2" t="s">
        <v>545</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2" t="n">
        <f aca="false">COUNTIFS(guidance_agencies!$A$2:$A$81,$A44,guidance_agencies!$D$2:$D$81,"EDPB")</f>
        <v>0</v>
      </c>
      <c r="AQ44" s="2" t="n">
        <f aca="false">COUNTIFS(guidance_agencies!$A$2:$A$81,$A44,guidance_agencies!$D$2:$D$81,"EBA")</f>
        <v>0</v>
      </c>
      <c r="AR44" s="2" t="n">
        <f aca="false">COUNTIFS(guidance_agencies!$A$2:$A$81,$A44,guidance_agencies!$D$2:$D$81,"ESMA")</f>
        <v>0</v>
      </c>
      <c r="AS44" s="3" t="n">
        <f aca="false">SUMIFS(secondary_acts!$S$2:$S$771,secondary_acts!$A$2:$A$771,$A44,secondary_acts!$E$2:$E$771,"implementing")+SUMIFS(secondary_acts!$S$2:$S$771,secondary_acts!$A$2:$A$771,$A44,secondary_acts!$E$2:$E$771,"delegated")</f>
        <v>59</v>
      </c>
      <c r="AT44" s="3" t="n">
        <v>1064</v>
      </c>
      <c r="AU44" s="2" t="n">
        <v>27</v>
      </c>
      <c r="AV44" s="2" t="n">
        <v>0</v>
      </c>
      <c r="AW44" s="2"/>
      <c r="AX44" s="2"/>
      <c r="AY44" s="2" t="n">
        <v>0</v>
      </c>
      <c r="AZ44" s="2" t="s">
        <v>546</v>
      </c>
      <c r="BA44" s="2" t="s">
        <v>147</v>
      </c>
      <c r="BB44" s="2" t="n">
        <v>13415</v>
      </c>
      <c r="BC44" s="2" t="n">
        <v>93</v>
      </c>
      <c r="BD44" s="2" t="n">
        <v>7</v>
      </c>
      <c r="BE44" s="2" t="n">
        <f aca="false">IF(ISNUMBER(BB44),Q44-BB44,"")</f>
        <v>1233</v>
      </c>
      <c r="BF44" s="4" t="n">
        <f aca="false">IF(AND(ISNUMBER(BB44),BB44&gt;0),(Q44-BB44)/BB44,"")</f>
        <v>0.0919120387625792</v>
      </c>
      <c r="BG44" s="2" t="n">
        <f aca="false">IF(ISNUMBER(BC44),X44-BC44,"")</f>
        <v>5</v>
      </c>
      <c r="BH44" s="4" t="n">
        <f aca="false">IF(AND(ISNUMBER(BC44),BC44&gt;0),(X44-BC44)/BC44,"")</f>
        <v>0.0537634408602151</v>
      </c>
      <c r="BI44" s="2" t="n">
        <f aca="false">IF(ISNUMBER(BD44),AD44-BD44,"")</f>
        <v>1</v>
      </c>
      <c r="BJ44" s="2" t="s">
        <v>547</v>
      </c>
      <c r="BK44" s="2" t="s">
        <v>548</v>
      </c>
      <c r="BL44" s="2" t="n">
        <v>5</v>
      </c>
      <c r="BM44" s="2" t="n">
        <v>2</v>
      </c>
      <c r="BN44" s="2" t="n">
        <v>6</v>
      </c>
      <c r="BO44" s="2" t="n">
        <v>1</v>
      </c>
      <c r="BP44" s="2"/>
    </row>
    <row r="45" customFormat="false" ht="15" hidden="false" customHeight="false" outlineLevel="0" collapsed="false">
      <c r="A45" s="2" t="n">
        <v>44</v>
      </c>
      <c r="B45" s="2" t="s">
        <v>549</v>
      </c>
      <c r="C45" s="2" t="s">
        <v>550</v>
      </c>
      <c r="D45" s="2" t="s">
        <v>200</v>
      </c>
      <c r="E45" s="2" t="s">
        <v>71</v>
      </c>
      <c r="F45" s="2" t="s">
        <v>551</v>
      </c>
      <c r="G45" s="2" t="s">
        <v>151</v>
      </c>
      <c r="H45" s="2" t="s">
        <v>413</v>
      </c>
      <c r="I45" s="2" t="s">
        <v>552</v>
      </c>
      <c r="J45" s="2" t="s">
        <v>553</v>
      </c>
      <c r="K45" s="2" t="s">
        <v>76</v>
      </c>
      <c r="L45" s="2" t="s">
        <v>76</v>
      </c>
      <c r="M45" s="2" t="s">
        <v>554</v>
      </c>
      <c r="N45" s="2" t="s">
        <v>78</v>
      </c>
      <c r="O45" s="2" t="s">
        <v>555</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556</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2" t="n">
        <f aca="false">COUNTIFS(guidance_agencies!$A$2:$A$81,$A45,guidance_agencies!$D$2:$D$81,"EDPB")</f>
        <v>0</v>
      </c>
      <c r="AQ45" s="2" t="n">
        <f aca="false">COUNTIFS(guidance_agencies!$A$2:$A$81,$A45,guidance_agencies!$D$2:$D$81,"EBA")</f>
        <v>0</v>
      </c>
      <c r="AR45" s="2" t="n">
        <f aca="false">COUNTIFS(guidance_agencies!$A$2:$A$81,$A45,guidance_agencies!$D$2:$D$81,"ESMA")</f>
        <v>0</v>
      </c>
      <c r="AS45" s="3" t="n">
        <f aca="false">SUMIFS(secondary_acts!$S$2:$S$771,secondary_acts!$A$2:$A$771,$A45,secondary_acts!$E$2:$E$771,"implementing")+SUMIFS(secondary_acts!$S$2:$S$771,secondary_acts!$A$2:$A$771,$A45,secondary_acts!$E$2:$E$771,"delegated")</f>
        <v>0</v>
      </c>
      <c r="AT45" s="3"/>
      <c r="AU45" s="2"/>
      <c r="AV45" s="2" t="n">
        <v>0</v>
      </c>
      <c r="AW45" s="2"/>
      <c r="AX45" s="2"/>
      <c r="AY45" s="2" t="n">
        <v>2</v>
      </c>
      <c r="AZ45" s="2" t="s">
        <v>557</v>
      </c>
      <c r="BA45" s="2" t="s">
        <v>147</v>
      </c>
      <c r="BB45" s="2" t="n">
        <v>7530</v>
      </c>
      <c r="BC45" s="2" t="n">
        <v>42</v>
      </c>
      <c r="BD45" s="2" t="n">
        <v>23</v>
      </c>
      <c r="BE45" s="2" t="n">
        <f aca="false">IF(ISNUMBER(BB45),Q45-BB45,"")</f>
        <v>7409</v>
      </c>
      <c r="BF45" s="4" t="n">
        <f aca="false">IF(AND(ISNUMBER(BB45),BB45&gt;0),(Q45-BB45)/BB45,"")</f>
        <v>0.983930942895086</v>
      </c>
      <c r="BG45" s="2" t="n">
        <f aca="false">IF(ISNUMBER(BC45),X45-BC45,"")</f>
        <v>36</v>
      </c>
      <c r="BH45" s="4" t="n">
        <f aca="false">IF(AND(ISNUMBER(BC45),BC45&gt;0),(X45-BC45)/BC45,"")</f>
        <v>0.857142857142857</v>
      </c>
      <c r="BI45" s="2" t="n">
        <f aca="false">IF(ISNUMBER(BD45),AD45-BD45,"")</f>
        <v>17</v>
      </c>
      <c r="BJ45" s="2" t="s">
        <v>558</v>
      </c>
      <c r="BK45" s="2" t="s">
        <v>559</v>
      </c>
      <c r="BL45" s="2" t="n">
        <v>5</v>
      </c>
      <c r="BM45" s="2" t="n">
        <v>4</v>
      </c>
      <c r="BN45" s="2" t="n">
        <v>6</v>
      </c>
      <c r="BO45" s="2" t="n">
        <v>0</v>
      </c>
      <c r="BP45" s="2" t="s">
        <v>110</v>
      </c>
    </row>
    <row r="46" customFormat="false" ht="15" hidden="false" customHeight="false" outlineLevel="0" collapsed="false">
      <c r="A46" s="2" t="n">
        <v>45</v>
      </c>
      <c r="B46" s="2" t="s">
        <v>560</v>
      </c>
      <c r="C46" s="2" t="s">
        <v>561</v>
      </c>
      <c r="D46" s="2" t="s">
        <v>562</v>
      </c>
      <c r="E46" s="2" t="s">
        <v>71</v>
      </c>
      <c r="F46" s="2" t="s">
        <v>563</v>
      </c>
      <c r="G46" s="2" t="s">
        <v>151</v>
      </c>
      <c r="H46" s="2" t="s">
        <v>564</v>
      </c>
      <c r="I46" s="2" t="s">
        <v>565</v>
      </c>
      <c r="J46" s="2" t="s">
        <v>566</v>
      </c>
      <c r="K46" s="2" t="s">
        <v>76</v>
      </c>
      <c r="L46" s="2" t="s">
        <v>76</v>
      </c>
      <c r="M46" s="2" t="s">
        <v>567</v>
      </c>
      <c r="N46" s="2" t="s">
        <v>78</v>
      </c>
      <c r="O46" s="2" t="s">
        <v>568</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569</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2" t="n">
        <f aca="false">COUNTIFS(guidance_agencies!$A$2:$A$81,$A46,guidance_agencies!$D$2:$D$81,"EDPB")</f>
        <v>0</v>
      </c>
      <c r="AQ46" s="2" t="n">
        <f aca="false">COUNTIFS(guidance_agencies!$A$2:$A$81,$A46,guidance_agencies!$D$2:$D$81,"EBA")</f>
        <v>0</v>
      </c>
      <c r="AR46" s="2" t="n">
        <f aca="false">COUNTIFS(guidance_agencies!$A$2:$A$81,$A46,guidance_agencies!$D$2:$D$81,"ESMA")</f>
        <v>0</v>
      </c>
      <c r="AS46" s="3" t="n">
        <f aca="false">SUMIFS(secondary_acts!$S$2:$S$771,secondary_acts!$A$2:$A$771,$A46,secondary_acts!$E$2:$E$771,"implementing")+SUMIFS(secondary_acts!$S$2:$S$771,secondary_acts!$A$2:$A$771,$A46,secondary_acts!$E$2:$E$771,"delegated")</f>
        <v>0</v>
      </c>
      <c r="AT46" s="3"/>
      <c r="AU46" s="2"/>
      <c r="AV46" s="2" t="n">
        <v>3</v>
      </c>
      <c r="AW46" s="2" t="s">
        <v>570</v>
      </c>
      <c r="AX46" s="2" t="s">
        <v>571</v>
      </c>
      <c r="AY46" s="2" t="n">
        <v>1</v>
      </c>
      <c r="AZ46" s="2" t="s">
        <v>572</v>
      </c>
      <c r="BA46" s="2" t="s">
        <v>147</v>
      </c>
      <c r="BB46" s="2" t="n">
        <v>11557</v>
      </c>
      <c r="BC46" s="2" t="n">
        <v>81</v>
      </c>
      <c r="BD46" s="2" t="n">
        <v>2</v>
      </c>
      <c r="BE46" s="2" t="n">
        <f aca="false">IF(ISNUMBER(BB46),Q46-BB46,"")</f>
        <v>5887</v>
      </c>
      <c r="BF46" s="4" t="n">
        <f aca="false">IF(AND(ISNUMBER(BB46),BB46&gt;0),(Q46-BB46)/BB46,"")</f>
        <v>0.50938824954573</v>
      </c>
      <c r="BG46" s="2" t="n">
        <f aca="false">IF(ISNUMBER(BC46),X46-BC46,"")</f>
        <v>51</v>
      </c>
      <c r="BH46" s="4" t="n">
        <f aca="false">IF(AND(ISNUMBER(BC46),BC46&gt;0),(X46-BC46)/BC46,"")</f>
        <v>0.62962962962963</v>
      </c>
      <c r="BI46" s="2" t="n">
        <f aca="false">IF(ISNUMBER(BD46),AD46-BD46,"")</f>
        <v>6</v>
      </c>
      <c r="BJ46" s="2"/>
      <c r="BK46" s="2"/>
      <c r="BL46" s="2"/>
      <c r="BM46" s="2"/>
      <c r="BN46" s="2"/>
      <c r="BO46" s="2"/>
      <c r="BP46" s="2"/>
    </row>
    <row r="47" customFormat="false" ht="15" hidden="false" customHeight="false" outlineLevel="0" collapsed="false">
      <c r="A47" s="2" t="n">
        <v>46</v>
      </c>
      <c r="B47" s="2" t="s">
        <v>573</v>
      </c>
      <c r="C47" s="2" t="s">
        <v>574</v>
      </c>
      <c r="D47" s="2" t="s">
        <v>575</v>
      </c>
      <c r="E47" s="2" t="s">
        <v>71</v>
      </c>
      <c r="F47" s="2" t="s">
        <v>563</v>
      </c>
      <c r="G47" s="2" t="s">
        <v>151</v>
      </c>
      <c r="H47" s="2" t="s">
        <v>576</v>
      </c>
      <c r="I47" s="2" t="s">
        <v>577</v>
      </c>
      <c r="J47" s="2" t="s">
        <v>577</v>
      </c>
      <c r="K47" s="2" t="s">
        <v>76</v>
      </c>
      <c r="L47" s="2" t="s">
        <v>76</v>
      </c>
      <c r="M47" s="2" t="s">
        <v>578</v>
      </c>
      <c r="N47" s="2" t="s">
        <v>78</v>
      </c>
      <c r="O47" s="2" t="s">
        <v>579</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580</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2" t="n">
        <f aca="false">COUNTIFS(guidance_agencies!$A$2:$A$81,$A47,guidance_agencies!$D$2:$D$81,"EDPB")</f>
        <v>0</v>
      </c>
      <c r="AQ47" s="2" t="n">
        <f aca="false">COUNTIFS(guidance_agencies!$A$2:$A$81,$A47,guidance_agencies!$D$2:$D$81,"EBA")</f>
        <v>0</v>
      </c>
      <c r="AR47" s="2" t="n">
        <f aca="false">COUNTIFS(guidance_agencies!$A$2:$A$81,$A47,guidance_agencies!$D$2:$D$81,"ESMA")</f>
        <v>0</v>
      </c>
      <c r="AS47" s="3" t="n">
        <f aca="false">SUMIFS(secondary_acts!$S$2:$S$771,secondary_acts!$A$2:$A$771,$A47,secondary_acts!$E$2:$E$771,"implementing")+SUMIFS(secondary_acts!$S$2:$S$771,secondary_acts!$A$2:$A$771,$A47,secondary_acts!$E$2:$E$771,"delegated")</f>
        <v>300</v>
      </c>
      <c r="AT47" s="3"/>
      <c r="AU47" s="2"/>
      <c r="AV47" s="2" t="n">
        <v>3</v>
      </c>
      <c r="AW47" s="2" t="s">
        <v>581</v>
      </c>
      <c r="AX47" s="2" t="s">
        <v>582</v>
      </c>
      <c r="AY47" s="2" t="n">
        <v>2</v>
      </c>
      <c r="AZ47" s="2" t="s">
        <v>583</v>
      </c>
      <c r="BA47" s="2" t="s">
        <v>147</v>
      </c>
      <c r="BB47" s="2" t="n">
        <v>30916</v>
      </c>
      <c r="BC47" s="2" t="n">
        <v>277</v>
      </c>
      <c r="BD47" s="2" t="n">
        <v>23</v>
      </c>
      <c r="BE47" s="2" t="n">
        <f aca="false">IF(ISNUMBER(BB47),Q47-BB47,"")</f>
        <v>1606</v>
      </c>
      <c r="BF47" s="4" t="n">
        <f aca="false">IF(AND(ISNUMBER(BB47),BB47&gt;0),(Q47-BB47)/BB47,"")</f>
        <v>0.0519472117997154</v>
      </c>
      <c r="BG47" s="2" t="n">
        <f aca="false">IF(ISNUMBER(BC47),X47-BC47,"")</f>
        <v>-15</v>
      </c>
      <c r="BH47" s="4" t="n">
        <f aca="false">IF(AND(ISNUMBER(BC47),BC47&gt;0),(X47-BC47)/BC47,"")</f>
        <v>-0.0541516245487365</v>
      </c>
      <c r="BI47" s="2" t="n">
        <f aca="false">IF(ISNUMBER(BD47),AD47-BD47,"")</f>
        <v>-5</v>
      </c>
      <c r="BJ47" s="2"/>
      <c r="BK47" s="2"/>
      <c r="BL47" s="2"/>
      <c r="BM47" s="2"/>
      <c r="BN47" s="2"/>
      <c r="BO47" s="2"/>
      <c r="BP47" s="2"/>
    </row>
    <row r="48" customFormat="false" ht="15" hidden="false" customHeight="false" outlineLevel="0" collapsed="false">
      <c r="A48" s="2" t="n">
        <v>47</v>
      </c>
      <c r="B48" s="2" t="s">
        <v>584</v>
      </c>
      <c r="C48" s="2" t="s">
        <v>585</v>
      </c>
      <c r="D48" s="2" t="s">
        <v>575</v>
      </c>
      <c r="E48" s="2" t="s">
        <v>71</v>
      </c>
      <c r="F48" s="2" t="s">
        <v>563</v>
      </c>
      <c r="G48" s="2" t="s">
        <v>151</v>
      </c>
      <c r="H48" s="2" t="s">
        <v>586</v>
      </c>
      <c r="I48" s="2" t="s">
        <v>587</v>
      </c>
      <c r="J48" s="2" t="s">
        <v>587</v>
      </c>
      <c r="K48" s="2" t="s">
        <v>76</v>
      </c>
      <c r="L48" s="2" t="s">
        <v>76</v>
      </c>
      <c r="M48" s="2" t="s">
        <v>588</v>
      </c>
      <c r="N48" s="2" t="s">
        <v>78</v>
      </c>
      <c r="O48" s="2" t="s">
        <v>589</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590</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2" t="n">
        <f aca="false">COUNTIFS(guidance_agencies!$A$2:$A$81,$A48,guidance_agencies!$D$2:$D$81,"EDPB")</f>
        <v>0</v>
      </c>
      <c r="AQ48" s="2" t="n">
        <f aca="false">COUNTIFS(guidance_agencies!$A$2:$A$81,$A48,guidance_agencies!$D$2:$D$81,"EBA")</f>
        <v>0</v>
      </c>
      <c r="AR48" s="2" t="n">
        <f aca="false">COUNTIFS(guidance_agencies!$A$2:$A$81,$A48,guidance_agencies!$D$2:$D$81,"ESMA")</f>
        <v>0</v>
      </c>
      <c r="AS48" s="3" t="n">
        <f aca="false">SUMIFS(secondary_acts!$S$2:$S$771,secondary_acts!$A$2:$A$771,$A48,secondary_acts!$E$2:$E$771,"implementing")+SUMIFS(secondary_acts!$S$2:$S$771,secondary_acts!$A$2:$A$771,$A48,secondary_acts!$E$2:$E$771,"delegated")</f>
        <v>53</v>
      </c>
      <c r="AT48" s="3"/>
      <c r="AU48" s="2"/>
      <c r="AV48" s="2" t="n">
        <v>3</v>
      </c>
      <c r="AW48" s="2" t="s">
        <v>402</v>
      </c>
      <c r="AX48" s="2" t="s">
        <v>571</v>
      </c>
      <c r="AY48" s="2" t="n">
        <v>2</v>
      </c>
      <c r="AZ48" s="2" t="s">
        <v>591</v>
      </c>
      <c r="BA48" s="2" t="s">
        <v>147</v>
      </c>
      <c r="BB48" s="2" t="n">
        <v>14679</v>
      </c>
      <c r="BC48" s="2" t="n">
        <v>91</v>
      </c>
      <c r="BD48" s="2" t="n">
        <v>6</v>
      </c>
      <c r="BE48" s="2" t="n">
        <f aca="false">IF(ISNUMBER(BB48),Q48-BB48,"")</f>
        <v>6418</v>
      </c>
      <c r="BF48" s="4" t="n">
        <f aca="false">IF(AND(ISNUMBER(BB48),BB48&gt;0),(Q48-BB48)/BB48,"")</f>
        <v>0.437223244090197</v>
      </c>
      <c r="BG48" s="2" t="n">
        <f aca="false">IF(ISNUMBER(BC48),X48-BC48,"")</f>
        <v>47</v>
      </c>
      <c r="BH48" s="4" t="n">
        <f aca="false">IF(AND(ISNUMBER(BC48),BC48&gt;0),(X48-BC48)/BC48,"")</f>
        <v>0.516483516483517</v>
      </c>
      <c r="BI48" s="2" t="n">
        <f aca="false">IF(ISNUMBER(BD48),AD48-BD48,"")</f>
        <v>5</v>
      </c>
      <c r="BJ48" s="2"/>
      <c r="BK48" s="2"/>
      <c r="BL48" s="2"/>
      <c r="BM48" s="2"/>
      <c r="BN48" s="2"/>
      <c r="BO48" s="2"/>
      <c r="BP48" s="2"/>
    </row>
    <row r="49" customFormat="false" ht="15" hidden="false" customHeight="false" outlineLevel="0" collapsed="false">
      <c r="A49" s="2" t="n">
        <v>48</v>
      </c>
      <c r="B49" s="2" t="s">
        <v>592</v>
      </c>
      <c r="C49" s="2" t="s">
        <v>593</v>
      </c>
      <c r="D49" s="2" t="s">
        <v>562</v>
      </c>
      <c r="E49" s="2" t="s">
        <v>71</v>
      </c>
      <c r="F49" s="2" t="s">
        <v>594</v>
      </c>
      <c r="G49" s="2" t="s">
        <v>151</v>
      </c>
      <c r="H49" s="2" t="s">
        <v>595</v>
      </c>
      <c r="I49" s="2" t="s">
        <v>566</v>
      </c>
      <c r="J49" s="2" t="s">
        <v>566</v>
      </c>
      <c r="K49" s="2" t="s">
        <v>76</v>
      </c>
      <c r="L49" s="2" t="s">
        <v>76</v>
      </c>
      <c r="M49" s="2" t="s">
        <v>596</v>
      </c>
      <c r="N49" s="2" t="s">
        <v>78</v>
      </c>
      <c r="O49" s="2" t="s">
        <v>597</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598</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2" t="n">
        <f aca="false">COUNTIFS(guidance_agencies!$A$2:$A$81,$A49,guidance_agencies!$D$2:$D$81,"EDPB")</f>
        <v>0</v>
      </c>
      <c r="AQ49" s="2" t="n">
        <f aca="false">COUNTIFS(guidance_agencies!$A$2:$A$81,$A49,guidance_agencies!$D$2:$D$81,"EBA")</f>
        <v>0</v>
      </c>
      <c r="AR49" s="2" t="n">
        <f aca="false">COUNTIFS(guidance_agencies!$A$2:$A$81,$A49,guidance_agencies!$D$2:$D$81,"ESMA")</f>
        <v>0</v>
      </c>
      <c r="AS49" s="3" t="n">
        <f aca="false">SUMIFS(secondary_acts!$S$2:$S$771,secondary_acts!$A$2:$A$771,$A49,secondary_acts!$E$2:$E$771,"implementing")+SUMIFS(secondary_acts!$S$2:$S$771,secondary_acts!$A$2:$A$771,$A49,secondary_acts!$E$2:$E$771,"delegated")</f>
        <v>0</v>
      </c>
      <c r="AT49" s="3"/>
      <c r="AU49" s="2"/>
      <c r="AV49" s="2" t="n">
        <v>3</v>
      </c>
      <c r="AW49" s="2" t="s">
        <v>581</v>
      </c>
      <c r="AX49" s="2" t="s">
        <v>571</v>
      </c>
      <c r="AY49" s="2" t="n">
        <v>5</v>
      </c>
      <c r="AZ49" s="2" t="s">
        <v>599</v>
      </c>
      <c r="BA49" s="2" t="s">
        <v>147</v>
      </c>
      <c r="BB49" s="2" t="n">
        <v>22209</v>
      </c>
      <c r="BC49" s="2" t="n">
        <v>185</v>
      </c>
      <c r="BD49" s="2" t="n">
        <v>40</v>
      </c>
      <c r="BE49" s="2" t="n">
        <f aca="false">IF(ISNUMBER(BB49),Q49-BB49,"")</f>
        <v>13279</v>
      </c>
      <c r="BF49" s="4" t="n">
        <f aca="false">IF(AND(ISNUMBER(BB49),BB49&gt;0),(Q49-BB49)/BB49,"")</f>
        <v>0.597910756900356</v>
      </c>
      <c r="BG49" s="2" t="n">
        <f aca="false">IF(ISNUMBER(BC49),X49-BC49,"")</f>
        <v>180</v>
      </c>
      <c r="BH49" s="4" t="n">
        <f aca="false">IF(AND(ISNUMBER(BC49),BC49&gt;0),(X49-BC49)/BC49,"")</f>
        <v>0.972972972972973</v>
      </c>
      <c r="BI49" s="2" t="n">
        <f aca="false">IF(ISNUMBER(BD49),AD49-BD49,"")</f>
        <v>12</v>
      </c>
      <c r="BJ49" s="2" t="s">
        <v>600</v>
      </c>
      <c r="BK49" s="2" t="s">
        <v>601</v>
      </c>
      <c r="BL49" s="2" t="n">
        <v>5</v>
      </c>
      <c r="BM49" s="2" t="n">
        <v>5</v>
      </c>
      <c r="BN49" s="2" t="n">
        <v>6</v>
      </c>
      <c r="BO49" s="2" t="n">
        <v>0</v>
      </c>
      <c r="BP49" s="2"/>
    </row>
    <row r="50" customFormat="false" ht="15" hidden="false" customHeight="false" outlineLevel="0" collapsed="false">
      <c r="A50" s="2" t="n">
        <v>49</v>
      </c>
      <c r="B50" s="2" t="s">
        <v>602</v>
      </c>
      <c r="C50" s="2" t="s">
        <v>603</v>
      </c>
      <c r="D50" s="2" t="s">
        <v>200</v>
      </c>
      <c r="E50" s="2" t="s">
        <v>71</v>
      </c>
      <c r="F50" s="2" t="s">
        <v>594</v>
      </c>
      <c r="G50" s="2" t="s">
        <v>151</v>
      </c>
      <c r="H50" s="2" t="s">
        <v>595</v>
      </c>
      <c r="I50" s="2" t="s">
        <v>604</v>
      </c>
      <c r="J50" s="2" t="s">
        <v>604</v>
      </c>
      <c r="K50" s="2" t="s">
        <v>76</v>
      </c>
      <c r="L50" s="2" t="s">
        <v>76</v>
      </c>
      <c r="M50" s="2" t="s">
        <v>605</v>
      </c>
      <c r="N50" s="2" t="s">
        <v>78</v>
      </c>
      <c r="O50" s="2" t="s">
        <v>606</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607</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2" t="n">
        <f aca="false">COUNTIFS(guidance_agencies!$A$2:$A$81,$A50,guidance_agencies!$D$2:$D$81,"EDPB")</f>
        <v>0</v>
      </c>
      <c r="AQ50" s="2" t="n">
        <f aca="false">COUNTIFS(guidance_agencies!$A$2:$A$81,$A50,guidance_agencies!$D$2:$D$81,"EBA")</f>
        <v>0</v>
      </c>
      <c r="AR50" s="2" t="n">
        <f aca="false">COUNTIFS(guidance_agencies!$A$2:$A$81,$A50,guidance_agencies!$D$2:$D$81,"ESMA")</f>
        <v>0</v>
      </c>
      <c r="AS50" s="3" t="n">
        <f aca="false">SUMIFS(secondary_acts!$S$2:$S$771,secondary_acts!$A$2:$A$771,$A50,secondary_acts!$E$2:$E$771,"implementing")+SUMIFS(secondary_acts!$S$2:$S$771,secondary_acts!$A$2:$A$771,$A50,secondary_acts!$E$2:$E$771,"delegated")</f>
        <v>7</v>
      </c>
      <c r="AT50" s="3"/>
      <c r="AU50" s="2"/>
      <c r="AV50" s="2" t="n">
        <v>0</v>
      </c>
      <c r="AW50" s="2"/>
      <c r="AX50" s="2"/>
      <c r="AY50" s="2" t="n">
        <v>3</v>
      </c>
      <c r="AZ50" s="2" t="s">
        <v>608</v>
      </c>
      <c r="BA50" s="2" t="s">
        <v>147</v>
      </c>
      <c r="BB50" s="2" t="n">
        <v>17461</v>
      </c>
      <c r="BC50" s="2" t="n">
        <v>43</v>
      </c>
      <c r="BD50" s="2" t="n">
        <v>1</v>
      </c>
      <c r="BE50" s="2" t="n">
        <f aca="false">IF(ISNUMBER(BB50),Q50-BB50,"")</f>
        <v>8226</v>
      </c>
      <c r="BF50" s="4" t="n">
        <f aca="false">IF(AND(ISNUMBER(BB50),BB50&gt;0),(Q50-BB50)/BB50,"")</f>
        <v>0.471107038543039</v>
      </c>
      <c r="BG50" s="2" t="n">
        <f aca="false">IF(ISNUMBER(BC50),X50-BC50,"")</f>
        <v>35</v>
      </c>
      <c r="BH50" s="4" t="n">
        <f aca="false">IF(AND(ISNUMBER(BC50),BC50&gt;0),(X50-BC50)/BC50,"")</f>
        <v>0.813953488372093</v>
      </c>
      <c r="BI50" s="2" t="n">
        <f aca="false">IF(ISNUMBER(BD50),AD50-BD50,"")</f>
        <v>1</v>
      </c>
      <c r="BJ50" s="2"/>
      <c r="BK50" s="2"/>
      <c r="BL50" s="2"/>
      <c r="BM50" s="2"/>
      <c r="BN50" s="2"/>
      <c r="BO50" s="2"/>
      <c r="BP50" s="2" t="s">
        <v>110</v>
      </c>
    </row>
    <row r="51" customFormat="false" ht="15" hidden="false" customHeight="false" outlineLevel="0" collapsed="false">
      <c r="A51" s="2" t="n">
        <v>50</v>
      </c>
      <c r="B51" s="2" t="s">
        <v>609</v>
      </c>
      <c r="C51" s="2" t="s">
        <v>610</v>
      </c>
      <c r="D51" s="2" t="s">
        <v>485</v>
      </c>
      <c r="E51" s="2" t="s">
        <v>71</v>
      </c>
      <c r="F51" s="2" t="s">
        <v>611</v>
      </c>
      <c r="G51" s="2" t="s">
        <v>151</v>
      </c>
      <c r="H51" s="2" t="s">
        <v>612</v>
      </c>
      <c r="I51" s="2" t="s">
        <v>613</v>
      </c>
      <c r="J51" s="2" t="s">
        <v>614</v>
      </c>
      <c r="K51" s="2" t="s">
        <v>76</v>
      </c>
      <c r="L51" s="2" t="s">
        <v>76</v>
      </c>
      <c r="M51" s="2" t="s">
        <v>615</v>
      </c>
      <c r="N51" s="2" t="s">
        <v>78</v>
      </c>
      <c r="O51" s="2" t="s">
        <v>616</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2" t="n">
        <f aca="false">COUNTIFS(guidance_agencies!$A$2:$A$81,$A51,guidance_agencies!$D$2:$D$81,"EDPB")</f>
        <v>0</v>
      </c>
      <c r="AQ51" s="2" t="n">
        <f aca="false">COUNTIFS(guidance_agencies!$A$2:$A$81,$A51,guidance_agencies!$D$2:$D$81,"EBA")</f>
        <v>0</v>
      </c>
      <c r="AR51" s="2" t="n">
        <f aca="false">COUNTIFS(guidance_agencies!$A$2:$A$81,$A51,guidance_agencies!$D$2:$D$81,"ESMA")</f>
        <v>0</v>
      </c>
      <c r="AS51" s="3" t="n">
        <f aca="false">SUMIFS(secondary_acts!$S$2:$S$771,secondary_acts!$A$2:$A$771,$A51,secondary_acts!$E$2:$E$771,"implementing")+SUMIFS(secondary_acts!$S$2:$S$771,secondary_acts!$A$2:$A$771,$A51,secondary_acts!$E$2:$E$771,"delegated")</f>
        <v>0</v>
      </c>
      <c r="AT51" s="3"/>
      <c r="AU51" s="2"/>
      <c r="AV51" s="2" t="n">
        <v>0</v>
      </c>
      <c r="AW51" s="2"/>
      <c r="AX51" s="2"/>
      <c r="AY51" s="2" t="n">
        <v>0</v>
      </c>
      <c r="AZ51" s="2" t="s">
        <v>617</v>
      </c>
      <c r="BA51" s="2" t="s">
        <v>147</v>
      </c>
      <c r="BB51" s="2" t="n">
        <v>11396</v>
      </c>
      <c r="BC51" s="2" t="n">
        <v>179</v>
      </c>
      <c r="BD51" s="2" t="n">
        <v>4</v>
      </c>
      <c r="BE51" s="2" t="n">
        <f aca="false">IF(ISNUMBER(BB51),Q51-BB51,"")</f>
        <v>7010</v>
      </c>
      <c r="BF51" s="4" t="n">
        <f aca="false">IF(AND(ISNUMBER(BB51),BB51&gt;0),(Q51-BB51)/BB51,"")</f>
        <v>0.615128115128115</v>
      </c>
      <c r="BG51" s="2" t="n">
        <f aca="false">IF(ISNUMBER(BC51),X51-BC51,"")</f>
        <v>62</v>
      </c>
      <c r="BH51" s="4" t="n">
        <f aca="false">IF(AND(ISNUMBER(BC51),BC51&gt;0),(X51-BC51)/BC51,"")</f>
        <v>0.346368715083799</v>
      </c>
      <c r="BI51" s="2" t="n">
        <f aca="false">IF(ISNUMBER(BD51),AD51-BD51,"")</f>
        <v>2</v>
      </c>
      <c r="BJ51" s="2"/>
      <c r="BK51" s="2"/>
      <c r="BL51" s="2"/>
      <c r="BM51" s="2"/>
      <c r="BN51" s="2"/>
      <c r="BO51" s="2"/>
      <c r="BP51" s="2"/>
    </row>
    <row r="52" customFormat="false" ht="15" hidden="false" customHeight="false" outlineLevel="0" collapsed="false">
      <c r="A52" s="2" t="n">
        <v>51</v>
      </c>
      <c r="B52" s="2" t="s">
        <v>618</v>
      </c>
      <c r="C52" s="2" t="s">
        <v>619</v>
      </c>
      <c r="D52" s="2" t="s">
        <v>322</v>
      </c>
      <c r="E52" s="2" t="s">
        <v>71</v>
      </c>
      <c r="F52" s="2" t="s">
        <v>611</v>
      </c>
      <c r="G52" s="2" t="s">
        <v>151</v>
      </c>
      <c r="H52" s="2" t="s">
        <v>564</v>
      </c>
      <c r="I52" s="2" t="s">
        <v>620</v>
      </c>
      <c r="J52" s="2" t="s">
        <v>621</v>
      </c>
      <c r="K52" s="2" t="s">
        <v>76</v>
      </c>
      <c r="L52" s="2" t="s">
        <v>76</v>
      </c>
      <c r="M52" s="2" t="s">
        <v>622</v>
      </c>
      <c r="N52" s="2" t="s">
        <v>78</v>
      </c>
      <c r="O52" s="2" t="s">
        <v>623</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624</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2" t="n">
        <f aca="false">COUNTIFS(guidance_agencies!$A$2:$A$81,$A52,guidance_agencies!$D$2:$D$81,"EDPB")</f>
        <v>0</v>
      </c>
      <c r="AQ52" s="2" t="n">
        <f aca="false">COUNTIFS(guidance_agencies!$A$2:$A$81,$A52,guidance_agencies!$D$2:$D$81,"EBA")</f>
        <v>0</v>
      </c>
      <c r="AR52" s="2" t="n">
        <f aca="false">COUNTIFS(guidance_agencies!$A$2:$A$81,$A52,guidance_agencies!$D$2:$D$81,"ESMA")</f>
        <v>0</v>
      </c>
      <c r="AS52" s="3" t="n">
        <f aca="false">SUMIFS(secondary_acts!$S$2:$S$771,secondary_acts!$A$2:$A$771,$A52,secondary_acts!$E$2:$E$771,"implementing")+SUMIFS(secondary_acts!$S$2:$S$771,secondary_acts!$A$2:$A$771,$A52,secondary_acts!$E$2:$E$771,"delegated")</f>
        <v>0</v>
      </c>
      <c r="AT52" s="3"/>
      <c r="AU52" s="2"/>
      <c r="AV52" s="2" t="n">
        <v>0</v>
      </c>
      <c r="AW52" s="2"/>
      <c r="AX52" s="2"/>
      <c r="AY52" s="2" t="n">
        <v>3</v>
      </c>
      <c r="AZ52" s="2" t="s">
        <v>625</v>
      </c>
      <c r="BA52" s="2" t="s">
        <v>147</v>
      </c>
      <c r="BB52" s="2" t="n">
        <v>11209</v>
      </c>
      <c r="BC52" s="2" t="n">
        <v>95</v>
      </c>
      <c r="BD52" s="2" t="n">
        <v>35</v>
      </c>
      <c r="BE52" s="2" t="n">
        <f aca="false">IF(ISNUMBER(BB52),Q52-BB52,"")</f>
        <v>3654</v>
      </c>
      <c r="BF52" s="4" t="n">
        <f aca="false">IF(AND(ISNUMBER(BB52),BB52&gt;0),(Q52-BB52)/BB52,"")</f>
        <v>0.325988045320724</v>
      </c>
      <c r="BG52" s="2" t="n">
        <f aca="false">IF(ISNUMBER(BC52),X52-BC52,"")</f>
        <v>23</v>
      </c>
      <c r="BH52" s="4" t="n">
        <f aca="false">IF(AND(ISNUMBER(BC52),BC52&gt;0),(X52-BC52)/BC52,"")</f>
        <v>0.242105263157895</v>
      </c>
      <c r="BI52" s="2" t="n">
        <f aca="false">IF(ISNUMBER(BD52),AD52-BD52,"")</f>
        <v>2</v>
      </c>
      <c r="BJ52" s="2"/>
      <c r="BK52" s="2"/>
      <c r="BL52" s="2"/>
      <c r="BM52" s="2"/>
      <c r="BN52" s="2"/>
      <c r="BO52" s="2"/>
      <c r="BP52" s="2" t="s">
        <v>110</v>
      </c>
    </row>
    <row r="53" customFormat="false" ht="15" hidden="false" customHeight="false" outlineLevel="0" collapsed="false">
      <c r="A53" s="2" t="n">
        <v>52</v>
      </c>
      <c r="B53" s="2" t="s">
        <v>626</v>
      </c>
      <c r="C53" s="2" t="s">
        <v>627</v>
      </c>
      <c r="D53" s="2" t="s">
        <v>575</v>
      </c>
      <c r="E53" s="2" t="s">
        <v>71</v>
      </c>
      <c r="F53" s="2" t="s">
        <v>628</v>
      </c>
      <c r="G53" s="2" t="s">
        <v>151</v>
      </c>
      <c r="H53" s="2" t="s">
        <v>629</v>
      </c>
      <c r="I53" s="2" t="s">
        <v>630</v>
      </c>
      <c r="J53" s="2" t="s">
        <v>631</v>
      </c>
      <c r="K53" s="2" t="s">
        <v>76</v>
      </c>
      <c r="L53" s="2" t="s">
        <v>76</v>
      </c>
      <c r="M53" s="2" t="s">
        <v>632</v>
      </c>
      <c r="N53" s="2" t="s">
        <v>78</v>
      </c>
      <c r="O53" s="2" t="s">
        <v>633</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634</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2" t="n">
        <f aca="false">COUNTIFS(guidance_agencies!$A$2:$A$81,$A53,guidance_agencies!$D$2:$D$81,"EDPB")</f>
        <v>0</v>
      </c>
      <c r="AQ53" s="2" t="n">
        <f aca="false">COUNTIFS(guidance_agencies!$A$2:$A$81,$A53,guidance_agencies!$D$2:$D$81,"EBA")</f>
        <v>0</v>
      </c>
      <c r="AR53" s="2" t="n">
        <f aca="false">COUNTIFS(guidance_agencies!$A$2:$A$81,$A53,guidance_agencies!$D$2:$D$81,"ESMA")</f>
        <v>0</v>
      </c>
      <c r="AS53" s="3" t="n">
        <f aca="false">SUMIFS(secondary_acts!$S$2:$S$771,secondary_acts!$A$2:$A$771,$A53,secondary_acts!$E$2:$E$771,"implementing")+SUMIFS(secondary_acts!$S$2:$S$771,secondary_acts!$A$2:$A$771,$A53,secondary_acts!$E$2:$E$771,"delegated")</f>
        <v>111</v>
      </c>
      <c r="AT53" s="3"/>
      <c r="AU53" s="2"/>
      <c r="AV53" s="2" t="n">
        <v>2</v>
      </c>
      <c r="AW53" s="2" t="s">
        <v>635</v>
      </c>
      <c r="AX53" s="2" t="s">
        <v>581</v>
      </c>
      <c r="AY53" s="2" t="n">
        <v>9</v>
      </c>
      <c r="AZ53" s="2" t="s">
        <v>636</v>
      </c>
      <c r="BA53" s="2" t="s">
        <v>147</v>
      </c>
      <c r="BB53" s="2" t="n">
        <v>12953</v>
      </c>
      <c r="BC53" s="2" t="n">
        <v>117</v>
      </c>
      <c r="BD53" s="2" t="n">
        <v>5</v>
      </c>
      <c r="BE53" s="2" t="n">
        <f aca="false">IF(ISNUMBER(BB53),Q53-BB53,"")</f>
        <v>16438</v>
      </c>
      <c r="BF53" s="4" t="n">
        <f aca="false">IF(AND(ISNUMBER(BB53),BB53&gt;0),(Q53-BB53)/BB53,"")</f>
        <v>1.2690496410098</v>
      </c>
      <c r="BG53" s="2" t="n">
        <f aca="false">IF(ISNUMBER(BC53),X53-BC53,"")</f>
        <v>72</v>
      </c>
      <c r="BH53" s="4" t="n">
        <f aca="false">IF(AND(ISNUMBER(BC53),BC53&gt;0),(X53-BC53)/BC53,"")</f>
        <v>0.615384615384615</v>
      </c>
      <c r="BI53" s="2" t="n">
        <f aca="false">IF(ISNUMBER(BD53),AD53-BD53,"")</f>
        <v>3</v>
      </c>
      <c r="BJ53" s="2" t="s">
        <v>637</v>
      </c>
      <c r="BK53" s="2" t="s">
        <v>638</v>
      </c>
      <c r="BL53" s="2" t="n">
        <v>5</v>
      </c>
      <c r="BM53" s="2" t="n">
        <v>5</v>
      </c>
      <c r="BN53" s="2" t="n">
        <v>7</v>
      </c>
      <c r="BO53" s="2" t="n">
        <v>0</v>
      </c>
      <c r="BP53" s="2"/>
    </row>
    <row r="54" customFormat="false" ht="15" hidden="false" customHeight="false" outlineLevel="0" collapsed="false">
      <c r="A54" s="2" t="n">
        <v>53</v>
      </c>
      <c r="B54" s="2" t="s">
        <v>639</v>
      </c>
      <c r="C54" s="2" t="s">
        <v>640</v>
      </c>
      <c r="D54" s="2" t="s">
        <v>322</v>
      </c>
      <c r="E54" s="2" t="s">
        <v>71</v>
      </c>
      <c r="F54" s="2" t="s">
        <v>641</v>
      </c>
      <c r="G54" s="2" t="s">
        <v>151</v>
      </c>
      <c r="H54" s="2" t="s">
        <v>587</v>
      </c>
      <c r="I54" s="2" t="s">
        <v>642</v>
      </c>
      <c r="J54" s="2" t="s">
        <v>643</v>
      </c>
      <c r="K54" s="2" t="s">
        <v>76</v>
      </c>
      <c r="L54" s="2" t="s">
        <v>76</v>
      </c>
      <c r="M54" s="2" t="s">
        <v>644</v>
      </c>
      <c r="N54" s="2" t="s">
        <v>78</v>
      </c>
      <c r="O54" s="2" t="s">
        <v>645</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646</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2" t="n">
        <f aca="false">COUNTIFS(guidance_agencies!$A$2:$A$81,$A54,guidance_agencies!$D$2:$D$81,"EDPB")</f>
        <v>0</v>
      </c>
      <c r="AQ54" s="2" t="n">
        <f aca="false">COUNTIFS(guidance_agencies!$A$2:$A$81,$A54,guidance_agencies!$D$2:$D$81,"EBA")</f>
        <v>0</v>
      </c>
      <c r="AR54" s="2" t="n">
        <f aca="false">COUNTIFS(guidance_agencies!$A$2:$A$81,$A54,guidance_agencies!$D$2:$D$81,"ESMA")</f>
        <v>0</v>
      </c>
      <c r="AS54" s="3" t="n">
        <f aca="false">SUMIFS(secondary_acts!$S$2:$S$771,secondary_acts!$A$2:$A$771,$A54,secondary_acts!$E$2:$E$771,"implementing")+SUMIFS(secondary_acts!$S$2:$S$771,secondary_acts!$A$2:$A$771,$A54,secondary_acts!$E$2:$E$771,"delegated")</f>
        <v>1</v>
      </c>
      <c r="AT54" s="3"/>
      <c r="AU54" s="2"/>
      <c r="AV54" s="2" t="n">
        <v>1</v>
      </c>
      <c r="AW54" s="2" t="s">
        <v>362</v>
      </c>
      <c r="AX54" s="2" t="s">
        <v>362</v>
      </c>
      <c r="AY54" s="2" t="n">
        <v>0</v>
      </c>
      <c r="AZ54" s="2" t="s">
        <v>647</v>
      </c>
      <c r="BA54" s="2" t="s">
        <v>147</v>
      </c>
      <c r="BB54" s="2" t="n">
        <v>2709</v>
      </c>
      <c r="BC54" s="2" t="n">
        <v>1</v>
      </c>
      <c r="BD54" s="2" t="n">
        <v>1</v>
      </c>
      <c r="BE54" s="2" t="n">
        <f aca="false">IF(ISNUMBER(BB54),Q54-BB54,"")</f>
        <v>3606</v>
      </c>
      <c r="BF54" s="4" t="n">
        <f aca="false">IF(AND(ISNUMBER(BB54),BB54&gt;0),(Q54-BB54)/BB54,"")</f>
        <v>1.33111849390919</v>
      </c>
      <c r="BG54" s="2" t="n">
        <f aca="false">IF(ISNUMBER(BC54),X54-BC54,"")</f>
        <v>10</v>
      </c>
      <c r="BH54" s="4" t="n">
        <f aca="false">IF(AND(ISNUMBER(BC54),BC54&gt;0),(X54-BC54)/BC54,"")</f>
        <v>10</v>
      </c>
      <c r="BI54" s="2" t="n">
        <f aca="false">IF(ISNUMBER(BD54),AD54-BD54,"")</f>
        <v>1</v>
      </c>
      <c r="BJ54" s="2"/>
      <c r="BK54" s="2"/>
      <c r="BL54" s="2"/>
      <c r="BM54" s="2"/>
      <c r="BN54" s="2"/>
      <c r="BO54" s="2"/>
      <c r="BP54" s="2"/>
    </row>
    <row r="55" customFormat="false" ht="15" hidden="false" customHeight="false" outlineLevel="0" collapsed="false">
      <c r="A55" s="2" t="n">
        <v>54</v>
      </c>
      <c r="B55" s="2" t="s">
        <v>648</v>
      </c>
      <c r="C55" s="2" t="s">
        <v>649</v>
      </c>
      <c r="D55" s="2" t="s">
        <v>575</v>
      </c>
      <c r="E55" s="2" t="s">
        <v>71</v>
      </c>
      <c r="F55" s="2" t="s">
        <v>650</v>
      </c>
      <c r="G55" s="2" t="s">
        <v>151</v>
      </c>
      <c r="H55" s="2" t="s">
        <v>651</v>
      </c>
      <c r="I55" s="2" t="s">
        <v>652</v>
      </c>
      <c r="J55" s="2" t="s">
        <v>653</v>
      </c>
      <c r="K55" s="2" t="s">
        <v>76</v>
      </c>
      <c r="L55" s="2" t="s">
        <v>76</v>
      </c>
      <c r="M55" s="2" t="s">
        <v>654</v>
      </c>
      <c r="N55" s="2" t="s">
        <v>78</v>
      </c>
      <c r="O55" s="2" t="s">
        <v>655</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656</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2" t="n">
        <f aca="false">COUNTIFS(guidance_agencies!$A$2:$A$81,$A55,guidance_agencies!$D$2:$D$81,"EDPB")</f>
        <v>0</v>
      </c>
      <c r="AQ55" s="2" t="n">
        <f aca="false">COUNTIFS(guidance_agencies!$A$2:$A$81,$A55,guidance_agencies!$D$2:$D$81,"EBA")</f>
        <v>0</v>
      </c>
      <c r="AR55" s="2" t="n">
        <f aca="false">COUNTIFS(guidance_agencies!$A$2:$A$81,$A55,guidance_agencies!$D$2:$D$81,"ESMA")</f>
        <v>0</v>
      </c>
      <c r="AS55" s="3" t="n">
        <f aca="false">SUMIFS(secondary_acts!$S$2:$S$771,secondary_acts!$A$2:$A$771,$A55,secondary_acts!$E$2:$E$771,"implementing")+SUMIFS(secondary_acts!$S$2:$S$771,secondary_acts!$A$2:$A$771,$A55,secondary_acts!$E$2:$E$771,"delegated")</f>
        <v>0</v>
      </c>
      <c r="AT55" s="3"/>
      <c r="AU55" s="2"/>
      <c r="AV55" s="2" t="n">
        <v>2</v>
      </c>
      <c r="AW55" s="2" t="s">
        <v>657</v>
      </c>
      <c r="AX55" s="2" t="s">
        <v>658</v>
      </c>
      <c r="AY55" s="2" t="n">
        <v>2</v>
      </c>
      <c r="AZ55" s="2" t="s">
        <v>659</v>
      </c>
      <c r="BA55" s="2" t="s">
        <v>147</v>
      </c>
      <c r="BB55" s="2" t="n">
        <v>24251</v>
      </c>
      <c r="BC55" s="2" t="n">
        <v>318</v>
      </c>
      <c r="BD55" s="2" t="n">
        <v>29</v>
      </c>
      <c r="BE55" s="2" t="n">
        <f aca="false">IF(ISNUMBER(BB55),Q55-BB55,"")</f>
        <v>2294</v>
      </c>
      <c r="BF55" s="4" t="n">
        <f aca="false">IF(AND(ISNUMBER(BB55),BB55&gt;0),(Q55-BB55)/BB55,"")</f>
        <v>0.0945940373592842</v>
      </c>
      <c r="BG55" s="2" t="n">
        <f aca="false">IF(ISNUMBER(BC55),X55-BC55,"")</f>
        <v>22</v>
      </c>
      <c r="BH55" s="4" t="n">
        <f aca="false">IF(AND(ISNUMBER(BC55),BC55&gt;0),(X55-BC55)/BC55,"")</f>
        <v>0.0691823899371069</v>
      </c>
      <c r="BI55" s="2" t="n">
        <f aca="false">IF(ISNUMBER(BD55),AD55-BD55,"")</f>
        <v>4</v>
      </c>
      <c r="BJ55" s="2"/>
      <c r="BK55" s="2"/>
      <c r="BL55" s="2"/>
      <c r="BM55" s="2"/>
      <c r="BN55" s="2"/>
      <c r="BO55" s="2"/>
      <c r="BP55" s="2"/>
    </row>
    <row r="56" customFormat="false" ht="15" hidden="false" customHeight="false" outlineLevel="0" collapsed="false">
      <c r="A56" s="2" t="n">
        <v>55</v>
      </c>
      <c r="B56" s="2" t="s">
        <v>660</v>
      </c>
      <c r="C56" s="2" t="s">
        <v>661</v>
      </c>
      <c r="D56" s="2" t="s">
        <v>562</v>
      </c>
      <c r="E56" s="2" t="s">
        <v>71</v>
      </c>
      <c r="F56" s="2" t="s">
        <v>662</v>
      </c>
      <c r="G56" s="2" t="s">
        <v>151</v>
      </c>
      <c r="H56" s="2" t="s">
        <v>480</v>
      </c>
      <c r="I56" s="2" t="s">
        <v>663</v>
      </c>
      <c r="J56" s="2" t="s">
        <v>664</v>
      </c>
      <c r="K56" s="2" t="s">
        <v>76</v>
      </c>
      <c r="L56" s="2" t="s">
        <v>76</v>
      </c>
      <c r="M56" s="2" t="s">
        <v>665</v>
      </c>
      <c r="N56" s="2" t="s">
        <v>78</v>
      </c>
      <c r="O56" s="2" t="s">
        <v>666</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667</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2" t="n">
        <f aca="false">COUNTIFS(guidance_agencies!$A$2:$A$81,$A56,guidance_agencies!$D$2:$D$81,"EDPB")</f>
        <v>0</v>
      </c>
      <c r="AQ56" s="2" t="n">
        <f aca="false">COUNTIFS(guidance_agencies!$A$2:$A$81,$A56,guidance_agencies!$D$2:$D$81,"EBA")</f>
        <v>0</v>
      </c>
      <c r="AR56" s="2" t="n">
        <f aca="false">COUNTIFS(guidance_agencies!$A$2:$A$81,$A56,guidance_agencies!$D$2:$D$81,"ESMA")</f>
        <v>1</v>
      </c>
      <c r="AS56" s="3" t="n">
        <f aca="false">SUMIFS(secondary_acts!$S$2:$S$771,secondary_acts!$A$2:$A$771,$A56,secondary_acts!$E$2:$E$771,"implementing")+SUMIFS(secondary_acts!$S$2:$S$771,secondary_acts!$A$2:$A$771,$A56,secondary_acts!$E$2:$E$771,"delegated")</f>
        <v>0</v>
      </c>
      <c r="AT56" s="3"/>
      <c r="AU56" s="2"/>
      <c r="AV56" s="2" t="n">
        <v>0</v>
      </c>
      <c r="AW56" s="2"/>
      <c r="AX56" s="2"/>
      <c r="AY56" s="2" t="n">
        <v>1</v>
      </c>
      <c r="AZ56" s="2" t="s">
        <v>668</v>
      </c>
      <c r="BA56" s="2" t="s">
        <v>147</v>
      </c>
      <c r="BB56" s="2" t="n">
        <v>12859</v>
      </c>
      <c r="BC56" s="2" t="n">
        <v>84</v>
      </c>
      <c r="BD56" s="2" t="n">
        <v>34</v>
      </c>
      <c r="BE56" s="2" t="n">
        <f aca="false">IF(ISNUMBER(BB56),Q56-BB56,"")</f>
        <v>8067</v>
      </c>
      <c r="BF56" s="4" t="n">
        <f aca="false">IF(AND(ISNUMBER(BB56),BB56&gt;0),(Q56-BB56)/BB56,"")</f>
        <v>0.627342717163076</v>
      </c>
      <c r="BG56" s="2" t="n">
        <f aca="false">IF(ISNUMBER(BC56),X56-BC56,"")</f>
        <v>94</v>
      </c>
      <c r="BH56" s="4" t="n">
        <f aca="false">IF(AND(ISNUMBER(BC56),BC56&gt;0),(X56-BC56)/BC56,"")</f>
        <v>1.11904761904762</v>
      </c>
      <c r="BI56" s="2" t="n">
        <f aca="false">IF(ISNUMBER(BD56),AD56-BD56,"")</f>
        <v>19</v>
      </c>
      <c r="BJ56" s="2"/>
      <c r="BK56" s="2"/>
      <c r="BL56" s="2"/>
      <c r="BM56" s="2"/>
      <c r="BN56" s="2"/>
      <c r="BO56" s="2"/>
      <c r="BP56" s="2" t="s">
        <v>110</v>
      </c>
    </row>
    <row r="57" customFormat="false" ht="15" hidden="false" customHeight="false" outlineLevel="0" collapsed="false">
      <c r="A57" s="2" t="n">
        <v>56</v>
      </c>
      <c r="B57" s="2" t="s">
        <v>669</v>
      </c>
      <c r="C57" s="2" t="s">
        <v>670</v>
      </c>
      <c r="D57" s="2" t="s">
        <v>236</v>
      </c>
      <c r="E57" s="2" t="s">
        <v>71</v>
      </c>
      <c r="F57" s="2" t="s">
        <v>662</v>
      </c>
      <c r="G57" s="2" t="s">
        <v>151</v>
      </c>
      <c r="H57" s="2" t="s">
        <v>671</v>
      </c>
      <c r="I57" s="2" t="s">
        <v>672</v>
      </c>
      <c r="J57" s="2" t="s">
        <v>673</v>
      </c>
      <c r="K57" s="2" t="s">
        <v>76</v>
      </c>
      <c r="L57" s="2" t="s">
        <v>76</v>
      </c>
      <c r="M57" s="2" t="s">
        <v>674</v>
      </c>
      <c r="N57" s="2" t="s">
        <v>78</v>
      </c>
      <c r="O57" s="2" t="s">
        <v>675</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676</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2" t="n">
        <f aca="false">COUNTIFS(guidance_agencies!$A$2:$A$81,$A57,guidance_agencies!$D$2:$D$81,"EDPB")</f>
        <v>0</v>
      </c>
      <c r="AQ57" s="2" t="n">
        <f aca="false">COUNTIFS(guidance_agencies!$A$2:$A$81,$A57,guidance_agencies!$D$2:$D$81,"EBA")</f>
        <v>7</v>
      </c>
      <c r="AR57" s="2" t="n">
        <f aca="false">COUNTIFS(guidance_agencies!$A$2:$A$81,$A57,guidance_agencies!$D$2:$D$81,"ESMA")</f>
        <v>7</v>
      </c>
      <c r="AS57" s="3" t="n">
        <f aca="false">SUMIFS(secondary_acts!$S$2:$S$771,secondary_acts!$A$2:$A$771,$A57,secondary_acts!$E$2:$E$771,"implementing")+SUMIFS(secondary_acts!$S$2:$S$771,secondary_acts!$A$2:$A$771,$A57,secondary_acts!$E$2:$E$771,"delegated")</f>
        <v>1340</v>
      </c>
      <c r="AT57" s="3"/>
      <c r="AU57" s="2"/>
      <c r="AV57" s="2" t="n">
        <v>1</v>
      </c>
      <c r="AW57" s="2" t="s">
        <v>677</v>
      </c>
      <c r="AX57" s="2" t="s">
        <v>677</v>
      </c>
      <c r="AY57" s="2" t="n">
        <v>6</v>
      </c>
      <c r="AZ57" s="2" t="s">
        <v>678</v>
      </c>
      <c r="BA57" s="2" t="s">
        <v>147</v>
      </c>
      <c r="BB57" s="2" t="n">
        <v>64264</v>
      </c>
      <c r="BC57" s="2" t="n">
        <v>766</v>
      </c>
      <c r="BD57" s="2" t="n">
        <v>335</v>
      </c>
      <c r="BE57" s="2" t="n">
        <f aca="false">IF(ISNUMBER(BB57),Q57-BB57,"")</f>
        <v>31324</v>
      </c>
      <c r="BF57" s="4" t="n">
        <f aca="false">IF(AND(ISNUMBER(BB57),BB57&gt;0),(Q57-BB57)/BB57,"")</f>
        <v>0.487426864185236</v>
      </c>
      <c r="BG57" s="2" t="n">
        <f aca="false">IF(ISNUMBER(BC57),X57-BC57,"")</f>
        <v>351</v>
      </c>
      <c r="BH57" s="4" t="n">
        <f aca="false">IF(AND(ISNUMBER(BC57),BC57&gt;0),(X57-BC57)/BC57,"")</f>
        <v>0.45822454308094</v>
      </c>
      <c r="BI57" s="2" t="n">
        <f aca="false">IF(ISNUMBER(BD57),AD57-BD57,"")</f>
        <v>109</v>
      </c>
      <c r="BJ57" s="2" t="s">
        <v>679</v>
      </c>
      <c r="BK57" s="2" t="s">
        <v>680</v>
      </c>
      <c r="BL57" s="2" t="n">
        <v>6</v>
      </c>
      <c r="BM57" s="2" t="n">
        <v>2</v>
      </c>
      <c r="BN57" s="2" t="n">
        <v>6</v>
      </c>
      <c r="BO57" s="2" t="n">
        <v>0</v>
      </c>
      <c r="BP57" s="2"/>
    </row>
    <row r="58" customFormat="false" ht="15" hidden="false" customHeight="false" outlineLevel="0" collapsed="false">
      <c r="A58" s="2" t="n">
        <v>57</v>
      </c>
      <c r="B58" s="2" t="s">
        <v>681</v>
      </c>
      <c r="C58" s="2" t="s">
        <v>682</v>
      </c>
      <c r="D58" s="2" t="s">
        <v>236</v>
      </c>
      <c r="E58" s="2" t="s">
        <v>71</v>
      </c>
      <c r="F58" s="2" t="s">
        <v>662</v>
      </c>
      <c r="G58" s="2" t="s">
        <v>151</v>
      </c>
      <c r="H58" s="2" t="s">
        <v>337</v>
      </c>
      <c r="I58" s="2" t="s">
        <v>683</v>
      </c>
      <c r="J58" s="2" t="s">
        <v>684</v>
      </c>
      <c r="K58" s="2" t="s">
        <v>76</v>
      </c>
      <c r="L58" s="2" t="s">
        <v>76</v>
      </c>
      <c r="M58" s="2" t="s">
        <v>685</v>
      </c>
      <c r="N58" s="2" t="s">
        <v>78</v>
      </c>
      <c r="O58" s="2" t="s">
        <v>686</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687</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2" t="n">
        <f aca="false">COUNTIFS(guidance_agencies!$A$2:$A$81,$A58,guidance_agencies!$D$2:$D$81,"EDPB")</f>
        <v>0</v>
      </c>
      <c r="AQ58" s="2" t="n">
        <f aca="false">COUNTIFS(guidance_agencies!$A$2:$A$81,$A58,guidance_agencies!$D$2:$D$81,"EBA")</f>
        <v>2</v>
      </c>
      <c r="AR58" s="2" t="n">
        <f aca="false">COUNTIFS(guidance_agencies!$A$2:$A$81,$A58,guidance_agencies!$D$2:$D$81,"ESMA")</f>
        <v>0</v>
      </c>
      <c r="AS58" s="3" t="n">
        <f aca="false">SUMIFS(secondary_acts!$S$2:$S$771,secondary_acts!$A$2:$A$771,$A58,secondary_acts!$E$2:$E$771,"implementing")+SUMIFS(secondary_acts!$S$2:$S$771,secondary_acts!$A$2:$A$771,$A58,secondary_acts!$E$2:$E$771,"delegated")</f>
        <v>828</v>
      </c>
      <c r="AT58" s="3"/>
      <c r="AU58" s="2"/>
      <c r="AV58" s="2" t="n">
        <v>0</v>
      </c>
      <c r="AW58" s="2"/>
      <c r="AX58" s="2"/>
      <c r="AY58" s="2" t="n">
        <v>9</v>
      </c>
      <c r="AZ58" s="2" t="s">
        <v>688</v>
      </c>
      <c r="BA58" s="2" t="s">
        <v>147</v>
      </c>
      <c r="BB58" s="2" t="n">
        <v>35110</v>
      </c>
      <c r="BC58" s="2" t="n">
        <v>323</v>
      </c>
      <c r="BD58" s="2" t="n">
        <v>162</v>
      </c>
      <c r="BE58" s="2" t="n">
        <f aca="false">IF(ISNUMBER(BB58),Q58-BB58,"")</f>
        <v>8833</v>
      </c>
      <c r="BF58" s="4" t="n">
        <f aca="false">IF(AND(ISNUMBER(BB58),BB58&gt;0),(Q58-BB58)/BB58,"")</f>
        <v>0.251580746226146</v>
      </c>
      <c r="BG58" s="2" t="n">
        <f aca="false">IF(ISNUMBER(BC58),X58-BC58,"")</f>
        <v>108</v>
      </c>
      <c r="BH58" s="4" t="n">
        <f aca="false">IF(AND(ISNUMBER(BC58),BC58&gt;0),(X58-BC58)/BC58,"")</f>
        <v>0.334365325077399</v>
      </c>
      <c r="BI58" s="2" t="n">
        <f aca="false">IF(ISNUMBER(BD58),AD58-BD58,"")</f>
        <v>23</v>
      </c>
      <c r="BJ58" s="2" t="s">
        <v>689</v>
      </c>
      <c r="BK58" s="2" t="s">
        <v>690</v>
      </c>
      <c r="BL58" s="2" t="n">
        <v>5</v>
      </c>
      <c r="BM58" s="2" t="n">
        <v>2</v>
      </c>
      <c r="BN58" s="2" t="n">
        <v>6</v>
      </c>
      <c r="BO58" s="2" t="n">
        <v>0</v>
      </c>
      <c r="BP58" s="2" t="s">
        <v>110</v>
      </c>
    </row>
    <row r="59" customFormat="false" ht="15" hidden="false" customHeight="false" outlineLevel="0" collapsed="false">
      <c r="A59" s="2" t="n">
        <v>58</v>
      </c>
      <c r="B59" s="2" t="s">
        <v>691</v>
      </c>
      <c r="C59" s="2" t="s">
        <v>692</v>
      </c>
      <c r="D59" s="2" t="s">
        <v>176</v>
      </c>
      <c r="E59" s="2" t="s">
        <v>71</v>
      </c>
      <c r="F59" s="2" t="s">
        <v>693</v>
      </c>
      <c r="G59" s="2" t="s">
        <v>151</v>
      </c>
      <c r="H59" s="2" t="s">
        <v>480</v>
      </c>
      <c r="I59" s="2" t="s">
        <v>694</v>
      </c>
      <c r="J59" s="2" t="s">
        <v>695</v>
      </c>
      <c r="K59" s="2" t="s">
        <v>76</v>
      </c>
      <c r="L59" s="2" t="s">
        <v>76</v>
      </c>
      <c r="M59" s="2" t="s">
        <v>696</v>
      </c>
      <c r="N59" s="2" t="s">
        <v>78</v>
      </c>
      <c r="O59" s="2" t="s">
        <v>697</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698</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2" t="n">
        <f aca="false">COUNTIFS(guidance_agencies!$A$2:$A$81,$A59,guidance_agencies!$D$2:$D$81,"EDPB")</f>
        <v>0</v>
      </c>
      <c r="AQ59" s="2" t="n">
        <f aca="false">COUNTIFS(guidance_agencies!$A$2:$A$81,$A59,guidance_agencies!$D$2:$D$81,"EBA")</f>
        <v>0</v>
      </c>
      <c r="AR59" s="2" t="n">
        <f aca="false">COUNTIFS(guidance_agencies!$A$2:$A$81,$A59,guidance_agencies!$D$2:$D$81,"ESMA")</f>
        <v>0</v>
      </c>
      <c r="AS59" s="3" t="n">
        <f aca="false">SUMIFS(secondary_acts!$S$2:$S$771,secondary_acts!$A$2:$A$771,$A59,secondary_acts!$E$2:$E$771,"implementing")+SUMIFS(secondary_acts!$S$2:$S$771,secondary_acts!$A$2:$A$771,$A59,secondary_acts!$E$2:$E$771,"delegated")</f>
        <v>7</v>
      </c>
      <c r="AT59" s="3"/>
      <c r="AU59" s="2"/>
      <c r="AV59" s="2" t="n">
        <v>0</v>
      </c>
      <c r="AW59" s="2"/>
      <c r="AX59" s="2"/>
      <c r="AY59" s="2" t="n">
        <v>6</v>
      </c>
      <c r="AZ59" s="2" t="s">
        <v>699</v>
      </c>
      <c r="BA59" s="2" t="s">
        <v>147</v>
      </c>
      <c r="BB59" s="2" t="n">
        <v>15916</v>
      </c>
      <c r="BC59" s="2" t="n">
        <v>143</v>
      </c>
      <c r="BD59" s="2" t="n">
        <v>28</v>
      </c>
      <c r="BE59" s="2" t="n">
        <f aca="false">IF(ISNUMBER(BB59),Q59-BB59,"")</f>
        <v>11090</v>
      </c>
      <c r="BF59" s="4" t="n">
        <f aca="false">IF(AND(ISNUMBER(BB59),BB59&gt;0),(Q59-BB59)/BB59,"")</f>
        <v>0.696783111334506</v>
      </c>
      <c r="BG59" s="2" t="n">
        <f aca="false">IF(ISNUMBER(BC59),X59-BC59,"")</f>
        <v>72</v>
      </c>
      <c r="BH59" s="4" t="n">
        <f aca="false">IF(AND(ISNUMBER(BC59),BC59&gt;0),(X59-BC59)/BC59,"")</f>
        <v>0.503496503496504</v>
      </c>
      <c r="BI59" s="2" t="n">
        <f aca="false">IF(ISNUMBER(BD59),AD59-BD59,"")</f>
        <v>26</v>
      </c>
      <c r="BJ59" s="2" t="s">
        <v>700</v>
      </c>
      <c r="BK59" s="2" t="s">
        <v>701</v>
      </c>
      <c r="BL59" s="2" t="n">
        <v>5</v>
      </c>
      <c r="BM59" s="2" t="n">
        <v>3</v>
      </c>
      <c r="BN59" s="2" t="n">
        <v>6</v>
      </c>
      <c r="BO59" s="2" t="n">
        <v>0</v>
      </c>
      <c r="BP59" s="2" t="s">
        <v>110</v>
      </c>
    </row>
    <row r="60" customFormat="false" ht="15" hidden="false" customHeight="false" outlineLevel="0" collapsed="false">
      <c r="A60" s="2" t="n">
        <v>59</v>
      </c>
      <c r="B60" s="2" t="s">
        <v>702</v>
      </c>
      <c r="C60" s="2" t="s">
        <v>703</v>
      </c>
      <c r="D60" s="2" t="s">
        <v>200</v>
      </c>
      <c r="E60" s="2" t="s">
        <v>71</v>
      </c>
      <c r="F60" s="2" t="s">
        <v>704</v>
      </c>
      <c r="G60" s="2" t="s">
        <v>151</v>
      </c>
      <c r="H60" s="2" t="s">
        <v>705</v>
      </c>
      <c r="I60" s="2" t="s">
        <v>706</v>
      </c>
      <c r="J60" s="2" t="s">
        <v>707</v>
      </c>
      <c r="K60" s="2" t="s">
        <v>76</v>
      </c>
      <c r="L60" s="2" t="s">
        <v>76</v>
      </c>
      <c r="M60" s="2" t="s">
        <v>708</v>
      </c>
      <c r="N60" s="2" t="s">
        <v>78</v>
      </c>
      <c r="O60" s="2" t="s">
        <v>709</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710</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2" t="n">
        <f aca="false">COUNTIFS(guidance_agencies!$A$2:$A$81,$A60,guidance_agencies!$D$2:$D$81,"EDPB")</f>
        <v>0</v>
      </c>
      <c r="AQ60" s="2" t="n">
        <f aca="false">COUNTIFS(guidance_agencies!$A$2:$A$81,$A60,guidance_agencies!$D$2:$D$81,"EBA")</f>
        <v>0</v>
      </c>
      <c r="AR60" s="2" t="n">
        <f aca="false">COUNTIFS(guidance_agencies!$A$2:$A$81,$A60,guidance_agencies!$D$2:$D$81,"ESMA")</f>
        <v>0</v>
      </c>
      <c r="AS60" s="3" t="n">
        <f aca="false">SUMIFS(secondary_acts!$S$2:$S$771,secondary_acts!$A$2:$A$771,$A60,secondary_acts!$E$2:$E$771,"implementing")+SUMIFS(secondary_acts!$S$2:$S$771,secondary_acts!$A$2:$A$771,$A60,secondary_acts!$E$2:$E$771,"delegated")</f>
        <v>72</v>
      </c>
      <c r="AT60" s="3"/>
      <c r="AU60" s="2"/>
      <c r="AV60" s="2" t="n">
        <v>0</v>
      </c>
      <c r="AW60" s="2"/>
      <c r="AX60" s="2"/>
      <c r="AY60" s="2" t="n">
        <v>3</v>
      </c>
      <c r="AZ60" s="2" t="s">
        <v>711</v>
      </c>
      <c r="BA60" s="2" t="s">
        <v>147</v>
      </c>
      <c r="BB60" s="2" t="n">
        <v>21090</v>
      </c>
      <c r="BC60" s="2" t="n">
        <v>141</v>
      </c>
      <c r="BD60" s="2" t="n">
        <v>40</v>
      </c>
      <c r="BE60" s="2" t="n">
        <f aca="false">IF(ISNUMBER(BB60),Q60-BB60,"")</f>
        <v>17938</v>
      </c>
      <c r="BF60" s="4" t="n">
        <f aca="false">IF(AND(ISNUMBER(BB60),BB60&gt;0),(Q60-BB60)/BB60,"")</f>
        <v>0.85054528212423</v>
      </c>
      <c r="BG60" s="2" t="n">
        <f aca="false">IF(ISNUMBER(BC60),X60-BC60,"")</f>
        <v>140</v>
      </c>
      <c r="BH60" s="4" t="n">
        <f aca="false">IF(AND(ISNUMBER(BC60),BC60&gt;0),(X60-BC60)/BC60,"")</f>
        <v>0.99290780141844</v>
      </c>
      <c r="BI60" s="2" t="n">
        <f aca="false">IF(ISNUMBER(BD60),AD60-BD60,"")</f>
        <v>71</v>
      </c>
      <c r="BJ60" s="2" t="s">
        <v>712</v>
      </c>
      <c r="BK60" s="2" t="s">
        <v>713</v>
      </c>
      <c r="BL60" s="2" t="n">
        <v>10</v>
      </c>
      <c r="BM60" s="2" t="n">
        <v>4</v>
      </c>
      <c r="BN60" s="2" t="n">
        <v>16</v>
      </c>
      <c r="BO60" s="2" t="n">
        <v>5</v>
      </c>
      <c r="BP60" s="2"/>
    </row>
    <row r="61" customFormat="false" ht="15" hidden="false" customHeight="false" outlineLevel="0" collapsed="false">
      <c r="A61" s="2" t="n">
        <v>60</v>
      </c>
      <c r="B61" s="2" t="s">
        <v>714</v>
      </c>
      <c r="C61" s="2" t="s">
        <v>715</v>
      </c>
      <c r="D61" s="2" t="s">
        <v>86</v>
      </c>
      <c r="E61" s="2" t="s">
        <v>71</v>
      </c>
      <c r="F61" s="2" t="s">
        <v>704</v>
      </c>
      <c r="G61" s="2" t="s">
        <v>151</v>
      </c>
      <c r="H61" s="2" t="s">
        <v>170</v>
      </c>
      <c r="I61" s="2" t="s">
        <v>716</v>
      </c>
      <c r="J61" s="2" t="s">
        <v>717</v>
      </c>
      <c r="K61" s="2" t="s">
        <v>76</v>
      </c>
      <c r="L61" s="2" t="s">
        <v>76</v>
      </c>
      <c r="M61" s="2" t="s">
        <v>718</v>
      </c>
      <c r="N61" s="2" t="s">
        <v>78</v>
      </c>
      <c r="O61" s="2" t="s">
        <v>719</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720</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2" t="n">
        <f aca="false">COUNTIFS(guidance_agencies!$A$2:$A$81,$A61,guidance_agencies!$D$2:$D$81,"EDPB")</f>
        <v>1</v>
      </c>
      <c r="AQ61" s="2" t="n">
        <f aca="false">COUNTIFS(guidance_agencies!$A$2:$A$81,$A61,guidance_agencies!$D$2:$D$81,"EBA")</f>
        <v>0</v>
      </c>
      <c r="AR61" s="2" t="n">
        <f aca="false">COUNTIFS(guidance_agencies!$A$2:$A$81,$A61,guidance_agencies!$D$2:$D$81,"ESMA")</f>
        <v>0</v>
      </c>
      <c r="AS61" s="3" t="n">
        <f aca="false">SUMIFS(secondary_acts!$S$2:$S$771,secondary_acts!$A$2:$A$771,$A61,secondary_acts!$E$2:$E$771,"implementing")+SUMIFS(secondary_acts!$S$2:$S$771,secondary_acts!$A$2:$A$771,$A61,secondary_acts!$E$2:$E$771,"delegated")</f>
        <v>543</v>
      </c>
      <c r="AT61" s="3"/>
      <c r="AU61" s="2"/>
      <c r="AV61" s="2" t="n">
        <v>0</v>
      </c>
      <c r="AW61" s="2"/>
      <c r="AX61" s="2"/>
      <c r="AY61" s="2" t="n">
        <v>10</v>
      </c>
      <c r="AZ61" s="2" t="s">
        <v>721</v>
      </c>
      <c r="BA61" s="2" t="s">
        <v>147</v>
      </c>
      <c r="BB61" s="2" t="n">
        <v>33588</v>
      </c>
      <c r="BC61" s="2" t="n">
        <v>284</v>
      </c>
      <c r="BD61" s="2" t="n">
        <v>84</v>
      </c>
      <c r="BE61" s="2" t="n">
        <f aca="false">IF(ISNUMBER(BB61),Q61-BB61,"")</f>
        <v>29037</v>
      </c>
      <c r="BF61" s="4" t="n">
        <f aca="false">IF(AND(ISNUMBER(BB61),BB61&gt;0),(Q61-BB61)/BB61,"")</f>
        <v>0.864505180421579</v>
      </c>
      <c r="BG61" s="2" t="n">
        <f aca="false">IF(ISNUMBER(BC61),X61-BC61,"")</f>
        <v>195</v>
      </c>
      <c r="BH61" s="4" t="n">
        <f aca="false">IF(AND(ISNUMBER(BC61),BC61&gt;0),(X61-BC61)/BC61,"")</f>
        <v>0.686619718309859</v>
      </c>
      <c r="BI61" s="2" t="n">
        <f aca="false">IF(ISNUMBER(BD61),AD61-BD61,"")</f>
        <v>55</v>
      </c>
      <c r="BJ61" s="2" t="s">
        <v>722</v>
      </c>
      <c r="BK61" s="2" t="s">
        <v>723</v>
      </c>
      <c r="BL61" s="2" t="n">
        <v>3</v>
      </c>
      <c r="BM61" s="2" t="n">
        <v>1</v>
      </c>
      <c r="BN61" s="2" t="n">
        <v>4</v>
      </c>
      <c r="BO61" s="2" t="n">
        <v>0</v>
      </c>
      <c r="BP61" s="2" t="s">
        <v>110</v>
      </c>
    </row>
    <row r="62" customFormat="false" ht="15" hidden="false" customHeight="false" outlineLevel="0" collapsed="false">
      <c r="A62" s="2" t="n">
        <v>61</v>
      </c>
      <c r="B62" s="2" t="s">
        <v>724</v>
      </c>
      <c r="C62" s="2" t="s">
        <v>725</v>
      </c>
      <c r="D62" s="2" t="s">
        <v>485</v>
      </c>
      <c r="E62" s="2" t="s">
        <v>71</v>
      </c>
      <c r="F62" s="2" t="s">
        <v>726</v>
      </c>
      <c r="G62" s="2" t="s">
        <v>151</v>
      </c>
      <c r="H62" s="2" t="s">
        <v>337</v>
      </c>
      <c r="I62" s="2" t="s">
        <v>683</v>
      </c>
      <c r="J62" s="2" t="s">
        <v>684</v>
      </c>
      <c r="K62" s="2" t="s">
        <v>76</v>
      </c>
      <c r="L62" s="2" t="s">
        <v>76</v>
      </c>
      <c r="M62" s="2" t="s">
        <v>727</v>
      </c>
      <c r="N62" s="2" t="s">
        <v>78</v>
      </c>
      <c r="O62" s="2" t="s">
        <v>728</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729</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2" t="n">
        <f aca="false">COUNTIFS(guidance_agencies!$A$2:$A$81,$A62,guidance_agencies!$D$2:$D$81,"EDPB")</f>
        <v>0</v>
      </c>
      <c r="AQ62" s="2" t="n">
        <f aca="false">COUNTIFS(guidance_agencies!$A$2:$A$81,$A62,guidance_agencies!$D$2:$D$81,"EBA")</f>
        <v>0</v>
      </c>
      <c r="AR62" s="2" t="n">
        <f aca="false">COUNTIFS(guidance_agencies!$A$2:$A$81,$A62,guidance_agencies!$D$2:$D$81,"ESMA")</f>
        <v>0</v>
      </c>
      <c r="AS62" s="3" t="n">
        <f aca="false">SUMIFS(secondary_acts!$S$2:$S$771,secondary_acts!$A$2:$A$771,$A62,secondary_acts!$E$2:$E$771,"implementing")+SUMIFS(secondary_acts!$S$2:$S$771,secondary_acts!$A$2:$A$771,$A62,secondary_acts!$E$2:$E$771,"delegated")</f>
        <v>219</v>
      </c>
      <c r="AT62" s="3" t="n">
        <v>3232</v>
      </c>
      <c r="AU62" s="2" t="n">
        <v>25</v>
      </c>
      <c r="AV62" s="2" t="n">
        <v>0</v>
      </c>
      <c r="AW62" s="2"/>
      <c r="AX62" s="2"/>
      <c r="AY62" s="2" t="n">
        <v>9</v>
      </c>
      <c r="AZ62" s="2" t="s">
        <v>730</v>
      </c>
      <c r="BA62" s="2" t="s">
        <v>147</v>
      </c>
      <c r="BB62" s="2" t="n">
        <v>31823</v>
      </c>
      <c r="BC62" s="2" t="n">
        <v>227</v>
      </c>
      <c r="BD62" s="2" t="n">
        <v>12</v>
      </c>
      <c r="BE62" s="2" t="n">
        <f aca="false">IF(ISNUMBER(BB62),Q62-BB62,"")</f>
        <v>8397</v>
      </c>
      <c r="BF62" s="4" t="n">
        <f aca="false">IF(AND(ISNUMBER(BB62),BB62&gt;0),(Q62-BB62)/BB62,"")</f>
        <v>0.263865757471012</v>
      </c>
      <c r="BG62" s="2" t="n">
        <f aca="false">IF(ISNUMBER(BC62),X62-BC62,"")</f>
        <v>61</v>
      </c>
      <c r="BH62" s="4" t="n">
        <f aca="false">IF(AND(ISNUMBER(BC62),BC62&gt;0),(X62-BC62)/BC62,"")</f>
        <v>0.268722466960352</v>
      </c>
      <c r="BI62" s="2" t="n">
        <f aca="false">IF(ISNUMBER(BD62),AD62-BD62,"")</f>
        <v>-1</v>
      </c>
      <c r="BJ62" s="2" t="s">
        <v>731</v>
      </c>
      <c r="BK62" s="2" t="s">
        <v>732</v>
      </c>
      <c r="BL62" s="2" t="n">
        <v>5</v>
      </c>
      <c r="BM62" s="2" t="n">
        <v>3</v>
      </c>
      <c r="BN62" s="2" t="n">
        <v>8</v>
      </c>
      <c r="BO62" s="2" t="n">
        <v>0</v>
      </c>
      <c r="BP62" s="2"/>
    </row>
    <row r="63" customFormat="false" ht="15" hidden="false" customHeight="false" outlineLevel="0" collapsed="false">
      <c r="A63" s="2" t="n">
        <v>62</v>
      </c>
      <c r="B63" s="2" t="s">
        <v>733</v>
      </c>
      <c r="C63" s="2" t="s">
        <v>734</v>
      </c>
      <c r="D63" s="2" t="s">
        <v>575</v>
      </c>
      <c r="E63" s="2" t="s">
        <v>71</v>
      </c>
      <c r="F63" s="2" t="s">
        <v>735</v>
      </c>
      <c r="G63" s="2" t="s">
        <v>151</v>
      </c>
      <c r="H63" s="2" t="s">
        <v>736</v>
      </c>
      <c r="I63" s="2" t="s">
        <v>737</v>
      </c>
      <c r="J63" s="2" t="s">
        <v>737</v>
      </c>
      <c r="K63" s="2" t="s">
        <v>76</v>
      </c>
      <c r="L63" s="2" t="s">
        <v>76</v>
      </c>
      <c r="M63" s="2" t="s">
        <v>738</v>
      </c>
      <c r="N63" s="2" t="s">
        <v>78</v>
      </c>
      <c r="O63" s="2" t="s">
        <v>739</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740</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2" t="n">
        <f aca="false">COUNTIFS(guidance_agencies!$A$2:$A$81,$A63,guidance_agencies!$D$2:$D$81,"EDPB")</f>
        <v>0</v>
      </c>
      <c r="AQ63" s="2" t="n">
        <f aca="false">COUNTIFS(guidance_agencies!$A$2:$A$81,$A63,guidance_agencies!$D$2:$D$81,"EBA")</f>
        <v>0</v>
      </c>
      <c r="AR63" s="2" t="n">
        <f aca="false">COUNTIFS(guidance_agencies!$A$2:$A$81,$A63,guidance_agencies!$D$2:$D$81,"ESMA")</f>
        <v>0</v>
      </c>
      <c r="AS63" s="3" t="n">
        <f aca="false">SUMIFS(secondary_acts!$S$2:$S$771,secondary_acts!$A$2:$A$771,$A63,secondary_acts!$E$2:$E$771,"implementing")+SUMIFS(secondary_acts!$S$2:$S$771,secondary_acts!$A$2:$A$771,$A63,secondary_acts!$E$2:$E$771,"delegated")</f>
        <v>0</v>
      </c>
      <c r="AT63" s="3"/>
      <c r="AU63" s="2"/>
      <c r="AV63" s="2" t="n">
        <v>1</v>
      </c>
      <c r="AW63" s="2" t="s">
        <v>741</v>
      </c>
      <c r="AX63" s="2" t="s">
        <v>741</v>
      </c>
      <c r="AY63" s="2" t="n">
        <v>1</v>
      </c>
      <c r="AZ63" s="2" t="s">
        <v>742</v>
      </c>
      <c r="BA63" s="2" t="s">
        <v>147</v>
      </c>
      <c r="BB63" s="2" t="n">
        <v>46901</v>
      </c>
      <c r="BC63" s="2" t="n">
        <v>523</v>
      </c>
      <c r="BD63" s="2" t="n">
        <v>11</v>
      </c>
      <c r="BE63" s="2" t="n">
        <f aca="false">IF(ISNUMBER(BB63),Q63-BB63,"")</f>
        <v>3748</v>
      </c>
      <c r="BF63" s="4" t="n">
        <f aca="false">IF(AND(ISNUMBER(BB63),BB63&gt;0),(Q63-BB63)/BB63,"")</f>
        <v>0.0799130082514232</v>
      </c>
      <c r="BG63" s="2" t="n">
        <f aca="false">IF(ISNUMBER(BC63),X63-BC63,"")</f>
        <v>30</v>
      </c>
      <c r="BH63" s="4" t="n">
        <f aca="false">IF(AND(ISNUMBER(BC63),BC63&gt;0),(X63-BC63)/BC63,"")</f>
        <v>0.0573613766730402</v>
      </c>
      <c r="BI63" s="2" t="n">
        <f aca="false">IF(ISNUMBER(BD63),AD63-BD63,"")</f>
        <v>2</v>
      </c>
      <c r="BJ63" s="2"/>
      <c r="BK63" s="2"/>
      <c r="BL63" s="2"/>
      <c r="BM63" s="2"/>
      <c r="BN63" s="2"/>
      <c r="BO63" s="2"/>
      <c r="BP63" s="2"/>
    </row>
    <row r="64" customFormat="false" ht="15" hidden="false" customHeight="false" outlineLevel="0" collapsed="false">
      <c r="A64" s="2" t="n">
        <v>63</v>
      </c>
      <c r="B64" s="2" t="s">
        <v>743</v>
      </c>
      <c r="C64" s="2" t="s">
        <v>744</v>
      </c>
      <c r="D64" s="2" t="s">
        <v>70</v>
      </c>
      <c r="E64" s="2" t="s">
        <v>71</v>
      </c>
      <c r="F64" s="2" t="s">
        <v>745</v>
      </c>
      <c r="G64" s="2" t="s">
        <v>151</v>
      </c>
      <c r="H64" s="2" t="s">
        <v>746</v>
      </c>
      <c r="I64" s="2" t="s">
        <v>747</v>
      </c>
      <c r="J64" s="2" t="s">
        <v>748</v>
      </c>
      <c r="K64" s="2" t="s">
        <v>76</v>
      </c>
      <c r="L64" s="2" t="s">
        <v>76</v>
      </c>
      <c r="M64" s="2" t="s">
        <v>749</v>
      </c>
      <c r="N64" s="2" t="s">
        <v>78</v>
      </c>
      <c r="O64" s="2" t="s">
        <v>750</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751</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2" t="n">
        <f aca="false">COUNTIFS(guidance_agencies!$A$2:$A$81,$A64,guidance_agencies!$D$2:$D$81,"EDPB")</f>
        <v>0</v>
      </c>
      <c r="AQ64" s="2" t="n">
        <f aca="false">COUNTIFS(guidance_agencies!$A$2:$A$81,$A64,guidance_agencies!$D$2:$D$81,"EBA")</f>
        <v>0</v>
      </c>
      <c r="AR64" s="2" t="n">
        <f aca="false">COUNTIFS(guidance_agencies!$A$2:$A$81,$A64,guidance_agencies!$D$2:$D$81,"ESMA")</f>
        <v>0</v>
      </c>
      <c r="AS64" s="3" t="n">
        <f aca="false">SUMIFS(secondary_acts!$S$2:$S$771,secondary_acts!$A$2:$A$771,$A64,secondary_acts!$E$2:$E$771,"implementing")+SUMIFS(secondary_acts!$S$2:$S$771,secondary_acts!$A$2:$A$771,$A64,secondary_acts!$E$2:$E$771,"delegated")</f>
        <v>0</v>
      </c>
      <c r="AT64" s="3"/>
      <c r="AU64" s="2"/>
      <c r="AV64" s="2" t="n">
        <v>0</v>
      </c>
      <c r="AW64" s="2"/>
      <c r="AX64" s="2"/>
      <c r="AY64" s="2" t="n">
        <v>2</v>
      </c>
      <c r="AZ64" s="2" t="s">
        <v>752</v>
      </c>
      <c r="BA64" s="2" t="s">
        <v>147</v>
      </c>
      <c r="BB64" s="2" t="n">
        <v>29549</v>
      </c>
      <c r="BC64" s="2" t="n">
        <v>184</v>
      </c>
      <c r="BD64" s="2" t="n">
        <v>64</v>
      </c>
      <c r="BE64" s="2" t="n">
        <f aca="false">IF(ISNUMBER(BB64),Q64-BB64,"")</f>
        <v>-7057</v>
      </c>
      <c r="BF64" s="4" t="n">
        <f aca="false">IF(AND(ISNUMBER(BB64),BB64&gt;0),(Q64-BB64)/BB64,"")</f>
        <v>-0.238823648854445</v>
      </c>
      <c r="BG64" s="2" t="n">
        <f aca="false">IF(ISNUMBER(BC64),X64-BC64,"")</f>
        <v>-22</v>
      </c>
      <c r="BH64" s="4" t="n">
        <f aca="false">IF(AND(ISNUMBER(BC64),BC64&gt;0),(X64-BC64)/BC64,"")</f>
        <v>-0.119565217391304</v>
      </c>
      <c r="BI64" s="2" t="n">
        <f aca="false">IF(ISNUMBER(BD64),AD64-BD64,"")</f>
        <v>-4</v>
      </c>
      <c r="BJ64" s="2" t="s">
        <v>753</v>
      </c>
      <c r="BK64" s="2" t="s">
        <v>754</v>
      </c>
      <c r="BL64" s="2" t="n">
        <v>4</v>
      </c>
      <c r="BM64" s="2" t="n">
        <v>4</v>
      </c>
      <c r="BN64" s="2" t="n">
        <v>7</v>
      </c>
      <c r="BO64" s="2" t="n">
        <v>0</v>
      </c>
      <c r="BP64" s="2" t="s">
        <v>110</v>
      </c>
    </row>
    <row r="65" customFormat="false" ht="15" hidden="false" customHeight="false" outlineLevel="0" collapsed="false">
      <c r="A65" s="2" t="n">
        <v>64</v>
      </c>
      <c r="B65" s="2" t="s">
        <v>755</v>
      </c>
      <c r="C65" s="2" t="s">
        <v>756</v>
      </c>
      <c r="D65" s="2" t="s">
        <v>273</v>
      </c>
      <c r="E65" s="2" t="s">
        <v>71</v>
      </c>
      <c r="F65" s="2" t="s">
        <v>757</v>
      </c>
      <c r="G65" s="2" t="s">
        <v>151</v>
      </c>
      <c r="H65" s="2" t="s">
        <v>402</v>
      </c>
      <c r="I65" s="2" t="s">
        <v>758</v>
      </c>
      <c r="J65" s="2" t="s">
        <v>759</v>
      </c>
      <c r="K65" s="2" t="s">
        <v>76</v>
      </c>
      <c r="L65" s="2" t="s">
        <v>76</v>
      </c>
      <c r="M65" s="2" t="s">
        <v>760</v>
      </c>
      <c r="N65" s="2" t="s">
        <v>78</v>
      </c>
      <c r="O65" s="2" t="s">
        <v>761</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762</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2" t="n">
        <f aca="false">COUNTIFS(guidance_agencies!$A$2:$A$81,$A65,guidance_agencies!$D$2:$D$81,"EDPB")</f>
        <v>0</v>
      </c>
      <c r="AQ65" s="2" t="n">
        <f aca="false">COUNTIFS(guidance_agencies!$A$2:$A$81,$A65,guidance_agencies!$D$2:$D$81,"EBA")</f>
        <v>0</v>
      </c>
      <c r="AR65" s="2" t="n">
        <f aca="false">COUNTIFS(guidance_agencies!$A$2:$A$81,$A65,guidance_agencies!$D$2:$D$81,"ESMA")</f>
        <v>0</v>
      </c>
      <c r="AS65" s="3" t="n">
        <f aca="false">SUMIFS(secondary_acts!$S$2:$S$771,secondary_acts!$A$2:$A$771,$A65,secondary_acts!$E$2:$E$771,"implementing")+SUMIFS(secondary_acts!$S$2:$S$771,secondary_acts!$A$2:$A$771,$A65,secondary_acts!$E$2:$E$771,"delegated")</f>
        <v>159</v>
      </c>
      <c r="AT65" s="3"/>
      <c r="AU65" s="2"/>
      <c r="AV65" s="2" t="n">
        <v>1</v>
      </c>
      <c r="AW65" s="2" t="s">
        <v>528</v>
      </c>
      <c r="AX65" s="2" t="s">
        <v>528</v>
      </c>
      <c r="AY65" s="2" t="n">
        <v>4</v>
      </c>
      <c r="AZ65" s="2" t="s">
        <v>763</v>
      </c>
      <c r="BA65" s="2" t="s">
        <v>147</v>
      </c>
      <c r="BB65" s="2" t="n">
        <v>38412</v>
      </c>
      <c r="BC65" s="2" t="n">
        <v>394</v>
      </c>
      <c r="BD65" s="2" t="n">
        <v>126</v>
      </c>
      <c r="BE65" s="2" t="n">
        <f aca="false">IF(ISNUMBER(BB65),Q65-BB65,"")</f>
        <v>50096</v>
      </c>
      <c r="BF65" s="4" t="n">
        <f aca="false">IF(AND(ISNUMBER(BB65),BB65&gt;0),(Q65-BB65)/BB65,"")</f>
        <v>1.30417577840258</v>
      </c>
      <c r="BG65" s="2" t="n">
        <f aca="false">IF(ISNUMBER(BC65),X65-BC65,"")</f>
        <v>373</v>
      </c>
      <c r="BH65" s="4" t="n">
        <f aca="false">IF(AND(ISNUMBER(BC65),BC65&gt;0),(X65-BC65)/BC65,"")</f>
        <v>0.946700507614213</v>
      </c>
      <c r="BI65" s="2" t="n">
        <f aca="false">IF(ISNUMBER(BD65),AD65-BD65,"")</f>
        <v>91</v>
      </c>
      <c r="BJ65" s="2" t="s">
        <v>764</v>
      </c>
      <c r="BK65" s="2" t="s">
        <v>765</v>
      </c>
      <c r="BL65" s="2" t="n">
        <v>4</v>
      </c>
      <c r="BM65" s="2" t="n">
        <v>1</v>
      </c>
      <c r="BN65" s="2" t="n">
        <v>4</v>
      </c>
      <c r="BO65" s="2" t="n">
        <v>0</v>
      </c>
      <c r="BP65" s="2"/>
    </row>
    <row r="66" customFormat="false" ht="15" hidden="false" customHeight="false" outlineLevel="0" collapsed="false">
      <c r="A66" s="2" t="n">
        <v>65</v>
      </c>
      <c r="B66" s="2" t="s">
        <v>766</v>
      </c>
      <c r="C66" s="2" t="s">
        <v>767</v>
      </c>
      <c r="D66" s="2" t="s">
        <v>273</v>
      </c>
      <c r="E66" s="2" t="s">
        <v>71</v>
      </c>
      <c r="F66" s="2" t="s">
        <v>757</v>
      </c>
      <c r="G66" s="2" t="s">
        <v>151</v>
      </c>
      <c r="H66" s="2" t="s">
        <v>768</v>
      </c>
      <c r="I66" s="2" t="s">
        <v>673</v>
      </c>
      <c r="J66" s="2" t="s">
        <v>769</v>
      </c>
      <c r="K66" s="2" t="s">
        <v>76</v>
      </c>
      <c r="L66" s="2" t="s">
        <v>76</v>
      </c>
      <c r="M66" s="2" t="s">
        <v>770</v>
      </c>
      <c r="N66" s="2" t="s">
        <v>78</v>
      </c>
      <c r="O66" s="2" t="s">
        <v>771</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772</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2" t="n">
        <f aca="false">COUNTIFS(guidance_agencies!$A$2:$A$81,$A66,guidance_agencies!$D$2:$D$81,"EDPB")</f>
        <v>0</v>
      </c>
      <c r="AQ66" s="2" t="n">
        <f aca="false">COUNTIFS(guidance_agencies!$A$2:$A$81,$A66,guidance_agencies!$D$2:$D$81,"EBA")</f>
        <v>0</v>
      </c>
      <c r="AR66" s="2" t="n">
        <f aca="false">COUNTIFS(guidance_agencies!$A$2:$A$81,$A66,guidance_agencies!$D$2:$D$81,"ESMA")</f>
        <v>0</v>
      </c>
      <c r="AS66" s="3" t="n">
        <f aca="false">SUMIFS(secondary_acts!$S$2:$S$771,secondary_acts!$A$2:$A$771,$A66,secondary_acts!$E$2:$E$771,"implementing")+SUMIFS(secondary_acts!$S$2:$S$771,secondary_acts!$A$2:$A$771,$A66,secondary_acts!$E$2:$E$771,"delegated")</f>
        <v>1</v>
      </c>
      <c r="AT66" s="3"/>
      <c r="AU66" s="2"/>
      <c r="AV66" s="2" t="n">
        <v>2</v>
      </c>
      <c r="AW66" s="2" t="s">
        <v>773</v>
      </c>
      <c r="AX66" s="2" t="s">
        <v>528</v>
      </c>
      <c r="AY66" s="2" t="n">
        <v>3</v>
      </c>
      <c r="AZ66" s="2" t="s">
        <v>774</v>
      </c>
      <c r="BA66" s="2" t="s">
        <v>147</v>
      </c>
      <c r="BB66" s="2" t="n">
        <v>43556</v>
      </c>
      <c r="BC66" s="2" t="n">
        <v>814</v>
      </c>
      <c r="BD66" s="2" t="n">
        <v>240</v>
      </c>
      <c r="BE66" s="2" t="n">
        <f aca="false">IF(ISNUMBER(BB66),Q66-BB66,"")</f>
        <v>8424</v>
      </c>
      <c r="BF66" s="4" t="n">
        <f aca="false">IF(AND(ISNUMBER(BB66),BB66&gt;0),(Q66-BB66)/BB66,"")</f>
        <v>0.193406189732758</v>
      </c>
      <c r="BG66" s="2" t="n">
        <f aca="false">IF(ISNUMBER(BC66),X66-BC66,"")</f>
        <v>107</v>
      </c>
      <c r="BH66" s="4" t="n">
        <f aca="false">IF(AND(ISNUMBER(BC66),BC66&gt;0),(X66-BC66)/BC66,"")</f>
        <v>0.131449631449631</v>
      </c>
      <c r="BI66" s="2" t="n">
        <f aca="false">IF(ISNUMBER(BD66),AD66-BD66,"")</f>
        <v>52</v>
      </c>
      <c r="BJ66" s="2"/>
      <c r="BK66" s="2"/>
      <c r="BL66" s="2"/>
      <c r="BM66" s="2"/>
      <c r="BN66" s="2"/>
      <c r="BO66" s="2"/>
      <c r="BP66" s="2"/>
    </row>
    <row r="67" customFormat="false" ht="15" hidden="false" customHeight="false" outlineLevel="0" collapsed="false">
      <c r="A67" s="2" t="n">
        <v>66</v>
      </c>
      <c r="B67" s="2" t="s">
        <v>775</v>
      </c>
      <c r="C67" s="2" t="s">
        <v>776</v>
      </c>
      <c r="D67" s="2" t="s">
        <v>200</v>
      </c>
      <c r="E67" s="2" t="s">
        <v>71</v>
      </c>
      <c r="F67" s="2" t="s">
        <v>777</v>
      </c>
      <c r="G67" s="2" t="s">
        <v>151</v>
      </c>
      <c r="H67" s="2" t="s">
        <v>337</v>
      </c>
      <c r="I67" s="2" t="s">
        <v>778</v>
      </c>
      <c r="J67" s="2" t="s">
        <v>779</v>
      </c>
      <c r="K67" s="2" t="s">
        <v>76</v>
      </c>
      <c r="L67" s="2" t="s">
        <v>76</v>
      </c>
      <c r="M67" s="2" t="s">
        <v>780</v>
      </c>
      <c r="N67" s="2" t="s">
        <v>78</v>
      </c>
      <c r="O67" s="2" t="s">
        <v>781</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782</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2" t="n">
        <f aca="false">COUNTIFS(guidance_agencies!$A$2:$A$81,$A67,guidance_agencies!$D$2:$D$81,"EDPB")</f>
        <v>0</v>
      </c>
      <c r="AQ67" s="2" t="n">
        <f aca="false">COUNTIFS(guidance_agencies!$A$2:$A$81,$A67,guidance_agencies!$D$2:$D$81,"EBA")</f>
        <v>0</v>
      </c>
      <c r="AR67" s="2" t="n">
        <f aca="false">COUNTIFS(guidance_agencies!$A$2:$A$81,$A67,guidance_agencies!$D$2:$D$81,"ESMA")</f>
        <v>0</v>
      </c>
      <c r="AS67" s="3" t="n">
        <f aca="false">SUMIFS(secondary_acts!$S$2:$S$771,secondary_acts!$A$2:$A$771,$A67,secondary_acts!$E$2:$E$771,"implementing")+SUMIFS(secondary_acts!$S$2:$S$771,secondary_acts!$A$2:$A$771,$A67,secondary_acts!$E$2:$E$771,"delegated")</f>
        <v>191</v>
      </c>
      <c r="AT67" s="3"/>
      <c r="AU67" s="2"/>
      <c r="AV67" s="2" t="n">
        <v>0</v>
      </c>
      <c r="AW67" s="2"/>
      <c r="AX67" s="2"/>
      <c r="AY67" s="2" t="n">
        <v>2</v>
      </c>
      <c r="AZ67" s="2" t="s">
        <v>783</v>
      </c>
      <c r="BA67" s="2" t="s">
        <v>147</v>
      </c>
      <c r="BB67" s="2" t="n">
        <v>13590</v>
      </c>
      <c r="BC67" s="2" t="n">
        <v>112</v>
      </c>
      <c r="BD67" s="2" t="n">
        <v>20</v>
      </c>
      <c r="BE67" s="2" t="n">
        <f aca="false">IF(ISNUMBER(BB67),Q67-BB67,"")</f>
        <v>9876</v>
      </c>
      <c r="BF67" s="4" t="n">
        <f aca="false">IF(AND(ISNUMBER(BB67),BB67&gt;0),(Q67-BB67)/BB67,"")</f>
        <v>0.726710816777042</v>
      </c>
      <c r="BG67" s="2" t="n">
        <f aca="false">IF(ISNUMBER(BC67),X67-BC67,"")</f>
        <v>64</v>
      </c>
      <c r="BH67" s="4" t="n">
        <f aca="false">IF(AND(ISNUMBER(BC67),BC67&gt;0),(X67-BC67)/BC67,"")</f>
        <v>0.571428571428571</v>
      </c>
      <c r="BI67" s="2" t="n">
        <f aca="false">IF(ISNUMBER(BD67),AD67-BD67,"")</f>
        <v>0</v>
      </c>
      <c r="BJ67" s="2"/>
      <c r="BK67" s="2"/>
      <c r="BL67" s="2"/>
      <c r="BM67" s="2"/>
      <c r="BN67" s="2"/>
      <c r="BO67" s="2"/>
      <c r="BP67" s="2"/>
    </row>
    <row r="68" customFormat="false" ht="15" hidden="false" customHeight="false" outlineLevel="0" collapsed="false">
      <c r="A68" s="2" t="n">
        <v>67</v>
      </c>
      <c r="B68" s="2" t="s">
        <v>784</v>
      </c>
      <c r="C68" s="2" t="s">
        <v>785</v>
      </c>
      <c r="D68" s="2" t="s">
        <v>273</v>
      </c>
      <c r="E68" s="2" t="s">
        <v>71</v>
      </c>
      <c r="F68" s="2" t="s">
        <v>786</v>
      </c>
      <c r="G68" s="2" t="s">
        <v>151</v>
      </c>
      <c r="H68" s="2" t="s">
        <v>787</v>
      </c>
      <c r="I68" s="2" t="s">
        <v>788</v>
      </c>
      <c r="J68" s="2" t="s">
        <v>789</v>
      </c>
      <c r="K68" s="2" t="s">
        <v>76</v>
      </c>
      <c r="L68" s="2" t="s">
        <v>76</v>
      </c>
      <c r="M68" s="2" t="s">
        <v>790</v>
      </c>
      <c r="N68" s="2" t="s">
        <v>78</v>
      </c>
      <c r="O68" s="2" t="s">
        <v>791</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792</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2" t="n">
        <f aca="false">COUNTIFS(guidance_agencies!$A$2:$A$81,$A68,guidance_agencies!$D$2:$D$81,"EDPB")</f>
        <v>0</v>
      </c>
      <c r="AQ68" s="2" t="n">
        <f aca="false">COUNTIFS(guidance_agencies!$A$2:$A$81,$A68,guidance_agencies!$D$2:$D$81,"EBA")</f>
        <v>0</v>
      </c>
      <c r="AR68" s="2" t="n">
        <f aca="false">COUNTIFS(guidance_agencies!$A$2:$A$81,$A68,guidance_agencies!$D$2:$D$81,"ESMA")</f>
        <v>0</v>
      </c>
      <c r="AS68" s="3" t="n">
        <f aca="false">SUMIFS(secondary_acts!$S$2:$S$771,secondary_acts!$A$2:$A$771,$A68,secondary_acts!$E$2:$E$771,"implementing")+SUMIFS(secondary_acts!$S$2:$S$771,secondary_acts!$A$2:$A$771,$A68,secondary_acts!$E$2:$E$771,"delegated")</f>
        <v>138</v>
      </c>
      <c r="AT68" s="3"/>
      <c r="AU68" s="2"/>
      <c r="AV68" s="2" t="n">
        <v>1</v>
      </c>
      <c r="AW68" s="2" t="s">
        <v>773</v>
      </c>
      <c r="AX68" s="2" t="s">
        <v>773</v>
      </c>
      <c r="AY68" s="2" t="n">
        <v>4</v>
      </c>
      <c r="AZ68" s="2" t="s">
        <v>793</v>
      </c>
      <c r="BA68" s="2" t="s">
        <v>147</v>
      </c>
      <c r="BB68" s="2" t="n">
        <v>19646</v>
      </c>
      <c r="BC68" s="2" t="n">
        <v>198</v>
      </c>
      <c r="BD68" s="2" t="n">
        <v>83</v>
      </c>
      <c r="BE68" s="2" t="n">
        <f aca="false">IF(ISNUMBER(BB68),Q68-BB68,"")</f>
        <v>7848</v>
      </c>
      <c r="BF68" s="4" t="n">
        <f aca="false">IF(AND(ISNUMBER(BB68),BB68&gt;0),(Q68-BB68)/BB68,"")</f>
        <v>0.399470630153721</v>
      </c>
      <c r="BG68" s="2" t="n">
        <f aca="false">IF(ISNUMBER(BC68),X68-BC68,"")</f>
        <v>51</v>
      </c>
      <c r="BH68" s="4" t="n">
        <f aca="false">IF(AND(ISNUMBER(BC68),BC68&gt;0),(X68-BC68)/BC68,"")</f>
        <v>0.257575757575758</v>
      </c>
      <c r="BI68" s="2" t="n">
        <f aca="false">IF(ISNUMBER(BD68),AD68-BD68,"")</f>
        <v>19</v>
      </c>
      <c r="BJ68" s="2"/>
      <c r="BK68" s="2"/>
      <c r="BL68" s="2"/>
      <c r="BM68" s="2"/>
      <c r="BN68" s="2"/>
      <c r="BO68" s="2"/>
      <c r="BP68" s="2"/>
    </row>
    <row r="69" customFormat="false" ht="15" hidden="false" customHeight="false" outlineLevel="0" collapsed="false">
      <c r="A69" s="2" t="n">
        <v>68</v>
      </c>
      <c r="B69" s="2" t="s">
        <v>794</v>
      </c>
      <c r="C69" s="2" t="s">
        <v>795</v>
      </c>
      <c r="D69" s="2" t="s">
        <v>236</v>
      </c>
      <c r="E69" s="2" t="s">
        <v>71</v>
      </c>
      <c r="F69" s="2" t="s">
        <v>796</v>
      </c>
      <c r="G69" s="2" t="s">
        <v>151</v>
      </c>
      <c r="H69" s="2" t="s">
        <v>797</v>
      </c>
      <c r="I69" s="2" t="s">
        <v>798</v>
      </c>
      <c r="J69" s="2" t="s">
        <v>799</v>
      </c>
      <c r="K69" s="2" t="s">
        <v>76</v>
      </c>
      <c r="L69" s="2" t="s">
        <v>76</v>
      </c>
      <c r="M69" s="2" t="s">
        <v>800</v>
      </c>
      <c r="N69" s="2" t="s">
        <v>78</v>
      </c>
      <c r="O69" s="2" t="s">
        <v>801</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802</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2" t="n">
        <f aca="false">COUNTIFS(guidance_agencies!$A$2:$A$81,$A69,guidance_agencies!$D$2:$D$81,"EDPB")</f>
        <v>0</v>
      </c>
      <c r="AQ69" s="2" t="n">
        <f aca="false">COUNTIFS(guidance_agencies!$A$2:$A$81,$A69,guidance_agencies!$D$2:$D$81,"EBA")</f>
        <v>0</v>
      </c>
      <c r="AR69" s="2" t="n">
        <f aca="false">COUNTIFS(guidance_agencies!$A$2:$A$81,$A69,guidance_agencies!$D$2:$D$81,"ESMA")</f>
        <v>0</v>
      </c>
      <c r="AS69" s="3" t="n">
        <f aca="false">SUMIFS(secondary_acts!$S$2:$S$771,secondary_acts!$A$2:$A$771,$A69,secondary_acts!$E$2:$E$771,"implementing")+SUMIFS(secondary_acts!$S$2:$S$771,secondary_acts!$A$2:$A$771,$A69,secondary_acts!$E$2:$E$771,"delegated")</f>
        <v>0</v>
      </c>
      <c r="AT69" s="3"/>
      <c r="AU69" s="2"/>
      <c r="AV69" s="2" t="n">
        <v>0</v>
      </c>
      <c r="AW69" s="2"/>
      <c r="AX69" s="2"/>
      <c r="AY69" s="2" t="n">
        <v>4</v>
      </c>
      <c r="AZ69" s="2" t="s">
        <v>803</v>
      </c>
      <c r="BA69" s="2" t="s">
        <v>147</v>
      </c>
      <c r="BB69" s="2" t="n">
        <v>33016</v>
      </c>
      <c r="BC69" s="2" t="n">
        <v>264</v>
      </c>
      <c r="BD69" s="2" t="n">
        <v>129</v>
      </c>
      <c r="BE69" s="2" t="n">
        <f aca="false">IF(ISNUMBER(BB69),Q69-BB69,"")</f>
        <v>30401</v>
      </c>
      <c r="BF69" s="4" t="n">
        <f aca="false">IF(AND(ISNUMBER(BB69),BB69&gt;0),(Q69-BB69)/BB69,"")</f>
        <v>0.920795977707778</v>
      </c>
      <c r="BG69" s="2" t="n">
        <f aca="false">IF(ISNUMBER(BC69),X69-BC69,"")</f>
        <v>203</v>
      </c>
      <c r="BH69" s="4" t="n">
        <f aca="false">IF(AND(ISNUMBER(BC69),BC69&gt;0),(X69-BC69)/BC69,"")</f>
        <v>0.768939393939394</v>
      </c>
      <c r="BI69" s="2" t="n">
        <f aca="false">IF(ISNUMBER(BD69),AD69-BD69,"")</f>
        <v>105</v>
      </c>
      <c r="BJ69" s="2" t="s">
        <v>804</v>
      </c>
      <c r="BK69" s="2" t="s">
        <v>805</v>
      </c>
      <c r="BL69" s="2" t="n">
        <v>5</v>
      </c>
      <c r="BM69" s="2" t="n">
        <v>0</v>
      </c>
      <c r="BN69" s="2" t="n">
        <v>7</v>
      </c>
      <c r="BO69" s="2" t="n">
        <v>0</v>
      </c>
      <c r="BP69" s="2" t="s">
        <v>110</v>
      </c>
    </row>
    <row r="70" customFormat="false" ht="15" hidden="false" customHeight="false" outlineLevel="0" collapsed="false">
      <c r="A70" s="2" t="n">
        <v>69</v>
      </c>
      <c r="B70" s="2" t="s">
        <v>806</v>
      </c>
      <c r="C70" s="2" t="s">
        <v>807</v>
      </c>
      <c r="D70" s="2" t="s">
        <v>200</v>
      </c>
      <c r="E70" s="2" t="s">
        <v>71</v>
      </c>
      <c r="F70" s="2" t="s">
        <v>808</v>
      </c>
      <c r="G70" s="2" t="s">
        <v>73</v>
      </c>
      <c r="H70" s="2" t="s">
        <v>809</v>
      </c>
      <c r="I70" s="2" t="s">
        <v>810</v>
      </c>
      <c r="J70" s="2" t="s">
        <v>811</v>
      </c>
      <c r="K70" s="2" t="s">
        <v>76</v>
      </c>
      <c r="L70" s="2" t="s">
        <v>76</v>
      </c>
      <c r="M70" s="2" t="s">
        <v>812</v>
      </c>
      <c r="N70" s="2" t="s">
        <v>78</v>
      </c>
      <c r="O70" s="2" t="s">
        <v>813</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814</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2" t="n">
        <f aca="false">COUNTIFS(guidance_agencies!$A$2:$A$81,$A70,guidance_agencies!$D$2:$D$81,"EDPB")</f>
        <v>0</v>
      </c>
      <c r="AQ70" s="2" t="n">
        <f aca="false">COUNTIFS(guidance_agencies!$A$2:$A$81,$A70,guidance_agencies!$D$2:$D$81,"EBA")</f>
        <v>0</v>
      </c>
      <c r="AR70" s="2" t="n">
        <f aca="false">COUNTIFS(guidance_agencies!$A$2:$A$81,$A70,guidance_agencies!$D$2:$D$81,"ESMA")</f>
        <v>0</v>
      </c>
      <c r="AS70" s="3" t="n">
        <f aca="false">SUMIFS(secondary_acts!$S$2:$S$771,secondary_acts!$A$2:$A$771,$A70,secondary_acts!$E$2:$E$771,"implementing")+SUMIFS(secondary_acts!$S$2:$S$771,secondary_acts!$A$2:$A$771,$A70,secondary_acts!$E$2:$E$771,"delegated")</f>
        <v>0</v>
      </c>
      <c r="AT70" s="3"/>
      <c r="AU70" s="2"/>
      <c r="AV70" s="2" t="n">
        <v>1</v>
      </c>
      <c r="AW70" s="2" t="s">
        <v>815</v>
      </c>
      <c r="AX70" s="2" t="s">
        <v>815</v>
      </c>
      <c r="AY70" s="2" t="n">
        <v>1</v>
      </c>
      <c r="AZ70" s="2"/>
      <c r="BA70" s="2" t="s">
        <v>375</v>
      </c>
      <c r="BB70" s="2"/>
      <c r="BC70" s="2"/>
      <c r="BD70" s="2"/>
      <c r="BE70" s="2" t="str">
        <f aca="false">IF(ISNUMBER(BB70),Q70-BB70,"")</f>
        <v/>
      </c>
      <c r="BF70" s="4" t="str">
        <f aca="false">IF(AND(ISNUMBER(BB70),BB70&gt;0),(Q70-BB70)/BB70,"")</f>
        <v/>
      </c>
      <c r="BG70" s="2" t="str">
        <f aca="false">IF(ISNUMBER(BC70),X70-BC70,"")</f>
        <v/>
      </c>
      <c r="BH70" s="4" t="str">
        <f aca="false">IF(AND(ISNUMBER(BC70),BC70&gt;0),(X70-BC70)/BC70,"")</f>
        <v/>
      </c>
      <c r="BI70" s="2" t="str">
        <f aca="false">IF(ISNUMBER(BD70),AD70-BD70,"")</f>
        <v/>
      </c>
      <c r="BJ70" s="2"/>
      <c r="BK70" s="2"/>
      <c r="BL70" s="2"/>
      <c r="BM70" s="2"/>
      <c r="BN70" s="2"/>
      <c r="BO70" s="2"/>
      <c r="BP70" s="2" t="s">
        <v>376</v>
      </c>
    </row>
    <row r="71" customFormat="false" ht="15" hidden="false" customHeight="false" outlineLevel="0" collapsed="false">
      <c r="A71" s="2" t="n">
        <v>70</v>
      </c>
      <c r="B71" s="2" t="s">
        <v>816</v>
      </c>
      <c r="C71" s="2" t="s">
        <v>817</v>
      </c>
      <c r="D71" s="2" t="s">
        <v>575</v>
      </c>
      <c r="E71" s="2" t="s">
        <v>71</v>
      </c>
      <c r="F71" s="2" t="s">
        <v>818</v>
      </c>
      <c r="G71" s="2" t="s">
        <v>151</v>
      </c>
      <c r="H71" s="2" t="s">
        <v>337</v>
      </c>
      <c r="I71" s="2" t="s">
        <v>819</v>
      </c>
      <c r="J71" s="2" t="s">
        <v>820</v>
      </c>
      <c r="K71" s="2" t="s">
        <v>76</v>
      </c>
      <c r="L71" s="2" t="s">
        <v>76</v>
      </c>
      <c r="M71" s="2" t="s">
        <v>821</v>
      </c>
      <c r="N71" s="2" t="s">
        <v>78</v>
      </c>
      <c r="O71" s="2" t="s">
        <v>822</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2" t="n">
        <f aca="false">COUNTIFS(guidance_agencies!$A$2:$A$81,$A71,guidance_agencies!$D$2:$D$81,"EDPB")</f>
        <v>0</v>
      </c>
      <c r="AQ71" s="2" t="n">
        <f aca="false">COUNTIFS(guidance_agencies!$A$2:$A$81,$A71,guidance_agencies!$D$2:$D$81,"EBA")</f>
        <v>0</v>
      </c>
      <c r="AR71" s="2" t="n">
        <f aca="false">COUNTIFS(guidance_agencies!$A$2:$A$81,$A71,guidance_agencies!$D$2:$D$81,"ESMA")</f>
        <v>0</v>
      </c>
      <c r="AS71" s="3" t="n">
        <f aca="false">SUMIFS(secondary_acts!$S$2:$S$771,secondary_acts!$A$2:$A$771,$A71,secondary_acts!$E$2:$E$771,"implementing")+SUMIFS(secondary_acts!$S$2:$S$771,secondary_acts!$A$2:$A$771,$A71,secondary_acts!$E$2:$E$771,"delegated")</f>
        <v>68</v>
      </c>
      <c r="AT71" s="3"/>
      <c r="AU71" s="2"/>
      <c r="AV71" s="2" t="n">
        <v>0</v>
      </c>
      <c r="AW71" s="2"/>
      <c r="AX71" s="2"/>
      <c r="AY71" s="2" t="n">
        <v>0</v>
      </c>
      <c r="AZ71" s="2" t="s">
        <v>823</v>
      </c>
      <c r="BA71" s="2" t="s">
        <v>147</v>
      </c>
      <c r="BB71" s="2" t="n">
        <v>8794</v>
      </c>
      <c r="BC71" s="2" t="n">
        <v>90</v>
      </c>
      <c r="BD71" s="2" t="n">
        <v>1</v>
      </c>
      <c r="BE71" s="2" t="n">
        <f aca="false">IF(ISNUMBER(BB71),Q71-BB71,"")</f>
        <v>3435</v>
      </c>
      <c r="BF71" s="4" t="n">
        <f aca="false">IF(AND(ISNUMBER(BB71),BB71&gt;0),(Q71-BB71)/BB71,"")</f>
        <v>0.390607232203775</v>
      </c>
      <c r="BG71" s="2" t="n">
        <f aca="false">IF(ISNUMBER(BC71),X71-BC71,"")</f>
        <v>24</v>
      </c>
      <c r="BH71" s="4" t="n">
        <f aca="false">IF(AND(ISNUMBER(BC71),BC71&gt;0),(X71-BC71)/BC71,"")</f>
        <v>0.266666666666667</v>
      </c>
      <c r="BI71" s="2" t="n">
        <f aca="false">IF(ISNUMBER(BD71),AD71-BD71,"")</f>
        <v>-1</v>
      </c>
      <c r="BJ71" s="2"/>
      <c r="BK71" s="2"/>
      <c r="BL71" s="2"/>
      <c r="BM71" s="2"/>
      <c r="BN71" s="2"/>
      <c r="BO71" s="2"/>
      <c r="BP71" s="2"/>
    </row>
    <row r="72" customFormat="false" ht="15" hidden="false" customHeight="false" outlineLevel="0" collapsed="false">
      <c r="A72" s="2" t="n">
        <v>71</v>
      </c>
      <c r="B72" s="2" t="s">
        <v>824</v>
      </c>
      <c r="C72" s="2" t="s">
        <v>825</v>
      </c>
      <c r="D72" s="2" t="s">
        <v>86</v>
      </c>
      <c r="E72" s="2" t="s">
        <v>71</v>
      </c>
      <c r="F72" s="2" t="s">
        <v>826</v>
      </c>
      <c r="G72" s="2" t="s">
        <v>151</v>
      </c>
      <c r="H72" s="2" t="s">
        <v>349</v>
      </c>
      <c r="I72" s="2" t="s">
        <v>827</v>
      </c>
      <c r="J72" s="2" t="s">
        <v>828</v>
      </c>
      <c r="K72" s="2" t="s">
        <v>76</v>
      </c>
      <c r="L72" s="2" t="s">
        <v>76</v>
      </c>
      <c r="M72" s="2" t="s">
        <v>829</v>
      </c>
      <c r="N72" s="2" t="s">
        <v>78</v>
      </c>
      <c r="O72" s="2" t="s">
        <v>830</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831</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2" t="n">
        <f aca="false">COUNTIFS(guidance_agencies!$A$2:$A$81,$A72,guidance_agencies!$D$2:$D$81,"EDPB")</f>
        <v>0</v>
      </c>
      <c r="AQ72" s="2" t="n">
        <f aca="false">COUNTIFS(guidance_agencies!$A$2:$A$81,$A72,guidance_agencies!$D$2:$D$81,"EBA")</f>
        <v>0</v>
      </c>
      <c r="AR72" s="2" t="n">
        <f aca="false">COUNTIFS(guidance_agencies!$A$2:$A$81,$A72,guidance_agencies!$D$2:$D$81,"ESMA")</f>
        <v>0</v>
      </c>
      <c r="AS72" s="3" t="n">
        <f aca="false">SUMIFS(secondary_acts!$S$2:$S$771,secondary_acts!$A$2:$A$771,$A72,secondary_acts!$E$2:$E$771,"implementing")+SUMIFS(secondary_acts!$S$2:$S$771,secondary_acts!$A$2:$A$771,$A72,secondary_acts!$E$2:$E$771,"delegated")</f>
        <v>70</v>
      </c>
      <c r="AT72" s="3"/>
      <c r="AU72" s="2"/>
      <c r="AV72" s="2" t="n">
        <v>0</v>
      </c>
      <c r="AW72" s="2"/>
      <c r="AX72" s="2"/>
      <c r="AY72" s="2" t="n">
        <v>1</v>
      </c>
      <c r="AZ72" s="2" t="s">
        <v>832</v>
      </c>
      <c r="BA72" s="2" t="s">
        <v>147</v>
      </c>
      <c r="BB72" s="2" t="n">
        <v>12473</v>
      </c>
      <c r="BC72" s="2" t="n">
        <v>86</v>
      </c>
      <c r="BD72" s="2" t="n">
        <v>31</v>
      </c>
      <c r="BE72" s="2" t="n">
        <f aca="false">IF(ISNUMBER(BB72),Q72-BB72,"")</f>
        <v>12786</v>
      </c>
      <c r="BF72" s="4" t="n">
        <f aca="false">IF(AND(ISNUMBER(BB72),BB72&gt;0),(Q72-BB72)/BB72,"")</f>
        <v>1.02509420347952</v>
      </c>
      <c r="BG72" s="2" t="n">
        <f aca="false">IF(ISNUMBER(BC72),X72-BC72,"")</f>
        <v>101</v>
      </c>
      <c r="BH72" s="4" t="n">
        <f aca="false">IF(AND(ISNUMBER(BC72),BC72&gt;0),(X72-BC72)/BC72,"")</f>
        <v>1.17441860465116</v>
      </c>
      <c r="BI72" s="2" t="n">
        <f aca="false">IF(ISNUMBER(BD72),AD72-BD72,"")</f>
        <v>46</v>
      </c>
      <c r="BJ72" s="2"/>
      <c r="BK72" s="2"/>
      <c r="BL72" s="2"/>
      <c r="BM72" s="2"/>
      <c r="BN72" s="2"/>
      <c r="BO72" s="2"/>
      <c r="BP72" s="2" t="s">
        <v>110</v>
      </c>
    </row>
    <row r="73" customFormat="false" ht="15" hidden="false" customHeight="false" outlineLevel="0" collapsed="false">
      <c r="A73" s="2" t="n">
        <v>72</v>
      </c>
      <c r="B73" s="2" t="s">
        <v>833</v>
      </c>
      <c r="C73" s="2" t="s">
        <v>834</v>
      </c>
      <c r="D73" s="2" t="s">
        <v>322</v>
      </c>
      <c r="E73" s="2" t="s">
        <v>71</v>
      </c>
      <c r="F73" s="2" t="s">
        <v>835</v>
      </c>
      <c r="G73" s="2" t="s">
        <v>151</v>
      </c>
      <c r="H73" s="2" t="s">
        <v>677</v>
      </c>
      <c r="I73" s="2" t="s">
        <v>836</v>
      </c>
      <c r="J73" s="2" t="s">
        <v>837</v>
      </c>
      <c r="K73" s="2" t="s">
        <v>76</v>
      </c>
      <c r="L73" s="2" t="s">
        <v>76</v>
      </c>
      <c r="M73" s="2" t="s">
        <v>838</v>
      </c>
      <c r="N73" s="2" t="s">
        <v>78</v>
      </c>
      <c r="O73" s="2" t="s">
        <v>839</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840</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2" t="n">
        <f aca="false">COUNTIFS(guidance_agencies!$A$2:$A$81,$A73,guidance_agencies!$D$2:$D$81,"EDPB")</f>
        <v>0</v>
      </c>
      <c r="AQ73" s="2" t="n">
        <f aca="false">COUNTIFS(guidance_agencies!$A$2:$A$81,$A73,guidance_agencies!$D$2:$D$81,"EBA")</f>
        <v>0</v>
      </c>
      <c r="AR73" s="2" t="n">
        <f aca="false">COUNTIFS(guidance_agencies!$A$2:$A$81,$A73,guidance_agencies!$D$2:$D$81,"ESMA")</f>
        <v>0</v>
      </c>
      <c r="AS73" s="3" t="n">
        <f aca="false">SUMIFS(secondary_acts!$S$2:$S$771,secondary_acts!$A$2:$A$771,$A73,secondary_acts!$E$2:$E$771,"implementing")+SUMIFS(secondary_acts!$S$2:$S$771,secondary_acts!$A$2:$A$771,$A73,secondary_acts!$E$2:$E$771,"delegated")</f>
        <v>214</v>
      </c>
      <c r="AT73" s="3"/>
      <c r="AU73" s="2"/>
      <c r="AV73" s="2" t="n">
        <v>0</v>
      </c>
      <c r="AW73" s="2"/>
      <c r="AX73" s="2"/>
      <c r="AY73" s="2" t="n">
        <v>2</v>
      </c>
      <c r="AZ73" s="2" t="s">
        <v>841</v>
      </c>
      <c r="BA73" s="2" t="s">
        <v>147</v>
      </c>
      <c r="BB73" s="2" t="n">
        <v>9442</v>
      </c>
      <c r="BC73" s="2" t="n">
        <v>101</v>
      </c>
      <c r="BD73" s="2" t="n">
        <v>1</v>
      </c>
      <c r="BE73" s="2" t="n">
        <f aca="false">IF(ISNUMBER(BB73),Q73-BB73,"")</f>
        <v>5958</v>
      </c>
      <c r="BF73" s="4" t="n">
        <f aca="false">IF(AND(ISNUMBER(BB73),BB73&gt;0),(Q73-BB73)/BB73,"")</f>
        <v>0.631010379156958</v>
      </c>
      <c r="BG73" s="2" t="n">
        <f aca="false">IF(ISNUMBER(BC73),X73-BC73,"")</f>
        <v>34</v>
      </c>
      <c r="BH73" s="4" t="n">
        <f aca="false">IF(AND(ISNUMBER(BC73),BC73&gt;0),(X73-BC73)/BC73,"")</f>
        <v>0.336633663366337</v>
      </c>
      <c r="BI73" s="2" t="n">
        <f aca="false">IF(ISNUMBER(BD73),AD73-BD73,"")</f>
        <v>8</v>
      </c>
      <c r="BJ73" s="2"/>
      <c r="BK73" s="2"/>
      <c r="BL73" s="2"/>
      <c r="BM73" s="2"/>
      <c r="BN73" s="2"/>
      <c r="BO73" s="2"/>
      <c r="BP73" s="2"/>
    </row>
    <row r="74" customFormat="false" ht="15" hidden="false" customHeight="false" outlineLevel="0" collapsed="false">
      <c r="A74" s="2" t="n">
        <v>73</v>
      </c>
      <c r="B74" s="2" t="s">
        <v>842</v>
      </c>
      <c r="C74" s="2" t="s">
        <v>843</v>
      </c>
      <c r="D74" s="2" t="s">
        <v>200</v>
      </c>
      <c r="E74" s="2" t="s">
        <v>71</v>
      </c>
      <c r="F74" s="2" t="s">
        <v>844</v>
      </c>
      <c r="G74" s="2" t="s">
        <v>151</v>
      </c>
      <c r="H74" s="2" t="s">
        <v>134</v>
      </c>
      <c r="I74" s="2" t="s">
        <v>845</v>
      </c>
      <c r="J74" s="2" t="s">
        <v>846</v>
      </c>
      <c r="K74" s="2" t="s">
        <v>76</v>
      </c>
      <c r="L74" s="2" t="s">
        <v>76</v>
      </c>
      <c r="M74" s="2" t="s">
        <v>847</v>
      </c>
      <c r="N74" s="2" t="s">
        <v>78</v>
      </c>
      <c r="O74" s="2" t="s">
        <v>848</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849</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2" t="n">
        <f aca="false">COUNTIFS(guidance_agencies!$A$2:$A$81,$A74,guidance_agencies!$D$2:$D$81,"EDPB")</f>
        <v>0</v>
      </c>
      <c r="AQ74" s="2" t="n">
        <f aca="false">COUNTIFS(guidance_agencies!$A$2:$A$81,$A74,guidance_agencies!$D$2:$D$81,"EBA")</f>
        <v>0</v>
      </c>
      <c r="AR74" s="2" t="n">
        <f aca="false">COUNTIFS(guidance_agencies!$A$2:$A$81,$A74,guidance_agencies!$D$2:$D$81,"ESMA")</f>
        <v>0</v>
      </c>
      <c r="AS74" s="3" t="n">
        <f aca="false">SUMIFS(secondary_acts!$S$2:$S$771,secondary_acts!$A$2:$A$771,$A74,secondary_acts!$E$2:$E$771,"implementing")+SUMIFS(secondary_acts!$S$2:$S$771,secondary_acts!$A$2:$A$771,$A74,secondary_acts!$E$2:$E$771,"delegated")</f>
        <v>0</v>
      </c>
      <c r="AT74" s="3" t="n">
        <v>0</v>
      </c>
      <c r="AU74" s="2" t="n">
        <v>0</v>
      </c>
      <c r="AV74" s="2" t="n">
        <v>0</v>
      </c>
      <c r="AW74" s="2"/>
      <c r="AX74" s="2"/>
      <c r="AY74" s="2" t="n">
        <v>1</v>
      </c>
      <c r="AZ74" s="2" t="s">
        <v>850</v>
      </c>
      <c r="BA74" s="2" t="s">
        <v>147</v>
      </c>
      <c r="BB74" s="2" t="n">
        <v>10937</v>
      </c>
      <c r="BC74" s="2" t="n">
        <v>67</v>
      </c>
      <c r="BD74" s="2" t="n">
        <v>18</v>
      </c>
      <c r="BE74" s="2" t="n">
        <f aca="false">IF(ISNUMBER(BB74),Q74-BB74,"")</f>
        <v>5157</v>
      </c>
      <c r="BF74" s="4" t="n">
        <f aca="false">IF(AND(ISNUMBER(BB74),BB74&gt;0),(Q74-BB74)/BB74,"")</f>
        <v>0.471518697997623</v>
      </c>
      <c r="BG74" s="2" t="n">
        <f aca="false">IF(ISNUMBER(BC74),X74-BC74,"")</f>
        <v>33</v>
      </c>
      <c r="BH74" s="4" t="n">
        <f aca="false">IF(AND(ISNUMBER(BC74),BC74&gt;0),(X74-BC74)/BC74,"")</f>
        <v>0.492537313432836</v>
      </c>
      <c r="BI74" s="2" t="n">
        <f aca="false">IF(ISNUMBER(BD74),AD74-BD74,"")</f>
        <v>15</v>
      </c>
      <c r="BJ74" s="2"/>
      <c r="BK74" s="2"/>
      <c r="BL74" s="2"/>
      <c r="BM74" s="2"/>
      <c r="BN74" s="2"/>
      <c r="BO74" s="2"/>
      <c r="BP74" s="2"/>
    </row>
    <row r="75" customFormat="false" ht="15" hidden="false" customHeight="false" outlineLevel="0" collapsed="false">
      <c r="A75" s="2" t="n">
        <v>74</v>
      </c>
      <c r="B75" s="2" t="s">
        <v>851</v>
      </c>
      <c r="C75" s="2" t="s">
        <v>852</v>
      </c>
      <c r="D75" s="2" t="s">
        <v>575</v>
      </c>
      <c r="E75" s="2" t="s">
        <v>71</v>
      </c>
      <c r="F75" s="2" t="s">
        <v>853</v>
      </c>
      <c r="G75" s="2" t="s">
        <v>151</v>
      </c>
      <c r="H75" s="2" t="s">
        <v>570</v>
      </c>
      <c r="I75" s="2" t="s">
        <v>854</v>
      </c>
      <c r="J75" s="2" t="s">
        <v>855</v>
      </c>
      <c r="K75" s="2" t="s">
        <v>76</v>
      </c>
      <c r="L75" s="2" t="s">
        <v>76</v>
      </c>
      <c r="M75" s="2" t="s">
        <v>856</v>
      </c>
      <c r="N75" s="2" t="s">
        <v>78</v>
      </c>
      <c r="O75" s="2" t="s">
        <v>857</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2" t="n">
        <f aca="false">COUNTIFS(guidance_agencies!$A$2:$A$81,$A75,guidance_agencies!$D$2:$D$81,"EDPB")</f>
        <v>0</v>
      </c>
      <c r="AQ75" s="2" t="n">
        <f aca="false">COUNTIFS(guidance_agencies!$A$2:$A$81,$A75,guidance_agencies!$D$2:$D$81,"EBA")</f>
        <v>0</v>
      </c>
      <c r="AR75" s="2" t="n">
        <f aca="false">COUNTIFS(guidance_agencies!$A$2:$A$81,$A75,guidance_agencies!$D$2:$D$81,"ESMA")</f>
        <v>0</v>
      </c>
      <c r="AS75" s="3" t="n">
        <f aca="false">SUMIFS(secondary_acts!$S$2:$S$771,secondary_acts!$A$2:$A$771,$A75,secondary_acts!$E$2:$E$771,"implementing")+SUMIFS(secondary_acts!$S$2:$S$771,secondary_acts!$A$2:$A$771,$A75,secondary_acts!$E$2:$E$771,"delegated")</f>
        <v>0</v>
      </c>
      <c r="AT75" s="3"/>
      <c r="AU75" s="2"/>
      <c r="AV75" s="2" t="n">
        <v>0</v>
      </c>
      <c r="AW75" s="2"/>
      <c r="AX75" s="2"/>
      <c r="AY75" s="2" t="n">
        <v>0</v>
      </c>
      <c r="AZ75" s="2" t="s">
        <v>858</v>
      </c>
      <c r="BA75" s="2" t="s">
        <v>147</v>
      </c>
      <c r="BB75" s="2" t="n">
        <v>19811</v>
      </c>
      <c r="BC75" s="2" t="n">
        <v>171</v>
      </c>
      <c r="BD75" s="2" t="n">
        <v>13</v>
      </c>
      <c r="BE75" s="2" t="n">
        <f aca="false">IF(ISNUMBER(BB75),Q75-BB75,"")</f>
        <v>8488</v>
      </c>
      <c r="BF75" s="4" t="n">
        <f aca="false">IF(AND(ISNUMBER(BB75),BB75&gt;0),(Q75-BB75)/BB75,"")</f>
        <v>0.428448841552673</v>
      </c>
      <c r="BG75" s="2" t="n">
        <f aca="false">IF(ISNUMBER(BC75),X75-BC75,"")</f>
        <v>71</v>
      </c>
      <c r="BH75" s="4" t="n">
        <f aca="false">IF(AND(ISNUMBER(BC75),BC75&gt;0),(X75-BC75)/BC75,"")</f>
        <v>0.415204678362573</v>
      </c>
      <c r="BI75" s="2" t="n">
        <f aca="false">IF(ISNUMBER(BD75),AD75-BD75,"")</f>
        <v>1</v>
      </c>
      <c r="BJ75" s="2"/>
      <c r="BK75" s="2"/>
      <c r="BL75" s="2"/>
      <c r="BM75" s="2"/>
      <c r="BN75" s="2"/>
      <c r="BO75" s="2"/>
      <c r="BP75" s="2"/>
    </row>
    <row r="76" customFormat="false" ht="15" hidden="false" customHeight="false" outlineLevel="0" collapsed="false">
      <c r="A76" s="2" t="n">
        <v>75</v>
      </c>
      <c r="B76" s="2" t="s">
        <v>859</v>
      </c>
      <c r="C76" s="2" t="s">
        <v>860</v>
      </c>
      <c r="D76" s="2" t="s">
        <v>70</v>
      </c>
      <c r="E76" s="2" t="s">
        <v>71</v>
      </c>
      <c r="F76" s="2" t="s">
        <v>861</v>
      </c>
      <c r="G76" s="2" t="s">
        <v>151</v>
      </c>
      <c r="H76" s="2" t="s">
        <v>862</v>
      </c>
      <c r="I76" s="2" t="s">
        <v>863</v>
      </c>
      <c r="J76" s="2" t="s">
        <v>864</v>
      </c>
      <c r="K76" s="2" t="s">
        <v>76</v>
      </c>
      <c r="L76" s="2" t="s">
        <v>76</v>
      </c>
      <c r="M76" s="2" t="s">
        <v>865</v>
      </c>
      <c r="N76" s="2" t="s">
        <v>78</v>
      </c>
      <c r="O76" s="2" t="s">
        <v>866</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2" t="n">
        <f aca="false">COUNTIFS(guidance_agencies!$A$2:$A$81,$A76,guidance_agencies!$D$2:$D$81,"EDPB")</f>
        <v>0</v>
      </c>
      <c r="AQ76" s="2" t="n">
        <f aca="false">COUNTIFS(guidance_agencies!$A$2:$A$81,$A76,guidance_agencies!$D$2:$D$81,"EBA")</f>
        <v>0</v>
      </c>
      <c r="AR76" s="2" t="n">
        <f aca="false">COUNTIFS(guidance_agencies!$A$2:$A$81,$A76,guidance_agencies!$D$2:$D$81,"ESMA")</f>
        <v>0</v>
      </c>
      <c r="AS76" s="3" t="n">
        <f aca="false">SUMIFS(secondary_acts!$S$2:$S$771,secondary_acts!$A$2:$A$771,$A76,secondary_acts!$E$2:$E$771,"implementing")+SUMIFS(secondary_acts!$S$2:$S$771,secondary_acts!$A$2:$A$771,$A76,secondary_acts!$E$2:$E$771,"delegated")</f>
        <v>16</v>
      </c>
      <c r="AT76" s="3"/>
      <c r="AU76" s="2"/>
      <c r="AV76" s="2" t="n">
        <v>0</v>
      </c>
      <c r="AW76" s="2"/>
      <c r="AX76" s="2"/>
      <c r="AY76" s="2" t="n">
        <v>0</v>
      </c>
      <c r="AZ76" s="2" t="s">
        <v>867</v>
      </c>
      <c r="BA76" s="2" t="s">
        <v>147</v>
      </c>
      <c r="BB76" s="2" t="n">
        <v>15371</v>
      </c>
      <c r="BC76" s="2" t="n">
        <v>133</v>
      </c>
      <c r="BD76" s="2" t="n">
        <v>10</v>
      </c>
      <c r="BE76" s="2" t="n">
        <f aca="false">IF(ISNUMBER(BB76),Q76-BB76,"")</f>
        <v>4454</v>
      </c>
      <c r="BF76" s="4" t="n">
        <f aca="false">IF(AND(ISNUMBER(BB76),BB76&gt;0),(Q76-BB76)/BB76,"")</f>
        <v>0.289766443302323</v>
      </c>
      <c r="BG76" s="2" t="n">
        <f aca="false">IF(ISNUMBER(BC76),X76-BC76,"")</f>
        <v>41</v>
      </c>
      <c r="BH76" s="4" t="n">
        <f aca="false">IF(AND(ISNUMBER(BC76),BC76&gt;0),(X76-BC76)/BC76,"")</f>
        <v>0.308270676691729</v>
      </c>
      <c r="BI76" s="2" t="n">
        <f aca="false">IF(ISNUMBER(BD76),AD76-BD76,"")</f>
        <v>0</v>
      </c>
      <c r="BJ76" s="2"/>
      <c r="BK76" s="2"/>
      <c r="BL76" s="2"/>
      <c r="BM76" s="2"/>
      <c r="BN76" s="2"/>
      <c r="BO76" s="2"/>
      <c r="BP76" s="2"/>
    </row>
    <row r="77" customFormat="false" ht="15" hidden="false" customHeight="false" outlineLevel="0" collapsed="false">
      <c r="A77" s="2" t="n">
        <v>76</v>
      </c>
      <c r="B77" s="2" t="s">
        <v>868</v>
      </c>
      <c r="C77" s="2" t="s">
        <v>869</v>
      </c>
      <c r="D77" s="2" t="s">
        <v>176</v>
      </c>
      <c r="E77" s="2" t="s">
        <v>71</v>
      </c>
      <c r="F77" s="2" t="s">
        <v>870</v>
      </c>
      <c r="G77" s="2" t="s">
        <v>151</v>
      </c>
      <c r="H77" s="2" t="s">
        <v>677</v>
      </c>
      <c r="I77" s="2" t="s">
        <v>871</v>
      </c>
      <c r="J77" s="2" t="s">
        <v>872</v>
      </c>
      <c r="K77" s="2" t="s">
        <v>76</v>
      </c>
      <c r="L77" s="2" t="s">
        <v>76</v>
      </c>
      <c r="M77" s="2" t="s">
        <v>873</v>
      </c>
      <c r="N77" s="2" t="s">
        <v>78</v>
      </c>
      <c r="O77" s="2" t="s">
        <v>874</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875</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2" t="n">
        <f aca="false">COUNTIFS(guidance_agencies!$A$2:$A$81,$A77,guidance_agencies!$D$2:$D$81,"EDPB")</f>
        <v>0</v>
      </c>
      <c r="AQ77" s="2" t="n">
        <f aca="false">COUNTIFS(guidance_agencies!$A$2:$A$81,$A77,guidance_agencies!$D$2:$D$81,"EBA")</f>
        <v>0</v>
      </c>
      <c r="AR77" s="2" t="n">
        <f aca="false">COUNTIFS(guidance_agencies!$A$2:$A$81,$A77,guidance_agencies!$D$2:$D$81,"ESMA")</f>
        <v>0</v>
      </c>
      <c r="AS77" s="3" t="n">
        <f aca="false">SUMIFS(secondary_acts!$S$2:$S$771,secondary_acts!$A$2:$A$771,$A77,secondary_acts!$E$2:$E$771,"implementing")+SUMIFS(secondary_acts!$S$2:$S$771,secondary_acts!$A$2:$A$771,$A77,secondary_acts!$E$2:$E$771,"delegated")</f>
        <v>0</v>
      </c>
      <c r="AT77" s="3"/>
      <c r="AU77" s="2"/>
      <c r="AV77" s="2" t="n">
        <v>0</v>
      </c>
      <c r="AW77" s="2"/>
      <c r="AX77" s="2"/>
      <c r="AY77" s="2" t="n">
        <v>6</v>
      </c>
      <c r="AZ77" s="2" t="s">
        <v>876</v>
      </c>
      <c r="BA77" s="2" t="s">
        <v>147</v>
      </c>
      <c r="BB77" s="2" t="n">
        <v>23623</v>
      </c>
      <c r="BC77" s="2" t="n">
        <v>150</v>
      </c>
      <c r="BD77" s="2" t="n">
        <v>58</v>
      </c>
      <c r="BE77" s="2" t="n">
        <f aca="false">IF(ISNUMBER(BB77),Q77-BB77,"")</f>
        <v>20899</v>
      </c>
      <c r="BF77" s="4" t="n">
        <f aca="false">IF(AND(ISNUMBER(BB77),BB77&gt;0),(Q77-BB77)/BB77,"")</f>
        <v>0.884688650891081</v>
      </c>
      <c r="BG77" s="2" t="n">
        <f aca="false">IF(ISNUMBER(BC77),X77-BC77,"")</f>
        <v>114</v>
      </c>
      <c r="BH77" s="4" t="n">
        <f aca="false">IF(AND(ISNUMBER(BC77),BC77&gt;0),(X77-BC77)/BC77,"")</f>
        <v>0.76</v>
      </c>
      <c r="BI77" s="2" t="n">
        <f aca="false">IF(ISNUMBER(BD77),AD77-BD77,"")</f>
        <v>52</v>
      </c>
      <c r="BJ77" s="2" t="s">
        <v>877</v>
      </c>
      <c r="BK77" s="2" t="s">
        <v>878</v>
      </c>
      <c r="BL77" s="2" t="n">
        <v>4</v>
      </c>
      <c r="BM77" s="2" t="n">
        <v>0</v>
      </c>
      <c r="BN77" s="2" t="n">
        <v>7</v>
      </c>
      <c r="BO77" s="2" t="n">
        <v>0</v>
      </c>
      <c r="BP77" s="2" t="s">
        <v>110</v>
      </c>
    </row>
    <row r="78" customFormat="false" ht="15" hidden="false" customHeight="false" outlineLevel="0" collapsed="false">
      <c r="A78" s="2" t="n">
        <v>77</v>
      </c>
      <c r="B78" s="2" t="s">
        <v>879</v>
      </c>
      <c r="C78" s="2" t="s">
        <v>880</v>
      </c>
      <c r="D78" s="2" t="s">
        <v>322</v>
      </c>
      <c r="E78" s="2" t="s">
        <v>71</v>
      </c>
      <c r="F78" s="2" t="s">
        <v>881</v>
      </c>
      <c r="G78" s="2" t="s">
        <v>151</v>
      </c>
      <c r="H78" s="2" t="s">
        <v>882</v>
      </c>
      <c r="I78" s="2" t="s">
        <v>883</v>
      </c>
      <c r="J78" s="2" t="s">
        <v>402</v>
      </c>
      <c r="K78" s="2" t="s">
        <v>76</v>
      </c>
      <c r="L78" s="2" t="s">
        <v>76</v>
      </c>
      <c r="M78" s="2" t="s">
        <v>884</v>
      </c>
      <c r="N78" s="2" t="s">
        <v>78</v>
      </c>
      <c r="O78" s="2" t="s">
        <v>885</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2" t="n">
        <f aca="false">COUNTIFS(guidance_agencies!$A$2:$A$81,$A78,guidance_agencies!$D$2:$D$81,"EDPB")</f>
        <v>0</v>
      </c>
      <c r="AQ78" s="2" t="n">
        <f aca="false">COUNTIFS(guidance_agencies!$A$2:$A$81,$A78,guidance_agencies!$D$2:$D$81,"EBA")</f>
        <v>0</v>
      </c>
      <c r="AR78" s="2" t="n">
        <f aca="false">COUNTIFS(guidance_agencies!$A$2:$A$81,$A78,guidance_agencies!$D$2:$D$81,"ESMA")</f>
        <v>0</v>
      </c>
      <c r="AS78" s="3" t="n">
        <f aca="false">SUMIFS(secondary_acts!$S$2:$S$771,secondary_acts!$A$2:$A$771,$A78,secondary_acts!$E$2:$E$771,"implementing")+SUMIFS(secondary_acts!$S$2:$S$771,secondary_acts!$A$2:$A$771,$A78,secondary_acts!$E$2:$E$771,"delegated")</f>
        <v>0</v>
      </c>
      <c r="AT78" s="3" t="n">
        <v>3503</v>
      </c>
      <c r="AU78" s="2" t="n">
        <v>4</v>
      </c>
      <c r="AV78" s="2" t="n">
        <v>0</v>
      </c>
      <c r="AW78" s="2"/>
      <c r="AX78" s="2"/>
      <c r="AY78" s="2" t="n">
        <v>0</v>
      </c>
      <c r="AZ78" s="2" t="s">
        <v>886</v>
      </c>
      <c r="BA78" s="2" t="s">
        <v>147</v>
      </c>
      <c r="BB78" s="2" t="n">
        <v>15874</v>
      </c>
      <c r="BC78" s="2" t="n">
        <v>187</v>
      </c>
      <c r="BD78" s="2" t="n">
        <v>3</v>
      </c>
      <c r="BE78" s="2" t="n">
        <f aca="false">IF(ISNUMBER(BB78),Q78-BB78,"")</f>
        <v>5467</v>
      </c>
      <c r="BF78" s="4" t="n">
        <f aca="false">IF(AND(ISNUMBER(BB78),BB78&gt;0),(Q78-BB78)/BB78,"")</f>
        <v>0.344399647221872</v>
      </c>
      <c r="BG78" s="2" t="n">
        <f aca="false">IF(ISNUMBER(BC78),X78-BC78,"")</f>
        <v>19</v>
      </c>
      <c r="BH78" s="4" t="n">
        <f aca="false">IF(AND(ISNUMBER(BC78),BC78&gt;0),(X78-BC78)/BC78,"")</f>
        <v>0.101604278074866</v>
      </c>
      <c r="BI78" s="2" t="n">
        <f aca="false">IF(ISNUMBER(BD78),AD78-BD78,"")</f>
        <v>3</v>
      </c>
      <c r="BJ78" s="2"/>
      <c r="BK78" s="2"/>
      <c r="BL78" s="2"/>
      <c r="BM78" s="2"/>
      <c r="BN78" s="2"/>
      <c r="BO78" s="2"/>
      <c r="BP78" s="2"/>
    </row>
    <row r="79" customFormat="false" ht="15" hidden="false" customHeight="false" outlineLevel="0" collapsed="false">
      <c r="A79" s="2" t="n">
        <v>78</v>
      </c>
      <c r="B79" s="2" t="s">
        <v>887</v>
      </c>
      <c r="C79" s="2" t="s">
        <v>888</v>
      </c>
      <c r="D79" s="2" t="s">
        <v>485</v>
      </c>
      <c r="E79" s="2" t="s">
        <v>71</v>
      </c>
      <c r="F79" s="2" t="s">
        <v>889</v>
      </c>
      <c r="G79" s="2" t="s">
        <v>151</v>
      </c>
      <c r="H79" s="2" t="s">
        <v>677</v>
      </c>
      <c r="I79" s="2" t="s">
        <v>890</v>
      </c>
      <c r="J79" s="2" t="s">
        <v>891</v>
      </c>
      <c r="K79" s="2" t="s">
        <v>76</v>
      </c>
      <c r="L79" s="2" t="s">
        <v>76</v>
      </c>
      <c r="M79" s="2" t="s">
        <v>892</v>
      </c>
      <c r="N79" s="2" t="s">
        <v>78</v>
      </c>
      <c r="O79" s="2" t="s">
        <v>893</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894</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2" t="n">
        <f aca="false">COUNTIFS(guidance_agencies!$A$2:$A$81,$A79,guidance_agencies!$D$2:$D$81,"EDPB")</f>
        <v>0</v>
      </c>
      <c r="AQ79" s="2" t="n">
        <f aca="false">COUNTIFS(guidance_agencies!$A$2:$A$81,$A79,guidance_agencies!$D$2:$D$81,"EBA")</f>
        <v>0</v>
      </c>
      <c r="AR79" s="2" t="n">
        <f aca="false">COUNTIFS(guidance_agencies!$A$2:$A$81,$A79,guidance_agencies!$D$2:$D$81,"ESMA")</f>
        <v>0</v>
      </c>
      <c r="AS79" s="3" t="n">
        <f aca="false">SUMIFS(secondary_acts!$S$2:$S$771,secondary_acts!$A$2:$A$771,$A79,secondary_acts!$E$2:$E$771,"implementing")+SUMIFS(secondary_acts!$S$2:$S$771,secondary_acts!$A$2:$A$771,$A79,secondary_acts!$E$2:$E$771,"delegated")</f>
        <v>0</v>
      </c>
      <c r="AT79" s="3"/>
      <c r="AU79" s="2"/>
      <c r="AV79" s="2" t="n">
        <v>0</v>
      </c>
      <c r="AW79" s="2"/>
      <c r="AX79" s="2"/>
      <c r="AY79" s="2" t="n">
        <v>2</v>
      </c>
      <c r="AZ79" s="2" t="s">
        <v>895</v>
      </c>
      <c r="BA79" s="2" t="s">
        <v>147</v>
      </c>
      <c r="BB79" s="2" t="n">
        <v>7223</v>
      </c>
      <c r="BC79" s="2" t="n">
        <v>94</v>
      </c>
      <c r="BD79" s="2" t="n">
        <v>6</v>
      </c>
      <c r="BE79" s="2" t="n">
        <f aca="false">IF(ISNUMBER(BB79),Q79-BB79,"")</f>
        <v>7322</v>
      </c>
      <c r="BF79" s="4" t="n">
        <f aca="false">IF(AND(ISNUMBER(BB79),BB79&gt;0),(Q79-BB79)/BB79,"")</f>
        <v>1.01370621625363</v>
      </c>
      <c r="BG79" s="2" t="n">
        <f aca="false">IF(ISNUMBER(BC79),X79-BC79,"")</f>
        <v>72</v>
      </c>
      <c r="BH79" s="4" t="n">
        <f aca="false">IF(AND(ISNUMBER(BC79),BC79&gt;0),(X79-BC79)/BC79,"")</f>
        <v>0.765957446808511</v>
      </c>
      <c r="BI79" s="2" t="n">
        <f aca="false">IF(ISNUMBER(BD79),AD79-BD79,"")</f>
        <v>-5</v>
      </c>
      <c r="BJ79" s="2"/>
      <c r="BK79" s="2"/>
      <c r="BL79" s="2"/>
      <c r="BM79" s="2"/>
      <c r="BN79" s="2"/>
      <c r="BO79" s="2"/>
      <c r="BP79" s="2" t="s">
        <v>110</v>
      </c>
    </row>
    <row r="80" customFormat="false" ht="15" hidden="false" customHeight="false" outlineLevel="0" collapsed="false">
      <c r="A80" s="2" t="n">
        <v>79</v>
      </c>
      <c r="B80" s="2" t="s">
        <v>896</v>
      </c>
      <c r="C80" s="2" t="s">
        <v>897</v>
      </c>
      <c r="D80" s="2" t="s">
        <v>485</v>
      </c>
      <c r="E80" s="2" t="s">
        <v>898</v>
      </c>
      <c r="F80" s="2" t="s">
        <v>889</v>
      </c>
      <c r="G80" s="2" t="s">
        <v>151</v>
      </c>
      <c r="H80" s="2"/>
      <c r="I80" s="2"/>
      <c r="J80" s="2"/>
      <c r="K80" s="2" t="s">
        <v>899</v>
      </c>
      <c r="L80" s="2" t="s">
        <v>899</v>
      </c>
      <c r="M80" s="2" t="s">
        <v>900</v>
      </c>
      <c r="N80" s="2" t="s">
        <v>901</v>
      </c>
      <c r="O80" s="2" t="s">
        <v>902</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2" t="n">
        <f aca="false">COUNTIFS(guidance_agencies!$A$2:$A$81,$A80,guidance_agencies!$D$2:$D$81,"EDPB")</f>
        <v>0</v>
      </c>
      <c r="AQ80" s="2" t="n">
        <f aca="false">COUNTIFS(guidance_agencies!$A$2:$A$81,$A80,guidance_agencies!$D$2:$D$81,"EBA")</f>
        <v>0</v>
      </c>
      <c r="AR80" s="2" t="n">
        <f aca="false">COUNTIFS(guidance_agencies!$A$2:$A$81,$A80,guidance_agencies!$D$2:$D$81,"ESMA")</f>
        <v>0</v>
      </c>
      <c r="AS80" s="3" t="n">
        <f aca="false">SUMIFS(secondary_acts!$S$2:$S$771,secondary_acts!$A$2:$A$771,$A80,secondary_acts!$E$2:$E$771,"implementing")+SUMIFS(secondary_acts!$S$2:$S$771,secondary_acts!$A$2:$A$771,$A80,secondary_acts!$E$2:$E$771,"delegated")</f>
        <v>0</v>
      </c>
      <c r="AT80" s="3"/>
      <c r="AU80" s="2"/>
      <c r="AV80" s="2"/>
      <c r="AW80" s="2"/>
      <c r="AX80" s="2"/>
      <c r="AY80" s="2"/>
      <c r="AZ80" s="2"/>
      <c r="BA80" s="2" t="s">
        <v>903</v>
      </c>
      <c r="BB80" s="2"/>
      <c r="BC80" s="2"/>
      <c r="BD80" s="2"/>
      <c r="BE80" s="2" t="str">
        <f aca="false">IF(ISNUMBER(BB80),Q80-BB80,"")</f>
        <v/>
      </c>
      <c r="BF80" s="4" t="str">
        <f aca="false">IF(AND(ISNUMBER(BB80),BB80&gt;0),(Q80-BB80)/BB80,"")</f>
        <v/>
      </c>
      <c r="BG80" s="2" t="str">
        <f aca="false">IF(ISNUMBER(BC80),X80-BC80,"")</f>
        <v/>
      </c>
      <c r="BH80" s="4" t="str">
        <f aca="false">IF(AND(ISNUMBER(BC80),BC80&gt;0),(X80-BC80)/BC80,"")</f>
        <v/>
      </c>
      <c r="BI80" s="2" t="str">
        <f aca="false">IF(ISNUMBER(BD80),AD80-BD80,"")</f>
        <v/>
      </c>
      <c r="BJ80" s="2"/>
      <c r="BK80" s="2"/>
      <c r="BL80" s="2"/>
      <c r="BM80" s="2"/>
      <c r="BN80" s="2"/>
      <c r="BO80" s="2"/>
      <c r="BP80" s="2"/>
    </row>
    <row r="81" customFormat="false" ht="15" hidden="false" customHeight="false" outlineLevel="0" collapsed="false">
      <c r="A81" s="2" t="n">
        <v>80</v>
      </c>
      <c r="B81" s="2" t="s">
        <v>904</v>
      </c>
      <c r="C81" s="2" t="s">
        <v>905</v>
      </c>
      <c r="D81" s="2" t="s">
        <v>273</v>
      </c>
      <c r="E81" s="2" t="s">
        <v>71</v>
      </c>
      <c r="F81" s="2" t="s">
        <v>906</v>
      </c>
      <c r="G81" s="2" t="s">
        <v>151</v>
      </c>
      <c r="H81" s="2" t="s">
        <v>402</v>
      </c>
      <c r="I81" s="2" t="s">
        <v>907</v>
      </c>
      <c r="J81" s="2" t="s">
        <v>908</v>
      </c>
      <c r="K81" s="2" t="s">
        <v>76</v>
      </c>
      <c r="L81" s="2" t="s">
        <v>76</v>
      </c>
      <c r="M81" s="2" t="s">
        <v>909</v>
      </c>
      <c r="N81" s="2" t="s">
        <v>78</v>
      </c>
      <c r="O81" s="2" t="s">
        <v>910</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911</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2" t="n">
        <f aca="false">COUNTIFS(guidance_agencies!$A$2:$A$81,$A81,guidance_agencies!$D$2:$D$81,"EDPB")</f>
        <v>0</v>
      </c>
      <c r="AQ81" s="2" t="n">
        <f aca="false">COUNTIFS(guidance_agencies!$A$2:$A$81,$A81,guidance_agencies!$D$2:$D$81,"EBA")</f>
        <v>0</v>
      </c>
      <c r="AR81" s="2" t="n">
        <f aca="false">COUNTIFS(guidance_agencies!$A$2:$A$81,$A81,guidance_agencies!$D$2:$D$81,"ESMA")</f>
        <v>0</v>
      </c>
      <c r="AS81" s="3" t="n">
        <f aca="false">SUMIFS(secondary_acts!$S$2:$S$771,secondary_acts!$A$2:$A$771,$A81,secondary_acts!$E$2:$E$771,"implementing")+SUMIFS(secondary_acts!$S$2:$S$771,secondary_acts!$A$2:$A$771,$A81,secondary_acts!$E$2:$E$771,"delegated")</f>
        <v>145</v>
      </c>
      <c r="AT81" s="3"/>
      <c r="AU81" s="2"/>
      <c r="AV81" s="2" t="n">
        <v>0</v>
      </c>
      <c r="AW81" s="2"/>
      <c r="AX81" s="2"/>
      <c r="AY81" s="2" t="n">
        <v>4</v>
      </c>
      <c r="AZ81" s="2" t="s">
        <v>912</v>
      </c>
      <c r="BA81" s="2" t="s">
        <v>147</v>
      </c>
      <c r="BB81" s="2" t="n">
        <v>38936</v>
      </c>
      <c r="BC81" s="2" t="n">
        <v>474</v>
      </c>
      <c r="BD81" s="2" t="n">
        <v>117</v>
      </c>
      <c r="BE81" s="2" t="n">
        <f aca="false">IF(ISNUMBER(BB81),Q81-BB81,"")</f>
        <v>10160</v>
      </c>
      <c r="BF81" s="4" t="n">
        <f aca="false">IF(AND(ISNUMBER(BB81),BB81&gt;0),(Q81-BB81)/BB81,"")</f>
        <v>0.260941031436203</v>
      </c>
      <c r="BG81" s="2" t="n">
        <f aca="false">IF(ISNUMBER(BC81),X81-BC81,"")</f>
        <v>-8</v>
      </c>
      <c r="BH81" s="4" t="n">
        <f aca="false">IF(AND(ISNUMBER(BC81),BC81&gt;0),(X81-BC81)/BC81,"")</f>
        <v>-0.0168776371308017</v>
      </c>
      <c r="BI81" s="2" t="n">
        <f aca="false">IF(ISNUMBER(BD81),AD81-BD81,"")</f>
        <v>-1</v>
      </c>
      <c r="BJ81" s="2"/>
      <c r="BK81" s="2"/>
      <c r="BL81" s="2"/>
      <c r="BM81" s="2"/>
      <c r="BN81" s="2"/>
      <c r="BO81" s="2"/>
      <c r="BP81" s="2"/>
    </row>
    <row r="82" customFormat="false" ht="15" hidden="false" customHeight="false" outlineLevel="0" collapsed="false">
      <c r="A82" s="2" t="n">
        <v>81</v>
      </c>
      <c r="B82" s="2" t="s">
        <v>913</v>
      </c>
      <c r="C82" s="2" t="s">
        <v>914</v>
      </c>
      <c r="D82" s="2" t="s">
        <v>176</v>
      </c>
      <c r="E82" s="2" t="s">
        <v>71</v>
      </c>
      <c r="F82" s="2" t="s">
        <v>915</v>
      </c>
      <c r="G82" s="2" t="s">
        <v>151</v>
      </c>
      <c r="H82" s="2" t="s">
        <v>916</v>
      </c>
      <c r="I82" s="2" t="s">
        <v>917</v>
      </c>
      <c r="J82" s="2" t="s">
        <v>918</v>
      </c>
      <c r="K82" s="2" t="s">
        <v>76</v>
      </c>
      <c r="L82" s="2" t="s">
        <v>76</v>
      </c>
      <c r="M82" s="2" t="s">
        <v>919</v>
      </c>
      <c r="N82" s="2" t="s">
        <v>78</v>
      </c>
      <c r="O82" s="2" t="s">
        <v>920</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921</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2" t="n">
        <f aca="false">COUNTIFS(guidance_agencies!$A$2:$A$81,$A82,guidance_agencies!$D$2:$D$81,"EDPB")</f>
        <v>0</v>
      </c>
      <c r="AQ82" s="2" t="n">
        <f aca="false">COUNTIFS(guidance_agencies!$A$2:$A$81,$A82,guidance_agencies!$D$2:$D$81,"EBA")</f>
        <v>0</v>
      </c>
      <c r="AR82" s="2" t="n">
        <f aca="false">COUNTIFS(guidance_agencies!$A$2:$A$81,$A82,guidance_agencies!$D$2:$D$81,"ESMA")</f>
        <v>0</v>
      </c>
      <c r="AS82" s="3" t="n">
        <f aca="false">SUMIFS(secondary_acts!$S$2:$S$771,secondary_acts!$A$2:$A$771,$A82,secondary_acts!$E$2:$E$771,"implementing")+SUMIFS(secondary_acts!$S$2:$S$771,secondary_acts!$A$2:$A$771,$A82,secondary_acts!$E$2:$E$771,"delegated")</f>
        <v>144</v>
      </c>
      <c r="AT82" s="3"/>
      <c r="AU82" s="2"/>
      <c r="AV82" s="2" t="n">
        <v>0</v>
      </c>
      <c r="AW82" s="2"/>
      <c r="AX82" s="2"/>
      <c r="AY82" s="2" t="n">
        <v>3</v>
      </c>
      <c r="AZ82" s="2" t="s">
        <v>922</v>
      </c>
      <c r="BA82" s="2" t="s">
        <v>147</v>
      </c>
      <c r="BB82" s="2" t="n">
        <v>37113</v>
      </c>
      <c r="BC82" s="2" t="n">
        <v>398</v>
      </c>
      <c r="BD82" s="2" t="n">
        <v>91</v>
      </c>
      <c r="BE82" s="2" t="n">
        <f aca="false">IF(ISNUMBER(BB82),Q82-BB82,"")</f>
        <v>22256</v>
      </c>
      <c r="BF82" s="4" t="n">
        <f aca="false">IF(AND(ISNUMBER(BB82),BB82&gt;0),(Q82-BB82)/BB82,"")</f>
        <v>0.59968205211112</v>
      </c>
      <c r="BG82" s="2" t="n">
        <f aca="false">IF(ISNUMBER(BC82),X82-BC82,"")</f>
        <v>211</v>
      </c>
      <c r="BH82" s="4" t="n">
        <f aca="false">IF(AND(ISNUMBER(BC82),BC82&gt;0),(X82-BC82)/BC82,"")</f>
        <v>0.530150753768844</v>
      </c>
      <c r="BI82" s="2" t="n">
        <f aca="false">IF(ISNUMBER(BD82),AD82-BD82,"")</f>
        <v>73</v>
      </c>
      <c r="BJ82" s="2"/>
      <c r="BK82" s="2"/>
      <c r="BL82" s="2"/>
      <c r="BM82" s="2"/>
      <c r="BN82" s="2"/>
      <c r="BO82" s="2"/>
      <c r="BP82" s="2" t="s">
        <v>110</v>
      </c>
    </row>
    <row r="83" customFormat="false" ht="15" hidden="false" customHeight="false" outlineLevel="0" collapsed="false">
      <c r="A83" s="2" t="n">
        <v>82</v>
      </c>
      <c r="B83" s="2" t="s">
        <v>923</v>
      </c>
      <c r="C83" s="2" t="s">
        <v>924</v>
      </c>
      <c r="D83" s="2" t="s">
        <v>322</v>
      </c>
      <c r="E83" s="2" t="s">
        <v>925</v>
      </c>
      <c r="F83" s="2" t="s">
        <v>810</v>
      </c>
      <c r="G83" s="2" t="s">
        <v>151</v>
      </c>
      <c r="H83" s="2"/>
      <c r="I83" s="2"/>
      <c r="J83" s="2"/>
      <c r="K83" s="2" t="s">
        <v>899</v>
      </c>
      <c r="L83" s="2" t="s">
        <v>899</v>
      </c>
      <c r="M83" s="2" t="s">
        <v>926</v>
      </c>
      <c r="N83" s="2" t="s">
        <v>901</v>
      </c>
      <c r="O83" s="2" t="s">
        <v>927</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2" t="n">
        <f aca="false">COUNTIFS(guidance_agencies!$A$2:$A$81,$A83,guidance_agencies!$D$2:$D$81,"EDPB")</f>
        <v>0</v>
      </c>
      <c r="AQ83" s="2" t="n">
        <f aca="false">COUNTIFS(guidance_agencies!$A$2:$A$81,$A83,guidance_agencies!$D$2:$D$81,"EBA")</f>
        <v>0</v>
      </c>
      <c r="AR83" s="2" t="n">
        <f aca="false">COUNTIFS(guidance_agencies!$A$2:$A$81,$A83,guidance_agencies!$D$2:$D$81,"ESMA")</f>
        <v>0</v>
      </c>
      <c r="AS83" s="3" t="n">
        <f aca="false">SUMIFS(secondary_acts!$S$2:$S$771,secondary_acts!$A$2:$A$771,$A83,secondary_acts!$E$2:$E$771,"implementing")+SUMIFS(secondary_acts!$S$2:$S$771,secondary_acts!$A$2:$A$771,$A83,secondary_acts!$E$2:$E$771,"delegated")</f>
        <v>0</v>
      </c>
      <c r="AT83" s="3"/>
      <c r="AU83" s="2"/>
      <c r="AV83" s="2"/>
      <c r="AW83" s="2"/>
      <c r="AX83" s="2"/>
      <c r="AY83" s="2"/>
      <c r="AZ83" s="2"/>
      <c r="BA83" s="2" t="s">
        <v>903</v>
      </c>
      <c r="BB83" s="2"/>
      <c r="BC83" s="2"/>
      <c r="BD83" s="2"/>
      <c r="BE83" s="2" t="str">
        <f aca="false">IF(ISNUMBER(BB83),Q83-BB83,"")</f>
        <v/>
      </c>
      <c r="BF83" s="4" t="str">
        <f aca="false">IF(AND(ISNUMBER(BB83),BB83&gt;0),(Q83-BB83)/BB83,"")</f>
        <v/>
      </c>
      <c r="BG83" s="2" t="str">
        <f aca="false">IF(ISNUMBER(BC83),X83-BC83,"")</f>
        <v/>
      </c>
      <c r="BH83" s="4" t="str">
        <f aca="false">IF(AND(ISNUMBER(BC83),BC83&gt;0),(X83-BC83)/BC83,"")</f>
        <v/>
      </c>
      <c r="BI83" s="2" t="str">
        <f aca="false">IF(ISNUMBER(BD83),AD83-BD83,"")</f>
        <v/>
      </c>
      <c r="BJ83" s="2"/>
      <c r="BK83" s="2"/>
      <c r="BL83" s="2"/>
      <c r="BM83" s="2"/>
      <c r="BN83" s="2"/>
      <c r="BO83" s="2"/>
      <c r="BP83" s="2"/>
    </row>
    <row r="84" customFormat="false" ht="15" hidden="false" customHeight="false" outlineLevel="0" collapsed="false">
      <c r="A84" s="2" t="n">
        <v>83</v>
      </c>
      <c r="B84" s="2" t="s">
        <v>928</v>
      </c>
      <c r="C84" s="2" t="s">
        <v>929</v>
      </c>
      <c r="D84" s="2" t="s">
        <v>485</v>
      </c>
      <c r="E84" s="2" t="s">
        <v>71</v>
      </c>
      <c r="F84" s="2" t="s">
        <v>930</v>
      </c>
      <c r="G84" s="2" t="s">
        <v>151</v>
      </c>
      <c r="H84" s="2" t="s">
        <v>134</v>
      </c>
      <c r="I84" s="2" t="s">
        <v>931</v>
      </c>
      <c r="J84" s="2" t="s">
        <v>932</v>
      </c>
      <c r="K84" s="2" t="s">
        <v>76</v>
      </c>
      <c r="L84" s="2" t="s">
        <v>76</v>
      </c>
      <c r="M84" s="2" t="s">
        <v>933</v>
      </c>
      <c r="N84" s="2" t="s">
        <v>78</v>
      </c>
      <c r="O84" s="2" t="s">
        <v>934</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935</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2" t="n">
        <f aca="false">COUNTIFS(guidance_agencies!$A$2:$A$81,$A84,guidance_agencies!$D$2:$D$81,"EDPB")</f>
        <v>0</v>
      </c>
      <c r="AQ84" s="2" t="n">
        <f aca="false">COUNTIFS(guidance_agencies!$A$2:$A$81,$A84,guidance_agencies!$D$2:$D$81,"EBA")</f>
        <v>0</v>
      </c>
      <c r="AR84" s="2" t="n">
        <f aca="false">COUNTIFS(guidance_agencies!$A$2:$A$81,$A84,guidance_agencies!$D$2:$D$81,"ESMA")</f>
        <v>0</v>
      </c>
      <c r="AS84" s="3" t="n">
        <f aca="false">SUMIFS(secondary_acts!$S$2:$S$771,secondary_acts!$A$2:$A$771,$A84,secondary_acts!$E$2:$E$771,"implementing")+SUMIFS(secondary_acts!$S$2:$S$771,secondary_acts!$A$2:$A$771,$A84,secondary_acts!$E$2:$E$771,"delegated")</f>
        <v>7</v>
      </c>
      <c r="AT84" s="3"/>
      <c r="AU84" s="2"/>
      <c r="AV84" s="2" t="n">
        <v>1</v>
      </c>
      <c r="AW84" s="2" t="s">
        <v>916</v>
      </c>
      <c r="AX84" s="2" t="s">
        <v>916</v>
      </c>
      <c r="AY84" s="2" t="n">
        <v>8</v>
      </c>
      <c r="AZ84" s="2" t="s">
        <v>936</v>
      </c>
      <c r="BA84" s="2" t="s">
        <v>147</v>
      </c>
      <c r="BB84" s="2" t="n">
        <v>30753</v>
      </c>
      <c r="BC84" s="2" t="n">
        <v>356</v>
      </c>
      <c r="BD84" s="2" t="n">
        <v>140</v>
      </c>
      <c r="BE84" s="2" t="n">
        <f aca="false">IF(ISNUMBER(BB84),Q84-BB84,"")</f>
        <v>20296</v>
      </c>
      <c r="BF84" s="4" t="n">
        <f aca="false">IF(AND(ISNUMBER(BB84),BB84&gt;0),(Q84-BB84)/BB84,"")</f>
        <v>0.659968133190258</v>
      </c>
      <c r="BG84" s="2" t="n">
        <f aca="false">IF(ISNUMBER(BC84),X84-BC84,"")</f>
        <v>145</v>
      </c>
      <c r="BH84" s="4" t="n">
        <f aca="false">IF(AND(ISNUMBER(BC84),BC84&gt;0),(X84-BC84)/BC84,"")</f>
        <v>0.407303370786517</v>
      </c>
      <c r="BI84" s="2" t="n">
        <f aca="false">IF(ISNUMBER(BD84),AD84-BD84,"")</f>
        <v>43</v>
      </c>
      <c r="BJ84" s="2"/>
      <c r="BK84" s="2"/>
      <c r="BL84" s="2"/>
      <c r="BM84" s="2"/>
      <c r="BN84" s="2"/>
      <c r="BO84" s="2"/>
      <c r="BP84" s="2"/>
    </row>
    <row r="85" customFormat="false" ht="15" hidden="false" customHeight="false" outlineLevel="0" collapsed="false">
      <c r="A85" s="2" t="n">
        <v>84</v>
      </c>
      <c r="B85" s="2" t="s">
        <v>937</v>
      </c>
      <c r="C85" s="2" t="s">
        <v>938</v>
      </c>
      <c r="D85" s="2" t="s">
        <v>100</v>
      </c>
      <c r="E85" s="2" t="s">
        <v>71</v>
      </c>
      <c r="F85" s="2" t="s">
        <v>939</v>
      </c>
      <c r="G85" s="2" t="s">
        <v>151</v>
      </c>
      <c r="H85" s="2" t="s">
        <v>257</v>
      </c>
      <c r="I85" s="2" t="s">
        <v>940</v>
      </c>
      <c r="J85" s="2" t="s">
        <v>941</v>
      </c>
      <c r="K85" s="2" t="s">
        <v>76</v>
      </c>
      <c r="L85" s="2" t="s">
        <v>76</v>
      </c>
      <c r="M85" s="2" t="s">
        <v>942</v>
      </c>
      <c r="N85" s="2" t="s">
        <v>78</v>
      </c>
      <c r="O85" s="2" t="s">
        <v>943</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944</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2" t="n">
        <f aca="false">COUNTIFS(guidance_agencies!$A$2:$A$81,$A85,guidance_agencies!$D$2:$D$81,"EDPB")</f>
        <v>0</v>
      </c>
      <c r="AQ85" s="2" t="n">
        <f aca="false">COUNTIFS(guidance_agencies!$A$2:$A$81,$A85,guidance_agencies!$D$2:$D$81,"EBA")</f>
        <v>0</v>
      </c>
      <c r="AR85" s="2" t="n">
        <f aca="false">COUNTIFS(guidance_agencies!$A$2:$A$81,$A85,guidance_agencies!$D$2:$D$81,"ESMA")</f>
        <v>0</v>
      </c>
      <c r="AS85" s="3" t="n">
        <f aca="false">SUMIFS(secondary_acts!$S$2:$S$771,secondary_acts!$A$2:$A$771,$A85,secondary_acts!$E$2:$E$771,"implementing")+SUMIFS(secondary_acts!$S$2:$S$771,secondary_acts!$A$2:$A$771,$A85,secondary_acts!$E$2:$E$771,"delegated")</f>
        <v>0</v>
      </c>
      <c r="AT85" s="3"/>
      <c r="AU85" s="2"/>
      <c r="AV85" s="2" t="n">
        <v>0</v>
      </c>
      <c r="AW85" s="2"/>
      <c r="AX85" s="2"/>
      <c r="AY85" s="2" t="n">
        <v>4</v>
      </c>
      <c r="AZ85" s="2" t="s">
        <v>945</v>
      </c>
      <c r="BA85" s="2" t="s">
        <v>147</v>
      </c>
      <c r="BB85" s="2" t="n">
        <v>14840</v>
      </c>
      <c r="BC85" s="2" t="n">
        <v>108</v>
      </c>
      <c r="BD85" s="2" t="n">
        <v>13</v>
      </c>
      <c r="BE85" s="2" t="n">
        <f aca="false">IF(ISNUMBER(BB85),Q85-BB85,"")</f>
        <v>11320</v>
      </c>
      <c r="BF85" s="4" t="n">
        <f aca="false">IF(AND(ISNUMBER(BB85),BB85&gt;0),(Q85-BB85)/BB85,"")</f>
        <v>0.762803234501348</v>
      </c>
      <c r="BG85" s="2" t="n">
        <f aca="false">IF(ISNUMBER(BC85),X85-BC85,"")</f>
        <v>45</v>
      </c>
      <c r="BH85" s="4" t="n">
        <f aca="false">IF(AND(ISNUMBER(BC85),BC85&gt;0),(X85-BC85)/BC85,"")</f>
        <v>0.416666666666667</v>
      </c>
      <c r="BI85" s="2" t="n">
        <f aca="false">IF(ISNUMBER(BD85),AD85-BD85,"")</f>
        <v>11</v>
      </c>
      <c r="BJ85" s="2"/>
      <c r="BK85" s="2"/>
      <c r="BL85" s="2"/>
      <c r="BM85" s="2"/>
      <c r="BN85" s="2"/>
      <c r="BO85" s="2"/>
      <c r="BP85" s="2" t="s">
        <v>110</v>
      </c>
    </row>
    <row r="86" customFormat="false" ht="15" hidden="false" customHeight="false" outlineLevel="0" collapsed="false">
      <c r="A86" s="2" t="n">
        <v>85</v>
      </c>
      <c r="B86" s="2" t="s">
        <v>946</v>
      </c>
      <c r="C86" s="2" t="s">
        <v>947</v>
      </c>
      <c r="D86" s="2" t="s">
        <v>200</v>
      </c>
      <c r="E86" s="2" t="s">
        <v>71</v>
      </c>
      <c r="F86" s="2" t="s">
        <v>948</v>
      </c>
      <c r="G86" s="2" t="s">
        <v>151</v>
      </c>
      <c r="H86" s="2" t="s">
        <v>773</v>
      </c>
      <c r="I86" s="2" t="s">
        <v>949</v>
      </c>
      <c r="J86" s="2" t="s">
        <v>950</v>
      </c>
      <c r="K86" s="2" t="s">
        <v>76</v>
      </c>
      <c r="L86" s="2" t="s">
        <v>76</v>
      </c>
      <c r="M86" s="2" t="s">
        <v>951</v>
      </c>
      <c r="N86" s="2" t="s">
        <v>78</v>
      </c>
      <c r="O86" s="2" t="s">
        <v>952</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953</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2" t="n">
        <f aca="false">COUNTIFS(guidance_agencies!$A$2:$A$81,$A86,guidance_agencies!$D$2:$D$81,"EDPB")</f>
        <v>0</v>
      </c>
      <c r="AQ86" s="2" t="n">
        <f aca="false">COUNTIFS(guidance_agencies!$A$2:$A$81,$A86,guidance_agencies!$D$2:$D$81,"EBA")</f>
        <v>0</v>
      </c>
      <c r="AR86" s="2" t="n">
        <f aca="false">COUNTIFS(guidance_agencies!$A$2:$A$81,$A86,guidance_agencies!$D$2:$D$81,"ESMA")</f>
        <v>0</v>
      </c>
      <c r="AS86" s="3" t="n">
        <f aca="false">SUMIFS(secondary_acts!$S$2:$S$771,secondary_acts!$A$2:$A$771,$A86,secondary_acts!$E$2:$E$771,"implementing")+SUMIFS(secondary_acts!$S$2:$S$771,secondary_acts!$A$2:$A$771,$A86,secondary_acts!$E$2:$E$771,"delegated")</f>
        <v>0</v>
      </c>
      <c r="AT86" s="3"/>
      <c r="AU86" s="2"/>
      <c r="AV86" s="2" t="n">
        <v>0</v>
      </c>
      <c r="AW86" s="2"/>
      <c r="AX86" s="2"/>
      <c r="AY86" s="2" t="n">
        <v>2</v>
      </c>
      <c r="AZ86" s="2" t="s">
        <v>954</v>
      </c>
      <c r="BA86" s="2" t="s">
        <v>147</v>
      </c>
      <c r="BB86" s="2" t="n">
        <v>16426</v>
      </c>
      <c r="BC86" s="2" t="n">
        <v>191</v>
      </c>
      <c r="BD86" s="2" t="n">
        <v>7</v>
      </c>
      <c r="BE86" s="2" t="n">
        <f aca="false">IF(ISNUMBER(BB86),Q86-BB86,"")</f>
        <v>7948</v>
      </c>
      <c r="BF86" s="4" t="n">
        <f aca="false">IF(AND(ISNUMBER(BB86),BB86&gt;0),(Q86-BB86)/BB86,"")</f>
        <v>0.483867040058444</v>
      </c>
      <c r="BG86" s="2" t="n">
        <f aca="false">IF(ISNUMBER(BC86),X86-BC86,"")</f>
        <v>13</v>
      </c>
      <c r="BH86" s="4" t="n">
        <f aca="false">IF(AND(ISNUMBER(BC86),BC86&gt;0),(X86-BC86)/BC86,"")</f>
        <v>0.0680628272251309</v>
      </c>
      <c r="BI86" s="2" t="n">
        <f aca="false">IF(ISNUMBER(BD86),AD86-BD86,"")</f>
        <v>1</v>
      </c>
      <c r="BJ86" s="2"/>
      <c r="BK86" s="2"/>
      <c r="BL86" s="2"/>
      <c r="BM86" s="2"/>
      <c r="BN86" s="2"/>
      <c r="BO86" s="2"/>
      <c r="BP86" s="2" t="s">
        <v>110</v>
      </c>
    </row>
    <row r="87" customFormat="false" ht="15" hidden="false" customHeight="false" outlineLevel="0" collapsed="false">
      <c r="A87" s="2" t="n">
        <v>86</v>
      </c>
      <c r="B87" s="2" t="s">
        <v>955</v>
      </c>
      <c r="C87" s="2" t="s">
        <v>956</v>
      </c>
      <c r="D87" s="2" t="s">
        <v>273</v>
      </c>
      <c r="E87" s="2" t="s">
        <v>71</v>
      </c>
      <c r="F87" s="2" t="s">
        <v>957</v>
      </c>
      <c r="G87" s="2" t="s">
        <v>151</v>
      </c>
      <c r="H87" s="2" t="s">
        <v>134</v>
      </c>
      <c r="I87" s="2" t="s">
        <v>958</v>
      </c>
      <c r="J87" s="2" t="s">
        <v>959</v>
      </c>
      <c r="K87" s="2" t="s">
        <v>76</v>
      </c>
      <c r="L87" s="2" t="s">
        <v>76</v>
      </c>
      <c r="M87" s="2" t="s">
        <v>960</v>
      </c>
      <c r="N87" s="2" t="s">
        <v>78</v>
      </c>
      <c r="O87" s="2" t="s">
        <v>961</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962</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2" t="n">
        <f aca="false">COUNTIFS(guidance_agencies!$A$2:$A$81,$A87,guidance_agencies!$D$2:$D$81,"EDPB")</f>
        <v>0</v>
      </c>
      <c r="AQ87" s="2" t="n">
        <f aca="false">COUNTIFS(guidance_agencies!$A$2:$A$81,$A87,guidance_agencies!$D$2:$D$81,"EBA")</f>
        <v>0</v>
      </c>
      <c r="AR87" s="2" t="n">
        <f aca="false">COUNTIFS(guidance_agencies!$A$2:$A$81,$A87,guidance_agencies!$D$2:$D$81,"ESMA")</f>
        <v>0</v>
      </c>
      <c r="AS87" s="3" t="n">
        <f aca="false">SUMIFS(secondary_acts!$S$2:$S$771,secondary_acts!$A$2:$A$771,$A87,secondary_acts!$E$2:$E$771,"implementing")+SUMIFS(secondary_acts!$S$2:$S$771,secondary_acts!$A$2:$A$771,$A87,secondary_acts!$E$2:$E$771,"delegated")</f>
        <v>0</v>
      </c>
      <c r="AT87" s="3" t="n">
        <v>80</v>
      </c>
      <c r="AU87" s="2" t="n">
        <v>2</v>
      </c>
      <c r="AV87" s="2" t="n">
        <v>0</v>
      </c>
      <c r="AW87" s="2"/>
      <c r="AX87" s="2"/>
      <c r="AY87" s="2" t="n">
        <v>2</v>
      </c>
      <c r="AZ87" s="2" t="s">
        <v>963</v>
      </c>
      <c r="BA87" s="2" t="s">
        <v>147</v>
      </c>
      <c r="BB87" s="2" t="n">
        <v>8628</v>
      </c>
      <c r="BC87" s="2" t="n">
        <v>32</v>
      </c>
      <c r="BD87" s="2" t="n">
        <v>2</v>
      </c>
      <c r="BE87" s="2" t="n">
        <f aca="false">IF(ISNUMBER(BB87),Q87-BB87,"")</f>
        <v>4398</v>
      </c>
      <c r="BF87" s="4" t="n">
        <f aca="false">IF(AND(ISNUMBER(BB87),BB87&gt;0),(Q87-BB87)/BB87,"")</f>
        <v>0.509735744089013</v>
      </c>
      <c r="BG87" s="2" t="n">
        <f aca="false">IF(ISNUMBER(BC87),X87-BC87,"")</f>
        <v>14</v>
      </c>
      <c r="BH87" s="4" t="n">
        <f aca="false">IF(AND(ISNUMBER(BC87),BC87&gt;0),(X87-BC87)/BC87,"")</f>
        <v>0.4375</v>
      </c>
      <c r="BI87" s="2" t="n">
        <f aca="false">IF(ISNUMBER(BD87),AD87-BD87,"")</f>
        <v>3</v>
      </c>
      <c r="BJ87" s="2"/>
      <c r="BK87" s="2"/>
      <c r="BL87" s="2"/>
      <c r="BM87" s="2"/>
      <c r="BN87" s="2"/>
      <c r="BO87" s="2"/>
      <c r="BP87" s="2"/>
    </row>
    <row r="88" customFormat="false" ht="15" hidden="false" customHeight="false" outlineLevel="0" collapsed="false">
      <c r="A88" s="2" t="n">
        <v>87</v>
      </c>
      <c r="B88" s="2" t="s">
        <v>964</v>
      </c>
      <c r="C88" s="2" t="s">
        <v>965</v>
      </c>
      <c r="D88" s="2" t="s">
        <v>200</v>
      </c>
      <c r="E88" s="2" t="s">
        <v>71</v>
      </c>
      <c r="F88" s="2" t="s">
        <v>966</v>
      </c>
      <c r="G88" s="2" t="s">
        <v>73</v>
      </c>
      <c r="H88" s="2" t="s">
        <v>967</v>
      </c>
      <c r="I88" s="2" t="s">
        <v>968</v>
      </c>
      <c r="J88" s="2" t="s">
        <v>969</v>
      </c>
      <c r="K88" s="2" t="s">
        <v>76</v>
      </c>
      <c r="L88" s="2" t="s">
        <v>76</v>
      </c>
      <c r="M88" s="2" t="s">
        <v>970</v>
      </c>
      <c r="N88" s="2" t="s">
        <v>78</v>
      </c>
      <c r="O88" s="2" t="s">
        <v>971</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972</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2" t="n">
        <f aca="false">COUNTIFS(guidance_agencies!$A$2:$A$81,$A88,guidance_agencies!$D$2:$D$81,"EDPB")</f>
        <v>0</v>
      </c>
      <c r="AQ88" s="2" t="n">
        <f aca="false">COUNTIFS(guidance_agencies!$A$2:$A$81,$A88,guidance_agencies!$D$2:$D$81,"EBA")</f>
        <v>0</v>
      </c>
      <c r="AR88" s="2" t="n">
        <f aca="false">COUNTIFS(guidance_agencies!$A$2:$A$81,$A88,guidance_agencies!$D$2:$D$81,"ESMA")</f>
        <v>0</v>
      </c>
      <c r="AS88" s="3" t="n">
        <f aca="false">SUMIFS(secondary_acts!$S$2:$S$771,secondary_acts!$A$2:$A$771,$A88,secondary_acts!$E$2:$E$771,"implementing")+SUMIFS(secondary_acts!$S$2:$S$771,secondary_acts!$A$2:$A$771,$A88,secondary_acts!$E$2:$E$771,"delegated")</f>
        <v>0</v>
      </c>
      <c r="AT88" s="3"/>
      <c r="AU88" s="2"/>
      <c r="AV88" s="2" t="n">
        <v>0</v>
      </c>
      <c r="AW88" s="2"/>
      <c r="AX88" s="2"/>
      <c r="AY88" s="2" t="n">
        <v>2</v>
      </c>
      <c r="AZ88" s="2"/>
      <c r="BA88" s="2" t="s">
        <v>375</v>
      </c>
      <c r="BB88" s="2"/>
      <c r="BC88" s="2"/>
      <c r="BD88" s="2"/>
      <c r="BE88" s="2" t="str">
        <f aca="false">IF(ISNUMBER(BB88),Q88-BB88,"")</f>
        <v/>
      </c>
      <c r="BF88" s="4" t="str">
        <f aca="false">IF(AND(ISNUMBER(BB88),BB88&gt;0),(Q88-BB88)/BB88,"")</f>
        <v/>
      </c>
      <c r="BG88" s="2" t="str">
        <f aca="false">IF(ISNUMBER(BC88),X88-BC88,"")</f>
        <v/>
      </c>
      <c r="BH88" s="4" t="str">
        <f aca="false">IF(AND(ISNUMBER(BC88),BC88&gt;0),(X88-BC88)/BC88,"")</f>
        <v/>
      </c>
      <c r="BI88" s="2" t="str">
        <f aca="false">IF(ISNUMBER(BD88),AD88-BD88,"")</f>
        <v/>
      </c>
      <c r="BJ88" s="2"/>
      <c r="BK88" s="2"/>
      <c r="BL88" s="2"/>
      <c r="BM88" s="2"/>
      <c r="BN88" s="2"/>
      <c r="BO88" s="2"/>
      <c r="BP88" s="2" t="s">
        <v>376</v>
      </c>
    </row>
    <row r="89" customFormat="false" ht="15" hidden="false" customHeight="false" outlineLevel="0" collapsed="false">
      <c r="A89" s="2" t="n">
        <v>88</v>
      </c>
      <c r="B89" s="2" t="s">
        <v>973</v>
      </c>
      <c r="C89" s="2" t="s">
        <v>974</v>
      </c>
      <c r="D89" s="2" t="s">
        <v>176</v>
      </c>
      <c r="E89" s="2" t="s">
        <v>71</v>
      </c>
      <c r="F89" s="2" t="s">
        <v>975</v>
      </c>
      <c r="G89" s="2" t="s">
        <v>151</v>
      </c>
      <c r="H89" s="2" t="s">
        <v>349</v>
      </c>
      <c r="I89" s="2" t="s">
        <v>976</v>
      </c>
      <c r="J89" s="2" t="s">
        <v>257</v>
      </c>
      <c r="K89" s="2" t="s">
        <v>76</v>
      </c>
      <c r="L89" s="2" t="s">
        <v>76</v>
      </c>
      <c r="M89" s="2" t="s">
        <v>977</v>
      </c>
      <c r="N89" s="2" t="s">
        <v>78</v>
      </c>
      <c r="O89" s="2" t="s">
        <v>978</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2" t="n">
        <f aca="false">COUNTIFS(guidance_agencies!$A$2:$A$81,$A89,guidance_agencies!$D$2:$D$81,"EDPB")</f>
        <v>0</v>
      </c>
      <c r="AQ89" s="2" t="n">
        <f aca="false">COUNTIFS(guidance_agencies!$A$2:$A$81,$A89,guidance_agencies!$D$2:$D$81,"EBA")</f>
        <v>0</v>
      </c>
      <c r="AR89" s="2" t="n">
        <f aca="false">COUNTIFS(guidance_agencies!$A$2:$A$81,$A89,guidance_agencies!$D$2:$D$81,"ESMA")</f>
        <v>0</v>
      </c>
      <c r="AS89" s="3" t="n">
        <f aca="false">SUMIFS(secondary_acts!$S$2:$S$771,secondary_acts!$A$2:$A$771,$A89,secondary_acts!$E$2:$E$771,"implementing")+SUMIFS(secondary_acts!$S$2:$S$771,secondary_acts!$A$2:$A$771,$A89,secondary_acts!$E$2:$E$771,"delegated")</f>
        <v>55</v>
      </c>
      <c r="AT89" s="3"/>
      <c r="AU89" s="2"/>
      <c r="AV89" s="2" t="n">
        <v>0</v>
      </c>
      <c r="AW89" s="2"/>
      <c r="AX89" s="2"/>
      <c r="AY89" s="2" t="n">
        <v>0</v>
      </c>
      <c r="AZ89" s="2" t="s">
        <v>979</v>
      </c>
      <c r="BA89" s="2" t="s">
        <v>147</v>
      </c>
      <c r="BB89" s="2" t="n">
        <v>9785</v>
      </c>
      <c r="BC89" s="2" t="n">
        <v>99</v>
      </c>
      <c r="BD89" s="2" t="n">
        <v>4</v>
      </c>
      <c r="BE89" s="2" t="n">
        <f aca="false">IF(ISNUMBER(BB89),Q89-BB89,"")</f>
        <v>3848</v>
      </c>
      <c r="BF89" s="4" t="n">
        <f aca="false">IF(AND(ISNUMBER(BB89),BB89&gt;0),(Q89-BB89)/BB89,"")</f>
        <v>0.393254982115483</v>
      </c>
      <c r="BG89" s="2" t="n">
        <f aca="false">IF(ISNUMBER(BC89),X89-BC89,"")</f>
        <v>30</v>
      </c>
      <c r="BH89" s="4" t="n">
        <f aca="false">IF(AND(ISNUMBER(BC89),BC89&gt;0),(X89-BC89)/BC89,"")</f>
        <v>0.303030303030303</v>
      </c>
      <c r="BI89" s="2" t="n">
        <f aca="false">IF(ISNUMBER(BD89),AD89-BD89,"")</f>
        <v>2</v>
      </c>
      <c r="BJ89" s="2"/>
      <c r="BK89" s="2"/>
      <c r="BL89" s="2"/>
      <c r="BM89" s="2"/>
      <c r="BN89" s="2"/>
      <c r="BO89" s="2"/>
      <c r="BP89" s="2"/>
    </row>
    <row r="90" customFormat="false" ht="15" hidden="false" customHeight="false" outlineLevel="0" collapsed="false">
      <c r="A90" s="2" t="n">
        <v>89</v>
      </c>
      <c r="B90" s="2" t="s">
        <v>980</v>
      </c>
      <c r="C90" s="2" t="s">
        <v>981</v>
      </c>
      <c r="D90" s="2" t="s">
        <v>113</v>
      </c>
      <c r="E90" s="2" t="s">
        <v>71</v>
      </c>
      <c r="F90" s="2" t="s">
        <v>982</v>
      </c>
      <c r="G90" s="2" t="s">
        <v>151</v>
      </c>
      <c r="H90" s="2" t="s">
        <v>134</v>
      </c>
      <c r="I90" s="2" t="s">
        <v>958</v>
      </c>
      <c r="J90" s="2" t="s">
        <v>959</v>
      </c>
      <c r="K90" s="2" t="s">
        <v>76</v>
      </c>
      <c r="L90" s="2" t="s">
        <v>76</v>
      </c>
      <c r="M90" s="2" t="s">
        <v>983</v>
      </c>
      <c r="N90" s="2" t="s">
        <v>78</v>
      </c>
      <c r="O90" s="2" t="s">
        <v>984</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985</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2" t="n">
        <f aca="false">COUNTIFS(guidance_agencies!$A$2:$A$81,$A90,guidance_agencies!$D$2:$D$81,"EDPB")</f>
        <v>0</v>
      </c>
      <c r="AQ90" s="2" t="n">
        <f aca="false">COUNTIFS(guidance_agencies!$A$2:$A$81,$A90,guidance_agencies!$D$2:$D$81,"EBA")</f>
        <v>0</v>
      </c>
      <c r="AR90" s="2" t="n">
        <f aca="false">COUNTIFS(guidance_agencies!$A$2:$A$81,$A90,guidance_agencies!$D$2:$D$81,"ESMA")</f>
        <v>0</v>
      </c>
      <c r="AS90" s="3" t="n">
        <f aca="false">SUMIFS(secondary_acts!$S$2:$S$771,secondary_acts!$A$2:$A$771,$A90,secondary_acts!$E$2:$E$771,"implementing")+SUMIFS(secondary_acts!$S$2:$S$771,secondary_acts!$A$2:$A$771,$A90,secondary_acts!$E$2:$E$771,"delegated")</f>
        <v>0</v>
      </c>
      <c r="AT90" s="3" t="n">
        <v>0</v>
      </c>
      <c r="AU90" s="2" t="n">
        <v>0</v>
      </c>
      <c r="AV90" s="2" t="n">
        <v>0</v>
      </c>
      <c r="AW90" s="2"/>
      <c r="AX90" s="2"/>
      <c r="AY90" s="2" t="n">
        <v>2</v>
      </c>
      <c r="AZ90" s="2" t="s">
        <v>986</v>
      </c>
      <c r="BA90" s="2" t="s">
        <v>147</v>
      </c>
      <c r="BB90" s="2" t="n">
        <v>10541</v>
      </c>
      <c r="BC90" s="2" t="n">
        <v>81</v>
      </c>
      <c r="BD90" s="2" t="n">
        <v>3</v>
      </c>
      <c r="BE90" s="2" t="n">
        <f aca="false">IF(ISNUMBER(BB90),Q90-BB90,"")</f>
        <v>-825</v>
      </c>
      <c r="BF90" s="4" t="n">
        <f aca="false">IF(AND(ISNUMBER(BB90),BB90&gt;0),(Q90-BB90)/BB90,"")</f>
        <v>-0.0782658191822408</v>
      </c>
      <c r="BG90" s="2" t="n">
        <f aca="false">IF(ISNUMBER(BC90),X90-BC90,"")</f>
        <v>-12</v>
      </c>
      <c r="BH90" s="4" t="n">
        <f aca="false">IF(AND(ISNUMBER(BC90),BC90&gt;0),(X90-BC90)/BC90,"")</f>
        <v>-0.148148148148148</v>
      </c>
      <c r="BI90" s="2" t="n">
        <f aca="false">IF(ISNUMBER(BD90),AD90-BD90,"")</f>
        <v>1</v>
      </c>
      <c r="BJ90" s="2"/>
      <c r="BK90" s="2"/>
      <c r="BL90" s="2"/>
      <c r="BM90" s="2"/>
      <c r="BN90" s="2"/>
      <c r="BO90" s="2"/>
      <c r="BP90" s="2" t="s">
        <v>110</v>
      </c>
    </row>
    <row r="91" customFormat="false" ht="15" hidden="false" customHeight="false" outlineLevel="0" collapsed="false">
      <c r="A91" s="2" t="n">
        <v>90</v>
      </c>
      <c r="B91" s="2" t="s">
        <v>987</v>
      </c>
      <c r="C91" s="2" t="s">
        <v>988</v>
      </c>
      <c r="D91" s="2" t="s">
        <v>236</v>
      </c>
      <c r="E91" s="2" t="s">
        <v>925</v>
      </c>
      <c r="F91" s="2" t="s">
        <v>989</v>
      </c>
      <c r="G91" s="2" t="s">
        <v>151</v>
      </c>
      <c r="H91" s="2" t="s">
        <v>990</v>
      </c>
      <c r="I91" s="2" t="s">
        <v>918</v>
      </c>
      <c r="J91" s="2" t="s">
        <v>304</v>
      </c>
      <c r="K91" s="2" t="s">
        <v>899</v>
      </c>
      <c r="L91" s="2" t="s">
        <v>76</v>
      </c>
      <c r="M91" s="2" t="s">
        <v>991</v>
      </c>
      <c r="N91" s="2" t="s">
        <v>78</v>
      </c>
      <c r="O91" s="2" t="s">
        <v>992</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993</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2" t="n">
        <f aca="false">COUNTIFS(guidance_agencies!$A$2:$A$81,$A91,guidance_agencies!$D$2:$D$81,"EDPB")</f>
        <v>0</v>
      </c>
      <c r="AQ91" s="2" t="n">
        <f aca="false">COUNTIFS(guidance_agencies!$A$2:$A$81,$A91,guidance_agencies!$D$2:$D$81,"EBA")</f>
        <v>0</v>
      </c>
      <c r="AR91" s="2" t="n">
        <f aca="false">COUNTIFS(guidance_agencies!$A$2:$A$81,$A91,guidance_agencies!$D$2:$D$81,"ESMA")</f>
        <v>0</v>
      </c>
      <c r="AS91" s="3" t="n">
        <f aca="false">SUMIFS(secondary_acts!$S$2:$S$771,secondary_acts!$A$2:$A$771,$A91,secondary_acts!$E$2:$E$771,"implementing")+SUMIFS(secondary_acts!$S$2:$S$771,secondary_acts!$A$2:$A$771,$A91,secondary_acts!$E$2:$E$771,"delegated")</f>
        <v>0</v>
      </c>
      <c r="AT91" s="3" t="n">
        <v>87</v>
      </c>
      <c r="AU91" s="2" t="n">
        <v>5</v>
      </c>
      <c r="AV91" s="2" t="n">
        <v>0</v>
      </c>
      <c r="AW91" s="2"/>
      <c r="AX91" s="2"/>
      <c r="AY91" s="2" t="n">
        <v>1</v>
      </c>
      <c r="AZ91" s="2" t="s">
        <v>994</v>
      </c>
      <c r="BA91" s="2" t="s">
        <v>147</v>
      </c>
      <c r="BB91" s="2" t="n">
        <v>12271</v>
      </c>
      <c r="BC91" s="2" t="n">
        <v>59</v>
      </c>
      <c r="BD91" s="2" t="n">
        <v>8</v>
      </c>
      <c r="BE91" s="2" t="n">
        <f aca="false">IF(ISNUMBER(BB91),Q91-BB91,"")</f>
        <v>4008</v>
      </c>
      <c r="BF91" s="4" t="n">
        <f aca="false">IF(AND(ISNUMBER(BB91),BB91&gt;0),(Q91-BB91)/BB91,"")</f>
        <v>0.326623747045881</v>
      </c>
      <c r="BG91" s="2" t="n">
        <f aca="false">IF(ISNUMBER(BC91),X91-BC91,"")</f>
        <v>27</v>
      </c>
      <c r="BH91" s="4" t="n">
        <f aca="false">IF(AND(ISNUMBER(BC91),BC91&gt;0),(X91-BC91)/BC91,"")</f>
        <v>0.457627118644068</v>
      </c>
      <c r="BI91" s="2" t="n">
        <f aca="false">IF(ISNUMBER(BD91),AD91-BD91,"")</f>
        <v>11</v>
      </c>
      <c r="BJ91" s="2"/>
      <c r="BK91" s="2"/>
      <c r="BL91" s="2"/>
      <c r="BM91" s="2"/>
      <c r="BN91" s="2"/>
      <c r="BO91" s="2"/>
      <c r="BP91" s="2" t="s">
        <v>995</v>
      </c>
    </row>
    <row r="92" customFormat="false" ht="15" hidden="false" customHeight="false" outlineLevel="0" collapsed="false">
      <c r="A92" s="2" t="n">
        <v>91</v>
      </c>
      <c r="B92" s="2" t="s">
        <v>996</v>
      </c>
      <c r="C92" s="2" t="s">
        <v>997</v>
      </c>
      <c r="D92" s="2" t="s">
        <v>70</v>
      </c>
      <c r="E92" s="2" t="s">
        <v>71</v>
      </c>
      <c r="F92" s="2" t="s">
        <v>998</v>
      </c>
      <c r="G92" s="2" t="s">
        <v>151</v>
      </c>
      <c r="H92" s="2" t="s">
        <v>362</v>
      </c>
      <c r="I92" s="2" t="s">
        <v>999</v>
      </c>
      <c r="J92" s="2" t="s">
        <v>1000</v>
      </c>
      <c r="K92" s="2" t="s">
        <v>76</v>
      </c>
      <c r="L92" s="2" t="s">
        <v>76</v>
      </c>
      <c r="M92" s="2" t="s">
        <v>1001</v>
      </c>
      <c r="N92" s="2" t="s">
        <v>78</v>
      </c>
      <c r="O92" s="2" t="s">
        <v>1002</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1003</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2" t="n">
        <f aca="false">COUNTIFS(guidance_agencies!$A$2:$A$81,$A92,guidance_agencies!$D$2:$D$81,"EDPB")</f>
        <v>0</v>
      </c>
      <c r="AQ92" s="2" t="n">
        <f aca="false">COUNTIFS(guidance_agencies!$A$2:$A$81,$A92,guidance_agencies!$D$2:$D$81,"EBA")</f>
        <v>0</v>
      </c>
      <c r="AR92" s="2" t="n">
        <f aca="false">COUNTIFS(guidance_agencies!$A$2:$A$81,$A92,guidance_agencies!$D$2:$D$81,"ESMA")</f>
        <v>0</v>
      </c>
      <c r="AS92" s="3" t="n">
        <f aca="false">SUMIFS(secondary_acts!$S$2:$S$771,secondary_acts!$A$2:$A$771,$A92,secondary_acts!$E$2:$E$771,"implementing")+SUMIFS(secondary_acts!$S$2:$S$771,secondary_acts!$A$2:$A$771,$A92,secondary_acts!$E$2:$E$771,"delegated")</f>
        <v>0</v>
      </c>
      <c r="AT92" s="3"/>
      <c r="AU92" s="2"/>
      <c r="AV92" s="2" t="n">
        <v>0</v>
      </c>
      <c r="AW92" s="2"/>
      <c r="AX92" s="2"/>
      <c r="AY92" s="2" t="n">
        <v>3</v>
      </c>
      <c r="AZ92" s="2" t="s">
        <v>1004</v>
      </c>
      <c r="BA92" s="2" t="s">
        <v>147</v>
      </c>
      <c r="BB92" s="2" t="n">
        <v>15565</v>
      </c>
      <c r="BC92" s="2" t="n">
        <v>89</v>
      </c>
      <c r="BD92" s="2" t="n">
        <v>12</v>
      </c>
      <c r="BE92" s="2" t="n">
        <f aca="false">IF(ISNUMBER(BB92),Q92-BB92,"")</f>
        <v>7891</v>
      </c>
      <c r="BF92" s="4" t="n">
        <f aca="false">IF(AND(ISNUMBER(BB92),BB92&gt;0),(Q92-BB92)/BB92,"")</f>
        <v>0.506970767748153</v>
      </c>
      <c r="BG92" s="2" t="n">
        <f aca="false">IF(ISNUMBER(BC92),X92-BC92,"")</f>
        <v>25</v>
      </c>
      <c r="BH92" s="4" t="n">
        <f aca="false">IF(AND(ISNUMBER(BC92),BC92&gt;0),(X92-BC92)/BC92,"")</f>
        <v>0.280898876404494</v>
      </c>
      <c r="BI92" s="2" t="n">
        <f aca="false">IF(ISNUMBER(BD92),AD92-BD92,"")</f>
        <v>1</v>
      </c>
      <c r="BJ92" s="2"/>
      <c r="BK92" s="2"/>
      <c r="BL92" s="2"/>
      <c r="BM92" s="2"/>
      <c r="BN92" s="2"/>
      <c r="BO92" s="2"/>
      <c r="BP92" s="2"/>
    </row>
    <row r="93" customFormat="false" ht="15" hidden="false" customHeight="false" outlineLevel="0" collapsed="false">
      <c r="A93" s="2" t="n">
        <v>92</v>
      </c>
      <c r="B93" s="2" t="s">
        <v>1005</v>
      </c>
      <c r="C93" s="2" t="s">
        <v>1006</v>
      </c>
      <c r="D93" s="2" t="s">
        <v>575</v>
      </c>
      <c r="E93" s="2" t="s">
        <v>71</v>
      </c>
      <c r="F93" s="2" t="s">
        <v>1007</v>
      </c>
      <c r="G93" s="2" t="s">
        <v>151</v>
      </c>
      <c r="H93" s="2" t="s">
        <v>257</v>
      </c>
      <c r="I93" s="2" t="s">
        <v>1008</v>
      </c>
      <c r="J93" s="2" t="s">
        <v>1009</v>
      </c>
      <c r="K93" s="2" t="s">
        <v>76</v>
      </c>
      <c r="L93" s="2" t="s">
        <v>76</v>
      </c>
      <c r="M93" s="2" t="s">
        <v>1010</v>
      </c>
      <c r="N93" s="2" t="s">
        <v>78</v>
      </c>
      <c r="O93" s="2" t="s">
        <v>1011</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1012</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2" t="n">
        <f aca="false">COUNTIFS(guidance_agencies!$A$2:$A$81,$A93,guidance_agencies!$D$2:$D$81,"EDPB")</f>
        <v>0</v>
      </c>
      <c r="AQ93" s="2" t="n">
        <f aca="false">COUNTIFS(guidance_agencies!$A$2:$A$81,$A93,guidance_agencies!$D$2:$D$81,"EBA")</f>
        <v>0</v>
      </c>
      <c r="AR93" s="2" t="n">
        <f aca="false">COUNTIFS(guidance_agencies!$A$2:$A$81,$A93,guidance_agencies!$D$2:$D$81,"ESMA")</f>
        <v>0</v>
      </c>
      <c r="AS93" s="3" t="n">
        <f aca="false">SUMIFS(secondary_acts!$S$2:$S$771,secondary_acts!$A$2:$A$771,$A93,secondary_acts!$E$2:$E$771,"implementing")+SUMIFS(secondary_acts!$S$2:$S$771,secondary_acts!$A$2:$A$771,$A93,secondary_acts!$E$2:$E$771,"delegated")</f>
        <v>1</v>
      </c>
      <c r="AT93" s="3"/>
      <c r="AU93" s="2"/>
      <c r="AV93" s="2" t="n">
        <v>0</v>
      </c>
      <c r="AW93" s="2"/>
      <c r="AX93" s="2"/>
      <c r="AY93" s="2" t="n">
        <v>5</v>
      </c>
      <c r="AZ93" s="2" t="s">
        <v>1013</v>
      </c>
      <c r="BA93" s="2" t="s">
        <v>147</v>
      </c>
      <c r="BB93" s="2" t="n">
        <v>29042</v>
      </c>
      <c r="BC93" s="2" t="n">
        <v>296</v>
      </c>
      <c r="BD93" s="2" t="n">
        <v>24</v>
      </c>
      <c r="BE93" s="2" t="n">
        <f aca="false">IF(ISNUMBER(BB93),Q93-BB93,"")</f>
        <v>8737</v>
      </c>
      <c r="BF93" s="4" t="n">
        <f aca="false">IF(AND(ISNUMBER(BB93),BB93&gt;0),(Q93-BB93)/BB93,"")</f>
        <v>0.300840162523242</v>
      </c>
      <c r="BG93" s="2" t="n">
        <f aca="false">IF(ISNUMBER(BC93),X93-BC93,"")</f>
        <v>68</v>
      </c>
      <c r="BH93" s="4" t="n">
        <f aca="false">IF(AND(ISNUMBER(BC93),BC93&gt;0),(X93-BC93)/BC93,"")</f>
        <v>0.22972972972973</v>
      </c>
      <c r="BI93" s="2" t="n">
        <f aca="false">IF(ISNUMBER(BD93),AD93-BD93,"")</f>
        <v>10</v>
      </c>
      <c r="BJ93" s="2"/>
      <c r="BK93" s="2"/>
      <c r="BL93" s="2"/>
      <c r="BM93" s="2"/>
      <c r="BN93" s="2"/>
      <c r="BO93" s="2"/>
      <c r="BP93" s="2"/>
    </row>
    <row r="94" customFormat="false" ht="15" hidden="false" customHeight="false" outlineLevel="0" collapsed="false">
      <c r="A94" s="2" t="n">
        <v>93</v>
      </c>
      <c r="B94" s="2" t="s">
        <v>1014</v>
      </c>
      <c r="C94" s="2" t="s">
        <v>1015</v>
      </c>
      <c r="D94" s="2" t="s">
        <v>575</v>
      </c>
      <c r="E94" s="2" t="s">
        <v>71</v>
      </c>
      <c r="F94" s="2" t="s">
        <v>1007</v>
      </c>
      <c r="G94" s="2" t="s">
        <v>151</v>
      </c>
      <c r="H94" s="2" t="s">
        <v>402</v>
      </c>
      <c r="I94" s="2" t="s">
        <v>907</v>
      </c>
      <c r="J94" s="2" t="s">
        <v>1016</v>
      </c>
      <c r="K94" s="2" t="s">
        <v>76</v>
      </c>
      <c r="L94" s="2" t="s">
        <v>76</v>
      </c>
      <c r="M94" s="2" t="s">
        <v>1017</v>
      </c>
      <c r="N94" s="2" t="s">
        <v>78</v>
      </c>
      <c r="O94" s="2" t="s">
        <v>1018</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1019</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2" t="n">
        <f aca="false">COUNTIFS(guidance_agencies!$A$2:$A$81,$A94,guidance_agencies!$D$2:$D$81,"EDPB")</f>
        <v>0</v>
      </c>
      <c r="AQ94" s="2" t="n">
        <f aca="false">COUNTIFS(guidance_agencies!$A$2:$A$81,$A94,guidance_agencies!$D$2:$D$81,"EBA")</f>
        <v>0</v>
      </c>
      <c r="AR94" s="2" t="n">
        <f aca="false">COUNTIFS(guidance_agencies!$A$2:$A$81,$A94,guidance_agencies!$D$2:$D$81,"ESMA")</f>
        <v>0</v>
      </c>
      <c r="AS94" s="3" t="n">
        <f aca="false">SUMIFS(secondary_acts!$S$2:$S$771,secondary_acts!$A$2:$A$771,$A94,secondary_acts!$E$2:$E$771,"implementing")+SUMIFS(secondary_acts!$S$2:$S$771,secondary_acts!$A$2:$A$771,$A94,secondary_acts!$E$2:$E$771,"delegated")</f>
        <v>88</v>
      </c>
      <c r="AT94" s="3"/>
      <c r="AU94" s="2"/>
      <c r="AV94" s="2" t="n">
        <v>1</v>
      </c>
      <c r="AW94" s="2" t="s">
        <v>1020</v>
      </c>
      <c r="AX94" s="2" t="s">
        <v>1020</v>
      </c>
      <c r="AY94" s="2" t="n">
        <v>4</v>
      </c>
      <c r="AZ94" s="2" t="s">
        <v>1021</v>
      </c>
      <c r="BA94" s="2" t="s">
        <v>147</v>
      </c>
      <c r="BB94" s="2" t="n">
        <v>19871</v>
      </c>
      <c r="BC94" s="2" t="n">
        <v>153</v>
      </c>
      <c r="BD94" s="2" t="n">
        <v>9</v>
      </c>
      <c r="BE94" s="2" t="n">
        <f aca="false">IF(ISNUMBER(BB94),Q94-BB94,"")</f>
        <v>17580</v>
      </c>
      <c r="BF94" s="4" t="n">
        <f aca="false">IF(AND(ISNUMBER(BB94),BB94&gt;0),(Q94-BB94)/BB94,"")</f>
        <v>0.884706355996175</v>
      </c>
      <c r="BG94" s="2" t="n">
        <f aca="false">IF(ISNUMBER(BC94),X94-BC94,"")</f>
        <v>135</v>
      </c>
      <c r="BH94" s="4" t="n">
        <f aca="false">IF(AND(ISNUMBER(BC94),BC94&gt;0),(X94-BC94)/BC94,"")</f>
        <v>0.882352941176471</v>
      </c>
      <c r="BI94" s="2" t="n">
        <f aca="false">IF(ISNUMBER(BD94),AD94-BD94,"")</f>
        <v>-3</v>
      </c>
      <c r="BJ94" s="2"/>
      <c r="BK94" s="2"/>
      <c r="BL94" s="2"/>
      <c r="BM94" s="2"/>
      <c r="BN94" s="2"/>
      <c r="BO94" s="2"/>
      <c r="BP94" s="2"/>
    </row>
    <row r="95" customFormat="false" ht="15" hidden="false" customHeight="false" outlineLevel="0" collapsed="false">
      <c r="A95" s="2" t="n">
        <v>94</v>
      </c>
      <c r="B95" s="2" t="s">
        <v>1022</v>
      </c>
      <c r="C95" s="2" t="s">
        <v>1023</v>
      </c>
      <c r="D95" s="2" t="s">
        <v>86</v>
      </c>
      <c r="E95" s="2" t="s">
        <v>71</v>
      </c>
      <c r="F95" s="2" t="s">
        <v>1024</v>
      </c>
      <c r="G95" s="2" t="s">
        <v>151</v>
      </c>
      <c r="H95" s="2" t="s">
        <v>402</v>
      </c>
      <c r="I95" s="2" t="s">
        <v>1025</v>
      </c>
      <c r="J95" s="2" t="s">
        <v>1026</v>
      </c>
      <c r="K95" s="2" t="s">
        <v>76</v>
      </c>
      <c r="L95" s="2" t="s">
        <v>76</v>
      </c>
      <c r="M95" s="2" t="s">
        <v>1027</v>
      </c>
      <c r="N95" s="2" t="s">
        <v>78</v>
      </c>
      <c r="O95" s="2" t="s">
        <v>1028</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1029</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2" t="n">
        <f aca="false">COUNTIFS(guidance_agencies!$A$2:$A$81,$A95,guidance_agencies!$D$2:$D$81,"EDPB")</f>
        <v>0</v>
      </c>
      <c r="AQ95" s="2" t="n">
        <f aca="false">COUNTIFS(guidance_agencies!$A$2:$A$81,$A95,guidance_agencies!$D$2:$D$81,"EBA")</f>
        <v>0</v>
      </c>
      <c r="AR95" s="2" t="n">
        <f aca="false">COUNTIFS(guidance_agencies!$A$2:$A$81,$A95,guidance_agencies!$D$2:$D$81,"ESMA")</f>
        <v>0</v>
      </c>
      <c r="AS95" s="3" t="n">
        <f aca="false">SUMIFS(secondary_acts!$S$2:$S$771,secondary_acts!$A$2:$A$771,$A95,secondary_acts!$E$2:$E$771,"implementing")+SUMIFS(secondary_acts!$S$2:$S$771,secondary_acts!$A$2:$A$771,$A95,secondary_acts!$E$2:$E$771,"delegated")</f>
        <v>5</v>
      </c>
      <c r="AT95" s="3" t="n">
        <v>387</v>
      </c>
      <c r="AU95" s="2" t="n">
        <v>11</v>
      </c>
      <c r="AV95" s="2" t="n">
        <v>1</v>
      </c>
      <c r="AW95" s="2" t="s">
        <v>1030</v>
      </c>
      <c r="AX95" s="2" t="s">
        <v>1030</v>
      </c>
      <c r="AY95" s="2" t="n">
        <v>3</v>
      </c>
      <c r="AZ95" s="2" t="s">
        <v>1031</v>
      </c>
      <c r="BA95" s="2" t="s">
        <v>147</v>
      </c>
      <c r="BB95" s="2" t="n">
        <v>7869</v>
      </c>
      <c r="BC95" s="2" t="n">
        <v>42</v>
      </c>
      <c r="BD95" s="2" t="n">
        <v>6</v>
      </c>
      <c r="BE95" s="2" t="n">
        <f aca="false">IF(ISNUMBER(BB95),Q95-BB95,"")</f>
        <v>3816</v>
      </c>
      <c r="BF95" s="4" t="n">
        <f aca="false">IF(AND(ISNUMBER(BB95),BB95&gt;0),(Q95-BB95)/BB95,"")</f>
        <v>0.484940907357987</v>
      </c>
      <c r="BG95" s="2" t="n">
        <f aca="false">IF(ISNUMBER(BC95),X95-BC95,"")</f>
        <v>35</v>
      </c>
      <c r="BH95" s="4" t="n">
        <f aca="false">IF(AND(ISNUMBER(BC95),BC95&gt;0),(X95-BC95)/BC95,"")</f>
        <v>0.833333333333333</v>
      </c>
      <c r="BI95" s="2" t="n">
        <f aca="false">IF(ISNUMBER(BD95),AD95-BD95,"")</f>
        <v>9</v>
      </c>
      <c r="BJ95" s="2"/>
      <c r="BK95" s="2"/>
      <c r="BL95" s="2"/>
      <c r="BM95" s="2"/>
      <c r="BN95" s="2"/>
      <c r="BO95" s="2"/>
      <c r="BP95" s="2"/>
    </row>
    <row r="96" customFormat="false" ht="15" hidden="false" customHeight="false" outlineLevel="0" collapsed="false">
      <c r="A96" s="2" t="n">
        <v>95</v>
      </c>
      <c r="B96" s="2" t="s">
        <v>1032</v>
      </c>
      <c r="C96" s="2" t="s">
        <v>1033</v>
      </c>
      <c r="D96" s="2" t="s">
        <v>485</v>
      </c>
      <c r="E96" s="2" t="s">
        <v>71</v>
      </c>
      <c r="F96" s="2" t="s">
        <v>1034</v>
      </c>
      <c r="G96" s="2" t="s">
        <v>151</v>
      </c>
      <c r="H96" s="2" t="s">
        <v>414</v>
      </c>
      <c r="I96" s="2" t="s">
        <v>1035</v>
      </c>
      <c r="J96" s="2" t="s">
        <v>1036</v>
      </c>
      <c r="K96" s="2" t="s">
        <v>76</v>
      </c>
      <c r="L96" s="2" t="s">
        <v>76</v>
      </c>
      <c r="M96" s="2" t="s">
        <v>1037</v>
      </c>
      <c r="N96" s="2" t="s">
        <v>78</v>
      </c>
      <c r="O96" s="2" t="s">
        <v>1038</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1039</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2" t="n">
        <f aca="false">COUNTIFS(guidance_agencies!$A$2:$A$81,$A96,guidance_agencies!$D$2:$D$81,"EDPB")</f>
        <v>0</v>
      </c>
      <c r="AQ96" s="2" t="n">
        <f aca="false">COUNTIFS(guidance_agencies!$A$2:$A$81,$A96,guidance_agencies!$D$2:$D$81,"EBA")</f>
        <v>0</v>
      </c>
      <c r="AR96" s="2" t="n">
        <f aca="false">COUNTIFS(guidance_agencies!$A$2:$A$81,$A96,guidance_agencies!$D$2:$D$81,"ESMA")</f>
        <v>0</v>
      </c>
      <c r="AS96" s="3" t="n">
        <f aca="false">SUMIFS(secondary_acts!$S$2:$S$771,secondary_acts!$A$2:$A$771,$A96,secondary_acts!$E$2:$E$771,"implementing")+SUMIFS(secondary_acts!$S$2:$S$771,secondary_acts!$A$2:$A$771,$A96,secondary_acts!$E$2:$E$771,"delegated")</f>
        <v>0</v>
      </c>
      <c r="AT96" s="3"/>
      <c r="AU96" s="2"/>
      <c r="AV96" s="2" t="n">
        <v>0</v>
      </c>
      <c r="AW96" s="2"/>
      <c r="AX96" s="2"/>
      <c r="AY96" s="2" t="n">
        <v>3</v>
      </c>
      <c r="AZ96" s="2" t="s">
        <v>1040</v>
      </c>
      <c r="BA96" s="2" t="s">
        <v>147</v>
      </c>
      <c r="BB96" s="2" t="n">
        <v>10677</v>
      </c>
      <c r="BC96" s="2" t="n">
        <v>105</v>
      </c>
      <c r="BD96" s="2" t="n">
        <v>22</v>
      </c>
      <c r="BE96" s="2" t="n">
        <f aca="false">IF(ISNUMBER(BB96),Q96-BB96,"")</f>
        <v>10317</v>
      </c>
      <c r="BF96" s="4" t="n">
        <f aca="false">IF(AND(ISNUMBER(BB96),BB96&gt;0),(Q96-BB96)/BB96,"")</f>
        <v>0.96628266366957</v>
      </c>
      <c r="BG96" s="2" t="n">
        <f aca="false">IF(ISNUMBER(BC96),X96-BC96,"")</f>
        <v>68</v>
      </c>
      <c r="BH96" s="4" t="n">
        <f aca="false">IF(AND(ISNUMBER(BC96),BC96&gt;0),(X96-BC96)/BC96,"")</f>
        <v>0.647619047619048</v>
      </c>
      <c r="BI96" s="2" t="n">
        <f aca="false">IF(ISNUMBER(BD96),AD96-BD96,"")</f>
        <v>6</v>
      </c>
      <c r="BJ96" s="2"/>
      <c r="BK96" s="2"/>
      <c r="BL96" s="2"/>
      <c r="BM96" s="2"/>
      <c r="BN96" s="2"/>
      <c r="BO96" s="2"/>
      <c r="BP96" s="2"/>
    </row>
    <row r="97" customFormat="false" ht="15" hidden="false" customHeight="false" outlineLevel="0" collapsed="false">
      <c r="A97" s="2" t="n">
        <v>96</v>
      </c>
      <c r="B97" s="2" t="s">
        <v>1041</v>
      </c>
      <c r="C97" s="2" t="s">
        <v>1042</v>
      </c>
      <c r="D97" s="2" t="s">
        <v>113</v>
      </c>
      <c r="E97" s="2" t="s">
        <v>898</v>
      </c>
      <c r="F97" s="2" t="s">
        <v>1043</v>
      </c>
      <c r="G97" s="2" t="s">
        <v>151</v>
      </c>
      <c r="H97" s="2" t="s">
        <v>582</v>
      </c>
      <c r="I97" s="2" t="s">
        <v>1044</v>
      </c>
      <c r="J97" s="2" t="s">
        <v>1045</v>
      </c>
      <c r="K97" s="2" t="s">
        <v>899</v>
      </c>
      <c r="L97" s="2" t="s">
        <v>76</v>
      </c>
      <c r="M97" s="2" t="s">
        <v>1046</v>
      </c>
      <c r="N97" s="2" t="s">
        <v>78</v>
      </c>
      <c r="O97" s="2" t="s">
        <v>1047</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2" t="n">
        <f aca="false">COUNTIFS(guidance_agencies!$A$2:$A$81,$A97,guidance_agencies!$D$2:$D$81,"EDPB")</f>
        <v>0</v>
      </c>
      <c r="AQ97" s="2" t="n">
        <f aca="false">COUNTIFS(guidance_agencies!$A$2:$A$81,$A97,guidance_agencies!$D$2:$D$81,"EBA")</f>
        <v>0</v>
      </c>
      <c r="AR97" s="2" t="n">
        <f aca="false">COUNTIFS(guidance_agencies!$A$2:$A$81,$A97,guidance_agencies!$D$2:$D$81,"ESMA")</f>
        <v>0</v>
      </c>
      <c r="AS97" s="3" t="n">
        <f aca="false">SUMIFS(secondary_acts!$S$2:$S$771,secondary_acts!$A$2:$A$771,$A97,secondary_acts!$E$2:$E$771,"implementing")+SUMIFS(secondary_acts!$S$2:$S$771,secondary_acts!$A$2:$A$771,$A97,secondary_acts!$E$2:$E$771,"delegated")</f>
        <v>0</v>
      </c>
      <c r="AT97" s="3"/>
      <c r="AU97" s="2"/>
      <c r="AV97" s="2" t="n">
        <v>0</v>
      </c>
      <c r="AW97" s="2"/>
      <c r="AX97" s="2"/>
      <c r="AY97" s="2" t="n">
        <v>0</v>
      </c>
      <c r="AZ97" s="2" t="s">
        <v>1048</v>
      </c>
      <c r="BA97" s="2" t="s">
        <v>147</v>
      </c>
      <c r="BB97" s="2" t="n">
        <v>10918</v>
      </c>
      <c r="BC97" s="2" t="n">
        <v>81</v>
      </c>
      <c r="BD97" s="2" t="n">
        <v>9</v>
      </c>
      <c r="BE97" s="2" t="n">
        <f aca="false">IF(ISNUMBER(BB97),Q97-BB97,"")</f>
        <v>5269</v>
      </c>
      <c r="BF97" s="4" t="n">
        <f aca="false">IF(AND(ISNUMBER(BB97),BB97&gt;0),(Q97-BB97)/BB97,"")</f>
        <v>0.482597545337974</v>
      </c>
      <c r="BG97" s="2" t="n">
        <f aca="false">IF(ISNUMBER(BC97),X97-BC97,"")</f>
        <v>31</v>
      </c>
      <c r="BH97" s="4" t="n">
        <f aca="false">IF(AND(ISNUMBER(BC97),BC97&gt;0),(X97-BC97)/BC97,"")</f>
        <v>0.382716049382716</v>
      </c>
      <c r="BI97" s="2" t="n">
        <f aca="false">IF(ISNUMBER(BD97),AD97-BD97,"")</f>
        <v>8</v>
      </c>
      <c r="BJ97" s="2"/>
      <c r="BK97" s="2"/>
      <c r="BL97" s="2"/>
      <c r="BM97" s="2"/>
      <c r="BN97" s="2"/>
      <c r="BO97" s="2"/>
      <c r="BP97" s="2" t="s">
        <v>1049</v>
      </c>
    </row>
    <row r="98" customFormat="false" ht="15" hidden="false" customHeight="false" outlineLevel="0" collapsed="false">
      <c r="A98" s="2" t="n">
        <v>97</v>
      </c>
      <c r="B98" s="2" t="s">
        <v>1050</v>
      </c>
      <c r="C98" s="2" t="s">
        <v>1051</v>
      </c>
      <c r="D98" s="2" t="s">
        <v>575</v>
      </c>
      <c r="E98" s="2" t="s">
        <v>71</v>
      </c>
      <c r="F98" s="2" t="s">
        <v>1052</v>
      </c>
      <c r="G98" s="2" t="s">
        <v>151</v>
      </c>
      <c r="H98" s="2" t="s">
        <v>581</v>
      </c>
      <c r="I98" s="2" t="s">
        <v>581</v>
      </c>
      <c r="J98" s="2" t="s">
        <v>1053</v>
      </c>
      <c r="K98" s="2" t="s">
        <v>76</v>
      </c>
      <c r="L98" s="2" t="s">
        <v>76</v>
      </c>
      <c r="M98" s="2" t="s">
        <v>1054</v>
      </c>
      <c r="N98" s="2" t="s">
        <v>78</v>
      </c>
      <c r="O98" s="2" t="s">
        <v>1055</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1056</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2" t="n">
        <f aca="false">COUNTIFS(guidance_agencies!$A$2:$A$81,$A98,guidance_agencies!$D$2:$D$81,"EDPB")</f>
        <v>0</v>
      </c>
      <c r="AQ98" s="2" t="n">
        <f aca="false">COUNTIFS(guidance_agencies!$A$2:$A$81,$A98,guidance_agencies!$D$2:$D$81,"EBA")</f>
        <v>0</v>
      </c>
      <c r="AR98" s="2" t="n">
        <f aca="false">COUNTIFS(guidance_agencies!$A$2:$A$81,$A98,guidance_agencies!$D$2:$D$81,"ESMA")</f>
        <v>0</v>
      </c>
      <c r="AS98" s="3" t="n">
        <f aca="false">SUMIFS(secondary_acts!$S$2:$S$771,secondary_acts!$A$2:$A$771,$A98,secondary_acts!$E$2:$E$771,"implementing")+SUMIFS(secondary_acts!$S$2:$S$771,secondary_acts!$A$2:$A$771,$A98,secondary_acts!$E$2:$E$771,"delegated")</f>
        <v>0</v>
      </c>
      <c r="AT98" s="3"/>
      <c r="AU98" s="2"/>
      <c r="AV98" s="2" t="n">
        <v>1</v>
      </c>
      <c r="AW98" s="2" t="s">
        <v>571</v>
      </c>
      <c r="AX98" s="2" t="s">
        <v>571</v>
      </c>
      <c r="AY98" s="2" t="n">
        <v>2</v>
      </c>
      <c r="AZ98" s="2" t="s">
        <v>1057</v>
      </c>
      <c r="BA98" s="2" t="s">
        <v>147</v>
      </c>
      <c r="BB98" s="2" t="n">
        <v>9976</v>
      </c>
      <c r="BC98" s="2" t="n">
        <v>56</v>
      </c>
      <c r="BD98" s="2" t="n">
        <v>1</v>
      </c>
      <c r="BE98" s="2" t="n">
        <f aca="false">IF(ISNUMBER(BB98),Q98-BB98,"")</f>
        <v>4361</v>
      </c>
      <c r="BF98" s="4" t="n">
        <f aca="false">IF(AND(ISNUMBER(BB98),BB98&gt;0),(Q98-BB98)/BB98,"")</f>
        <v>0.43714915797915</v>
      </c>
      <c r="BG98" s="2" t="n">
        <f aca="false">IF(ISNUMBER(BC98),X98-BC98,"")</f>
        <v>-8</v>
      </c>
      <c r="BH98" s="4" t="n">
        <f aca="false">IF(AND(ISNUMBER(BC98),BC98&gt;0),(X98-BC98)/BC98,"")</f>
        <v>-0.142857142857143</v>
      </c>
      <c r="BI98" s="2" t="n">
        <f aca="false">IF(ISNUMBER(BD98),AD98-BD98,"")</f>
        <v>2</v>
      </c>
      <c r="BJ98" s="2"/>
      <c r="BK98" s="2"/>
      <c r="BL98" s="2"/>
      <c r="BM98" s="2"/>
      <c r="BN98" s="2"/>
      <c r="BO98" s="2"/>
      <c r="BP98" s="2"/>
    </row>
    <row r="99" customFormat="false" ht="15" hidden="false" customHeight="false" outlineLevel="0" collapsed="false">
      <c r="A99" s="2" t="n">
        <v>98</v>
      </c>
      <c r="B99" s="2" t="s">
        <v>1058</v>
      </c>
      <c r="C99" s="2" t="s">
        <v>1059</v>
      </c>
      <c r="D99" s="2" t="s">
        <v>236</v>
      </c>
      <c r="E99" s="2" t="s">
        <v>898</v>
      </c>
      <c r="F99" s="2" t="s">
        <v>1060</v>
      </c>
      <c r="G99" s="2" t="s">
        <v>151</v>
      </c>
      <c r="H99" s="2"/>
      <c r="I99" s="2"/>
      <c r="J99" s="2"/>
      <c r="K99" s="2" t="s">
        <v>899</v>
      </c>
      <c r="L99" s="2" t="s">
        <v>899</v>
      </c>
      <c r="M99" s="2" t="s">
        <v>1061</v>
      </c>
      <c r="N99" s="2" t="s">
        <v>901</v>
      </c>
      <c r="O99" s="2" t="s">
        <v>1062</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2" t="n">
        <f aca="false">COUNTIFS(guidance_agencies!$A$2:$A$81,$A99,guidance_agencies!$D$2:$D$81,"EDPB")</f>
        <v>0</v>
      </c>
      <c r="AQ99" s="2" t="n">
        <f aca="false">COUNTIFS(guidance_agencies!$A$2:$A$81,$A99,guidance_agencies!$D$2:$D$81,"EBA")</f>
        <v>0</v>
      </c>
      <c r="AR99" s="2" t="n">
        <f aca="false">COUNTIFS(guidance_agencies!$A$2:$A$81,$A99,guidance_agencies!$D$2:$D$81,"ESMA")</f>
        <v>0</v>
      </c>
      <c r="AS99" s="3" t="n">
        <f aca="false">SUMIFS(secondary_acts!$S$2:$S$771,secondary_acts!$A$2:$A$771,$A99,secondary_acts!$E$2:$E$771,"implementing")+SUMIFS(secondary_acts!$S$2:$S$771,secondary_acts!$A$2:$A$771,$A99,secondary_acts!$E$2:$E$771,"delegated")</f>
        <v>0</v>
      </c>
      <c r="AT99" s="3"/>
      <c r="AU99" s="2"/>
      <c r="AV99" s="2"/>
      <c r="AW99" s="2"/>
      <c r="AX99" s="2"/>
      <c r="AY99" s="2"/>
      <c r="AZ99" s="2"/>
      <c r="BA99" s="2" t="s">
        <v>903</v>
      </c>
      <c r="BB99" s="2"/>
      <c r="BC99" s="2"/>
      <c r="BD99" s="2"/>
      <c r="BE99" s="2" t="str">
        <f aca="false">IF(ISNUMBER(BB99),Q99-BB99,"")</f>
        <v/>
      </c>
      <c r="BF99" s="4" t="str">
        <f aca="false">IF(AND(ISNUMBER(BB99),BB99&gt;0),(Q99-BB99)/BB99,"")</f>
        <v/>
      </c>
      <c r="BG99" s="2" t="str">
        <f aca="false">IF(ISNUMBER(BC99),X99-BC99,"")</f>
        <v/>
      </c>
      <c r="BH99" s="4" t="str">
        <f aca="false">IF(AND(ISNUMBER(BC99),BC99&gt;0),(X99-BC99)/BC99,"")</f>
        <v/>
      </c>
      <c r="BI99" s="2" t="str">
        <f aca="false">IF(ISNUMBER(BD99),AD99-BD99,"")</f>
        <v/>
      </c>
      <c r="BJ99" s="2"/>
      <c r="BK99" s="2"/>
      <c r="BL99" s="2"/>
      <c r="BM99" s="2"/>
      <c r="BN99" s="2"/>
      <c r="BO99" s="2"/>
      <c r="BP99" s="2"/>
    </row>
    <row r="100" customFormat="false" ht="15" hidden="false" customHeight="false" outlineLevel="0" collapsed="false">
      <c r="A100" s="2" t="n">
        <v>99</v>
      </c>
      <c r="B100" s="2" t="s">
        <v>1063</v>
      </c>
      <c r="C100" s="2" t="s">
        <v>1064</v>
      </c>
      <c r="D100" s="2" t="s">
        <v>236</v>
      </c>
      <c r="E100" s="2" t="s">
        <v>898</v>
      </c>
      <c r="F100" s="2" t="s">
        <v>1060</v>
      </c>
      <c r="G100" s="2" t="s">
        <v>151</v>
      </c>
      <c r="H100" s="2"/>
      <c r="I100" s="2"/>
      <c r="J100" s="2"/>
      <c r="K100" s="2" t="s">
        <v>899</v>
      </c>
      <c r="L100" s="2" t="s">
        <v>1065</v>
      </c>
      <c r="M100" s="2" t="s">
        <v>1066</v>
      </c>
      <c r="N100" s="2" t="s">
        <v>901</v>
      </c>
      <c r="O100" s="2" t="s">
        <v>1067</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2" t="n">
        <f aca="false">COUNTIFS(guidance_agencies!$A$2:$A$81,$A100,guidance_agencies!$D$2:$D$81,"EDPB")</f>
        <v>0</v>
      </c>
      <c r="AQ100" s="2" t="n">
        <f aca="false">COUNTIFS(guidance_agencies!$A$2:$A$81,$A100,guidance_agencies!$D$2:$D$81,"EBA")</f>
        <v>0</v>
      </c>
      <c r="AR100" s="2" t="n">
        <f aca="false">COUNTIFS(guidance_agencies!$A$2:$A$81,$A100,guidance_agencies!$D$2:$D$81,"ESMA")</f>
        <v>0</v>
      </c>
      <c r="AS100" s="3" t="n">
        <f aca="false">SUMIFS(secondary_acts!$S$2:$S$771,secondary_acts!$A$2:$A$771,$A100,secondary_acts!$E$2:$E$771,"implementing")+SUMIFS(secondary_acts!$S$2:$S$771,secondary_acts!$A$2:$A$771,$A100,secondary_acts!$E$2:$E$771,"delegated")</f>
        <v>0</v>
      </c>
      <c r="AT100" s="3"/>
      <c r="AU100" s="2"/>
      <c r="AV100" s="2"/>
      <c r="AW100" s="2"/>
      <c r="AX100" s="2"/>
      <c r="AY100" s="2"/>
      <c r="AZ100" s="2"/>
      <c r="BA100" s="2" t="s">
        <v>903</v>
      </c>
      <c r="BB100" s="2"/>
      <c r="BC100" s="2"/>
      <c r="BD100" s="2"/>
      <c r="BE100" s="2" t="str">
        <f aca="false">IF(ISNUMBER(BB100),Q100-BB100,"")</f>
        <v/>
      </c>
      <c r="BF100" s="4" t="str">
        <f aca="false">IF(AND(ISNUMBER(BB100),BB100&gt;0),(Q100-BB100)/BB100,"")</f>
        <v/>
      </c>
      <c r="BG100" s="2" t="str">
        <f aca="false">IF(ISNUMBER(BC100),X100-BC100,"")</f>
        <v/>
      </c>
      <c r="BH100" s="4" t="str">
        <f aca="false">IF(AND(ISNUMBER(BC100),BC100&gt;0),(X100-BC100)/BC100,"")</f>
        <v/>
      </c>
      <c r="BI100" s="2" t="str">
        <f aca="false">IF(ISNUMBER(BD100),AD100-BD100,"")</f>
        <v/>
      </c>
      <c r="BJ100" s="2"/>
      <c r="BK100" s="2"/>
      <c r="BL100" s="2"/>
      <c r="BM100" s="2"/>
      <c r="BN100" s="2"/>
      <c r="BO100" s="2"/>
      <c r="BP100" s="2" t="s">
        <v>1068</v>
      </c>
    </row>
    <row r="101" customFormat="false" ht="15" hidden="false" customHeight="false" outlineLevel="0" collapsed="false">
      <c r="A101" s="2" t="n">
        <v>100</v>
      </c>
      <c r="B101" s="2" t="s">
        <v>1069</v>
      </c>
      <c r="C101" s="2" t="s">
        <v>1070</v>
      </c>
      <c r="D101" s="2" t="s">
        <v>236</v>
      </c>
      <c r="E101" s="2" t="s">
        <v>925</v>
      </c>
      <c r="F101" s="2" t="s">
        <v>1060</v>
      </c>
      <c r="G101" s="2" t="s">
        <v>151</v>
      </c>
      <c r="H101" s="2"/>
      <c r="I101" s="2"/>
      <c r="J101" s="2"/>
      <c r="K101" s="2" t="s">
        <v>899</v>
      </c>
      <c r="L101" s="2" t="s">
        <v>1065</v>
      </c>
      <c r="M101" s="2" t="s">
        <v>1071</v>
      </c>
      <c r="N101" s="2" t="s">
        <v>901</v>
      </c>
      <c r="O101" s="2" t="s">
        <v>1072</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2" t="n">
        <f aca="false">COUNTIFS(guidance_agencies!$A$2:$A$81,$A101,guidance_agencies!$D$2:$D$81,"EDPB")</f>
        <v>0</v>
      </c>
      <c r="AQ101" s="2" t="n">
        <f aca="false">COUNTIFS(guidance_agencies!$A$2:$A$81,$A101,guidance_agencies!$D$2:$D$81,"EBA")</f>
        <v>0</v>
      </c>
      <c r="AR101" s="2" t="n">
        <f aca="false">COUNTIFS(guidance_agencies!$A$2:$A$81,$A101,guidance_agencies!$D$2:$D$81,"ESMA")</f>
        <v>0</v>
      </c>
      <c r="AS101" s="3" t="n">
        <f aca="false">SUMIFS(secondary_acts!$S$2:$S$771,secondary_acts!$A$2:$A$771,$A101,secondary_acts!$E$2:$E$771,"implementing")+SUMIFS(secondary_acts!$S$2:$S$771,secondary_acts!$A$2:$A$771,$A101,secondary_acts!$E$2:$E$771,"delegated")</f>
        <v>0</v>
      </c>
      <c r="AT101" s="3"/>
      <c r="AU101" s="2"/>
      <c r="AV101" s="2"/>
      <c r="AW101" s="2"/>
      <c r="AX101" s="2"/>
      <c r="AY101" s="2"/>
      <c r="AZ101" s="2"/>
      <c r="BA101" s="2" t="s">
        <v>903</v>
      </c>
      <c r="BB101" s="2"/>
      <c r="BC101" s="2"/>
      <c r="BD101" s="2"/>
      <c r="BE101" s="2" t="str">
        <f aca="false">IF(ISNUMBER(BB101),Q101-BB101,"")</f>
        <v/>
      </c>
      <c r="BF101" s="4" t="str">
        <f aca="false">IF(AND(ISNUMBER(BB101),BB101&gt;0),(Q101-BB101)/BB101,"")</f>
        <v/>
      </c>
      <c r="BG101" s="2" t="str">
        <f aca="false">IF(ISNUMBER(BC101),X101-BC101,"")</f>
        <v/>
      </c>
      <c r="BH101" s="4" t="str">
        <f aca="false">IF(AND(ISNUMBER(BC101),BC101&gt;0),(X101-BC101)/BC101,"")</f>
        <v/>
      </c>
      <c r="BI101" s="2" t="str">
        <f aca="false">IF(ISNUMBER(BD101),AD101-BD101,"")</f>
        <v/>
      </c>
      <c r="BJ101" s="2"/>
      <c r="BK101" s="2"/>
      <c r="BL101" s="2"/>
      <c r="BM101" s="2"/>
      <c r="BN101" s="2"/>
      <c r="BO101" s="2"/>
      <c r="BP101" s="2" t="s">
        <v>1073</v>
      </c>
    </row>
    <row r="102" customFormat="false" ht="15" hidden="false" customHeight="false" outlineLevel="0" collapsed="false">
      <c r="A102" s="2" t="n">
        <v>101</v>
      </c>
      <c r="B102" s="2" t="s">
        <v>1074</v>
      </c>
      <c r="C102" s="2" t="s">
        <v>1075</v>
      </c>
      <c r="D102" s="2" t="s">
        <v>236</v>
      </c>
      <c r="E102" s="2" t="s">
        <v>898</v>
      </c>
      <c r="F102" s="2" t="s">
        <v>1060</v>
      </c>
      <c r="G102" s="2" t="s">
        <v>151</v>
      </c>
      <c r="H102" s="2"/>
      <c r="I102" s="2"/>
      <c r="J102" s="2"/>
      <c r="K102" s="2" t="s">
        <v>899</v>
      </c>
      <c r="L102" s="2" t="s">
        <v>899</v>
      </c>
      <c r="M102" s="2" t="s">
        <v>1076</v>
      </c>
      <c r="N102" s="2" t="s">
        <v>901</v>
      </c>
      <c r="O102" s="2" t="s">
        <v>1077</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2" t="n">
        <f aca="false">COUNTIFS(guidance_agencies!$A$2:$A$81,$A102,guidance_agencies!$D$2:$D$81,"EDPB")</f>
        <v>0</v>
      </c>
      <c r="AQ102" s="2" t="n">
        <f aca="false">COUNTIFS(guidance_agencies!$A$2:$A$81,$A102,guidance_agencies!$D$2:$D$81,"EBA")</f>
        <v>0</v>
      </c>
      <c r="AR102" s="2" t="n">
        <f aca="false">COUNTIFS(guidance_agencies!$A$2:$A$81,$A102,guidance_agencies!$D$2:$D$81,"ESMA")</f>
        <v>0</v>
      </c>
      <c r="AS102" s="3" t="n">
        <f aca="false">SUMIFS(secondary_acts!$S$2:$S$771,secondary_acts!$A$2:$A$771,$A102,secondary_acts!$E$2:$E$771,"implementing")+SUMIFS(secondary_acts!$S$2:$S$771,secondary_acts!$A$2:$A$771,$A102,secondary_acts!$E$2:$E$771,"delegated")</f>
        <v>0</v>
      </c>
      <c r="AT102" s="3"/>
      <c r="AU102" s="2"/>
      <c r="AV102" s="2"/>
      <c r="AW102" s="2"/>
      <c r="AX102" s="2"/>
      <c r="AY102" s="2"/>
      <c r="AZ102" s="2"/>
      <c r="BA102" s="2" t="s">
        <v>903</v>
      </c>
      <c r="BB102" s="2"/>
      <c r="BC102" s="2"/>
      <c r="BD102" s="2"/>
      <c r="BE102" s="2" t="str">
        <f aca="false">IF(ISNUMBER(BB102),Q102-BB102,"")</f>
        <v/>
      </c>
      <c r="BF102" s="4" t="str">
        <f aca="false">IF(AND(ISNUMBER(BB102),BB102&gt;0),(Q102-BB102)/BB102,"")</f>
        <v/>
      </c>
      <c r="BG102" s="2" t="str">
        <f aca="false">IF(ISNUMBER(BC102),X102-BC102,"")</f>
        <v/>
      </c>
      <c r="BH102" s="4" t="str">
        <f aca="false">IF(AND(ISNUMBER(BC102),BC102&gt;0),(X102-BC102)/BC102,"")</f>
        <v/>
      </c>
      <c r="BI102" s="2" t="str">
        <f aca="false">IF(ISNUMBER(BD102),AD102-BD102,"")</f>
        <v/>
      </c>
      <c r="BJ102" s="2"/>
      <c r="BK102" s="2"/>
      <c r="BL102" s="2"/>
      <c r="BM102" s="2"/>
      <c r="BN102" s="2"/>
      <c r="BO102" s="2"/>
      <c r="BP102" s="2"/>
    </row>
    <row r="103" customFormat="false" ht="15" hidden="false" customHeight="false" outlineLevel="0" collapsed="false">
      <c r="A103" s="2" t="n">
        <v>102</v>
      </c>
      <c r="B103" s="2" t="s">
        <v>1078</v>
      </c>
      <c r="C103" s="2" t="s">
        <v>1079</v>
      </c>
      <c r="D103" s="2" t="s">
        <v>176</v>
      </c>
      <c r="E103" s="2" t="s">
        <v>898</v>
      </c>
      <c r="F103" s="2" t="s">
        <v>1080</v>
      </c>
      <c r="G103" s="2" t="s">
        <v>151</v>
      </c>
      <c r="H103" s="2" t="s">
        <v>1081</v>
      </c>
      <c r="I103" s="2" t="s">
        <v>1082</v>
      </c>
      <c r="J103" s="2" t="s">
        <v>1083</v>
      </c>
      <c r="K103" s="2" t="s">
        <v>899</v>
      </c>
      <c r="L103" s="2" t="s">
        <v>76</v>
      </c>
      <c r="M103" s="2" t="s">
        <v>1084</v>
      </c>
      <c r="N103" s="2" t="s">
        <v>78</v>
      </c>
      <c r="O103" s="2" t="s">
        <v>1085</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2" t="n">
        <f aca="false">COUNTIFS(guidance_agencies!$A$2:$A$81,$A103,guidance_agencies!$D$2:$D$81,"EDPB")</f>
        <v>0</v>
      </c>
      <c r="AQ103" s="2" t="n">
        <f aca="false">COUNTIFS(guidance_agencies!$A$2:$A$81,$A103,guidance_agencies!$D$2:$D$81,"EBA")</f>
        <v>0</v>
      </c>
      <c r="AR103" s="2" t="n">
        <f aca="false">COUNTIFS(guidance_agencies!$A$2:$A$81,$A103,guidance_agencies!$D$2:$D$81,"ESMA")</f>
        <v>0</v>
      </c>
      <c r="AS103" s="3" t="n">
        <f aca="false">SUMIFS(secondary_acts!$S$2:$S$771,secondary_acts!$A$2:$A$771,$A103,secondary_acts!$E$2:$E$771,"implementing")+SUMIFS(secondary_acts!$S$2:$S$771,secondary_acts!$A$2:$A$771,$A103,secondary_acts!$E$2:$E$771,"delegated")</f>
        <v>0</v>
      </c>
      <c r="AT103" s="3"/>
      <c r="AU103" s="2"/>
      <c r="AV103" s="2" t="n">
        <v>0</v>
      </c>
      <c r="AW103" s="2"/>
      <c r="AX103" s="2"/>
      <c r="AY103" s="2" t="n">
        <v>0</v>
      </c>
      <c r="AZ103" s="2" t="s">
        <v>1086</v>
      </c>
      <c r="BA103" s="2" t="s">
        <v>147</v>
      </c>
      <c r="BB103" s="2" t="n">
        <v>10780</v>
      </c>
      <c r="BC103" s="2" t="n">
        <v>105</v>
      </c>
      <c r="BD103" s="2" t="n">
        <v>4</v>
      </c>
      <c r="BE103" s="2" t="n">
        <f aca="false">IF(ISNUMBER(BB103),Q103-BB103,"")</f>
        <v>6336</v>
      </c>
      <c r="BF103" s="4" t="n">
        <f aca="false">IF(AND(ISNUMBER(BB103),BB103&gt;0),(Q103-BB103)/BB103,"")</f>
        <v>0.587755102040816</v>
      </c>
      <c r="BG103" s="2" t="n">
        <f aca="false">IF(ISNUMBER(BC103),X103-BC103,"")</f>
        <v>28</v>
      </c>
      <c r="BH103" s="4" t="n">
        <f aca="false">IF(AND(ISNUMBER(BC103),BC103&gt;0),(X103-BC103)/BC103,"")</f>
        <v>0.266666666666667</v>
      </c>
      <c r="BI103" s="2" t="n">
        <f aca="false">IF(ISNUMBER(BD103),AD103-BD103,"")</f>
        <v>1</v>
      </c>
      <c r="BJ103" s="2"/>
      <c r="BK103" s="2"/>
      <c r="BL103" s="2"/>
      <c r="BM103" s="2"/>
      <c r="BN103" s="2"/>
      <c r="BO103" s="2"/>
      <c r="BP103" s="2" t="s">
        <v>1087</v>
      </c>
    </row>
    <row r="104" customFormat="false" ht="15" hidden="false" customHeight="false" outlineLevel="0" collapsed="false">
      <c r="A104" s="2" t="n">
        <v>103</v>
      </c>
      <c r="B104" s="2" t="s">
        <v>1088</v>
      </c>
      <c r="C104" s="2" t="s">
        <v>1089</v>
      </c>
      <c r="D104" s="2" t="s">
        <v>273</v>
      </c>
      <c r="E104" s="2" t="s">
        <v>925</v>
      </c>
      <c r="F104" s="2" t="s">
        <v>533</v>
      </c>
      <c r="G104" s="2" t="s">
        <v>151</v>
      </c>
      <c r="H104" s="2" t="s">
        <v>1081</v>
      </c>
      <c r="I104" s="2" t="s">
        <v>1082</v>
      </c>
      <c r="J104" s="2" t="s">
        <v>1083</v>
      </c>
      <c r="K104" s="2" t="s">
        <v>899</v>
      </c>
      <c r="L104" s="2" t="s">
        <v>76</v>
      </c>
      <c r="M104" s="2" t="s">
        <v>1090</v>
      </c>
      <c r="N104" s="2" t="s">
        <v>78</v>
      </c>
      <c r="O104" s="2" t="s">
        <v>1091</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1092</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2" t="n">
        <f aca="false">COUNTIFS(guidance_agencies!$A$2:$A$81,$A104,guidance_agencies!$D$2:$D$81,"EDPB")</f>
        <v>0</v>
      </c>
      <c r="AQ104" s="2" t="n">
        <f aca="false">COUNTIFS(guidance_agencies!$A$2:$A$81,$A104,guidance_agencies!$D$2:$D$81,"EBA")</f>
        <v>0</v>
      </c>
      <c r="AR104" s="2" t="n">
        <f aca="false">COUNTIFS(guidance_agencies!$A$2:$A$81,$A104,guidance_agencies!$D$2:$D$81,"ESMA")</f>
        <v>0</v>
      </c>
      <c r="AS104" s="3" t="n">
        <f aca="false">SUMIFS(secondary_acts!$S$2:$S$771,secondary_acts!$A$2:$A$771,$A104,secondary_acts!$E$2:$E$771,"implementing")+SUMIFS(secondary_acts!$S$2:$S$771,secondary_acts!$A$2:$A$771,$A104,secondary_acts!$E$2:$E$771,"delegated")</f>
        <v>0</v>
      </c>
      <c r="AT104" s="3"/>
      <c r="AU104" s="2"/>
      <c r="AV104" s="2" t="n">
        <v>0</v>
      </c>
      <c r="AW104" s="2"/>
      <c r="AX104" s="2"/>
      <c r="AY104" s="2" t="n">
        <v>2</v>
      </c>
      <c r="AZ104" s="2" t="s">
        <v>1093</v>
      </c>
      <c r="BA104" s="2" t="s">
        <v>147</v>
      </c>
      <c r="BB104" s="2" t="n">
        <v>29688</v>
      </c>
      <c r="BC104" s="2" t="n">
        <v>406</v>
      </c>
      <c r="BD104" s="2" t="n">
        <v>134</v>
      </c>
      <c r="BE104" s="2" t="n">
        <f aca="false">IF(ISNUMBER(BB104),Q104-BB104,"")</f>
        <v>7131</v>
      </c>
      <c r="BF104" s="4" t="n">
        <f aca="false">IF(AND(ISNUMBER(BB104),BB104&gt;0),(Q104-BB104)/BB104,"")</f>
        <v>0.24019805982215</v>
      </c>
      <c r="BG104" s="2" t="n">
        <f aca="false">IF(ISNUMBER(BC104),X104-BC104,"")</f>
        <v>72</v>
      </c>
      <c r="BH104" s="4" t="n">
        <f aca="false">IF(AND(ISNUMBER(BC104),BC104&gt;0),(X104-BC104)/BC104,"")</f>
        <v>0.177339901477833</v>
      </c>
      <c r="BI104" s="2" t="n">
        <f aca="false">IF(ISNUMBER(BD104),AD104-BD104,"")</f>
        <v>28</v>
      </c>
      <c r="BJ104" s="2"/>
      <c r="BK104" s="2"/>
      <c r="BL104" s="2"/>
      <c r="BM104" s="2"/>
      <c r="BN104" s="2"/>
      <c r="BO104" s="2"/>
      <c r="BP104" s="2" t="s">
        <v>1094</v>
      </c>
    </row>
    <row r="105" customFormat="false" ht="15" hidden="false" customHeight="false" outlineLevel="0" collapsed="false">
      <c r="A105" s="2" t="n">
        <v>104</v>
      </c>
      <c r="B105" s="2" t="s">
        <v>1095</v>
      </c>
      <c r="C105" s="2" t="s">
        <v>1096</v>
      </c>
      <c r="D105" s="2" t="s">
        <v>236</v>
      </c>
      <c r="E105" s="2" t="s">
        <v>898</v>
      </c>
      <c r="F105" s="2" t="s">
        <v>1097</v>
      </c>
      <c r="G105" s="2" t="s">
        <v>151</v>
      </c>
      <c r="H105" s="2"/>
      <c r="I105" s="2"/>
      <c r="J105" s="2"/>
      <c r="K105" s="2" t="s">
        <v>899</v>
      </c>
      <c r="L105" s="2" t="s">
        <v>899</v>
      </c>
      <c r="M105" s="2" t="s">
        <v>1098</v>
      </c>
      <c r="N105" s="2" t="s">
        <v>901</v>
      </c>
      <c r="O105" s="2" t="s">
        <v>1099</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2" t="n">
        <f aca="false">COUNTIFS(guidance_agencies!$A$2:$A$81,$A105,guidance_agencies!$D$2:$D$81,"EDPB")</f>
        <v>0</v>
      </c>
      <c r="AQ105" s="2" t="n">
        <f aca="false">COUNTIFS(guidance_agencies!$A$2:$A$81,$A105,guidance_agencies!$D$2:$D$81,"EBA")</f>
        <v>0</v>
      </c>
      <c r="AR105" s="2" t="n">
        <f aca="false">COUNTIFS(guidance_agencies!$A$2:$A$81,$A105,guidance_agencies!$D$2:$D$81,"ESMA")</f>
        <v>0</v>
      </c>
      <c r="AS105" s="3" t="n">
        <f aca="false">SUMIFS(secondary_acts!$S$2:$S$771,secondary_acts!$A$2:$A$771,$A105,secondary_acts!$E$2:$E$771,"implementing")+SUMIFS(secondary_acts!$S$2:$S$771,secondary_acts!$A$2:$A$771,$A105,secondary_acts!$E$2:$E$771,"delegated")</f>
        <v>0</v>
      </c>
      <c r="AT105" s="3"/>
      <c r="AU105" s="2"/>
      <c r="AV105" s="2"/>
      <c r="AW105" s="2"/>
      <c r="AX105" s="2"/>
      <c r="AY105" s="2"/>
      <c r="AZ105" s="2"/>
      <c r="BA105" s="2" t="s">
        <v>903</v>
      </c>
      <c r="BB105" s="2"/>
      <c r="BC105" s="2"/>
      <c r="BD105" s="2"/>
      <c r="BE105" s="2" t="str">
        <f aca="false">IF(ISNUMBER(BB105),Q105-BB105,"")</f>
        <v/>
      </c>
      <c r="BF105" s="4" t="str">
        <f aca="false">IF(AND(ISNUMBER(BB105),BB105&gt;0),(Q105-BB105)/BB105,"")</f>
        <v/>
      </c>
      <c r="BG105" s="2" t="str">
        <f aca="false">IF(ISNUMBER(BC105),X105-BC105,"")</f>
        <v/>
      </c>
      <c r="BH105" s="4" t="str">
        <f aca="false">IF(AND(ISNUMBER(BC105),BC105&gt;0),(X105-BC105)/BC105,"")</f>
        <v/>
      </c>
      <c r="BI105" s="2" t="str">
        <f aca="false">IF(ISNUMBER(BD105),AD105-BD105,"")</f>
        <v/>
      </c>
      <c r="BJ105" s="2"/>
      <c r="BK105" s="2"/>
      <c r="BL105" s="2"/>
      <c r="BM105" s="2"/>
      <c r="BN105" s="2"/>
      <c r="BO105" s="2"/>
      <c r="BP105" s="2"/>
    </row>
    <row r="106" customFormat="false" ht="15" hidden="false" customHeight="false" outlineLevel="0" collapsed="false">
      <c r="A106" s="2" t="n">
        <v>105</v>
      </c>
      <c r="B106" s="2" t="s">
        <v>1100</v>
      </c>
      <c r="C106" s="2" t="s">
        <v>1101</v>
      </c>
      <c r="D106" s="2" t="s">
        <v>322</v>
      </c>
      <c r="E106" s="2" t="s">
        <v>898</v>
      </c>
      <c r="F106" s="2" t="s">
        <v>1102</v>
      </c>
      <c r="G106" s="2" t="s">
        <v>151</v>
      </c>
      <c r="H106" s="2"/>
      <c r="I106" s="2"/>
      <c r="J106" s="2"/>
      <c r="K106" s="2" t="s">
        <v>899</v>
      </c>
      <c r="L106" s="2" t="s">
        <v>899</v>
      </c>
      <c r="M106" s="2" t="s">
        <v>1103</v>
      </c>
      <c r="N106" s="2" t="s">
        <v>901</v>
      </c>
      <c r="O106" s="2" t="s">
        <v>1104</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2" t="n">
        <f aca="false">COUNTIFS(guidance_agencies!$A$2:$A$81,$A106,guidance_agencies!$D$2:$D$81,"EDPB")</f>
        <v>0</v>
      </c>
      <c r="AQ106" s="2" t="n">
        <f aca="false">COUNTIFS(guidance_agencies!$A$2:$A$81,$A106,guidance_agencies!$D$2:$D$81,"EBA")</f>
        <v>0</v>
      </c>
      <c r="AR106" s="2" t="n">
        <f aca="false">COUNTIFS(guidance_agencies!$A$2:$A$81,$A106,guidance_agencies!$D$2:$D$81,"ESMA")</f>
        <v>0</v>
      </c>
      <c r="AS106" s="3" t="n">
        <f aca="false">SUMIFS(secondary_acts!$S$2:$S$771,secondary_acts!$A$2:$A$771,$A106,secondary_acts!$E$2:$E$771,"implementing")+SUMIFS(secondary_acts!$S$2:$S$771,secondary_acts!$A$2:$A$771,$A106,secondary_acts!$E$2:$E$771,"delegated")</f>
        <v>0</v>
      </c>
      <c r="AT106" s="3"/>
      <c r="AU106" s="2"/>
      <c r="AV106" s="2"/>
      <c r="AW106" s="2"/>
      <c r="AX106" s="2"/>
      <c r="AY106" s="2"/>
      <c r="AZ106" s="2"/>
      <c r="BA106" s="2" t="s">
        <v>903</v>
      </c>
      <c r="BB106" s="2"/>
      <c r="BC106" s="2"/>
      <c r="BD106" s="2"/>
      <c r="BE106" s="2" t="str">
        <f aca="false">IF(ISNUMBER(BB106),Q106-BB106,"")</f>
        <v/>
      </c>
      <c r="BF106" s="4" t="str">
        <f aca="false">IF(AND(ISNUMBER(BB106),BB106&gt;0),(Q106-BB106)/BB106,"")</f>
        <v/>
      </c>
      <c r="BG106" s="2" t="str">
        <f aca="false">IF(ISNUMBER(BC106),X106-BC106,"")</f>
        <v/>
      </c>
      <c r="BH106" s="4" t="str">
        <f aca="false">IF(AND(ISNUMBER(BC106),BC106&gt;0),(X106-BC106)/BC106,"")</f>
        <v/>
      </c>
      <c r="BI106" s="2" t="str">
        <f aca="false">IF(ISNUMBER(BD106),AD106-BD106,"")</f>
        <v/>
      </c>
      <c r="BJ106" s="2"/>
      <c r="BK106" s="2"/>
      <c r="BL106" s="2"/>
      <c r="BM106" s="2"/>
      <c r="BN106" s="2"/>
      <c r="BO106" s="2"/>
      <c r="BP106" s="2"/>
    </row>
    <row r="107" customFormat="false" ht="15" hidden="false" customHeight="false" outlineLevel="0" collapsed="false">
      <c r="A107" s="2" t="n">
        <v>106</v>
      </c>
      <c r="B107" s="2" t="s">
        <v>1105</v>
      </c>
      <c r="C107" s="2" t="s">
        <v>1106</v>
      </c>
      <c r="D107" s="2" t="s">
        <v>322</v>
      </c>
      <c r="E107" s="2" t="s">
        <v>898</v>
      </c>
      <c r="F107" s="2" t="s">
        <v>1107</v>
      </c>
      <c r="G107" s="2" t="s">
        <v>151</v>
      </c>
      <c r="H107" s="2"/>
      <c r="I107" s="2"/>
      <c r="J107" s="2"/>
      <c r="K107" s="2" t="s">
        <v>899</v>
      </c>
      <c r="L107" s="2" t="s">
        <v>899</v>
      </c>
      <c r="M107" s="2" t="s">
        <v>1108</v>
      </c>
      <c r="N107" s="2" t="s">
        <v>901</v>
      </c>
      <c r="O107" s="2" t="s">
        <v>1109</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2" t="n">
        <f aca="false">COUNTIFS(guidance_agencies!$A$2:$A$81,$A107,guidance_agencies!$D$2:$D$81,"EDPB")</f>
        <v>0</v>
      </c>
      <c r="AQ107" s="2" t="n">
        <f aca="false">COUNTIFS(guidance_agencies!$A$2:$A$81,$A107,guidance_agencies!$D$2:$D$81,"EBA")</f>
        <v>0</v>
      </c>
      <c r="AR107" s="2" t="n">
        <f aca="false">COUNTIFS(guidance_agencies!$A$2:$A$81,$A107,guidance_agencies!$D$2:$D$81,"ESMA")</f>
        <v>0</v>
      </c>
      <c r="AS107" s="3" t="n">
        <f aca="false">SUMIFS(secondary_acts!$S$2:$S$771,secondary_acts!$A$2:$A$771,$A107,secondary_acts!$E$2:$E$771,"implementing")+SUMIFS(secondary_acts!$S$2:$S$771,secondary_acts!$A$2:$A$771,$A107,secondary_acts!$E$2:$E$771,"delegated")</f>
        <v>0</v>
      </c>
      <c r="AT107" s="3"/>
      <c r="AU107" s="2"/>
      <c r="AV107" s="2"/>
      <c r="AW107" s="2"/>
      <c r="AX107" s="2"/>
      <c r="AY107" s="2"/>
      <c r="AZ107" s="2"/>
      <c r="BA107" s="2" t="s">
        <v>903</v>
      </c>
      <c r="BB107" s="2"/>
      <c r="BC107" s="2"/>
      <c r="BD107" s="2"/>
      <c r="BE107" s="2" t="str">
        <f aca="false">IF(ISNUMBER(BB107),Q107-BB107,"")</f>
        <v/>
      </c>
      <c r="BF107" s="4" t="str">
        <f aca="false">IF(AND(ISNUMBER(BB107),BB107&gt;0),(Q107-BB107)/BB107,"")</f>
        <v/>
      </c>
      <c r="BG107" s="2" t="str">
        <f aca="false">IF(ISNUMBER(BC107),X107-BC107,"")</f>
        <v/>
      </c>
      <c r="BH107" s="4" t="str">
        <f aca="false">IF(AND(ISNUMBER(BC107),BC107&gt;0),(X107-BC107)/BC107,"")</f>
        <v/>
      </c>
      <c r="BI107" s="2" t="str">
        <f aca="false">IF(ISNUMBER(BD107),AD107-BD107,"")</f>
        <v/>
      </c>
      <c r="BJ107" s="2"/>
      <c r="BK107" s="2"/>
      <c r="BL107" s="2"/>
      <c r="BM107" s="2"/>
      <c r="BN107" s="2"/>
      <c r="BO107" s="2"/>
      <c r="BP107" s="2"/>
    </row>
    <row r="108" customFormat="false" ht="15" hidden="false" customHeight="false" outlineLevel="0" collapsed="false">
      <c r="A108" s="2" t="n">
        <v>107</v>
      </c>
      <c r="B108" s="2" t="s">
        <v>1110</v>
      </c>
      <c r="C108" s="2" t="s">
        <v>1111</v>
      </c>
      <c r="D108" s="2" t="s">
        <v>575</v>
      </c>
      <c r="E108" s="2" t="s">
        <v>1112</v>
      </c>
      <c r="F108" s="2" t="s">
        <v>1113</v>
      </c>
      <c r="G108" s="2" t="s">
        <v>88</v>
      </c>
      <c r="H108" s="2"/>
      <c r="I108" s="2"/>
      <c r="J108" s="2"/>
      <c r="K108" s="2" t="s">
        <v>899</v>
      </c>
      <c r="L108" s="2" t="s">
        <v>899</v>
      </c>
      <c r="M108" s="2" t="s">
        <v>1114</v>
      </c>
      <c r="N108" s="2" t="s">
        <v>901</v>
      </c>
      <c r="O108" s="2" t="s">
        <v>1115</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2" t="n">
        <f aca="false">COUNTIFS(guidance_agencies!$A$2:$A$81,$A108,guidance_agencies!$D$2:$D$81,"EDPB")</f>
        <v>0</v>
      </c>
      <c r="AQ108" s="2" t="n">
        <f aca="false">COUNTIFS(guidance_agencies!$A$2:$A$81,$A108,guidance_agencies!$D$2:$D$81,"EBA")</f>
        <v>0</v>
      </c>
      <c r="AR108" s="2" t="n">
        <f aca="false">COUNTIFS(guidance_agencies!$A$2:$A$81,$A108,guidance_agencies!$D$2:$D$81,"ESMA")</f>
        <v>0</v>
      </c>
      <c r="AS108" s="3" t="n">
        <f aca="false">SUMIFS(secondary_acts!$S$2:$S$771,secondary_acts!$A$2:$A$771,$A108,secondary_acts!$E$2:$E$771,"implementing")+SUMIFS(secondary_acts!$S$2:$S$771,secondary_acts!$A$2:$A$771,$A108,secondary_acts!$E$2:$E$771,"delegated")</f>
        <v>0</v>
      </c>
      <c r="AT108" s="3"/>
      <c r="AU108" s="2"/>
      <c r="AV108" s="2"/>
      <c r="AW108" s="2"/>
      <c r="AX108" s="2"/>
      <c r="AY108" s="2"/>
      <c r="AZ108" s="2"/>
      <c r="BA108" s="2" t="s">
        <v>903</v>
      </c>
      <c r="BB108" s="2"/>
      <c r="BC108" s="2"/>
      <c r="BD108" s="2"/>
      <c r="BE108" s="2" t="str">
        <f aca="false">IF(ISNUMBER(BB108),Q108-BB108,"")</f>
        <v/>
      </c>
      <c r="BF108" s="4" t="str">
        <f aca="false">IF(AND(ISNUMBER(BB108),BB108&gt;0),(Q108-BB108)/BB108,"")</f>
        <v/>
      </c>
      <c r="BG108" s="2" t="str">
        <f aca="false">IF(ISNUMBER(BC108),X108-BC108,"")</f>
        <v/>
      </c>
      <c r="BH108" s="4" t="str">
        <f aca="false">IF(AND(ISNUMBER(BC108),BC108&gt;0),(X108-BC108)/BC108,"")</f>
        <v/>
      </c>
      <c r="BI108" s="2" t="str">
        <f aca="false">IF(ISNUMBER(BD108),AD108-BD108,"")</f>
        <v/>
      </c>
      <c r="BJ108" s="2"/>
      <c r="BK108" s="2"/>
      <c r="BL108" s="2"/>
      <c r="BM108" s="2"/>
      <c r="BN108" s="2"/>
      <c r="BO108" s="2"/>
      <c r="BP108" s="2"/>
    </row>
    <row r="109" customFormat="false" ht="15" hidden="false" customHeight="false" outlineLevel="0" collapsed="false">
      <c r="A109" s="2" t="n">
        <v>108</v>
      </c>
      <c r="B109" s="2" t="s">
        <v>1116</v>
      </c>
      <c r="C109" s="2" t="s">
        <v>1117</v>
      </c>
      <c r="D109" s="2" t="s">
        <v>273</v>
      </c>
      <c r="E109" s="2" t="s">
        <v>71</v>
      </c>
      <c r="F109" s="2" t="s">
        <v>1118</v>
      </c>
      <c r="G109" s="2" t="s">
        <v>151</v>
      </c>
      <c r="H109" s="2" t="s">
        <v>1119</v>
      </c>
      <c r="I109" s="2" t="s">
        <v>1119</v>
      </c>
      <c r="J109" s="2" t="s">
        <v>1120</v>
      </c>
      <c r="K109" s="2" t="s">
        <v>76</v>
      </c>
      <c r="L109" s="2" t="s">
        <v>76</v>
      </c>
      <c r="M109" s="2" t="s">
        <v>1121</v>
      </c>
      <c r="N109" s="2" t="s">
        <v>78</v>
      </c>
      <c r="O109" s="2" t="s">
        <v>1122</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1123</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2" t="n">
        <f aca="false">COUNTIFS(guidance_agencies!$A$2:$A$81,$A109,guidance_agencies!$D$2:$D$81,"EDPB")</f>
        <v>0</v>
      </c>
      <c r="AQ109" s="2" t="n">
        <f aca="false">COUNTIFS(guidance_agencies!$A$2:$A$81,$A109,guidance_agencies!$D$2:$D$81,"EBA")</f>
        <v>0</v>
      </c>
      <c r="AR109" s="2" t="n">
        <f aca="false">COUNTIFS(guidance_agencies!$A$2:$A$81,$A109,guidance_agencies!$D$2:$D$81,"ESMA")</f>
        <v>0</v>
      </c>
      <c r="AS109" s="3" t="n">
        <f aca="false">SUMIFS(secondary_acts!$S$2:$S$771,secondary_acts!$A$2:$A$771,$A109,secondary_acts!$E$2:$E$771,"implementing")+SUMIFS(secondary_acts!$S$2:$S$771,secondary_acts!$A$2:$A$771,$A109,secondary_acts!$E$2:$E$771,"delegated")</f>
        <v>78</v>
      </c>
      <c r="AT109" s="3"/>
      <c r="AU109" s="2"/>
      <c r="AV109" s="2" t="n">
        <v>12</v>
      </c>
      <c r="AW109" s="2" t="s">
        <v>1124</v>
      </c>
      <c r="AX109" s="2" t="s">
        <v>787</v>
      </c>
      <c r="AY109" s="2" t="n">
        <v>1</v>
      </c>
      <c r="AZ109" s="2" t="s">
        <v>1125</v>
      </c>
      <c r="BA109" s="2" t="s">
        <v>147</v>
      </c>
      <c r="BB109" s="2" t="n">
        <v>8721</v>
      </c>
      <c r="BC109" s="2" t="n">
        <v>47</v>
      </c>
      <c r="BD109" s="2" t="n">
        <v>1</v>
      </c>
      <c r="BE109" s="2" t="n">
        <f aca="false">IF(ISNUMBER(BB109),Q109-BB109,"")</f>
        <v>3576</v>
      </c>
      <c r="BF109" s="4" t="n">
        <f aca="false">IF(AND(ISNUMBER(BB109),BB109&gt;0),(Q109-BB109)/BB109,"")</f>
        <v>0.410044719642243</v>
      </c>
      <c r="BG109" s="2" t="n">
        <f aca="false">IF(ISNUMBER(BC109),X109-BC109,"")</f>
        <v>30</v>
      </c>
      <c r="BH109" s="4" t="n">
        <f aca="false">IF(AND(ISNUMBER(BC109),BC109&gt;0),(X109-BC109)/BC109,"")</f>
        <v>0.638297872340426</v>
      </c>
      <c r="BI109" s="2" t="n">
        <f aca="false">IF(ISNUMBER(BD109),AD109-BD109,"")</f>
        <v>9</v>
      </c>
      <c r="BJ109" s="2" t="s">
        <v>1126</v>
      </c>
      <c r="BK109" s="2" t="s">
        <v>1127</v>
      </c>
      <c r="BL109" s="2" t="n">
        <v>4</v>
      </c>
      <c r="BM109" s="2" t="n">
        <v>4</v>
      </c>
      <c r="BN109" s="2" t="n">
        <v>3</v>
      </c>
      <c r="BO109" s="2" t="n">
        <v>0</v>
      </c>
      <c r="BP109" s="2"/>
    </row>
    <row r="110" customFormat="false" ht="15" hidden="false" customHeight="false" outlineLevel="0" collapsed="false">
      <c r="A110" s="2" t="n">
        <v>109</v>
      </c>
      <c r="B110" s="2" t="s">
        <v>1128</v>
      </c>
      <c r="C110" s="2" t="s">
        <v>1129</v>
      </c>
      <c r="D110" s="2" t="s">
        <v>70</v>
      </c>
      <c r="E110" s="2" t="s">
        <v>71</v>
      </c>
      <c r="F110" s="2" t="s">
        <v>1130</v>
      </c>
      <c r="G110" s="2" t="s">
        <v>151</v>
      </c>
      <c r="H110" s="2" t="s">
        <v>1131</v>
      </c>
      <c r="I110" s="2" t="s">
        <v>1132</v>
      </c>
      <c r="J110" s="2" t="s">
        <v>1133</v>
      </c>
      <c r="K110" s="2" t="s">
        <v>76</v>
      </c>
      <c r="L110" s="2" t="s">
        <v>76</v>
      </c>
      <c r="M110" s="2" t="s">
        <v>1134</v>
      </c>
      <c r="N110" s="2" t="s">
        <v>78</v>
      </c>
      <c r="O110" s="2" t="s">
        <v>1135</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1136</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2" t="n">
        <f aca="false">COUNTIFS(guidance_agencies!$A$2:$A$81,$A110,guidance_agencies!$D$2:$D$81,"EDPB")</f>
        <v>0</v>
      </c>
      <c r="AQ110" s="2" t="n">
        <f aca="false">COUNTIFS(guidance_agencies!$A$2:$A$81,$A110,guidance_agencies!$D$2:$D$81,"EBA")</f>
        <v>0</v>
      </c>
      <c r="AR110" s="2" t="n">
        <f aca="false">COUNTIFS(guidance_agencies!$A$2:$A$81,$A110,guidance_agencies!$D$2:$D$81,"ESMA")</f>
        <v>0</v>
      </c>
      <c r="AS110" s="3" t="n">
        <f aca="false">SUMIFS(secondary_acts!$S$2:$S$771,secondary_acts!$A$2:$A$771,$A110,secondary_acts!$E$2:$E$771,"implementing")+SUMIFS(secondary_acts!$S$2:$S$771,secondary_acts!$A$2:$A$771,$A110,secondary_acts!$E$2:$E$771,"delegated")</f>
        <v>0</v>
      </c>
      <c r="AT110" s="3" t="n">
        <v>595</v>
      </c>
      <c r="AU110" s="2" t="n">
        <v>27</v>
      </c>
      <c r="AV110" s="2" t="n">
        <v>2</v>
      </c>
      <c r="AW110" s="2" t="s">
        <v>1137</v>
      </c>
      <c r="AX110" s="2" t="s">
        <v>773</v>
      </c>
      <c r="AY110" s="2" t="n">
        <v>2</v>
      </c>
      <c r="AZ110" s="2" t="s">
        <v>1138</v>
      </c>
      <c r="BA110" s="2" t="s">
        <v>147</v>
      </c>
      <c r="BB110" s="2" t="n">
        <v>17621</v>
      </c>
      <c r="BC110" s="2" t="n">
        <v>303</v>
      </c>
      <c r="BD110" s="2" t="n">
        <v>55</v>
      </c>
      <c r="BE110" s="2" t="n">
        <f aca="false">IF(ISNUMBER(BB110),Q110-BB110,"")</f>
        <v>-3405</v>
      </c>
      <c r="BF110" s="4" t="n">
        <f aca="false">IF(AND(ISNUMBER(BB110),BB110&gt;0),(Q110-BB110)/BB110,"")</f>
        <v>-0.19323534419159</v>
      </c>
      <c r="BG110" s="2" t="n">
        <f aca="false">IF(ISNUMBER(BC110),X110-BC110,"")</f>
        <v>-60</v>
      </c>
      <c r="BH110" s="4" t="n">
        <f aca="false">IF(AND(ISNUMBER(BC110),BC110&gt;0),(X110-BC110)/BC110,"")</f>
        <v>-0.198019801980198</v>
      </c>
      <c r="BI110" s="2" t="n">
        <f aca="false">IF(ISNUMBER(BD110),AD110-BD110,"")</f>
        <v>43</v>
      </c>
      <c r="BJ110" s="2"/>
      <c r="BK110" s="2"/>
      <c r="BL110" s="2"/>
      <c r="BM110" s="2"/>
      <c r="BN110" s="2"/>
      <c r="BO110" s="2"/>
      <c r="BP110" s="2"/>
    </row>
    <row r="111" customFormat="false" ht="15" hidden="false" customHeight="false" outlineLevel="0" collapsed="false">
      <c r="A111" s="2" t="n">
        <v>110</v>
      </c>
      <c r="B111" s="2" t="s">
        <v>1139</v>
      </c>
      <c r="C111" s="2" t="s">
        <v>1140</v>
      </c>
      <c r="D111" s="2" t="s">
        <v>273</v>
      </c>
      <c r="E111" s="2" t="s">
        <v>71</v>
      </c>
      <c r="F111" s="2" t="s">
        <v>1141</v>
      </c>
      <c r="G111" s="2" t="s">
        <v>151</v>
      </c>
      <c r="H111" s="2" t="s">
        <v>1142</v>
      </c>
      <c r="I111" s="2" t="s">
        <v>1143</v>
      </c>
      <c r="J111" s="2" t="s">
        <v>1144</v>
      </c>
      <c r="K111" s="2" t="s">
        <v>76</v>
      </c>
      <c r="L111" s="2" t="s">
        <v>76</v>
      </c>
      <c r="M111" s="2" t="s">
        <v>1145</v>
      </c>
      <c r="N111" s="2" t="s">
        <v>78</v>
      </c>
      <c r="O111" s="2" t="s">
        <v>1146</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1147</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2" t="n">
        <f aca="false">COUNTIFS(guidance_agencies!$A$2:$A$81,$A111,guidance_agencies!$D$2:$D$81,"EDPB")</f>
        <v>0</v>
      </c>
      <c r="AQ111" s="2" t="n">
        <f aca="false">COUNTIFS(guidance_agencies!$A$2:$A$81,$A111,guidance_agencies!$D$2:$D$81,"EBA")</f>
        <v>0</v>
      </c>
      <c r="AR111" s="2" t="n">
        <f aca="false">COUNTIFS(guidance_agencies!$A$2:$A$81,$A111,guidance_agencies!$D$2:$D$81,"ESMA")</f>
        <v>0</v>
      </c>
      <c r="AS111" s="3" t="n">
        <f aca="false">SUMIFS(secondary_acts!$S$2:$S$771,secondary_acts!$A$2:$A$771,$A111,secondary_acts!$E$2:$E$771,"implementing")+SUMIFS(secondary_acts!$S$2:$S$771,secondary_acts!$A$2:$A$771,$A111,secondary_acts!$E$2:$E$771,"delegated")</f>
        <v>6</v>
      </c>
      <c r="AT111" s="3" t="n">
        <v>1512</v>
      </c>
      <c r="AU111" s="2" t="n">
        <v>28</v>
      </c>
      <c r="AV111" s="2" t="n">
        <v>5</v>
      </c>
      <c r="AW111" s="2" t="s">
        <v>1137</v>
      </c>
      <c r="AX111" s="2" t="s">
        <v>134</v>
      </c>
      <c r="AY111" s="2" t="n">
        <v>3</v>
      </c>
      <c r="AZ111" s="2" t="s">
        <v>1148</v>
      </c>
      <c r="BA111" s="2" t="s">
        <v>147</v>
      </c>
      <c r="BB111" s="2" t="n">
        <v>17820</v>
      </c>
      <c r="BC111" s="2" t="n">
        <v>325</v>
      </c>
      <c r="BD111" s="2" t="n">
        <v>107</v>
      </c>
      <c r="BE111" s="2" t="n">
        <f aca="false">IF(ISNUMBER(BB111),Q111-BB111,"")</f>
        <v>2189</v>
      </c>
      <c r="BF111" s="4" t="n">
        <f aca="false">IF(AND(ISNUMBER(BB111),BB111&gt;0),(Q111-BB111)/BB111,"")</f>
        <v>0.12283950617284</v>
      </c>
      <c r="BG111" s="2" t="n">
        <f aca="false">IF(ISNUMBER(BC111),X111-BC111,"")</f>
        <v>10</v>
      </c>
      <c r="BH111" s="4" t="n">
        <f aca="false">IF(AND(ISNUMBER(BC111),BC111&gt;0),(X111-BC111)/BC111,"")</f>
        <v>0.0307692307692308</v>
      </c>
      <c r="BI111" s="2" t="n">
        <f aca="false">IF(ISNUMBER(BD111),AD111-BD111,"")</f>
        <v>31</v>
      </c>
      <c r="BJ111" s="2"/>
      <c r="BK111" s="2"/>
      <c r="BL111" s="2"/>
      <c r="BM111" s="2"/>
      <c r="BN111" s="2"/>
      <c r="BO111" s="2"/>
      <c r="BP111" s="2"/>
    </row>
    <row r="112" customFormat="false" ht="15" hidden="false" customHeight="false" outlineLevel="0" collapsed="false">
      <c r="A112" s="2" t="n">
        <v>111</v>
      </c>
      <c r="B112" s="2" t="s">
        <v>1149</v>
      </c>
      <c r="C112" s="2" t="s">
        <v>1150</v>
      </c>
      <c r="D112" s="2" t="s">
        <v>86</v>
      </c>
      <c r="E112" s="2" t="s">
        <v>71</v>
      </c>
      <c r="F112" s="2" t="s">
        <v>1151</v>
      </c>
      <c r="G112" s="2" t="s">
        <v>151</v>
      </c>
      <c r="H112" s="2" t="s">
        <v>1142</v>
      </c>
      <c r="I112" s="2" t="s">
        <v>1152</v>
      </c>
      <c r="J112" s="2" t="s">
        <v>1153</v>
      </c>
      <c r="K112" s="2" t="s">
        <v>76</v>
      </c>
      <c r="L112" s="2" t="s">
        <v>76</v>
      </c>
      <c r="M112" s="2" t="s">
        <v>1154</v>
      </c>
      <c r="N112" s="2" t="s">
        <v>78</v>
      </c>
      <c r="O112" s="2" t="s">
        <v>1155</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1156</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2" t="n">
        <f aca="false">COUNTIFS(guidance_agencies!$A$2:$A$81,$A112,guidance_agencies!$D$2:$D$81,"EDPB")</f>
        <v>0</v>
      </c>
      <c r="AQ112" s="2" t="n">
        <f aca="false">COUNTIFS(guidance_agencies!$A$2:$A$81,$A112,guidance_agencies!$D$2:$D$81,"EBA")</f>
        <v>0</v>
      </c>
      <c r="AR112" s="2" t="n">
        <f aca="false">COUNTIFS(guidance_agencies!$A$2:$A$81,$A112,guidance_agencies!$D$2:$D$81,"ESMA")</f>
        <v>0</v>
      </c>
      <c r="AS112" s="3" t="n">
        <f aca="false">SUMIFS(secondary_acts!$S$2:$S$771,secondary_acts!$A$2:$A$771,$A112,secondary_acts!$E$2:$E$771,"implementing")+SUMIFS(secondary_acts!$S$2:$S$771,secondary_acts!$A$2:$A$771,$A112,secondary_acts!$E$2:$E$771,"delegated")</f>
        <v>0</v>
      </c>
      <c r="AT112" s="3" t="n">
        <v>203</v>
      </c>
      <c r="AU112" s="2" t="n">
        <v>28</v>
      </c>
      <c r="AV112" s="2" t="n">
        <v>0</v>
      </c>
      <c r="AW112" s="2"/>
      <c r="AX112" s="2"/>
      <c r="AY112" s="2" t="n">
        <v>2</v>
      </c>
      <c r="AZ112" s="2" t="s">
        <v>1157</v>
      </c>
      <c r="BA112" s="2" t="s">
        <v>147</v>
      </c>
      <c r="BB112" s="2" t="n">
        <v>2079</v>
      </c>
      <c r="BC112" s="2" t="n">
        <v>12</v>
      </c>
      <c r="BD112" s="2" t="n">
        <v>0</v>
      </c>
      <c r="BE112" s="2" t="n">
        <f aca="false">IF(ISNUMBER(BB112),Q112-BB112,"")</f>
        <v>4088</v>
      </c>
      <c r="BF112" s="4" t="n">
        <f aca="false">IF(AND(ISNUMBER(BB112),BB112&gt;0),(Q112-BB112)/BB112,"")</f>
        <v>1.96632996632997</v>
      </c>
      <c r="BG112" s="2" t="n">
        <f aca="false">IF(ISNUMBER(BC112),X112-BC112,"")</f>
        <v>23</v>
      </c>
      <c r="BH112" s="4" t="n">
        <f aca="false">IF(AND(ISNUMBER(BC112),BC112&gt;0),(X112-BC112)/BC112,"")</f>
        <v>1.91666666666667</v>
      </c>
      <c r="BI112" s="2" t="n">
        <f aca="false">IF(ISNUMBER(BD112),AD112-BD112,"")</f>
        <v>2</v>
      </c>
      <c r="BJ112" s="2"/>
      <c r="BK112" s="2"/>
      <c r="BL112" s="2"/>
      <c r="BM112" s="2"/>
      <c r="BN112" s="2"/>
      <c r="BO112" s="2"/>
      <c r="BP112" s="2" t="s">
        <v>110</v>
      </c>
    </row>
    <row r="113" customFormat="false" ht="15" hidden="false" customHeight="false" outlineLevel="0" collapsed="false">
      <c r="A113" s="2" t="n">
        <v>112</v>
      </c>
      <c r="B113" s="2" t="s">
        <v>1158</v>
      </c>
      <c r="C113" s="2" t="s">
        <v>1159</v>
      </c>
      <c r="D113" s="2" t="s">
        <v>100</v>
      </c>
      <c r="E113" s="2" t="s">
        <v>71</v>
      </c>
      <c r="F113" s="2" t="s">
        <v>389</v>
      </c>
      <c r="G113" s="2" t="s">
        <v>151</v>
      </c>
      <c r="H113" s="2" t="s">
        <v>407</v>
      </c>
      <c r="I113" s="2" t="s">
        <v>408</v>
      </c>
      <c r="J113" s="2" t="s">
        <v>409</v>
      </c>
      <c r="K113" s="2" t="s">
        <v>76</v>
      </c>
      <c r="L113" s="2" t="s">
        <v>76</v>
      </c>
      <c r="M113" s="2" t="s">
        <v>1160</v>
      </c>
      <c r="N113" s="2" t="s">
        <v>78</v>
      </c>
      <c r="O113" s="2" t="s">
        <v>1161</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1162</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2" t="n">
        <f aca="false">COUNTIFS(guidance_agencies!$A$2:$A$81,$A113,guidance_agencies!$D$2:$D$81,"EDPB")</f>
        <v>0</v>
      </c>
      <c r="AQ113" s="2" t="n">
        <f aca="false">COUNTIFS(guidance_agencies!$A$2:$A$81,$A113,guidance_agencies!$D$2:$D$81,"EBA")</f>
        <v>0</v>
      </c>
      <c r="AR113" s="2" t="n">
        <f aca="false">COUNTIFS(guidance_agencies!$A$2:$A$81,$A113,guidance_agencies!$D$2:$D$81,"ESMA")</f>
        <v>0</v>
      </c>
      <c r="AS113" s="3" t="n">
        <f aca="false">SUMIFS(secondary_acts!$S$2:$S$771,secondary_acts!$A$2:$A$771,$A113,secondary_acts!$E$2:$E$771,"implementing")+SUMIFS(secondary_acts!$S$2:$S$771,secondary_acts!$A$2:$A$771,$A113,secondary_acts!$E$2:$E$771,"delegated")</f>
        <v>0</v>
      </c>
      <c r="AT113" s="3"/>
      <c r="AU113" s="2"/>
      <c r="AV113" s="2" t="n">
        <v>0</v>
      </c>
      <c r="AW113" s="2"/>
      <c r="AX113" s="2"/>
      <c r="AY113" s="2" t="n">
        <v>2</v>
      </c>
      <c r="AZ113" s="2" t="s">
        <v>1163</v>
      </c>
      <c r="BA113" s="2" t="s">
        <v>147</v>
      </c>
      <c r="BB113" s="2" t="n">
        <v>4070</v>
      </c>
      <c r="BC113" s="2" t="n">
        <v>5</v>
      </c>
      <c r="BD113" s="2" t="n">
        <v>3</v>
      </c>
      <c r="BE113" s="2" t="n">
        <f aca="false">IF(ISNUMBER(BB113),Q113-BB113,"")</f>
        <v>3354</v>
      </c>
      <c r="BF113" s="4" t="n">
        <f aca="false">IF(AND(ISNUMBER(BB113),BB113&gt;0),(Q113-BB113)/BB113,"")</f>
        <v>0.824078624078624</v>
      </c>
      <c r="BG113" s="2" t="n">
        <f aca="false">IF(ISNUMBER(BC113),X113-BC113,"")</f>
        <v>22</v>
      </c>
      <c r="BH113" s="4" t="n">
        <f aca="false">IF(AND(ISNUMBER(BC113),BC113&gt;0),(X113-BC113)/BC113,"")</f>
        <v>4.4</v>
      </c>
      <c r="BI113" s="2" t="n">
        <f aca="false">IF(ISNUMBER(BD113),AD113-BD113,"")</f>
        <v>10</v>
      </c>
      <c r="BJ113" s="2" t="s">
        <v>1164</v>
      </c>
      <c r="BK113" s="2" t="s">
        <v>1165</v>
      </c>
      <c r="BL113" s="2" t="n">
        <v>4</v>
      </c>
      <c r="BM113" s="2" t="n">
        <v>4</v>
      </c>
      <c r="BN113" s="2" t="n">
        <v>5</v>
      </c>
      <c r="BO113" s="2" t="n">
        <v>0</v>
      </c>
      <c r="BP113" s="2"/>
    </row>
    <row r="114" customFormat="false" ht="15" hidden="false" customHeight="false" outlineLevel="0" collapsed="false">
      <c r="A114" s="2" t="n">
        <v>113</v>
      </c>
      <c r="B114" s="2" t="s">
        <v>1166</v>
      </c>
      <c r="C114" s="2" t="s">
        <v>1167</v>
      </c>
      <c r="D114" s="2" t="s">
        <v>70</v>
      </c>
      <c r="E114" s="2" t="s">
        <v>71</v>
      </c>
      <c r="F114" s="2" t="s">
        <v>1168</v>
      </c>
      <c r="G114" s="2" t="s">
        <v>151</v>
      </c>
      <c r="H114" s="2" t="s">
        <v>501</v>
      </c>
      <c r="I114" s="2" t="s">
        <v>1169</v>
      </c>
      <c r="J114" s="2" t="s">
        <v>1170</v>
      </c>
      <c r="K114" s="2" t="s">
        <v>76</v>
      </c>
      <c r="L114" s="2" t="s">
        <v>76</v>
      </c>
      <c r="M114" s="2" t="s">
        <v>1171</v>
      </c>
      <c r="N114" s="2" t="s">
        <v>78</v>
      </c>
      <c r="O114" s="2" t="s">
        <v>1172</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1173</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2" t="n">
        <f aca="false">COUNTIFS(guidance_agencies!$A$2:$A$81,$A114,guidance_agencies!$D$2:$D$81,"EDPB")</f>
        <v>0</v>
      </c>
      <c r="AQ114" s="2" t="n">
        <f aca="false">COUNTIFS(guidance_agencies!$A$2:$A$81,$A114,guidance_agencies!$D$2:$D$81,"EBA")</f>
        <v>0</v>
      </c>
      <c r="AR114" s="2" t="n">
        <f aca="false">COUNTIFS(guidance_agencies!$A$2:$A$81,$A114,guidance_agencies!$D$2:$D$81,"ESMA")</f>
        <v>0</v>
      </c>
      <c r="AS114" s="3" t="n">
        <f aca="false">SUMIFS(secondary_acts!$S$2:$S$771,secondary_acts!$A$2:$A$771,$A114,secondary_acts!$E$2:$E$771,"implementing")+SUMIFS(secondary_acts!$S$2:$S$771,secondary_acts!$A$2:$A$771,$A114,secondary_acts!$E$2:$E$771,"delegated")</f>
        <v>103</v>
      </c>
      <c r="AT114" s="3"/>
      <c r="AU114" s="2"/>
      <c r="AV114" s="2" t="n">
        <v>0</v>
      </c>
      <c r="AW114" s="2"/>
      <c r="AX114" s="2"/>
      <c r="AY114" s="2" t="n">
        <v>1</v>
      </c>
      <c r="AZ114" s="2" t="s">
        <v>1174</v>
      </c>
      <c r="BA114" s="2" t="s">
        <v>147</v>
      </c>
      <c r="BB114" s="2" t="n">
        <v>4147</v>
      </c>
      <c r="BC114" s="2" t="n">
        <v>39</v>
      </c>
      <c r="BD114" s="2" t="n">
        <v>12</v>
      </c>
      <c r="BE114" s="2" t="n">
        <f aca="false">IF(ISNUMBER(BB114),Q114-BB114,"")</f>
        <v>1602</v>
      </c>
      <c r="BF114" s="4" t="n">
        <f aca="false">IF(AND(ISNUMBER(BB114),BB114&gt;0),(Q114-BB114)/BB114,"")</f>
        <v>0.386303351820593</v>
      </c>
      <c r="BG114" s="2" t="n">
        <f aca="false">IF(ISNUMBER(BC114),X114-BC114,"")</f>
        <v>15</v>
      </c>
      <c r="BH114" s="4" t="n">
        <f aca="false">IF(AND(ISNUMBER(BC114),BC114&gt;0),(X114-BC114)/BC114,"")</f>
        <v>0.384615384615385</v>
      </c>
      <c r="BI114" s="2" t="n">
        <f aca="false">IF(ISNUMBER(BD114),AD114-BD114,"")</f>
        <v>3</v>
      </c>
      <c r="BJ114" s="2"/>
      <c r="BK114" s="2"/>
      <c r="BL114" s="2"/>
      <c r="BM114" s="2"/>
      <c r="BN114" s="2"/>
      <c r="BO114" s="2"/>
      <c r="BP114" s="2" t="s">
        <v>110</v>
      </c>
    </row>
    <row r="115" customFormat="false" ht="15" hidden="false" customHeight="false" outlineLevel="0" collapsed="false">
      <c r="A115" s="2" t="n">
        <v>114</v>
      </c>
      <c r="B115" s="2" t="s">
        <v>1175</v>
      </c>
      <c r="C115" s="2" t="s">
        <v>1176</v>
      </c>
      <c r="D115" s="2" t="s">
        <v>322</v>
      </c>
      <c r="E115" s="2" t="s">
        <v>71</v>
      </c>
      <c r="F115" s="2" t="s">
        <v>430</v>
      </c>
      <c r="G115" s="2" t="s">
        <v>151</v>
      </c>
      <c r="H115" s="2" t="s">
        <v>390</v>
      </c>
      <c r="I115" s="2" t="s">
        <v>391</v>
      </c>
      <c r="J115" s="2" t="s">
        <v>392</v>
      </c>
      <c r="K115" s="2" t="s">
        <v>76</v>
      </c>
      <c r="L115" s="2" t="s">
        <v>76</v>
      </c>
      <c r="M115" s="2" t="s">
        <v>1177</v>
      </c>
      <c r="N115" s="2" t="s">
        <v>78</v>
      </c>
      <c r="O115" s="2" t="s">
        <v>1178</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1179</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2" t="n">
        <f aca="false">COUNTIFS(guidance_agencies!$A$2:$A$81,$A115,guidance_agencies!$D$2:$D$81,"EDPB")</f>
        <v>0</v>
      </c>
      <c r="AQ115" s="2" t="n">
        <f aca="false">COUNTIFS(guidance_agencies!$A$2:$A$81,$A115,guidance_agencies!$D$2:$D$81,"EBA")</f>
        <v>0</v>
      </c>
      <c r="AR115" s="2" t="n">
        <f aca="false">COUNTIFS(guidance_agencies!$A$2:$A$81,$A115,guidance_agencies!$D$2:$D$81,"ESMA")</f>
        <v>0</v>
      </c>
      <c r="AS115" s="3" t="n">
        <f aca="false">SUMIFS(secondary_acts!$S$2:$S$771,secondary_acts!$A$2:$A$771,$A115,secondary_acts!$E$2:$E$771,"implementing")+SUMIFS(secondary_acts!$S$2:$S$771,secondary_acts!$A$2:$A$771,$A115,secondary_acts!$E$2:$E$771,"delegated")</f>
        <v>175</v>
      </c>
      <c r="AT115" s="3"/>
      <c r="AU115" s="2"/>
      <c r="AV115" s="2" t="n">
        <v>5</v>
      </c>
      <c r="AW115" s="2" t="s">
        <v>586</v>
      </c>
      <c r="AX115" s="2" t="s">
        <v>414</v>
      </c>
      <c r="AY115" s="2" t="n">
        <v>5</v>
      </c>
      <c r="AZ115" s="2" t="s">
        <v>1180</v>
      </c>
      <c r="BA115" s="2" t="s">
        <v>147</v>
      </c>
      <c r="BB115" s="2" t="n">
        <v>23487</v>
      </c>
      <c r="BC115" s="2" t="n">
        <v>291</v>
      </c>
      <c r="BD115" s="2" t="n">
        <v>32</v>
      </c>
      <c r="BE115" s="2" t="n">
        <f aca="false">IF(ISNUMBER(BB115),Q115-BB115,"")</f>
        <v>11148</v>
      </c>
      <c r="BF115" s="4" t="n">
        <f aca="false">IF(AND(ISNUMBER(BB115),BB115&gt;0),(Q115-BB115)/BB115,"")</f>
        <v>0.474645548601354</v>
      </c>
      <c r="BG115" s="2" t="n">
        <f aca="false">IF(ISNUMBER(BC115),X115-BC115,"")</f>
        <v>165</v>
      </c>
      <c r="BH115" s="4" t="n">
        <f aca="false">IF(AND(ISNUMBER(BC115),BC115&gt;0),(X115-BC115)/BC115,"")</f>
        <v>0.567010309278351</v>
      </c>
      <c r="BI115" s="2" t="n">
        <f aca="false">IF(ISNUMBER(BD115),AD115-BD115,"")</f>
        <v>-7</v>
      </c>
      <c r="BJ115" s="2"/>
      <c r="BK115" s="2"/>
      <c r="BL115" s="2"/>
      <c r="BM115" s="2"/>
      <c r="BN115" s="2"/>
      <c r="BO115" s="2"/>
      <c r="BP115" s="2"/>
    </row>
    <row r="116" customFormat="false" ht="15" hidden="false" customHeight="false" outlineLevel="0" collapsed="false">
      <c r="A116" s="2" t="n">
        <v>115</v>
      </c>
      <c r="B116" s="2" t="s">
        <v>1181</v>
      </c>
      <c r="C116" s="2" t="s">
        <v>1182</v>
      </c>
      <c r="D116" s="2" t="s">
        <v>176</v>
      </c>
      <c r="E116" s="2" t="s">
        <v>71</v>
      </c>
      <c r="F116" s="2" t="s">
        <v>1183</v>
      </c>
      <c r="G116" s="2" t="s">
        <v>151</v>
      </c>
      <c r="H116" s="2" t="s">
        <v>257</v>
      </c>
      <c r="I116" s="2" t="s">
        <v>362</v>
      </c>
      <c r="J116" s="2" t="s">
        <v>1184</v>
      </c>
      <c r="K116" s="2" t="s">
        <v>76</v>
      </c>
      <c r="L116" s="2" t="s">
        <v>76</v>
      </c>
      <c r="M116" s="2" t="s">
        <v>1185</v>
      </c>
      <c r="N116" s="2" t="s">
        <v>78</v>
      </c>
      <c r="O116" s="2" t="s">
        <v>1186</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2" t="n">
        <f aca="false">COUNTIFS(guidance_agencies!$A$2:$A$81,$A116,guidance_agencies!$D$2:$D$81,"EDPB")</f>
        <v>0</v>
      </c>
      <c r="AQ116" s="2" t="n">
        <f aca="false">COUNTIFS(guidance_agencies!$A$2:$A$81,$A116,guidance_agencies!$D$2:$D$81,"EBA")</f>
        <v>0</v>
      </c>
      <c r="AR116" s="2" t="n">
        <f aca="false">COUNTIFS(guidance_agencies!$A$2:$A$81,$A116,guidance_agencies!$D$2:$D$81,"ESMA")</f>
        <v>0</v>
      </c>
      <c r="AS116" s="3" t="n">
        <f aca="false">SUMIFS(secondary_acts!$S$2:$S$771,secondary_acts!$A$2:$A$771,$A116,secondary_acts!$E$2:$E$771,"implementing")+SUMIFS(secondary_acts!$S$2:$S$771,secondary_acts!$A$2:$A$771,$A116,secondary_acts!$E$2:$E$771,"delegated")</f>
        <v>0</v>
      </c>
      <c r="AT116" s="3"/>
      <c r="AU116" s="2"/>
      <c r="AV116" s="2" t="n">
        <v>0</v>
      </c>
      <c r="AW116" s="2"/>
      <c r="AX116" s="2"/>
      <c r="AY116" s="2" t="n">
        <v>1</v>
      </c>
      <c r="AZ116" s="2" t="s">
        <v>1187</v>
      </c>
      <c r="BA116" s="2" t="s">
        <v>147</v>
      </c>
      <c r="BB116" s="2" t="n">
        <v>9330</v>
      </c>
      <c r="BC116" s="2" t="n">
        <v>66</v>
      </c>
      <c r="BD116" s="2" t="n">
        <v>11</v>
      </c>
      <c r="BE116" s="2" t="n">
        <f aca="false">IF(ISNUMBER(BB116),Q116-BB116,"")</f>
        <v>2418</v>
      </c>
      <c r="BF116" s="4" t="n">
        <f aca="false">IF(AND(ISNUMBER(BB116),BB116&gt;0),(Q116-BB116)/BB116,"")</f>
        <v>0.259163987138264</v>
      </c>
      <c r="BG116" s="2" t="n">
        <f aca="false">IF(ISNUMBER(BC116),X116-BC116,"")</f>
        <v>4</v>
      </c>
      <c r="BH116" s="4" t="n">
        <f aca="false">IF(AND(ISNUMBER(BC116),BC116&gt;0),(X116-BC116)/BC116,"")</f>
        <v>0.0606060606060606</v>
      </c>
      <c r="BI116" s="2" t="n">
        <f aca="false">IF(ISNUMBER(BD116),AD116-BD116,"")</f>
        <v>4</v>
      </c>
      <c r="BJ116" s="2"/>
      <c r="BK116" s="2"/>
      <c r="BL116" s="2"/>
      <c r="BM116" s="2"/>
      <c r="BN116" s="2"/>
      <c r="BO116" s="2"/>
      <c r="BP116" s="2"/>
    </row>
    <row r="117" customFormat="false" ht="15" hidden="false" customHeight="false" outlineLevel="0" collapsed="false">
      <c r="A117" s="5"/>
      <c r="B117" s="5" t="s">
        <v>1188</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5" t="n">
        <f aca="false">SUM(AP2:AP116)</f>
        <v>52</v>
      </c>
      <c r="AQ117" s="5" t="n">
        <f aca="false">SUM(AQ2:AQ116)</f>
        <v>20</v>
      </c>
      <c r="AR117" s="5" t="n">
        <f aca="false">SUM(AR2:AR116)</f>
        <v>8</v>
      </c>
      <c r="AS117" s="6" t="n">
        <f aca="false">SUM(AS2:AS116)</f>
        <v>11229</v>
      </c>
      <c r="AT117" s="6" t="n">
        <f aca="false">SUM(AT2:AT116)</f>
        <v>48158</v>
      </c>
      <c r="AU117" s="5"/>
      <c r="AV117" s="5" t="n">
        <f aca="false">SUM(AV2:AV116)</f>
        <v>172</v>
      </c>
      <c r="AW117" s="5"/>
      <c r="AX117" s="5"/>
      <c r="AY117" s="5" t="n">
        <f aca="false">SUM(AY2:AY116)</f>
        <v>371</v>
      </c>
      <c r="AZ117" s="5"/>
      <c r="BA117" s="5"/>
      <c r="BB117" s="5"/>
      <c r="BC117" s="5"/>
      <c r="BD117" s="5"/>
      <c r="BE117" s="5"/>
      <c r="BF117" s="5"/>
      <c r="BG117" s="5"/>
      <c r="BH117" s="5"/>
      <c r="BI117" s="5"/>
      <c r="BJ117" s="5"/>
      <c r="BK117" s="5"/>
      <c r="BL117" s="5"/>
      <c r="BM117" s="5"/>
      <c r="BN117" s="5"/>
      <c r="BO117" s="5"/>
      <c r="BP117" s="5"/>
    </row>
  </sheetData>
  <autoFilter ref="A1:BP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1189</v>
      </c>
      <c r="B1" s="1" t="s">
        <v>1190</v>
      </c>
      <c r="C1" s="1" t="s">
        <v>1191</v>
      </c>
      <c r="D1" s="1" t="s">
        <v>1192</v>
      </c>
      <c r="E1" s="1" t="s">
        <v>1193</v>
      </c>
      <c r="F1" s="1" t="s">
        <v>1194</v>
      </c>
      <c r="G1" s="1" t="s">
        <v>1195</v>
      </c>
      <c r="H1" s="1" t="s">
        <v>1196</v>
      </c>
      <c r="I1" s="1" t="s">
        <v>1197</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67</v>
      </c>
    </row>
    <row r="2" customFormat="false" ht="15" hidden="false" customHeight="false" outlineLevel="0" collapsed="false">
      <c r="A2" s="2" t="n">
        <v>2</v>
      </c>
      <c r="B2" s="2" t="s">
        <v>84</v>
      </c>
      <c r="C2" s="2" t="s">
        <v>92</v>
      </c>
      <c r="D2" s="2" t="s">
        <v>1198</v>
      </c>
      <c r="E2" s="2" t="s">
        <v>1199</v>
      </c>
      <c r="F2" s="2" t="s">
        <v>1200</v>
      </c>
      <c r="G2" s="2" t="s">
        <v>1201</v>
      </c>
      <c r="H2" s="2" t="s">
        <v>1202</v>
      </c>
      <c r="I2" s="2" t="s">
        <v>1203</v>
      </c>
      <c r="J2" s="2" t="s">
        <v>1204</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1205</v>
      </c>
    </row>
    <row r="3" customFormat="false" ht="15" hidden="false" customHeight="false" outlineLevel="0" collapsed="false">
      <c r="A3" s="2" t="n">
        <v>5</v>
      </c>
      <c r="B3" s="2" t="s">
        <v>124</v>
      </c>
      <c r="C3" s="2" t="s">
        <v>130</v>
      </c>
      <c r="D3" s="2" t="s">
        <v>1206</v>
      </c>
      <c r="E3" s="2" t="s">
        <v>1207</v>
      </c>
      <c r="F3" s="2" t="s">
        <v>1208</v>
      </c>
      <c r="G3" s="2" t="s">
        <v>1209</v>
      </c>
      <c r="H3" s="2" t="s">
        <v>1210</v>
      </c>
      <c r="I3" s="2" t="s">
        <v>1203</v>
      </c>
      <c r="J3" s="2" t="s">
        <v>1211</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124</v>
      </c>
      <c r="C4" s="2" t="s">
        <v>130</v>
      </c>
      <c r="D4" s="2" t="s">
        <v>1212</v>
      </c>
      <c r="E4" s="2" t="s">
        <v>1207</v>
      </c>
      <c r="F4" s="2" t="s">
        <v>1208</v>
      </c>
      <c r="G4" s="2" t="s">
        <v>1213</v>
      </c>
      <c r="H4" s="2" t="s">
        <v>1214</v>
      </c>
      <c r="I4" s="2" t="s">
        <v>1203</v>
      </c>
      <c r="J4" s="2" t="s">
        <v>1215</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124</v>
      </c>
      <c r="C5" s="2" t="s">
        <v>130</v>
      </c>
      <c r="D5" s="2" t="s">
        <v>1216</v>
      </c>
      <c r="E5" s="2" t="s">
        <v>1207</v>
      </c>
      <c r="F5" s="2" t="s">
        <v>1208</v>
      </c>
      <c r="G5" s="2" t="s">
        <v>1217</v>
      </c>
      <c r="H5" s="2" t="s">
        <v>1218</v>
      </c>
      <c r="I5" s="2" t="s">
        <v>1203</v>
      </c>
      <c r="J5" s="2" t="s">
        <v>1219</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124</v>
      </c>
      <c r="C6" s="2" t="s">
        <v>130</v>
      </c>
      <c r="D6" s="2" t="s">
        <v>1220</v>
      </c>
      <c r="E6" s="2" t="s">
        <v>1207</v>
      </c>
      <c r="F6" s="2" t="s">
        <v>1208</v>
      </c>
      <c r="G6" s="2" t="s">
        <v>1217</v>
      </c>
      <c r="H6" s="2" t="s">
        <v>1221</v>
      </c>
      <c r="I6" s="2" t="s">
        <v>1203</v>
      </c>
      <c r="J6" s="2" t="s">
        <v>1222</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124</v>
      </c>
      <c r="C7" s="2" t="s">
        <v>130</v>
      </c>
      <c r="D7" s="2" t="s">
        <v>1223</v>
      </c>
      <c r="E7" s="2" t="s">
        <v>1224</v>
      </c>
      <c r="F7" s="2" t="s">
        <v>1225</v>
      </c>
      <c r="G7" s="2" t="s">
        <v>1226</v>
      </c>
      <c r="H7" s="2" t="s">
        <v>1227</v>
      </c>
      <c r="I7" s="2" t="s">
        <v>1203</v>
      </c>
      <c r="J7" s="2" t="s">
        <v>1228</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124</v>
      </c>
      <c r="C8" s="2" t="s">
        <v>130</v>
      </c>
      <c r="D8" s="2" t="s">
        <v>1229</v>
      </c>
      <c r="E8" s="2" t="s">
        <v>1230</v>
      </c>
      <c r="F8" s="2" t="s">
        <v>1231</v>
      </c>
      <c r="G8" s="2" t="s">
        <v>1232</v>
      </c>
      <c r="H8" s="2" t="s">
        <v>1233</v>
      </c>
      <c r="I8" s="2" t="s">
        <v>1203</v>
      </c>
      <c r="J8" s="2" t="s">
        <v>1234</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124</v>
      </c>
      <c r="C9" s="2" t="s">
        <v>130</v>
      </c>
      <c r="D9" s="2" t="s">
        <v>1235</v>
      </c>
      <c r="E9" s="2" t="s">
        <v>1224</v>
      </c>
      <c r="F9" s="2" t="s">
        <v>1225</v>
      </c>
      <c r="G9" s="2" t="s">
        <v>1232</v>
      </c>
      <c r="H9" s="2" t="s">
        <v>1236</v>
      </c>
      <c r="I9" s="2" t="s">
        <v>1203</v>
      </c>
      <c r="J9" s="2" t="s">
        <v>1237</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137</v>
      </c>
      <c r="C10" s="2" t="s">
        <v>143</v>
      </c>
      <c r="D10" s="2" t="s">
        <v>1238</v>
      </c>
      <c r="E10" s="2" t="s">
        <v>1199</v>
      </c>
      <c r="F10" s="2" t="s">
        <v>1239</v>
      </c>
      <c r="G10" s="2" t="s">
        <v>1240</v>
      </c>
      <c r="H10" s="2" t="s">
        <v>1241</v>
      </c>
      <c r="I10" s="2" t="s">
        <v>1203</v>
      </c>
      <c r="J10" s="2" t="s">
        <v>1242</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1205</v>
      </c>
    </row>
    <row r="11" customFormat="false" ht="15" hidden="false" customHeight="false" outlineLevel="0" collapsed="false">
      <c r="A11" s="2" t="n">
        <v>9</v>
      </c>
      <c r="B11" s="2" t="s">
        <v>174</v>
      </c>
      <c r="C11" s="2" t="s">
        <v>181</v>
      </c>
      <c r="D11" s="2" t="s">
        <v>1243</v>
      </c>
      <c r="E11" s="2" t="s">
        <v>1207</v>
      </c>
      <c r="F11" s="2" t="s">
        <v>1208</v>
      </c>
      <c r="G11" s="2" t="s">
        <v>1244</v>
      </c>
      <c r="H11" s="2" t="s">
        <v>1245</v>
      </c>
      <c r="I11" s="2" t="s">
        <v>1203</v>
      </c>
      <c r="J11" s="2" t="s">
        <v>1246</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189</v>
      </c>
      <c r="C12" s="2" t="s">
        <v>194</v>
      </c>
      <c r="D12" s="2" t="s">
        <v>1247</v>
      </c>
      <c r="E12" s="2" t="s">
        <v>1224</v>
      </c>
      <c r="F12" s="2" t="s">
        <v>1248</v>
      </c>
      <c r="G12" s="2" t="s">
        <v>1249</v>
      </c>
      <c r="H12" s="2" t="s">
        <v>1250</v>
      </c>
      <c r="I12" s="2" t="s">
        <v>1203</v>
      </c>
      <c r="J12" s="2" t="s">
        <v>1251</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189</v>
      </c>
      <c r="C13" s="2" t="s">
        <v>194</v>
      </c>
      <c r="D13" s="2" t="s">
        <v>1252</v>
      </c>
      <c r="E13" s="2" t="s">
        <v>1224</v>
      </c>
      <c r="F13" s="2" t="s">
        <v>1248</v>
      </c>
      <c r="G13" s="2" t="s">
        <v>1253</v>
      </c>
      <c r="H13" s="2" t="s">
        <v>1254</v>
      </c>
      <c r="I13" s="2" t="s">
        <v>1203</v>
      </c>
      <c r="J13" s="2" t="s">
        <v>1255</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189</v>
      </c>
      <c r="C14" s="2" t="s">
        <v>194</v>
      </c>
      <c r="D14" s="2" t="s">
        <v>1256</v>
      </c>
      <c r="E14" s="2" t="s">
        <v>1224</v>
      </c>
      <c r="F14" s="2" t="s">
        <v>1248</v>
      </c>
      <c r="G14" s="2" t="s">
        <v>1257</v>
      </c>
      <c r="H14" s="2" t="s">
        <v>1258</v>
      </c>
      <c r="I14" s="2" t="s">
        <v>1203</v>
      </c>
      <c r="J14" s="2" t="s">
        <v>1259</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189</v>
      </c>
      <c r="C15" s="2" t="s">
        <v>194</v>
      </c>
      <c r="D15" s="2" t="s">
        <v>1260</v>
      </c>
      <c r="E15" s="2" t="s">
        <v>1224</v>
      </c>
      <c r="F15" s="2" t="s">
        <v>1248</v>
      </c>
      <c r="G15" s="2" t="s">
        <v>1261</v>
      </c>
      <c r="H15" s="2" t="s">
        <v>1262</v>
      </c>
      <c r="I15" s="2" t="s">
        <v>1203</v>
      </c>
      <c r="J15" s="2" t="s">
        <v>1263</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189</v>
      </c>
      <c r="C16" s="2" t="s">
        <v>194</v>
      </c>
      <c r="D16" s="2" t="s">
        <v>1264</v>
      </c>
      <c r="E16" s="2" t="s">
        <v>1224</v>
      </c>
      <c r="F16" s="2" t="s">
        <v>1248</v>
      </c>
      <c r="G16" s="2" t="s">
        <v>1265</v>
      </c>
      <c r="H16" s="2" t="s">
        <v>1266</v>
      </c>
      <c r="I16" s="2" t="s">
        <v>1203</v>
      </c>
      <c r="J16" s="2" t="s">
        <v>1267</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189</v>
      </c>
      <c r="C17" s="2" t="s">
        <v>194</v>
      </c>
      <c r="D17" s="2" t="s">
        <v>1268</v>
      </c>
      <c r="E17" s="2" t="s">
        <v>1224</v>
      </c>
      <c r="F17" s="2" t="s">
        <v>1248</v>
      </c>
      <c r="G17" s="2" t="s">
        <v>1269</v>
      </c>
      <c r="H17" s="2" t="s">
        <v>1270</v>
      </c>
      <c r="I17" s="2" t="s">
        <v>1203</v>
      </c>
      <c r="J17" s="2" t="s">
        <v>1271</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189</v>
      </c>
      <c r="C18" s="2" t="s">
        <v>194</v>
      </c>
      <c r="D18" s="2" t="s">
        <v>1272</v>
      </c>
      <c r="E18" s="2" t="s">
        <v>1224</v>
      </c>
      <c r="F18" s="2" t="s">
        <v>1248</v>
      </c>
      <c r="G18" s="2" t="s">
        <v>1273</v>
      </c>
      <c r="H18" s="2" t="s">
        <v>1274</v>
      </c>
      <c r="I18" s="2" t="s">
        <v>1203</v>
      </c>
      <c r="J18" s="2" t="s">
        <v>1275</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189</v>
      </c>
      <c r="C19" s="2" t="s">
        <v>194</v>
      </c>
      <c r="D19" s="2" t="s">
        <v>1276</v>
      </c>
      <c r="E19" s="2" t="s">
        <v>1224</v>
      </c>
      <c r="F19" s="2" t="s">
        <v>1248</v>
      </c>
      <c r="G19" s="2" t="s">
        <v>1277</v>
      </c>
      <c r="H19" s="2" t="s">
        <v>1278</v>
      </c>
      <c r="I19" s="2" t="s">
        <v>1203</v>
      </c>
      <c r="J19" s="2" t="s">
        <v>1279</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189</v>
      </c>
      <c r="C20" s="2" t="s">
        <v>194</v>
      </c>
      <c r="D20" s="2" t="s">
        <v>1280</v>
      </c>
      <c r="E20" s="2" t="s">
        <v>1224</v>
      </c>
      <c r="F20" s="2" t="s">
        <v>1248</v>
      </c>
      <c r="G20" s="2" t="s">
        <v>1281</v>
      </c>
      <c r="H20" s="2" t="s">
        <v>1282</v>
      </c>
      <c r="I20" s="2" t="s">
        <v>1203</v>
      </c>
      <c r="J20" s="2" t="s">
        <v>1283</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189</v>
      </c>
      <c r="C21" s="2" t="s">
        <v>194</v>
      </c>
      <c r="D21" s="2" t="s">
        <v>1284</v>
      </c>
      <c r="E21" s="2" t="s">
        <v>1224</v>
      </c>
      <c r="F21" s="2" t="s">
        <v>1248</v>
      </c>
      <c r="G21" s="2" t="s">
        <v>1285</v>
      </c>
      <c r="H21" s="2" t="s">
        <v>1286</v>
      </c>
      <c r="I21" s="2" t="s">
        <v>1203</v>
      </c>
      <c r="J21" s="2" t="s">
        <v>1287</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189</v>
      </c>
      <c r="C22" s="2" t="s">
        <v>194</v>
      </c>
      <c r="D22" s="2" t="s">
        <v>1288</v>
      </c>
      <c r="E22" s="2" t="s">
        <v>1224</v>
      </c>
      <c r="F22" s="2" t="s">
        <v>1248</v>
      </c>
      <c r="G22" s="2" t="s">
        <v>1289</v>
      </c>
      <c r="H22" s="2" t="s">
        <v>1290</v>
      </c>
      <c r="I22" s="2" t="s">
        <v>1203</v>
      </c>
      <c r="J22" s="2" t="s">
        <v>1291</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189</v>
      </c>
      <c r="C23" s="2" t="s">
        <v>194</v>
      </c>
      <c r="D23" s="2" t="s">
        <v>1292</v>
      </c>
      <c r="E23" s="2" t="s">
        <v>1224</v>
      </c>
      <c r="F23" s="2" t="s">
        <v>1248</v>
      </c>
      <c r="G23" s="2" t="s">
        <v>1293</v>
      </c>
      <c r="H23" s="2" t="s">
        <v>1294</v>
      </c>
      <c r="I23" s="2" t="s">
        <v>1203</v>
      </c>
      <c r="J23" s="2" t="s">
        <v>1295</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189</v>
      </c>
      <c r="C24" s="2" t="s">
        <v>194</v>
      </c>
      <c r="D24" s="2" t="s">
        <v>1296</v>
      </c>
      <c r="E24" s="2" t="s">
        <v>1224</v>
      </c>
      <c r="F24" s="2" t="s">
        <v>1248</v>
      </c>
      <c r="G24" s="2" t="s">
        <v>1297</v>
      </c>
      <c r="H24" s="2" t="s">
        <v>1298</v>
      </c>
      <c r="I24" s="2" t="s">
        <v>1203</v>
      </c>
      <c r="J24" s="2" t="s">
        <v>1299</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189</v>
      </c>
      <c r="C25" s="2" t="s">
        <v>194</v>
      </c>
      <c r="D25" s="2" t="s">
        <v>1300</v>
      </c>
      <c r="E25" s="2" t="s">
        <v>1224</v>
      </c>
      <c r="F25" s="2" t="s">
        <v>1248</v>
      </c>
      <c r="G25" s="2" t="s">
        <v>1301</v>
      </c>
      <c r="H25" s="2" t="s">
        <v>1302</v>
      </c>
      <c r="I25" s="2" t="s">
        <v>1203</v>
      </c>
      <c r="J25" s="2" t="s">
        <v>1303</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189</v>
      </c>
      <c r="C26" s="2" t="s">
        <v>194</v>
      </c>
      <c r="D26" s="2" t="s">
        <v>1304</v>
      </c>
      <c r="E26" s="2" t="s">
        <v>1224</v>
      </c>
      <c r="F26" s="2" t="s">
        <v>1248</v>
      </c>
      <c r="G26" s="2" t="s">
        <v>1305</v>
      </c>
      <c r="H26" s="2" t="s">
        <v>1306</v>
      </c>
      <c r="I26" s="2" t="s">
        <v>1203</v>
      </c>
      <c r="J26" s="2" t="s">
        <v>1307</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189</v>
      </c>
      <c r="C27" s="2" t="s">
        <v>194</v>
      </c>
      <c r="D27" s="2" t="s">
        <v>1308</v>
      </c>
      <c r="E27" s="2" t="s">
        <v>1224</v>
      </c>
      <c r="F27" s="2" t="s">
        <v>1248</v>
      </c>
      <c r="G27" s="2" t="s">
        <v>1309</v>
      </c>
      <c r="H27" s="2" t="s">
        <v>1310</v>
      </c>
      <c r="I27" s="2" t="s">
        <v>1203</v>
      </c>
      <c r="J27" s="2" t="s">
        <v>1311</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189</v>
      </c>
      <c r="C28" s="2" t="s">
        <v>194</v>
      </c>
      <c r="D28" s="2" t="s">
        <v>1312</v>
      </c>
      <c r="E28" s="2" t="s">
        <v>1224</v>
      </c>
      <c r="F28" s="2" t="s">
        <v>1248</v>
      </c>
      <c r="G28" s="2" t="s">
        <v>1313</v>
      </c>
      <c r="H28" s="2" t="s">
        <v>1314</v>
      </c>
      <c r="I28" s="2" t="s">
        <v>1203</v>
      </c>
      <c r="J28" s="2" t="s">
        <v>1315</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189</v>
      </c>
      <c r="C29" s="2" t="s">
        <v>194</v>
      </c>
      <c r="D29" s="2" t="s">
        <v>1316</v>
      </c>
      <c r="E29" s="2" t="s">
        <v>1224</v>
      </c>
      <c r="F29" s="2" t="s">
        <v>1248</v>
      </c>
      <c r="G29" s="2" t="s">
        <v>1317</v>
      </c>
      <c r="H29" s="2" t="s">
        <v>1318</v>
      </c>
      <c r="I29" s="2" t="s">
        <v>1203</v>
      </c>
      <c r="J29" s="2" t="s">
        <v>1319</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189</v>
      </c>
      <c r="C30" s="2" t="s">
        <v>194</v>
      </c>
      <c r="D30" s="2" t="s">
        <v>1320</v>
      </c>
      <c r="E30" s="2" t="s">
        <v>1224</v>
      </c>
      <c r="F30" s="2" t="s">
        <v>1248</v>
      </c>
      <c r="G30" s="2" t="s">
        <v>551</v>
      </c>
      <c r="H30" s="2" t="s">
        <v>1321</v>
      </c>
      <c r="I30" s="2" t="s">
        <v>1203</v>
      </c>
      <c r="J30" s="2" t="s">
        <v>1322</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189</v>
      </c>
      <c r="C31" s="2" t="s">
        <v>194</v>
      </c>
      <c r="D31" s="2" t="s">
        <v>1323</v>
      </c>
      <c r="E31" s="2" t="s">
        <v>1224</v>
      </c>
      <c r="F31" s="2" t="s">
        <v>1248</v>
      </c>
      <c r="G31" s="2" t="s">
        <v>1324</v>
      </c>
      <c r="H31" s="2" t="s">
        <v>1325</v>
      </c>
      <c r="I31" s="2" t="s">
        <v>1203</v>
      </c>
      <c r="J31" s="2" t="s">
        <v>1326</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189</v>
      </c>
      <c r="C32" s="2" t="s">
        <v>194</v>
      </c>
      <c r="D32" s="2" t="s">
        <v>1327</v>
      </c>
      <c r="E32" s="2" t="s">
        <v>1224</v>
      </c>
      <c r="F32" s="2" t="s">
        <v>1248</v>
      </c>
      <c r="G32" s="2" t="s">
        <v>1328</v>
      </c>
      <c r="H32" s="2" t="s">
        <v>1329</v>
      </c>
      <c r="I32" s="2" t="s">
        <v>1203</v>
      </c>
      <c r="J32" s="2" t="s">
        <v>1330</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189</v>
      </c>
      <c r="C33" s="2" t="s">
        <v>194</v>
      </c>
      <c r="D33" s="2" t="s">
        <v>1331</v>
      </c>
      <c r="E33" s="2" t="s">
        <v>1224</v>
      </c>
      <c r="F33" s="2" t="s">
        <v>1248</v>
      </c>
      <c r="G33" s="2" t="s">
        <v>1332</v>
      </c>
      <c r="H33" s="2" t="s">
        <v>1333</v>
      </c>
      <c r="I33" s="2" t="s">
        <v>1203</v>
      </c>
      <c r="J33" s="2" t="s">
        <v>1334</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189</v>
      </c>
      <c r="C34" s="2" t="s">
        <v>194</v>
      </c>
      <c r="D34" s="2" t="s">
        <v>1335</v>
      </c>
      <c r="E34" s="2" t="s">
        <v>1224</v>
      </c>
      <c r="F34" s="2" t="s">
        <v>1248</v>
      </c>
      <c r="G34" s="2" t="s">
        <v>1332</v>
      </c>
      <c r="H34" s="2" t="s">
        <v>1336</v>
      </c>
      <c r="I34" s="2" t="s">
        <v>1203</v>
      </c>
      <c r="J34" s="2" t="s">
        <v>1337</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189</v>
      </c>
      <c r="C35" s="2" t="s">
        <v>194</v>
      </c>
      <c r="D35" s="2" t="s">
        <v>1338</v>
      </c>
      <c r="E35" s="2" t="s">
        <v>1224</v>
      </c>
      <c r="F35" s="2" t="s">
        <v>1248</v>
      </c>
      <c r="G35" s="2" t="s">
        <v>1339</v>
      </c>
      <c r="H35" s="2" t="s">
        <v>1340</v>
      </c>
      <c r="I35" s="2" t="s">
        <v>1203</v>
      </c>
      <c r="J35" s="2" t="s">
        <v>1341</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189</v>
      </c>
      <c r="C36" s="2" t="s">
        <v>194</v>
      </c>
      <c r="D36" s="2" t="s">
        <v>1342</v>
      </c>
      <c r="E36" s="2" t="s">
        <v>1224</v>
      </c>
      <c r="F36" s="2" t="s">
        <v>1248</v>
      </c>
      <c r="G36" s="2" t="s">
        <v>1343</v>
      </c>
      <c r="H36" s="2" t="s">
        <v>1344</v>
      </c>
      <c r="I36" s="2" t="s">
        <v>1203</v>
      </c>
      <c r="J36" s="2" t="s">
        <v>1345</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189</v>
      </c>
      <c r="C37" s="2" t="s">
        <v>194</v>
      </c>
      <c r="D37" s="2" t="s">
        <v>1346</v>
      </c>
      <c r="E37" s="2" t="s">
        <v>1224</v>
      </c>
      <c r="F37" s="2" t="s">
        <v>1248</v>
      </c>
      <c r="G37" s="2" t="s">
        <v>1347</v>
      </c>
      <c r="H37" s="2" t="s">
        <v>1348</v>
      </c>
      <c r="I37" s="2" t="s">
        <v>1203</v>
      </c>
      <c r="J37" s="2" t="s">
        <v>1349</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189</v>
      </c>
      <c r="C38" s="2" t="s">
        <v>194</v>
      </c>
      <c r="D38" s="2" t="s">
        <v>1350</v>
      </c>
      <c r="E38" s="2" t="s">
        <v>1224</v>
      </c>
      <c r="F38" s="2" t="s">
        <v>1248</v>
      </c>
      <c r="G38" s="2" t="s">
        <v>1351</v>
      </c>
      <c r="H38" s="2" t="s">
        <v>1352</v>
      </c>
      <c r="I38" s="2" t="s">
        <v>1203</v>
      </c>
      <c r="J38" s="2" t="s">
        <v>1353</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189</v>
      </c>
      <c r="C39" s="2" t="s">
        <v>194</v>
      </c>
      <c r="D39" s="2" t="s">
        <v>1354</v>
      </c>
      <c r="E39" s="2" t="s">
        <v>1224</v>
      </c>
      <c r="F39" s="2" t="s">
        <v>1248</v>
      </c>
      <c r="G39" s="2" t="s">
        <v>1355</v>
      </c>
      <c r="H39" s="2" t="s">
        <v>1356</v>
      </c>
      <c r="I39" s="2" t="s">
        <v>1203</v>
      </c>
      <c r="J39" s="2" t="s">
        <v>1357</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189</v>
      </c>
      <c r="C40" s="2" t="s">
        <v>194</v>
      </c>
      <c r="D40" s="2" t="s">
        <v>1358</v>
      </c>
      <c r="E40" s="2" t="s">
        <v>1224</v>
      </c>
      <c r="F40" s="2" t="s">
        <v>1248</v>
      </c>
      <c r="G40" s="2" t="s">
        <v>1359</v>
      </c>
      <c r="H40" s="2" t="s">
        <v>1360</v>
      </c>
      <c r="I40" s="2" t="s">
        <v>1203</v>
      </c>
      <c r="J40" s="2" t="s">
        <v>1361</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189</v>
      </c>
      <c r="C41" s="2" t="s">
        <v>194</v>
      </c>
      <c r="D41" s="2" t="s">
        <v>1362</v>
      </c>
      <c r="E41" s="2" t="s">
        <v>1224</v>
      </c>
      <c r="F41" s="2" t="s">
        <v>1248</v>
      </c>
      <c r="G41" s="2" t="s">
        <v>1363</v>
      </c>
      <c r="H41" s="2" t="s">
        <v>1364</v>
      </c>
      <c r="I41" s="2" t="s">
        <v>1203</v>
      </c>
      <c r="J41" s="2" t="s">
        <v>1365</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189</v>
      </c>
      <c r="C42" s="2" t="s">
        <v>194</v>
      </c>
      <c r="D42" s="2" t="s">
        <v>1366</v>
      </c>
      <c r="E42" s="2" t="s">
        <v>1224</v>
      </c>
      <c r="F42" s="2" t="s">
        <v>1248</v>
      </c>
      <c r="G42" s="2" t="s">
        <v>1367</v>
      </c>
      <c r="H42" s="2" t="s">
        <v>1368</v>
      </c>
      <c r="I42" s="2" t="s">
        <v>1203</v>
      </c>
      <c r="J42" s="2" t="s">
        <v>1369</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189</v>
      </c>
      <c r="C43" s="2" t="s">
        <v>194</v>
      </c>
      <c r="D43" s="2" t="s">
        <v>1370</v>
      </c>
      <c r="E43" s="2" t="s">
        <v>1224</v>
      </c>
      <c r="F43" s="2" t="s">
        <v>1248</v>
      </c>
      <c r="G43" s="2" t="s">
        <v>1367</v>
      </c>
      <c r="H43" s="2" t="s">
        <v>1371</v>
      </c>
      <c r="I43" s="2" t="s">
        <v>1203</v>
      </c>
      <c r="J43" s="2" t="s">
        <v>1372</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189</v>
      </c>
      <c r="C44" s="2" t="s">
        <v>194</v>
      </c>
      <c r="D44" s="2" t="s">
        <v>1373</v>
      </c>
      <c r="E44" s="2" t="s">
        <v>1224</v>
      </c>
      <c r="F44" s="2" t="s">
        <v>1248</v>
      </c>
      <c r="G44" s="2" t="s">
        <v>853</v>
      </c>
      <c r="H44" s="2" t="s">
        <v>1374</v>
      </c>
      <c r="I44" s="2" t="s">
        <v>1203</v>
      </c>
      <c r="J44" s="2" t="s">
        <v>1375</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189</v>
      </c>
      <c r="C45" s="2" t="s">
        <v>194</v>
      </c>
      <c r="D45" s="2" t="s">
        <v>1376</v>
      </c>
      <c r="E45" s="2" t="s">
        <v>1224</v>
      </c>
      <c r="F45" s="2" t="s">
        <v>1248</v>
      </c>
      <c r="G45" s="2" t="s">
        <v>853</v>
      </c>
      <c r="H45" s="2" t="s">
        <v>1377</v>
      </c>
      <c r="I45" s="2" t="s">
        <v>1203</v>
      </c>
      <c r="J45" s="2" t="s">
        <v>1378</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189</v>
      </c>
      <c r="C46" s="2" t="s">
        <v>194</v>
      </c>
      <c r="D46" s="2" t="s">
        <v>1379</v>
      </c>
      <c r="E46" s="2" t="s">
        <v>1224</v>
      </c>
      <c r="F46" s="2" t="s">
        <v>1248</v>
      </c>
      <c r="G46" s="2" t="s">
        <v>1380</v>
      </c>
      <c r="H46" s="2" t="s">
        <v>1381</v>
      </c>
      <c r="I46" s="2" t="s">
        <v>1203</v>
      </c>
      <c r="J46" s="2" t="s">
        <v>1382</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189</v>
      </c>
      <c r="C47" s="2" t="s">
        <v>194</v>
      </c>
      <c r="D47" s="2" t="s">
        <v>1383</v>
      </c>
      <c r="E47" s="2" t="s">
        <v>1224</v>
      </c>
      <c r="F47" s="2" t="s">
        <v>1248</v>
      </c>
      <c r="G47" s="2" t="s">
        <v>1380</v>
      </c>
      <c r="H47" s="2" t="s">
        <v>1384</v>
      </c>
      <c r="I47" s="2" t="s">
        <v>1203</v>
      </c>
      <c r="J47" s="2" t="s">
        <v>1385</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189</v>
      </c>
      <c r="C48" s="2" t="s">
        <v>194</v>
      </c>
      <c r="D48" s="2" t="s">
        <v>1386</v>
      </c>
      <c r="E48" s="2" t="s">
        <v>1224</v>
      </c>
      <c r="F48" s="2" t="s">
        <v>1248</v>
      </c>
      <c r="G48" s="2" t="s">
        <v>1387</v>
      </c>
      <c r="H48" s="2" t="s">
        <v>1388</v>
      </c>
      <c r="I48" s="2" t="s">
        <v>1203</v>
      </c>
      <c r="J48" s="2" t="s">
        <v>1389</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189</v>
      </c>
      <c r="C49" s="2" t="s">
        <v>194</v>
      </c>
      <c r="D49" s="2" t="s">
        <v>1390</v>
      </c>
      <c r="E49" s="2" t="s">
        <v>1224</v>
      </c>
      <c r="F49" s="2" t="s">
        <v>1248</v>
      </c>
      <c r="G49" s="2" t="s">
        <v>1391</v>
      </c>
      <c r="H49" s="2" t="s">
        <v>1392</v>
      </c>
      <c r="I49" s="2" t="s">
        <v>1203</v>
      </c>
      <c r="J49" s="2" t="s">
        <v>1393</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189</v>
      </c>
      <c r="C50" s="2" t="s">
        <v>194</v>
      </c>
      <c r="D50" s="2" t="s">
        <v>1394</v>
      </c>
      <c r="E50" s="2" t="s">
        <v>1224</v>
      </c>
      <c r="F50" s="2" t="s">
        <v>1248</v>
      </c>
      <c r="G50" s="2" t="s">
        <v>908</v>
      </c>
      <c r="H50" s="2" t="s">
        <v>1395</v>
      </c>
      <c r="I50" s="2" t="s">
        <v>1203</v>
      </c>
      <c r="J50" s="2" t="s">
        <v>1396</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189</v>
      </c>
      <c r="C51" s="2" t="s">
        <v>194</v>
      </c>
      <c r="D51" s="2" t="s">
        <v>1397</v>
      </c>
      <c r="E51" s="2" t="s">
        <v>1224</v>
      </c>
      <c r="F51" s="2" t="s">
        <v>1248</v>
      </c>
      <c r="G51" s="2" t="s">
        <v>1398</v>
      </c>
      <c r="H51" s="2" t="s">
        <v>1399</v>
      </c>
      <c r="I51" s="2" t="s">
        <v>1203</v>
      </c>
      <c r="J51" s="2" t="s">
        <v>1400</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189</v>
      </c>
      <c r="C52" s="2" t="s">
        <v>194</v>
      </c>
      <c r="D52" s="2" t="s">
        <v>1401</v>
      </c>
      <c r="E52" s="2" t="s">
        <v>1224</v>
      </c>
      <c r="F52" s="2" t="s">
        <v>1248</v>
      </c>
      <c r="G52" s="2" t="s">
        <v>1402</v>
      </c>
      <c r="H52" s="2" t="s">
        <v>1403</v>
      </c>
      <c r="I52" s="2" t="s">
        <v>1203</v>
      </c>
      <c r="J52" s="2" t="s">
        <v>1404</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189</v>
      </c>
      <c r="C53" s="2" t="s">
        <v>194</v>
      </c>
      <c r="D53" s="2" t="s">
        <v>1405</v>
      </c>
      <c r="E53" s="2" t="s">
        <v>1224</v>
      </c>
      <c r="F53" s="2" t="s">
        <v>1248</v>
      </c>
      <c r="G53" s="2" t="s">
        <v>1406</v>
      </c>
      <c r="H53" s="2" t="s">
        <v>1407</v>
      </c>
      <c r="I53" s="2" t="s">
        <v>1203</v>
      </c>
      <c r="J53" s="2" t="s">
        <v>1408</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189</v>
      </c>
      <c r="C54" s="2" t="s">
        <v>194</v>
      </c>
      <c r="D54" s="2" t="s">
        <v>1409</v>
      </c>
      <c r="E54" s="2" t="s">
        <v>1224</v>
      </c>
      <c r="F54" s="2" t="s">
        <v>1248</v>
      </c>
      <c r="G54" s="2" t="s">
        <v>1410</v>
      </c>
      <c r="H54" s="2" t="s">
        <v>1411</v>
      </c>
      <c r="I54" s="2" t="s">
        <v>1203</v>
      </c>
      <c r="J54" s="2" t="s">
        <v>1412</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189</v>
      </c>
      <c r="C55" s="2" t="s">
        <v>194</v>
      </c>
      <c r="D55" s="2" t="s">
        <v>1413</v>
      </c>
      <c r="E55" s="2" t="s">
        <v>1224</v>
      </c>
      <c r="F55" s="2" t="s">
        <v>1248</v>
      </c>
      <c r="G55" s="2" t="s">
        <v>1414</v>
      </c>
      <c r="H55" s="2" t="s">
        <v>1415</v>
      </c>
      <c r="I55" s="2" t="s">
        <v>1203</v>
      </c>
      <c r="J55" s="2" t="s">
        <v>1416</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189</v>
      </c>
      <c r="C56" s="2" t="s">
        <v>194</v>
      </c>
      <c r="D56" s="2" t="s">
        <v>1417</v>
      </c>
      <c r="E56" s="2" t="s">
        <v>1224</v>
      </c>
      <c r="F56" s="2" t="s">
        <v>1248</v>
      </c>
      <c r="G56" s="2" t="s">
        <v>1418</v>
      </c>
      <c r="H56" s="2" t="s">
        <v>1419</v>
      </c>
      <c r="I56" s="2" t="s">
        <v>1203</v>
      </c>
      <c r="J56" s="2" t="s">
        <v>1420</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189</v>
      </c>
      <c r="C57" s="2" t="s">
        <v>194</v>
      </c>
      <c r="D57" s="2" t="s">
        <v>1421</v>
      </c>
      <c r="E57" s="2" t="s">
        <v>1224</v>
      </c>
      <c r="F57" s="2" t="s">
        <v>1248</v>
      </c>
      <c r="G57" s="2" t="s">
        <v>1422</v>
      </c>
      <c r="H57" s="2" t="s">
        <v>1423</v>
      </c>
      <c r="I57" s="2" t="s">
        <v>1203</v>
      </c>
      <c r="J57" s="2" t="s">
        <v>1424</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189</v>
      </c>
      <c r="C58" s="2" t="s">
        <v>194</v>
      </c>
      <c r="D58" s="2" t="s">
        <v>1425</v>
      </c>
      <c r="E58" s="2" t="s">
        <v>1224</v>
      </c>
      <c r="F58" s="2" t="s">
        <v>1248</v>
      </c>
      <c r="G58" s="2" t="s">
        <v>1426</v>
      </c>
      <c r="H58" s="2" t="s">
        <v>1427</v>
      </c>
      <c r="I58" s="2" t="s">
        <v>1203</v>
      </c>
      <c r="J58" s="2" t="s">
        <v>1428</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198</v>
      </c>
      <c r="C59" s="2" t="s">
        <v>205</v>
      </c>
      <c r="D59" s="2" t="s">
        <v>1429</v>
      </c>
      <c r="E59" s="2" t="s">
        <v>1199</v>
      </c>
      <c r="F59" s="2" t="s">
        <v>1430</v>
      </c>
      <c r="G59" s="2" t="s">
        <v>1431</v>
      </c>
      <c r="H59" s="2" t="s">
        <v>1432</v>
      </c>
      <c r="I59" s="2" t="s">
        <v>1203</v>
      </c>
      <c r="J59" s="2" t="s">
        <v>1433</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1205</v>
      </c>
    </row>
    <row r="60" customFormat="false" ht="15" hidden="false" customHeight="false" outlineLevel="0" collapsed="false">
      <c r="A60" s="2" t="n">
        <v>11</v>
      </c>
      <c r="B60" s="2" t="s">
        <v>198</v>
      </c>
      <c r="C60" s="2" t="s">
        <v>205</v>
      </c>
      <c r="D60" s="2" t="s">
        <v>1434</v>
      </c>
      <c r="E60" s="2" t="s">
        <v>1207</v>
      </c>
      <c r="F60" s="2" t="s">
        <v>1208</v>
      </c>
      <c r="G60" s="2" t="s">
        <v>1435</v>
      </c>
      <c r="H60" s="2" t="s">
        <v>1436</v>
      </c>
      <c r="I60" s="2" t="s">
        <v>1203</v>
      </c>
      <c r="J60" s="2" t="s">
        <v>1437</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198</v>
      </c>
      <c r="C61" s="2" t="s">
        <v>205</v>
      </c>
      <c r="D61" s="2" t="s">
        <v>1438</v>
      </c>
      <c r="E61" s="2" t="s">
        <v>1199</v>
      </c>
      <c r="F61" s="2" t="s">
        <v>1430</v>
      </c>
      <c r="G61" s="2" t="s">
        <v>1439</v>
      </c>
      <c r="H61" s="2" t="s">
        <v>1440</v>
      </c>
      <c r="I61" s="2" t="s">
        <v>1203</v>
      </c>
      <c r="J61" s="2" t="s">
        <v>1441</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1205</v>
      </c>
    </row>
    <row r="62" customFormat="false" ht="15" hidden="false" customHeight="false" outlineLevel="0" collapsed="false">
      <c r="A62" s="2" t="n">
        <v>11</v>
      </c>
      <c r="B62" s="2" t="s">
        <v>198</v>
      </c>
      <c r="C62" s="2" t="s">
        <v>205</v>
      </c>
      <c r="D62" s="2" t="s">
        <v>1442</v>
      </c>
      <c r="E62" s="2" t="s">
        <v>1207</v>
      </c>
      <c r="F62" s="2" t="s">
        <v>1208</v>
      </c>
      <c r="G62" s="2" t="s">
        <v>1443</v>
      </c>
      <c r="H62" s="2" t="s">
        <v>1444</v>
      </c>
      <c r="I62" s="2" t="s">
        <v>1203</v>
      </c>
      <c r="J62" s="2" t="s">
        <v>1445</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198</v>
      </c>
      <c r="C63" s="2" t="s">
        <v>205</v>
      </c>
      <c r="D63" s="2" t="s">
        <v>1446</v>
      </c>
      <c r="E63" s="2" t="s">
        <v>1224</v>
      </c>
      <c r="F63" s="2" t="s">
        <v>1225</v>
      </c>
      <c r="G63" s="2" t="s">
        <v>1447</v>
      </c>
      <c r="H63" s="2" t="s">
        <v>1448</v>
      </c>
      <c r="I63" s="2" t="s">
        <v>1203</v>
      </c>
      <c r="J63" s="2" t="s">
        <v>1449</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198</v>
      </c>
      <c r="C64" s="2" t="s">
        <v>205</v>
      </c>
      <c r="D64" s="2" t="s">
        <v>1450</v>
      </c>
      <c r="E64" s="2" t="s">
        <v>1199</v>
      </c>
      <c r="F64" s="2" t="s">
        <v>1239</v>
      </c>
      <c r="G64" s="2" t="s">
        <v>1451</v>
      </c>
      <c r="H64" s="2" t="s">
        <v>1452</v>
      </c>
      <c r="I64" s="2" t="s">
        <v>1203</v>
      </c>
      <c r="J64" s="2" t="s">
        <v>1453</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1205</v>
      </c>
    </row>
    <row r="65" customFormat="false" ht="15" hidden="false" customHeight="false" outlineLevel="0" collapsed="false">
      <c r="A65" s="2" t="n">
        <v>11</v>
      </c>
      <c r="B65" s="2" t="s">
        <v>198</v>
      </c>
      <c r="C65" s="2" t="s">
        <v>205</v>
      </c>
      <c r="D65" s="2" t="s">
        <v>1454</v>
      </c>
      <c r="E65" s="2" t="s">
        <v>1224</v>
      </c>
      <c r="F65" s="2" t="s">
        <v>1225</v>
      </c>
      <c r="G65" s="2" t="s">
        <v>1455</v>
      </c>
      <c r="H65" s="2" t="s">
        <v>1456</v>
      </c>
      <c r="I65" s="2" t="s">
        <v>1203</v>
      </c>
      <c r="J65" s="2" t="s">
        <v>1457</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198</v>
      </c>
      <c r="C66" s="2" t="s">
        <v>205</v>
      </c>
      <c r="D66" s="2" t="s">
        <v>1458</v>
      </c>
      <c r="E66" s="2" t="s">
        <v>1224</v>
      </c>
      <c r="F66" s="2" t="s">
        <v>1225</v>
      </c>
      <c r="G66" s="2" t="s">
        <v>1459</v>
      </c>
      <c r="H66" s="2" t="s">
        <v>1460</v>
      </c>
      <c r="I66" s="2" t="s">
        <v>1203</v>
      </c>
      <c r="J66" s="2" t="s">
        <v>1461</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211</v>
      </c>
      <c r="C67" s="2" t="s">
        <v>217</v>
      </c>
      <c r="D67" s="2" t="s">
        <v>1462</v>
      </c>
      <c r="E67" s="2" t="s">
        <v>1199</v>
      </c>
      <c r="F67" s="2" t="s">
        <v>1430</v>
      </c>
      <c r="G67" s="2" t="s">
        <v>1463</v>
      </c>
      <c r="H67" s="2" t="s">
        <v>1464</v>
      </c>
      <c r="I67" s="2" t="s">
        <v>1203</v>
      </c>
      <c r="J67" s="2" t="s">
        <v>1465</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1205</v>
      </c>
    </row>
    <row r="68" customFormat="false" ht="15" hidden="false" customHeight="false" outlineLevel="0" collapsed="false">
      <c r="A68" s="2" t="n">
        <v>13</v>
      </c>
      <c r="B68" s="2" t="s">
        <v>221</v>
      </c>
      <c r="C68" s="2" t="s">
        <v>227</v>
      </c>
      <c r="D68" s="2" t="s">
        <v>1466</v>
      </c>
      <c r="E68" s="2" t="s">
        <v>1199</v>
      </c>
      <c r="F68" s="2" t="s">
        <v>1430</v>
      </c>
      <c r="G68" s="2" t="s">
        <v>1467</v>
      </c>
      <c r="H68" s="2" t="s">
        <v>1468</v>
      </c>
      <c r="I68" s="2" t="s">
        <v>1203</v>
      </c>
      <c r="J68" s="2" t="s">
        <v>1469</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1205</v>
      </c>
    </row>
    <row r="69" customFormat="false" ht="15" hidden="false" customHeight="false" outlineLevel="0" collapsed="false">
      <c r="A69" s="2" t="n">
        <v>13</v>
      </c>
      <c r="B69" s="2" t="s">
        <v>221</v>
      </c>
      <c r="C69" s="2" t="s">
        <v>227</v>
      </c>
      <c r="D69" s="2" t="s">
        <v>1470</v>
      </c>
      <c r="E69" s="2" t="s">
        <v>1199</v>
      </c>
      <c r="F69" s="2" t="s">
        <v>1239</v>
      </c>
      <c r="G69" s="2" t="s">
        <v>1240</v>
      </c>
      <c r="H69" s="2" t="s">
        <v>1471</v>
      </c>
      <c r="I69" s="2" t="s">
        <v>1203</v>
      </c>
      <c r="J69" s="2" t="s">
        <v>1472</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1205</v>
      </c>
    </row>
    <row r="70" customFormat="false" ht="15" hidden="false" customHeight="false" outlineLevel="0" collapsed="false">
      <c r="A70" s="2" t="n">
        <v>14</v>
      </c>
      <c r="B70" s="2" t="s">
        <v>234</v>
      </c>
      <c r="C70" s="2" t="s">
        <v>241</v>
      </c>
      <c r="D70" s="2" t="s">
        <v>1473</v>
      </c>
      <c r="E70" s="2" t="s">
        <v>1224</v>
      </c>
      <c r="F70" s="2" t="s">
        <v>1248</v>
      </c>
      <c r="G70" s="2" t="s">
        <v>1474</v>
      </c>
      <c r="H70" s="2" t="s">
        <v>1475</v>
      </c>
      <c r="I70" s="2" t="s">
        <v>1476</v>
      </c>
      <c r="J70" s="2" t="s">
        <v>1477</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234</v>
      </c>
      <c r="C71" s="2" t="s">
        <v>241</v>
      </c>
      <c r="D71" s="2" t="s">
        <v>1478</v>
      </c>
      <c r="E71" s="2" t="s">
        <v>1224</v>
      </c>
      <c r="F71" s="2" t="s">
        <v>1248</v>
      </c>
      <c r="G71" s="2" t="s">
        <v>1474</v>
      </c>
      <c r="H71" s="2" t="s">
        <v>1479</v>
      </c>
      <c r="I71" s="2" t="s">
        <v>1476</v>
      </c>
      <c r="J71" s="2" t="s">
        <v>1480</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234</v>
      </c>
      <c r="C72" s="2" t="s">
        <v>241</v>
      </c>
      <c r="D72" s="2" t="s">
        <v>1481</v>
      </c>
      <c r="E72" s="2" t="s">
        <v>1224</v>
      </c>
      <c r="F72" s="2" t="s">
        <v>1248</v>
      </c>
      <c r="G72" s="2" t="s">
        <v>1474</v>
      </c>
      <c r="H72" s="2" t="s">
        <v>1482</v>
      </c>
      <c r="I72" s="2" t="s">
        <v>1476</v>
      </c>
      <c r="J72" s="2" t="s">
        <v>1483</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234</v>
      </c>
      <c r="C73" s="2" t="s">
        <v>241</v>
      </c>
      <c r="D73" s="2" t="s">
        <v>1484</v>
      </c>
      <c r="E73" s="2" t="s">
        <v>1224</v>
      </c>
      <c r="F73" s="2" t="s">
        <v>1248</v>
      </c>
      <c r="G73" s="2" t="s">
        <v>1485</v>
      </c>
      <c r="H73" s="2" t="s">
        <v>1486</v>
      </c>
      <c r="I73" s="2" t="s">
        <v>1476</v>
      </c>
      <c r="J73" s="2" t="s">
        <v>1487</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234</v>
      </c>
      <c r="C74" s="2" t="s">
        <v>241</v>
      </c>
      <c r="D74" s="2" t="s">
        <v>1488</v>
      </c>
      <c r="E74" s="2" t="s">
        <v>1224</v>
      </c>
      <c r="F74" s="2" t="s">
        <v>1248</v>
      </c>
      <c r="G74" s="2" t="s">
        <v>1489</v>
      </c>
      <c r="H74" s="2" t="s">
        <v>1490</v>
      </c>
      <c r="I74" s="2" t="s">
        <v>1476</v>
      </c>
      <c r="J74" s="2" t="s">
        <v>1491</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234</v>
      </c>
      <c r="C75" s="2" t="s">
        <v>241</v>
      </c>
      <c r="D75" s="2" t="s">
        <v>1492</v>
      </c>
      <c r="E75" s="2" t="s">
        <v>1224</v>
      </c>
      <c r="F75" s="2" t="s">
        <v>1248</v>
      </c>
      <c r="G75" s="2" t="s">
        <v>1493</v>
      </c>
      <c r="H75" s="2" t="s">
        <v>1494</v>
      </c>
      <c r="I75" s="2" t="s">
        <v>1476</v>
      </c>
      <c r="J75" s="2" t="s">
        <v>1495</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234</v>
      </c>
      <c r="C76" s="2" t="s">
        <v>241</v>
      </c>
      <c r="D76" s="2" t="s">
        <v>1496</v>
      </c>
      <c r="E76" s="2" t="s">
        <v>1224</v>
      </c>
      <c r="F76" s="2" t="s">
        <v>1248</v>
      </c>
      <c r="G76" s="2" t="s">
        <v>1497</v>
      </c>
      <c r="H76" s="2" t="s">
        <v>1498</v>
      </c>
      <c r="I76" s="2" t="s">
        <v>1476</v>
      </c>
      <c r="J76" s="2" t="s">
        <v>1499</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234</v>
      </c>
      <c r="C77" s="2" t="s">
        <v>241</v>
      </c>
      <c r="D77" s="2" t="s">
        <v>1500</v>
      </c>
      <c r="E77" s="2" t="s">
        <v>1224</v>
      </c>
      <c r="F77" s="2" t="s">
        <v>1248</v>
      </c>
      <c r="G77" s="2" t="s">
        <v>1501</v>
      </c>
      <c r="H77" s="2" t="s">
        <v>1502</v>
      </c>
      <c r="I77" s="2" t="s">
        <v>1476</v>
      </c>
      <c r="J77" s="2" t="s">
        <v>1503</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234</v>
      </c>
      <c r="C78" s="2" t="s">
        <v>241</v>
      </c>
      <c r="D78" s="2" t="s">
        <v>1504</v>
      </c>
      <c r="E78" s="2" t="s">
        <v>1224</v>
      </c>
      <c r="F78" s="2" t="s">
        <v>1248</v>
      </c>
      <c r="G78" s="2" t="s">
        <v>1501</v>
      </c>
      <c r="H78" s="2" t="s">
        <v>1505</v>
      </c>
      <c r="I78" s="2" t="s">
        <v>1476</v>
      </c>
      <c r="J78" s="2" t="s">
        <v>1506</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234</v>
      </c>
      <c r="C79" s="2" t="s">
        <v>241</v>
      </c>
      <c r="D79" s="2" t="s">
        <v>1507</v>
      </c>
      <c r="E79" s="2" t="s">
        <v>1224</v>
      </c>
      <c r="F79" s="2" t="s">
        <v>1248</v>
      </c>
      <c r="G79" s="2" t="s">
        <v>1501</v>
      </c>
      <c r="H79" s="2" t="s">
        <v>1508</v>
      </c>
      <c r="I79" s="2" t="s">
        <v>1476</v>
      </c>
      <c r="J79" s="2" t="s">
        <v>1509</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234</v>
      </c>
      <c r="C80" s="2" t="s">
        <v>241</v>
      </c>
      <c r="D80" s="2" t="s">
        <v>1510</v>
      </c>
      <c r="E80" s="2" t="s">
        <v>1224</v>
      </c>
      <c r="F80" s="2" t="s">
        <v>1248</v>
      </c>
      <c r="G80" s="2" t="s">
        <v>1501</v>
      </c>
      <c r="H80" s="2" t="s">
        <v>1511</v>
      </c>
      <c r="I80" s="2" t="s">
        <v>1476</v>
      </c>
      <c r="J80" s="2" t="s">
        <v>1512</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234</v>
      </c>
      <c r="C81" s="2" t="s">
        <v>241</v>
      </c>
      <c r="D81" s="2" t="s">
        <v>1513</v>
      </c>
      <c r="E81" s="2" t="s">
        <v>1224</v>
      </c>
      <c r="F81" s="2" t="s">
        <v>1248</v>
      </c>
      <c r="G81" s="2" t="s">
        <v>1501</v>
      </c>
      <c r="H81" s="2" t="s">
        <v>1514</v>
      </c>
      <c r="I81" s="2" t="s">
        <v>1476</v>
      </c>
      <c r="J81" s="2" t="s">
        <v>1515</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234</v>
      </c>
      <c r="C82" s="2" t="s">
        <v>241</v>
      </c>
      <c r="D82" s="2" t="s">
        <v>1516</v>
      </c>
      <c r="E82" s="2" t="s">
        <v>1224</v>
      </c>
      <c r="F82" s="2" t="s">
        <v>1248</v>
      </c>
      <c r="G82" s="2" t="s">
        <v>1501</v>
      </c>
      <c r="H82" s="2" t="s">
        <v>1517</v>
      </c>
      <c r="I82" s="2" t="s">
        <v>1476</v>
      </c>
      <c r="J82" s="2" t="s">
        <v>1518</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234</v>
      </c>
      <c r="C83" s="2" t="s">
        <v>241</v>
      </c>
      <c r="D83" s="2" t="s">
        <v>1519</v>
      </c>
      <c r="E83" s="2" t="s">
        <v>1224</v>
      </c>
      <c r="F83" s="2" t="s">
        <v>1248</v>
      </c>
      <c r="G83" s="2" t="s">
        <v>1520</v>
      </c>
      <c r="H83" s="2" t="s">
        <v>1521</v>
      </c>
      <c r="I83" s="2" t="s">
        <v>1476</v>
      </c>
      <c r="J83" s="2" t="s">
        <v>1522</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234</v>
      </c>
      <c r="C84" s="2" t="s">
        <v>241</v>
      </c>
      <c r="D84" s="2" t="s">
        <v>1523</v>
      </c>
      <c r="E84" s="2" t="s">
        <v>1224</v>
      </c>
      <c r="F84" s="2" t="s">
        <v>1248</v>
      </c>
      <c r="G84" s="2" t="s">
        <v>1524</v>
      </c>
      <c r="H84" s="2" t="s">
        <v>1525</v>
      </c>
      <c r="I84" s="2" t="s">
        <v>1476</v>
      </c>
      <c r="J84" s="2" t="s">
        <v>1526</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234</v>
      </c>
      <c r="C85" s="2" t="s">
        <v>241</v>
      </c>
      <c r="D85" s="2" t="s">
        <v>1527</v>
      </c>
      <c r="E85" s="2" t="s">
        <v>1224</v>
      </c>
      <c r="F85" s="2" t="s">
        <v>1248</v>
      </c>
      <c r="G85" s="2" t="s">
        <v>1528</v>
      </c>
      <c r="H85" s="2" t="s">
        <v>1529</v>
      </c>
      <c r="I85" s="2" t="s">
        <v>1476</v>
      </c>
      <c r="J85" s="2" t="s">
        <v>1530</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234</v>
      </c>
      <c r="C86" s="2" t="s">
        <v>241</v>
      </c>
      <c r="D86" s="2" t="s">
        <v>1531</v>
      </c>
      <c r="E86" s="2" t="s">
        <v>1224</v>
      </c>
      <c r="F86" s="2" t="s">
        <v>1248</v>
      </c>
      <c r="G86" s="2" t="s">
        <v>1532</v>
      </c>
      <c r="H86" s="2" t="s">
        <v>1533</v>
      </c>
      <c r="I86" s="2" t="s">
        <v>1476</v>
      </c>
      <c r="J86" s="2" t="s">
        <v>1534</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234</v>
      </c>
      <c r="C87" s="2" t="s">
        <v>241</v>
      </c>
      <c r="D87" s="2" t="s">
        <v>1535</v>
      </c>
      <c r="E87" s="2" t="s">
        <v>1224</v>
      </c>
      <c r="F87" s="2" t="s">
        <v>1225</v>
      </c>
      <c r="G87" s="2" t="s">
        <v>1536</v>
      </c>
      <c r="H87" s="2" t="s">
        <v>1537</v>
      </c>
      <c r="I87" s="2" t="s">
        <v>1203</v>
      </c>
      <c r="J87" s="2" t="s">
        <v>1538</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234</v>
      </c>
      <c r="C88" s="2" t="s">
        <v>241</v>
      </c>
      <c r="D88" s="2" t="s">
        <v>1539</v>
      </c>
      <c r="E88" s="2" t="s">
        <v>1224</v>
      </c>
      <c r="F88" s="2" t="s">
        <v>1248</v>
      </c>
      <c r="G88" s="2" t="s">
        <v>1540</v>
      </c>
      <c r="H88" s="2" t="s">
        <v>1541</v>
      </c>
      <c r="I88" s="2" t="s">
        <v>1476</v>
      </c>
      <c r="J88" s="2" t="s">
        <v>1542</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234</v>
      </c>
      <c r="C89" s="2" t="s">
        <v>241</v>
      </c>
      <c r="D89" s="2" t="s">
        <v>1543</v>
      </c>
      <c r="E89" s="2" t="s">
        <v>1224</v>
      </c>
      <c r="F89" s="2" t="s">
        <v>1248</v>
      </c>
      <c r="G89" s="2" t="s">
        <v>1544</v>
      </c>
      <c r="H89" s="2" t="s">
        <v>1545</v>
      </c>
      <c r="I89" s="2" t="s">
        <v>1476</v>
      </c>
      <c r="J89" s="2" t="s">
        <v>1546</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234</v>
      </c>
      <c r="C90" s="2" t="s">
        <v>241</v>
      </c>
      <c r="D90" s="2" t="s">
        <v>1547</v>
      </c>
      <c r="E90" s="2" t="s">
        <v>1224</v>
      </c>
      <c r="F90" s="2" t="s">
        <v>1248</v>
      </c>
      <c r="G90" s="2" t="s">
        <v>1548</v>
      </c>
      <c r="H90" s="2" t="s">
        <v>1549</v>
      </c>
      <c r="I90" s="2" t="s">
        <v>1476</v>
      </c>
      <c r="J90" s="2" t="s">
        <v>1550</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234</v>
      </c>
      <c r="C91" s="2" t="s">
        <v>241</v>
      </c>
      <c r="D91" s="2" t="s">
        <v>1551</v>
      </c>
      <c r="E91" s="2" t="s">
        <v>1224</v>
      </c>
      <c r="F91" s="2" t="s">
        <v>1248</v>
      </c>
      <c r="G91" s="2" t="s">
        <v>1552</v>
      </c>
      <c r="H91" s="2" t="s">
        <v>1553</v>
      </c>
      <c r="I91" s="2" t="s">
        <v>1476</v>
      </c>
      <c r="J91" s="2" t="s">
        <v>1554</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234</v>
      </c>
      <c r="C92" s="2" t="s">
        <v>241</v>
      </c>
      <c r="D92" s="2" t="s">
        <v>1555</v>
      </c>
      <c r="E92" s="2" t="s">
        <v>1224</v>
      </c>
      <c r="F92" s="2" t="s">
        <v>1248</v>
      </c>
      <c r="G92" s="2" t="s">
        <v>1556</v>
      </c>
      <c r="H92" s="2" t="s">
        <v>1557</v>
      </c>
      <c r="I92" s="2" t="s">
        <v>1476</v>
      </c>
      <c r="J92" s="2" t="s">
        <v>1558</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234</v>
      </c>
      <c r="C93" s="2" t="s">
        <v>241</v>
      </c>
      <c r="D93" s="2" t="s">
        <v>1559</v>
      </c>
      <c r="E93" s="2" t="s">
        <v>1224</v>
      </c>
      <c r="F93" s="2" t="s">
        <v>1248</v>
      </c>
      <c r="G93" s="2" t="s">
        <v>1560</v>
      </c>
      <c r="H93" s="2" t="s">
        <v>1561</v>
      </c>
      <c r="I93" s="2" t="s">
        <v>1476</v>
      </c>
      <c r="J93" s="2" t="s">
        <v>1562</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234</v>
      </c>
      <c r="C94" s="2" t="s">
        <v>241</v>
      </c>
      <c r="D94" s="2" t="s">
        <v>1563</v>
      </c>
      <c r="E94" s="2" t="s">
        <v>1224</v>
      </c>
      <c r="F94" s="2" t="s">
        <v>1248</v>
      </c>
      <c r="G94" s="2" t="s">
        <v>1564</v>
      </c>
      <c r="H94" s="2" t="s">
        <v>1565</v>
      </c>
      <c r="I94" s="2" t="s">
        <v>1476</v>
      </c>
      <c r="J94" s="2" t="s">
        <v>1566</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234</v>
      </c>
      <c r="C95" s="2" t="s">
        <v>241</v>
      </c>
      <c r="D95" s="2" t="s">
        <v>1567</v>
      </c>
      <c r="E95" s="2" t="s">
        <v>1207</v>
      </c>
      <c r="F95" s="2" t="s">
        <v>1208</v>
      </c>
      <c r="G95" s="2" t="s">
        <v>1568</v>
      </c>
      <c r="H95" s="2" t="s">
        <v>1569</v>
      </c>
      <c r="I95" s="2" t="s">
        <v>1203</v>
      </c>
      <c r="J95" s="2" t="s">
        <v>1570</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234</v>
      </c>
      <c r="C96" s="2" t="s">
        <v>241</v>
      </c>
      <c r="D96" s="2" t="s">
        <v>1571</v>
      </c>
      <c r="E96" s="2" t="s">
        <v>1224</v>
      </c>
      <c r="F96" s="2" t="s">
        <v>1248</v>
      </c>
      <c r="G96" s="2" t="s">
        <v>1572</v>
      </c>
      <c r="H96" s="2" t="s">
        <v>1573</v>
      </c>
      <c r="I96" s="2" t="s">
        <v>1476</v>
      </c>
      <c r="J96" s="2" t="s">
        <v>1574</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234</v>
      </c>
      <c r="C97" s="2" t="s">
        <v>241</v>
      </c>
      <c r="D97" s="2" t="s">
        <v>1575</v>
      </c>
      <c r="E97" s="2" t="s">
        <v>1224</v>
      </c>
      <c r="F97" s="2" t="s">
        <v>1248</v>
      </c>
      <c r="G97" s="2" t="s">
        <v>1572</v>
      </c>
      <c r="H97" s="2" t="s">
        <v>1576</v>
      </c>
      <c r="I97" s="2" t="s">
        <v>1476</v>
      </c>
      <c r="J97" s="2" t="s">
        <v>1577</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234</v>
      </c>
      <c r="C98" s="2" t="s">
        <v>241</v>
      </c>
      <c r="D98" s="2" t="s">
        <v>1578</v>
      </c>
      <c r="E98" s="2" t="s">
        <v>1224</v>
      </c>
      <c r="F98" s="2" t="s">
        <v>1248</v>
      </c>
      <c r="G98" s="2" t="s">
        <v>1120</v>
      </c>
      <c r="H98" s="2" t="s">
        <v>1579</v>
      </c>
      <c r="I98" s="2" t="s">
        <v>1476</v>
      </c>
      <c r="J98" s="2" t="s">
        <v>1580</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234</v>
      </c>
      <c r="C99" s="2" t="s">
        <v>241</v>
      </c>
      <c r="D99" s="2" t="s">
        <v>1581</v>
      </c>
      <c r="E99" s="2" t="s">
        <v>1224</v>
      </c>
      <c r="F99" s="2" t="s">
        <v>1248</v>
      </c>
      <c r="G99" s="2" t="s">
        <v>1582</v>
      </c>
      <c r="H99" s="2" t="s">
        <v>1583</v>
      </c>
      <c r="I99" s="2" t="s">
        <v>1476</v>
      </c>
      <c r="J99" s="2" t="s">
        <v>1584</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234</v>
      </c>
      <c r="C100" s="2" t="s">
        <v>241</v>
      </c>
      <c r="D100" s="2" t="s">
        <v>1585</v>
      </c>
      <c r="E100" s="2" t="s">
        <v>1224</v>
      </c>
      <c r="F100" s="2" t="s">
        <v>1248</v>
      </c>
      <c r="G100" s="2" t="s">
        <v>1586</v>
      </c>
      <c r="H100" s="2" t="s">
        <v>1587</v>
      </c>
      <c r="I100" s="2" t="s">
        <v>1476</v>
      </c>
      <c r="J100" s="2" t="s">
        <v>1588</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234</v>
      </c>
      <c r="C101" s="2" t="s">
        <v>241</v>
      </c>
      <c r="D101" s="2" t="s">
        <v>1589</v>
      </c>
      <c r="E101" s="2" t="s">
        <v>1224</v>
      </c>
      <c r="F101" s="2" t="s">
        <v>1248</v>
      </c>
      <c r="G101" s="2" t="s">
        <v>1586</v>
      </c>
      <c r="H101" s="2" t="s">
        <v>1590</v>
      </c>
      <c r="I101" s="2" t="s">
        <v>1476</v>
      </c>
      <c r="J101" s="2" t="s">
        <v>1591</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234</v>
      </c>
      <c r="C102" s="2" t="s">
        <v>241</v>
      </c>
      <c r="D102" s="2" t="s">
        <v>1592</v>
      </c>
      <c r="E102" s="2" t="s">
        <v>1224</v>
      </c>
      <c r="F102" s="2" t="s">
        <v>1248</v>
      </c>
      <c r="G102" s="2" t="s">
        <v>1586</v>
      </c>
      <c r="H102" s="2" t="s">
        <v>1593</v>
      </c>
      <c r="I102" s="2" t="s">
        <v>1476</v>
      </c>
      <c r="J102" s="2" t="s">
        <v>1594</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234</v>
      </c>
      <c r="C103" s="2" t="s">
        <v>241</v>
      </c>
      <c r="D103" s="2" t="s">
        <v>1595</v>
      </c>
      <c r="E103" s="2" t="s">
        <v>1224</v>
      </c>
      <c r="F103" s="2" t="s">
        <v>1248</v>
      </c>
      <c r="G103" s="2" t="s">
        <v>1586</v>
      </c>
      <c r="H103" s="2" t="s">
        <v>1596</v>
      </c>
      <c r="I103" s="2" t="s">
        <v>1476</v>
      </c>
      <c r="J103" s="2" t="s">
        <v>1597</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234</v>
      </c>
      <c r="C104" s="2" t="s">
        <v>241</v>
      </c>
      <c r="D104" s="2" t="s">
        <v>1598</v>
      </c>
      <c r="E104" s="2" t="s">
        <v>1224</v>
      </c>
      <c r="F104" s="2" t="s">
        <v>1248</v>
      </c>
      <c r="G104" s="2" t="s">
        <v>1599</v>
      </c>
      <c r="H104" s="2" t="s">
        <v>1600</v>
      </c>
      <c r="I104" s="2" t="s">
        <v>1476</v>
      </c>
      <c r="J104" s="2" t="s">
        <v>1601</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234</v>
      </c>
      <c r="C105" s="2" t="s">
        <v>241</v>
      </c>
      <c r="D105" s="2" t="s">
        <v>1602</v>
      </c>
      <c r="E105" s="2" t="s">
        <v>1224</v>
      </c>
      <c r="F105" s="2" t="s">
        <v>1248</v>
      </c>
      <c r="G105" s="2" t="s">
        <v>1603</v>
      </c>
      <c r="H105" s="2" t="s">
        <v>1604</v>
      </c>
      <c r="I105" s="2" t="s">
        <v>1476</v>
      </c>
      <c r="J105" s="2" t="s">
        <v>1605</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234</v>
      </c>
      <c r="C106" s="2" t="s">
        <v>241</v>
      </c>
      <c r="D106" s="2" t="s">
        <v>1606</v>
      </c>
      <c r="E106" s="2" t="s">
        <v>1224</v>
      </c>
      <c r="F106" s="2" t="s">
        <v>1248</v>
      </c>
      <c r="G106" s="2" t="s">
        <v>1607</v>
      </c>
      <c r="H106" s="2" t="s">
        <v>1608</v>
      </c>
      <c r="I106" s="2" t="s">
        <v>1476</v>
      </c>
      <c r="J106" s="2" t="s">
        <v>1609</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234</v>
      </c>
      <c r="C107" s="2" t="s">
        <v>241</v>
      </c>
      <c r="D107" s="2" t="s">
        <v>1610</v>
      </c>
      <c r="E107" s="2" t="s">
        <v>1224</v>
      </c>
      <c r="F107" s="2" t="s">
        <v>1225</v>
      </c>
      <c r="G107" s="2" t="s">
        <v>1611</v>
      </c>
      <c r="H107" s="2" t="s">
        <v>1612</v>
      </c>
      <c r="I107" s="2" t="s">
        <v>1203</v>
      </c>
      <c r="J107" s="2" t="s">
        <v>1613</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234</v>
      </c>
      <c r="C108" s="2" t="s">
        <v>241</v>
      </c>
      <c r="D108" s="2" t="s">
        <v>1614</v>
      </c>
      <c r="E108" s="2" t="s">
        <v>1224</v>
      </c>
      <c r="F108" s="2" t="s">
        <v>1248</v>
      </c>
      <c r="G108" s="2" t="s">
        <v>1615</v>
      </c>
      <c r="H108" s="2" t="s">
        <v>1616</v>
      </c>
      <c r="I108" s="2" t="s">
        <v>1476</v>
      </c>
      <c r="J108" s="2" t="s">
        <v>1617</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234</v>
      </c>
      <c r="C109" s="2" t="s">
        <v>241</v>
      </c>
      <c r="D109" s="2" t="s">
        <v>1618</v>
      </c>
      <c r="E109" s="2" t="s">
        <v>1224</v>
      </c>
      <c r="F109" s="2" t="s">
        <v>1248</v>
      </c>
      <c r="G109" s="2" t="s">
        <v>1615</v>
      </c>
      <c r="H109" s="2" t="s">
        <v>1619</v>
      </c>
      <c r="I109" s="2" t="s">
        <v>1476</v>
      </c>
      <c r="J109" s="2" t="s">
        <v>1620</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234</v>
      </c>
      <c r="C110" s="2" t="s">
        <v>241</v>
      </c>
      <c r="D110" s="2" t="s">
        <v>1621</v>
      </c>
      <c r="E110" s="2" t="s">
        <v>1224</v>
      </c>
      <c r="F110" s="2" t="s">
        <v>1248</v>
      </c>
      <c r="G110" s="2" t="s">
        <v>1615</v>
      </c>
      <c r="H110" s="2" t="s">
        <v>1622</v>
      </c>
      <c r="I110" s="2" t="s">
        <v>1476</v>
      </c>
      <c r="J110" s="2" t="s">
        <v>1623</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234</v>
      </c>
      <c r="C111" s="2" t="s">
        <v>241</v>
      </c>
      <c r="D111" s="2" t="s">
        <v>1624</v>
      </c>
      <c r="E111" s="2" t="s">
        <v>1224</v>
      </c>
      <c r="F111" s="2" t="s">
        <v>1248</v>
      </c>
      <c r="G111" s="2" t="s">
        <v>1615</v>
      </c>
      <c r="H111" s="2" t="s">
        <v>1625</v>
      </c>
      <c r="I111" s="2" t="s">
        <v>1476</v>
      </c>
      <c r="J111" s="2" t="s">
        <v>1626</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234</v>
      </c>
      <c r="C112" s="2" t="s">
        <v>241</v>
      </c>
      <c r="D112" s="2" t="s">
        <v>1627</v>
      </c>
      <c r="E112" s="2" t="s">
        <v>1224</v>
      </c>
      <c r="F112" s="2" t="s">
        <v>1248</v>
      </c>
      <c r="G112" s="2" t="s">
        <v>1615</v>
      </c>
      <c r="H112" s="2" t="s">
        <v>1628</v>
      </c>
      <c r="I112" s="2" t="s">
        <v>1476</v>
      </c>
      <c r="J112" s="2" t="s">
        <v>1629</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234</v>
      </c>
      <c r="C113" s="2" t="s">
        <v>241</v>
      </c>
      <c r="D113" s="2" t="s">
        <v>1630</v>
      </c>
      <c r="E113" s="2" t="s">
        <v>1224</v>
      </c>
      <c r="F113" s="2" t="s">
        <v>1248</v>
      </c>
      <c r="G113" s="2" t="s">
        <v>1615</v>
      </c>
      <c r="H113" s="2" t="s">
        <v>1631</v>
      </c>
      <c r="I113" s="2" t="s">
        <v>1476</v>
      </c>
      <c r="J113" s="2" t="s">
        <v>1632</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234</v>
      </c>
      <c r="C114" s="2" t="s">
        <v>241</v>
      </c>
      <c r="D114" s="2" t="s">
        <v>1633</v>
      </c>
      <c r="E114" s="2" t="s">
        <v>1224</v>
      </c>
      <c r="F114" s="2" t="s">
        <v>1248</v>
      </c>
      <c r="G114" s="2" t="s">
        <v>1269</v>
      </c>
      <c r="H114" s="2" t="s">
        <v>1634</v>
      </c>
      <c r="I114" s="2" t="s">
        <v>1476</v>
      </c>
      <c r="J114" s="2" t="s">
        <v>1635</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234</v>
      </c>
      <c r="C115" s="2" t="s">
        <v>241</v>
      </c>
      <c r="D115" s="2" t="s">
        <v>1636</v>
      </c>
      <c r="E115" s="2" t="s">
        <v>1224</v>
      </c>
      <c r="F115" s="2" t="s">
        <v>1248</v>
      </c>
      <c r="G115" s="2" t="s">
        <v>1637</v>
      </c>
      <c r="H115" s="2" t="s">
        <v>1638</v>
      </c>
      <c r="I115" s="2" t="s">
        <v>1476</v>
      </c>
      <c r="J115" s="2" t="s">
        <v>1639</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234</v>
      </c>
      <c r="C116" s="2" t="s">
        <v>241</v>
      </c>
      <c r="D116" s="2" t="s">
        <v>1640</v>
      </c>
      <c r="E116" s="2" t="s">
        <v>1224</v>
      </c>
      <c r="F116" s="2" t="s">
        <v>1225</v>
      </c>
      <c r="G116" s="2" t="s">
        <v>1641</v>
      </c>
      <c r="H116" s="2" t="s">
        <v>1642</v>
      </c>
      <c r="I116" s="2" t="s">
        <v>1203</v>
      </c>
      <c r="J116" s="2" t="s">
        <v>1643</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234</v>
      </c>
      <c r="C117" s="2" t="s">
        <v>241</v>
      </c>
      <c r="D117" s="2" t="s">
        <v>1644</v>
      </c>
      <c r="E117" s="2" t="s">
        <v>1224</v>
      </c>
      <c r="F117" s="2" t="s">
        <v>1248</v>
      </c>
      <c r="G117" s="2" t="s">
        <v>1645</v>
      </c>
      <c r="H117" s="2" t="s">
        <v>1646</v>
      </c>
      <c r="I117" s="2" t="s">
        <v>1476</v>
      </c>
      <c r="J117" s="2" t="s">
        <v>1647</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234</v>
      </c>
      <c r="C118" s="2" t="s">
        <v>241</v>
      </c>
      <c r="D118" s="2" t="s">
        <v>1648</v>
      </c>
      <c r="E118" s="2" t="s">
        <v>1224</v>
      </c>
      <c r="F118" s="2" t="s">
        <v>1248</v>
      </c>
      <c r="G118" s="2" t="s">
        <v>1645</v>
      </c>
      <c r="H118" s="2" t="s">
        <v>1649</v>
      </c>
      <c r="I118" s="2" t="s">
        <v>1476</v>
      </c>
      <c r="J118" s="2" t="s">
        <v>1650</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234</v>
      </c>
      <c r="C119" s="2" t="s">
        <v>241</v>
      </c>
      <c r="D119" s="2" t="s">
        <v>1651</v>
      </c>
      <c r="E119" s="2" t="s">
        <v>1224</v>
      </c>
      <c r="F119" s="2" t="s">
        <v>1248</v>
      </c>
      <c r="G119" s="2" t="s">
        <v>1645</v>
      </c>
      <c r="H119" s="2" t="s">
        <v>1652</v>
      </c>
      <c r="I119" s="2" t="s">
        <v>1476</v>
      </c>
      <c r="J119" s="2" t="s">
        <v>1653</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234</v>
      </c>
      <c r="C120" s="2" t="s">
        <v>241</v>
      </c>
      <c r="D120" s="2" t="s">
        <v>1654</v>
      </c>
      <c r="E120" s="2" t="s">
        <v>1224</v>
      </c>
      <c r="F120" s="2" t="s">
        <v>1248</v>
      </c>
      <c r="G120" s="2" t="s">
        <v>1655</v>
      </c>
      <c r="H120" s="2" t="s">
        <v>1656</v>
      </c>
      <c r="I120" s="2" t="s">
        <v>1476</v>
      </c>
      <c r="J120" s="2" t="s">
        <v>1657</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234</v>
      </c>
      <c r="C121" s="2" t="s">
        <v>241</v>
      </c>
      <c r="D121" s="2" t="s">
        <v>1658</v>
      </c>
      <c r="E121" s="2" t="s">
        <v>1224</v>
      </c>
      <c r="F121" s="2" t="s">
        <v>1248</v>
      </c>
      <c r="G121" s="2" t="s">
        <v>1659</v>
      </c>
      <c r="H121" s="2" t="s">
        <v>1660</v>
      </c>
      <c r="I121" s="2" t="s">
        <v>1476</v>
      </c>
      <c r="J121" s="2" t="s">
        <v>1661</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234</v>
      </c>
      <c r="C122" s="2" t="s">
        <v>241</v>
      </c>
      <c r="D122" s="2" t="s">
        <v>1662</v>
      </c>
      <c r="E122" s="2" t="s">
        <v>1224</v>
      </c>
      <c r="F122" s="2" t="s">
        <v>1248</v>
      </c>
      <c r="G122" s="2" t="s">
        <v>1663</v>
      </c>
      <c r="H122" s="2" t="s">
        <v>1664</v>
      </c>
      <c r="I122" s="2" t="s">
        <v>1476</v>
      </c>
      <c r="J122" s="2" t="s">
        <v>1665</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234</v>
      </c>
      <c r="C123" s="2" t="s">
        <v>241</v>
      </c>
      <c r="D123" s="2" t="s">
        <v>1666</v>
      </c>
      <c r="E123" s="2" t="s">
        <v>1224</v>
      </c>
      <c r="F123" s="2" t="s">
        <v>1248</v>
      </c>
      <c r="G123" s="2" t="s">
        <v>1667</v>
      </c>
      <c r="H123" s="2" t="s">
        <v>1668</v>
      </c>
      <c r="I123" s="2" t="s">
        <v>1476</v>
      </c>
      <c r="J123" s="2" t="s">
        <v>1669</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234</v>
      </c>
      <c r="C124" s="2" t="s">
        <v>241</v>
      </c>
      <c r="D124" s="2" t="s">
        <v>1670</v>
      </c>
      <c r="E124" s="2" t="s">
        <v>1224</v>
      </c>
      <c r="F124" s="2" t="s">
        <v>1248</v>
      </c>
      <c r="G124" s="2" t="s">
        <v>1667</v>
      </c>
      <c r="H124" s="2" t="s">
        <v>1671</v>
      </c>
      <c r="I124" s="2" t="s">
        <v>1476</v>
      </c>
      <c r="J124" s="2" t="s">
        <v>1672</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234</v>
      </c>
      <c r="C125" s="2" t="s">
        <v>241</v>
      </c>
      <c r="D125" s="2" t="s">
        <v>1673</v>
      </c>
      <c r="E125" s="2" t="s">
        <v>1224</v>
      </c>
      <c r="F125" s="2" t="s">
        <v>1248</v>
      </c>
      <c r="G125" s="2" t="s">
        <v>1674</v>
      </c>
      <c r="H125" s="2" t="s">
        <v>1675</v>
      </c>
      <c r="I125" s="2" t="s">
        <v>1476</v>
      </c>
      <c r="J125" s="2" t="s">
        <v>1676</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234</v>
      </c>
      <c r="C126" s="2" t="s">
        <v>241</v>
      </c>
      <c r="D126" s="2" t="s">
        <v>1677</v>
      </c>
      <c r="E126" s="2" t="s">
        <v>1224</v>
      </c>
      <c r="F126" s="2" t="s">
        <v>1248</v>
      </c>
      <c r="G126" s="2" t="s">
        <v>1678</v>
      </c>
      <c r="H126" s="2" t="s">
        <v>1679</v>
      </c>
      <c r="I126" s="2" t="s">
        <v>1476</v>
      </c>
      <c r="J126" s="2" t="s">
        <v>1680</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234</v>
      </c>
      <c r="C127" s="2" t="s">
        <v>241</v>
      </c>
      <c r="D127" s="2" t="s">
        <v>1681</v>
      </c>
      <c r="E127" s="2" t="s">
        <v>1224</v>
      </c>
      <c r="F127" s="2" t="s">
        <v>1248</v>
      </c>
      <c r="G127" s="2" t="s">
        <v>1682</v>
      </c>
      <c r="H127" s="2" t="s">
        <v>1683</v>
      </c>
      <c r="I127" s="2" t="s">
        <v>1476</v>
      </c>
      <c r="J127" s="2" t="s">
        <v>1684</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234</v>
      </c>
      <c r="C128" s="2" t="s">
        <v>241</v>
      </c>
      <c r="D128" s="2" t="s">
        <v>1685</v>
      </c>
      <c r="E128" s="2" t="s">
        <v>1224</v>
      </c>
      <c r="F128" s="2" t="s">
        <v>1248</v>
      </c>
      <c r="G128" s="2" t="s">
        <v>1682</v>
      </c>
      <c r="H128" s="2" t="s">
        <v>1686</v>
      </c>
      <c r="I128" s="2" t="s">
        <v>1476</v>
      </c>
      <c r="J128" s="2" t="s">
        <v>1687</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234</v>
      </c>
      <c r="C129" s="2" t="s">
        <v>241</v>
      </c>
      <c r="D129" s="2" t="s">
        <v>1688</v>
      </c>
      <c r="E129" s="2" t="s">
        <v>1224</v>
      </c>
      <c r="F129" s="2" t="s">
        <v>1248</v>
      </c>
      <c r="G129" s="2" t="s">
        <v>1682</v>
      </c>
      <c r="H129" s="2" t="s">
        <v>1689</v>
      </c>
      <c r="I129" s="2" t="s">
        <v>1476</v>
      </c>
      <c r="J129" s="2" t="s">
        <v>1690</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234</v>
      </c>
      <c r="C130" s="2" t="s">
        <v>241</v>
      </c>
      <c r="D130" s="2" t="s">
        <v>1691</v>
      </c>
      <c r="E130" s="2" t="s">
        <v>1224</v>
      </c>
      <c r="F130" s="2" t="s">
        <v>1248</v>
      </c>
      <c r="G130" s="2" t="s">
        <v>1682</v>
      </c>
      <c r="H130" s="2" t="s">
        <v>1692</v>
      </c>
      <c r="I130" s="2" t="s">
        <v>1476</v>
      </c>
      <c r="J130" s="2" t="s">
        <v>1693</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234</v>
      </c>
      <c r="C131" s="2" t="s">
        <v>241</v>
      </c>
      <c r="D131" s="2" t="s">
        <v>1694</v>
      </c>
      <c r="E131" s="2" t="s">
        <v>1224</v>
      </c>
      <c r="F131" s="2" t="s">
        <v>1248</v>
      </c>
      <c r="G131" s="2" t="s">
        <v>1682</v>
      </c>
      <c r="H131" s="2" t="s">
        <v>1695</v>
      </c>
      <c r="I131" s="2" t="s">
        <v>1476</v>
      </c>
      <c r="J131" s="2" t="s">
        <v>1696</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234</v>
      </c>
      <c r="C132" s="2" t="s">
        <v>241</v>
      </c>
      <c r="D132" s="2" t="s">
        <v>1697</v>
      </c>
      <c r="E132" s="2" t="s">
        <v>1224</v>
      </c>
      <c r="F132" s="2" t="s">
        <v>1248</v>
      </c>
      <c r="G132" s="2" t="s">
        <v>1682</v>
      </c>
      <c r="H132" s="2" t="s">
        <v>1698</v>
      </c>
      <c r="I132" s="2" t="s">
        <v>1476</v>
      </c>
      <c r="J132" s="2" t="s">
        <v>1699</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234</v>
      </c>
      <c r="C133" s="2" t="s">
        <v>241</v>
      </c>
      <c r="D133" s="2" t="s">
        <v>1700</v>
      </c>
      <c r="E133" s="2" t="s">
        <v>1224</v>
      </c>
      <c r="F133" s="2" t="s">
        <v>1248</v>
      </c>
      <c r="G133" s="2" t="s">
        <v>1701</v>
      </c>
      <c r="H133" s="2" t="s">
        <v>1702</v>
      </c>
      <c r="I133" s="2" t="s">
        <v>1476</v>
      </c>
      <c r="J133" s="2" t="s">
        <v>1703</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234</v>
      </c>
      <c r="C134" s="2" t="s">
        <v>241</v>
      </c>
      <c r="D134" s="2" t="s">
        <v>1704</v>
      </c>
      <c r="E134" s="2" t="s">
        <v>1224</v>
      </c>
      <c r="F134" s="2" t="s">
        <v>1248</v>
      </c>
      <c r="G134" s="2" t="s">
        <v>1705</v>
      </c>
      <c r="H134" s="2" t="s">
        <v>1706</v>
      </c>
      <c r="I134" s="2" t="s">
        <v>1476</v>
      </c>
      <c r="J134" s="2" t="s">
        <v>1707</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234</v>
      </c>
      <c r="C135" s="2" t="s">
        <v>241</v>
      </c>
      <c r="D135" s="2" t="s">
        <v>1708</v>
      </c>
      <c r="E135" s="2" t="s">
        <v>1224</v>
      </c>
      <c r="F135" s="2" t="s">
        <v>1248</v>
      </c>
      <c r="G135" s="2" t="s">
        <v>1709</v>
      </c>
      <c r="H135" s="2" t="s">
        <v>1710</v>
      </c>
      <c r="I135" s="2" t="s">
        <v>1476</v>
      </c>
      <c r="J135" s="2" t="s">
        <v>1711</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234</v>
      </c>
      <c r="C136" s="2" t="s">
        <v>241</v>
      </c>
      <c r="D136" s="2" t="s">
        <v>1712</v>
      </c>
      <c r="E136" s="2" t="s">
        <v>1224</v>
      </c>
      <c r="F136" s="2" t="s">
        <v>1248</v>
      </c>
      <c r="G136" s="2" t="s">
        <v>1709</v>
      </c>
      <c r="H136" s="2" t="s">
        <v>1713</v>
      </c>
      <c r="I136" s="2" t="s">
        <v>1476</v>
      </c>
      <c r="J136" s="2" t="s">
        <v>1714</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234</v>
      </c>
      <c r="C137" s="2" t="s">
        <v>241</v>
      </c>
      <c r="D137" s="2" t="s">
        <v>1715</v>
      </c>
      <c r="E137" s="2" t="s">
        <v>1224</v>
      </c>
      <c r="F137" s="2" t="s">
        <v>1248</v>
      </c>
      <c r="G137" s="2" t="s">
        <v>1716</v>
      </c>
      <c r="H137" s="2" t="s">
        <v>1717</v>
      </c>
      <c r="I137" s="2" t="s">
        <v>1476</v>
      </c>
      <c r="J137" s="2" t="s">
        <v>1718</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234</v>
      </c>
      <c r="C138" s="2" t="s">
        <v>241</v>
      </c>
      <c r="D138" s="2" t="s">
        <v>1719</v>
      </c>
      <c r="E138" s="2" t="s">
        <v>1224</v>
      </c>
      <c r="F138" s="2" t="s">
        <v>1248</v>
      </c>
      <c r="G138" s="2" t="s">
        <v>1720</v>
      </c>
      <c r="H138" s="2" t="s">
        <v>1721</v>
      </c>
      <c r="I138" s="2" t="s">
        <v>1476</v>
      </c>
      <c r="J138" s="2" t="s">
        <v>1722</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234</v>
      </c>
      <c r="C139" s="2" t="s">
        <v>241</v>
      </c>
      <c r="D139" s="2" t="s">
        <v>1723</v>
      </c>
      <c r="E139" s="2" t="s">
        <v>1224</v>
      </c>
      <c r="F139" s="2" t="s">
        <v>1248</v>
      </c>
      <c r="G139" s="2" t="s">
        <v>1724</v>
      </c>
      <c r="H139" s="2" t="s">
        <v>1725</v>
      </c>
      <c r="I139" s="2" t="s">
        <v>1476</v>
      </c>
      <c r="J139" s="2" t="s">
        <v>1726</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234</v>
      </c>
      <c r="C140" s="2" t="s">
        <v>241</v>
      </c>
      <c r="D140" s="2" t="s">
        <v>1727</v>
      </c>
      <c r="E140" s="2" t="s">
        <v>1224</v>
      </c>
      <c r="F140" s="2" t="s">
        <v>1248</v>
      </c>
      <c r="G140" s="2" t="s">
        <v>1724</v>
      </c>
      <c r="H140" s="2" t="s">
        <v>1728</v>
      </c>
      <c r="I140" s="2" t="s">
        <v>1476</v>
      </c>
      <c r="J140" s="2" t="s">
        <v>1729</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234</v>
      </c>
      <c r="C141" s="2" t="s">
        <v>241</v>
      </c>
      <c r="D141" s="2" t="s">
        <v>1730</v>
      </c>
      <c r="E141" s="2" t="s">
        <v>1224</v>
      </c>
      <c r="F141" s="2" t="s">
        <v>1248</v>
      </c>
      <c r="G141" s="2" t="s">
        <v>1731</v>
      </c>
      <c r="H141" s="2" t="s">
        <v>1732</v>
      </c>
      <c r="I141" s="2" t="s">
        <v>1476</v>
      </c>
      <c r="J141" s="2" t="s">
        <v>1733</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234</v>
      </c>
      <c r="C142" s="2" t="s">
        <v>241</v>
      </c>
      <c r="D142" s="2" t="s">
        <v>1734</v>
      </c>
      <c r="E142" s="2" t="s">
        <v>1224</v>
      </c>
      <c r="F142" s="2" t="s">
        <v>1248</v>
      </c>
      <c r="G142" s="2" t="s">
        <v>1735</v>
      </c>
      <c r="H142" s="2" t="s">
        <v>1736</v>
      </c>
      <c r="I142" s="2" t="s">
        <v>1476</v>
      </c>
      <c r="J142" s="2" t="s">
        <v>1737</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234</v>
      </c>
      <c r="C143" s="2" t="s">
        <v>241</v>
      </c>
      <c r="D143" s="2" t="s">
        <v>1738</v>
      </c>
      <c r="E143" s="2" t="s">
        <v>1224</v>
      </c>
      <c r="F143" s="2" t="s">
        <v>1248</v>
      </c>
      <c r="G143" s="2" t="s">
        <v>1739</v>
      </c>
      <c r="H143" s="2" t="s">
        <v>1740</v>
      </c>
      <c r="I143" s="2" t="s">
        <v>1476</v>
      </c>
      <c r="J143" s="2" t="s">
        <v>1741</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234</v>
      </c>
      <c r="C144" s="2" t="s">
        <v>241</v>
      </c>
      <c r="D144" s="2" t="s">
        <v>1742</v>
      </c>
      <c r="E144" s="2" t="s">
        <v>1224</v>
      </c>
      <c r="F144" s="2" t="s">
        <v>1248</v>
      </c>
      <c r="G144" s="2" t="s">
        <v>1739</v>
      </c>
      <c r="H144" s="2" t="s">
        <v>1743</v>
      </c>
      <c r="I144" s="2" t="s">
        <v>1476</v>
      </c>
      <c r="J144" s="2" t="s">
        <v>1744</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234</v>
      </c>
      <c r="C145" s="2" t="s">
        <v>241</v>
      </c>
      <c r="D145" s="2" t="s">
        <v>1745</v>
      </c>
      <c r="E145" s="2" t="s">
        <v>1224</v>
      </c>
      <c r="F145" s="2" t="s">
        <v>1248</v>
      </c>
      <c r="G145" s="2" t="s">
        <v>1746</v>
      </c>
      <c r="H145" s="2" t="s">
        <v>1747</v>
      </c>
      <c r="I145" s="2" t="s">
        <v>1476</v>
      </c>
      <c r="J145" s="2" t="s">
        <v>1748</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234</v>
      </c>
      <c r="C146" s="2" t="s">
        <v>241</v>
      </c>
      <c r="D146" s="2" t="s">
        <v>1749</v>
      </c>
      <c r="E146" s="2" t="s">
        <v>1224</v>
      </c>
      <c r="F146" s="2" t="s">
        <v>1248</v>
      </c>
      <c r="G146" s="2" t="s">
        <v>1746</v>
      </c>
      <c r="H146" s="2" t="s">
        <v>1750</v>
      </c>
      <c r="I146" s="2" t="s">
        <v>1476</v>
      </c>
      <c r="J146" s="2" t="s">
        <v>1751</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234</v>
      </c>
      <c r="C147" s="2" t="s">
        <v>241</v>
      </c>
      <c r="D147" s="2" t="s">
        <v>1752</v>
      </c>
      <c r="E147" s="2" t="s">
        <v>1224</v>
      </c>
      <c r="F147" s="2" t="s">
        <v>1248</v>
      </c>
      <c r="G147" s="2" t="s">
        <v>1746</v>
      </c>
      <c r="H147" s="2" t="s">
        <v>1753</v>
      </c>
      <c r="I147" s="2" t="s">
        <v>1476</v>
      </c>
      <c r="J147" s="2" t="s">
        <v>1754</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234</v>
      </c>
      <c r="C148" s="2" t="s">
        <v>241</v>
      </c>
      <c r="D148" s="2" t="s">
        <v>1755</v>
      </c>
      <c r="E148" s="2" t="s">
        <v>1224</v>
      </c>
      <c r="F148" s="2" t="s">
        <v>1248</v>
      </c>
      <c r="G148" s="2" t="s">
        <v>1746</v>
      </c>
      <c r="H148" s="2" t="s">
        <v>1756</v>
      </c>
      <c r="I148" s="2" t="s">
        <v>1476</v>
      </c>
      <c r="J148" s="2" t="s">
        <v>1757</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234</v>
      </c>
      <c r="C149" s="2" t="s">
        <v>241</v>
      </c>
      <c r="D149" s="2" t="s">
        <v>1758</v>
      </c>
      <c r="E149" s="2" t="s">
        <v>1224</v>
      </c>
      <c r="F149" s="2" t="s">
        <v>1248</v>
      </c>
      <c r="G149" s="2" t="s">
        <v>1759</v>
      </c>
      <c r="H149" s="2" t="s">
        <v>1760</v>
      </c>
      <c r="I149" s="2" t="s">
        <v>1476</v>
      </c>
      <c r="J149" s="2" t="s">
        <v>1761</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234</v>
      </c>
      <c r="C150" s="2" t="s">
        <v>241</v>
      </c>
      <c r="D150" s="2" t="s">
        <v>1762</v>
      </c>
      <c r="E150" s="2" t="s">
        <v>1224</v>
      </c>
      <c r="F150" s="2" t="s">
        <v>1248</v>
      </c>
      <c r="G150" s="2" t="s">
        <v>1759</v>
      </c>
      <c r="H150" s="2" t="s">
        <v>1763</v>
      </c>
      <c r="I150" s="2" t="s">
        <v>1476</v>
      </c>
      <c r="J150" s="2" t="s">
        <v>1764</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234</v>
      </c>
      <c r="C151" s="2" t="s">
        <v>241</v>
      </c>
      <c r="D151" s="2" t="s">
        <v>1765</v>
      </c>
      <c r="E151" s="2" t="s">
        <v>1224</v>
      </c>
      <c r="F151" s="2" t="s">
        <v>1225</v>
      </c>
      <c r="G151" s="2" t="s">
        <v>1766</v>
      </c>
      <c r="H151" s="2" t="s">
        <v>1767</v>
      </c>
      <c r="I151" s="2" t="s">
        <v>1203</v>
      </c>
      <c r="J151" s="2" t="s">
        <v>1768</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234</v>
      </c>
      <c r="C152" s="2" t="s">
        <v>241</v>
      </c>
      <c r="D152" s="2" t="s">
        <v>1769</v>
      </c>
      <c r="E152" s="2" t="s">
        <v>1224</v>
      </c>
      <c r="F152" s="2" t="s">
        <v>1248</v>
      </c>
      <c r="G152" s="2" t="s">
        <v>1770</v>
      </c>
      <c r="H152" s="2" t="s">
        <v>1771</v>
      </c>
      <c r="I152" s="2" t="s">
        <v>1476</v>
      </c>
      <c r="J152" s="2" t="s">
        <v>1772</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234</v>
      </c>
      <c r="C153" s="2" t="s">
        <v>241</v>
      </c>
      <c r="D153" s="2" t="s">
        <v>1773</v>
      </c>
      <c r="E153" s="2" t="s">
        <v>1224</v>
      </c>
      <c r="F153" s="2" t="s">
        <v>1248</v>
      </c>
      <c r="G153" s="2" t="s">
        <v>1774</v>
      </c>
      <c r="H153" s="2" t="s">
        <v>1775</v>
      </c>
      <c r="I153" s="2" t="s">
        <v>1476</v>
      </c>
      <c r="J153" s="2" t="s">
        <v>1776</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234</v>
      </c>
      <c r="C154" s="2" t="s">
        <v>241</v>
      </c>
      <c r="D154" s="2" t="s">
        <v>1777</v>
      </c>
      <c r="E154" s="2" t="s">
        <v>1224</v>
      </c>
      <c r="F154" s="2" t="s">
        <v>1248</v>
      </c>
      <c r="G154" s="2" t="s">
        <v>1778</v>
      </c>
      <c r="H154" s="2" t="s">
        <v>1779</v>
      </c>
      <c r="I154" s="2" t="s">
        <v>1476</v>
      </c>
      <c r="J154" s="2" t="s">
        <v>1780</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234</v>
      </c>
      <c r="C155" s="2" t="s">
        <v>241</v>
      </c>
      <c r="D155" s="2" t="s">
        <v>1781</v>
      </c>
      <c r="E155" s="2" t="s">
        <v>1224</v>
      </c>
      <c r="F155" s="2" t="s">
        <v>1248</v>
      </c>
      <c r="G155" s="2" t="s">
        <v>1782</v>
      </c>
      <c r="H155" s="2" t="s">
        <v>1783</v>
      </c>
      <c r="I155" s="2" t="s">
        <v>1476</v>
      </c>
      <c r="J155" s="2" t="s">
        <v>1784</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234</v>
      </c>
      <c r="C156" s="2" t="s">
        <v>241</v>
      </c>
      <c r="D156" s="2" t="s">
        <v>1785</v>
      </c>
      <c r="E156" s="2" t="s">
        <v>1224</v>
      </c>
      <c r="F156" s="2" t="s">
        <v>1248</v>
      </c>
      <c r="G156" s="2" t="s">
        <v>1782</v>
      </c>
      <c r="H156" s="2" t="s">
        <v>1786</v>
      </c>
      <c r="I156" s="2" t="s">
        <v>1476</v>
      </c>
      <c r="J156" s="2" t="s">
        <v>1787</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234</v>
      </c>
      <c r="C157" s="2" t="s">
        <v>241</v>
      </c>
      <c r="D157" s="2" t="s">
        <v>1788</v>
      </c>
      <c r="E157" s="2" t="s">
        <v>1224</v>
      </c>
      <c r="F157" s="2" t="s">
        <v>1248</v>
      </c>
      <c r="G157" s="2" t="s">
        <v>1789</v>
      </c>
      <c r="H157" s="2" t="s">
        <v>1790</v>
      </c>
      <c r="I157" s="2" t="s">
        <v>1476</v>
      </c>
      <c r="J157" s="2" t="s">
        <v>1791</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234</v>
      </c>
      <c r="C158" s="2" t="s">
        <v>241</v>
      </c>
      <c r="D158" s="2" t="s">
        <v>1792</v>
      </c>
      <c r="E158" s="2" t="s">
        <v>1224</v>
      </c>
      <c r="F158" s="2" t="s">
        <v>1248</v>
      </c>
      <c r="G158" s="2" t="s">
        <v>1793</v>
      </c>
      <c r="H158" s="2" t="s">
        <v>1794</v>
      </c>
      <c r="I158" s="2" t="s">
        <v>1476</v>
      </c>
      <c r="J158" s="2" t="s">
        <v>1795</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234</v>
      </c>
      <c r="C159" s="2" t="s">
        <v>241</v>
      </c>
      <c r="D159" s="2" t="s">
        <v>1796</v>
      </c>
      <c r="E159" s="2" t="s">
        <v>1224</v>
      </c>
      <c r="F159" s="2" t="s">
        <v>1248</v>
      </c>
      <c r="G159" s="2" t="s">
        <v>1797</v>
      </c>
      <c r="H159" s="2" t="s">
        <v>1798</v>
      </c>
      <c r="I159" s="2" t="s">
        <v>1476</v>
      </c>
      <c r="J159" s="2" t="s">
        <v>1799</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234</v>
      </c>
      <c r="C160" s="2" t="s">
        <v>241</v>
      </c>
      <c r="D160" s="2" t="s">
        <v>1800</v>
      </c>
      <c r="E160" s="2" t="s">
        <v>1224</v>
      </c>
      <c r="F160" s="2" t="s">
        <v>1248</v>
      </c>
      <c r="G160" s="2" t="s">
        <v>476</v>
      </c>
      <c r="H160" s="2" t="s">
        <v>1801</v>
      </c>
      <c r="I160" s="2" t="s">
        <v>1476</v>
      </c>
      <c r="J160" s="2" t="s">
        <v>1802</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234</v>
      </c>
      <c r="C161" s="2" t="s">
        <v>241</v>
      </c>
      <c r="D161" s="2" t="s">
        <v>1803</v>
      </c>
      <c r="E161" s="2" t="s">
        <v>1224</v>
      </c>
      <c r="F161" s="2" t="s">
        <v>1248</v>
      </c>
      <c r="G161" s="2" t="s">
        <v>476</v>
      </c>
      <c r="H161" s="2" t="s">
        <v>1804</v>
      </c>
      <c r="I161" s="2" t="s">
        <v>1476</v>
      </c>
      <c r="J161" s="2" t="s">
        <v>1805</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234</v>
      </c>
      <c r="C162" s="2" t="s">
        <v>241</v>
      </c>
      <c r="D162" s="2" t="s">
        <v>1806</v>
      </c>
      <c r="E162" s="2" t="s">
        <v>1224</v>
      </c>
      <c r="F162" s="2" t="s">
        <v>1248</v>
      </c>
      <c r="G162" s="2" t="s">
        <v>476</v>
      </c>
      <c r="H162" s="2" t="s">
        <v>1807</v>
      </c>
      <c r="I162" s="2" t="s">
        <v>1476</v>
      </c>
      <c r="J162" s="2" t="s">
        <v>1808</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234</v>
      </c>
      <c r="C163" s="2" t="s">
        <v>241</v>
      </c>
      <c r="D163" s="2" t="s">
        <v>1809</v>
      </c>
      <c r="E163" s="2" t="s">
        <v>1224</v>
      </c>
      <c r="F163" s="2" t="s">
        <v>1248</v>
      </c>
      <c r="G163" s="2" t="s">
        <v>476</v>
      </c>
      <c r="H163" s="2" t="s">
        <v>1810</v>
      </c>
      <c r="I163" s="2" t="s">
        <v>1476</v>
      </c>
      <c r="J163" s="2" t="s">
        <v>1811</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234</v>
      </c>
      <c r="C164" s="2" t="s">
        <v>241</v>
      </c>
      <c r="D164" s="2" t="s">
        <v>1812</v>
      </c>
      <c r="E164" s="2" t="s">
        <v>1224</v>
      </c>
      <c r="F164" s="2" t="s">
        <v>1248</v>
      </c>
      <c r="G164" s="2" t="s">
        <v>1813</v>
      </c>
      <c r="H164" s="2" t="s">
        <v>1814</v>
      </c>
      <c r="I164" s="2" t="s">
        <v>1476</v>
      </c>
      <c r="J164" s="2" t="s">
        <v>1815</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234</v>
      </c>
      <c r="C165" s="2" t="s">
        <v>241</v>
      </c>
      <c r="D165" s="2" t="s">
        <v>1816</v>
      </c>
      <c r="E165" s="2" t="s">
        <v>1224</v>
      </c>
      <c r="F165" s="2" t="s">
        <v>1248</v>
      </c>
      <c r="G165" s="2" t="s">
        <v>1817</v>
      </c>
      <c r="H165" s="2" t="s">
        <v>1818</v>
      </c>
      <c r="I165" s="2" t="s">
        <v>1476</v>
      </c>
      <c r="J165" s="2" t="s">
        <v>1819</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234</v>
      </c>
      <c r="C166" s="2" t="s">
        <v>241</v>
      </c>
      <c r="D166" s="2" t="s">
        <v>1820</v>
      </c>
      <c r="E166" s="2" t="s">
        <v>1224</v>
      </c>
      <c r="F166" s="2" t="s">
        <v>1248</v>
      </c>
      <c r="G166" s="2" t="s">
        <v>1817</v>
      </c>
      <c r="H166" s="2" t="s">
        <v>1821</v>
      </c>
      <c r="I166" s="2" t="s">
        <v>1476</v>
      </c>
      <c r="J166" s="2" t="s">
        <v>1822</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234</v>
      </c>
      <c r="C167" s="2" t="s">
        <v>241</v>
      </c>
      <c r="D167" s="2" t="s">
        <v>1823</v>
      </c>
      <c r="E167" s="2" t="s">
        <v>1224</v>
      </c>
      <c r="F167" s="2" t="s">
        <v>1248</v>
      </c>
      <c r="G167" s="2" t="s">
        <v>1817</v>
      </c>
      <c r="H167" s="2" t="s">
        <v>1824</v>
      </c>
      <c r="I167" s="2" t="s">
        <v>1476</v>
      </c>
      <c r="J167" s="2" t="s">
        <v>1825</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234</v>
      </c>
      <c r="C168" s="2" t="s">
        <v>241</v>
      </c>
      <c r="D168" s="2" t="s">
        <v>1826</v>
      </c>
      <c r="E168" s="2" t="s">
        <v>1224</v>
      </c>
      <c r="F168" s="2" t="s">
        <v>1248</v>
      </c>
      <c r="G168" s="2" t="s">
        <v>1817</v>
      </c>
      <c r="H168" s="2" t="s">
        <v>1827</v>
      </c>
      <c r="I168" s="2" t="s">
        <v>1476</v>
      </c>
      <c r="J168" s="2" t="s">
        <v>1828</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234</v>
      </c>
      <c r="C169" s="2" t="s">
        <v>241</v>
      </c>
      <c r="D169" s="2" t="s">
        <v>1829</v>
      </c>
      <c r="E169" s="2" t="s">
        <v>1224</v>
      </c>
      <c r="F169" s="2" t="s">
        <v>1248</v>
      </c>
      <c r="G169" s="2" t="s">
        <v>1817</v>
      </c>
      <c r="H169" s="2" t="s">
        <v>1830</v>
      </c>
      <c r="I169" s="2" t="s">
        <v>1476</v>
      </c>
      <c r="J169" s="2" t="s">
        <v>1831</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234</v>
      </c>
      <c r="C170" s="2" t="s">
        <v>241</v>
      </c>
      <c r="D170" s="2" t="s">
        <v>1832</v>
      </c>
      <c r="E170" s="2" t="s">
        <v>1224</v>
      </c>
      <c r="F170" s="2" t="s">
        <v>1225</v>
      </c>
      <c r="G170" s="2" t="s">
        <v>1817</v>
      </c>
      <c r="H170" s="2" t="s">
        <v>1833</v>
      </c>
      <c r="I170" s="2" t="s">
        <v>1203</v>
      </c>
      <c r="J170" s="2" t="s">
        <v>1834</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234</v>
      </c>
      <c r="C171" s="2" t="s">
        <v>241</v>
      </c>
      <c r="D171" s="2" t="s">
        <v>1835</v>
      </c>
      <c r="E171" s="2" t="s">
        <v>1224</v>
      </c>
      <c r="F171" s="2" t="s">
        <v>1248</v>
      </c>
      <c r="G171" s="2" t="s">
        <v>361</v>
      </c>
      <c r="H171" s="2" t="s">
        <v>1836</v>
      </c>
      <c r="I171" s="2" t="s">
        <v>1476</v>
      </c>
      <c r="J171" s="2" t="s">
        <v>1837</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234</v>
      </c>
      <c r="C172" s="2" t="s">
        <v>241</v>
      </c>
      <c r="D172" s="2" t="s">
        <v>1838</v>
      </c>
      <c r="E172" s="2" t="s">
        <v>1224</v>
      </c>
      <c r="F172" s="2" t="s">
        <v>1248</v>
      </c>
      <c r="G172" s="2" t="s">
        <v>361</v>
      </c>
      <c r="H172" s="2" t="s">
        <v>1839</v>
      </c>
      <c r="I172" s="2" t="s">
        <v>1476</v>
      </c>
      <c r="J172" s="2" t="s">
        <v>1840</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234</v>
      </c>
      <c r="C173" s="2" t="s">
        <v>241</v>
      </c>
      <c r="D173" s="2" t="s">
        <v>1841</v>
      </c>
      <c r="E173" s="2" t="s">
        <v>1224</v>
      </c>
      <c r="F173" s="2" t="s">
        <v>1248</v>
      </c>
      <c r="G173" s="2" t="s">
        <v>441</v>
      </c>
      <c r="H173" s="2" t="s">
        <v>1842</v>
      </c>
      <c r="I173" s="2" t="s">
        <v>1476</v>
      </c>
      <c r="J173" s="2" t="s">
        <v>1843</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234</v>
      </c>
      <c r="C174" s="2" t="s">
        <v>241</v>
      </c>
      <c r="D174" s="2" t="s">
        <v>1844</v>
      </c>
      <c r="E174" s="2" t="s">
        <v>1224</v>
      </c>
      <c r="F174" s="2" t="s">
        <v>1248</v>
      </c>
      <c r="G174" s="2" t="s">
        <v>441</v>
      </c>
      <c r="H174" s="2" t="s">
        <v>1845</v>
      </c>
      <c r="I174" s="2" t="s">
        <v>1476</v>
      </c>
      <c r="J174" s="2" t="s">
        <v>1846</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234</v>
      </c>
      <c r="C175" s="2" t="s">
        <v>241</v>
      </c>
      <c r="D175" s="2" t="s">
        <v>1847</v>
      </c>
      <c r="E175" s="2" t="s">
        <v>1224</v>
      </c>
      <c r="F175" s="2" t="s">
        <v>1248</v>
      </c>
      <c r="G175" s="2" t="s">
        <v>1848</v>
      </c>
      <c r="H175" s="2" t="s">
        <v>1849</v>
      </c>
      <c r="I175" s="2" t="s">
        <v>1476</v>
      </c>
      <c r="J175" s="2" t="s">
        <v>1850</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234</v>
      </c>
      <c r="C176" s="2" t="s">
        <v>241</v>
      </c>
      <c r="D176" s="2" t="s">
        <v>1851</v>
      </c>
      <c r="E176" s="2" t="s">
        <v>1224</v>
      </c>
      <c r="F176" s="2" t="s">
        <v>1248</v>
      </c>
      <c r="G176" s="2" t="s">
        <v>1848</v>
      </c>
      <c r="H176" s="2" t="s">
        <v>1852</v>
      </c>
      <c r="I176" s="2" t="s">
        <v>1476</v>
      </c>
      <c r="J176" s="2" t="s">
        <v>1853</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234</v>
      </c>
      <c r="C177" s="2" t="s">
        <v>241</v>
      </c>
      <c r="D177" s="2" t="s">
        <v>1854</v>
      </c>
      <c r="E177" s="2" t="s">
        <v>1224</v>
      </c>
      <c r="F177" s="2" t="s">
        <v>1248</v>
      </c>
      <c r="G177" s="2" t="s">
        <v>1855</v>
      </c>
      <c r="H177" s="2" t="s">
        <v>1856</v>
      </c>
      <c r="I177" s="2" t="s">
        <v>1476</v>
      </c>
      <c r="J177" s="2" t="s">
        <v>1857</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234</v>
      </c>
      <c r="C178" s="2" t="s">
        <v>241</v>
      </c>
      <c r="D178" s="2" t="s">
        <v>1858</v>
      </c>
      <c r="E178" s="2" t="s">
        <v>1224</v>
      </c>
      <c r="F178" s="2" t="s">
        <v>1248</v>
      </c>
      <c r="G178" s="2" t="s">
        <v>1855</v>
      </c>
      <c r="H178" s="2" t="s">
        <v>1859</v>
      </c>
      <c r="I178" s="2" t="s">
        <v>1476</v>
      </c>
      <c r="J178" s="2" t="s">
        <v>1860</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234</v>
      </c>
      <c r="C179" s="2" t="s">
        <v>241</v>
      </c>
      <c r="D179" s="2" t="s">
        <v>1861</v>
      </c>
      <c r="E179" s="2" t="s">
        <v>1224</v>
      </c>
      <c r="F179" s="2" t="s">
        <v>1248</v>
      </c>
      <c r="G179" s="2" t="s">
        <v>1855</v>
      </c>
      <c r="H179" s="2" t="s">
        <v>1862</v>
      </c>
      <c r="I179" s="2" t="s">
        <v>1476</v>
      </c>
      <c r="J179" s="2" t="s">
        <v>1863</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234</v>
      </c>
      <c r="C180" s="2" t="s">
        <v>241</v>
      </c>
      <c r="D180" s="2" t="s">
        <v>1864</v>
      </c>
      <c r="E180" s="2" t="s">
        <v>1224</v>
      </c>
      <c r="F180" s="2" t="s">
        <v>1248</v>
      </c>
      <c r="G180" s="2" t="s">
        <v>1865</v>
      </c>
      <c r="H180" s="2" t="s">
        <v>1866</v>
      </c>
      <c r="I180" s="2" t="s">
        <v>1476</v>
      </c>
      <c r="J180" s="2" t="s">
        <v>1867</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234</v>
      </c>
      <c r="C181" s="2" t="s">
        <v>241</v>
      </c>
      <c r="D181" s="2" t="s">
        <v>1868</v>
      </c>
      <c r="E181" s="2" t="s">
        <v>1224</v>
      </c>
      <c r="F181" s="2" t="s">
        <v>1225</v>
      </c>
      <c r="G181" s="2" t="s">
        <v>1869</v>
      </c>
      <c r="H181" s="2" t="s">
        <v>1870</v>
      </c>
      <c r="I181" s="2" t="s">
        <v>1203</v>
      </c>
      <c r="J181" s="2" t="s">
        <v>1871</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234</v>
      </c>
      <c r="C182" s="2" t="s">
        <v>241</v>
      </c>
      <c r="D182" s="2" t="s">
        <v>1872</v>
      </c>
      <c r="E182" s="2" t="s">
        <v>1224</v>
      </c>
      <c r="F182" s="2" t="s">
        <v>1248</v>
      </c>
      <c r="G182" s="2" t="s">
        <v>1873</v>
      </c>
      <c r="H182" s="2" t="s">
        <v>1874</v>
      </c>
      <c r="I182" s="2" t="s">
        <v>1476</v>
      </c>
      <c r="J182" s="2" t="s">
        <v>1875</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234</v>
      </c>
      <c r="C183" s="2" t="s">
        <v>241</v>
      </c>
      <c r="D183" s="2" t="s">
        <v>1876</v>
      </c>
      <c r="E183" s="2" t="s">
        <v>1224</v>
      </c>
      <c r="F183" s="2" t="s">
        <v>1248</v>
      </c>
      <c r="G183" s="2" t="s">
        <v>1877</v>
      </c>
      <c r="H183" s="2" t="s">
        <v>1878</v>
      </c>
      <c r="I183" s="2" t="s">
        <v>1476</v>
      </c>
      <c r="J183" s="2" t="s">
        <v>1879</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234</v>
      </c>
      <c r="C184" s="2" t="s">
        <v>241</v>
      </c>
      <c r="D184" s="2" t="s">
        <v>1880</v>
      </c>
      <c r="E184" s="2" t="s">
        <v>1224</v>
      </c>
      <c r="F184" s="2" t="s">
        <v>1248</v>
      </c>
      <c r="G184" s="2" t="s">
        <v>1881</v>
      </c>
      <c r="H184" s="2" t="s">
        <v>1882</v>
      </c>
      <c r="I184" s="2" t="s">
        <v>1476</v>
      </c>
      <c r="J184" s="2" t="s">
        <v>1883</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234</v>
      </c>
      <c r="C185" s="2" t="s">
        <v>241</v>
      </c>
      <c r="D185" s="2" t="s">
        <v>1884</v>
      </c>
      <c r="E185" s="2" t="s">
        <v>1224</v>
      </c>
      <c r="F185" s="2" t="s">
        <v>1248</v>
      </c>
      <c r="G185" s="2" t="s">
        <v>1881</v>
      </c>
      <c r="H185" s="2" t="s">
        <v>1885</v>
      </c>
      <c r="I185" s="2" t="s">
        <v>1476</v>
      </c>
      <c r="J185" s="2" t="s">
        <v>1886</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234</v>
      </c>
      <c r="C186" s="2" t="s">
        <v>241</v>
      </c>
      <c r="D186" s="2" t="s">
        <v>1887</v>
      </c>
      <c r="E186" s="2" t="s">
        <v>1224</v>
      </c>
      <c r="F186" s="2" t="s">
        <v>1248</v>
      </c>
      <c r="G186" s="2" t="s">
        <v>1888</v>
      </c>
      <c r="H186" s="2" t="s">
        <v>1889</v>
      </c>
      <c r="I186" s="2" t="s">
        <v>1476</v>
      </c>
      <c r="J186" s="2" t="s">
        <v>1890</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234</v>
      </c>
      <c r="C187" s="2" t="s">
        <v>241</v>
      </c>
      <c r="D187" s="2" t="s">
        <v>1891</v>
      </c>
      <c r="E187" s="2" t="s">
        <v>1224</v>
      </c>
      <c r="F187" s="2" t="s">
        <v>1248</v>
      </c>
      <c r="G187" s="2" t="s">
        <v>1892</v>
      </c>
      <c r="H187" s="2" t="s">
        <v>1893</v>
      </c>
      <c r="I187" s="2" t="s">
        <v>1476</v>
      </c>
      <c r="J187" s="2" t="s">
        <v>1894</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234</v>
      </c>
      <c r="C188" s="2" t="s">
        <v>241</v>
      </c>
      <c r="D188" s="2" t="s">
        <v>1895</v>
      </c>
      <c r="E188" s="2" t="s">
        <v>1224</v>
      </c>
      <c r="F188" s="2" t="s">
        <v>1225</v>
      </c>
      <c r="G188" s="2" t="s">
        <v>1896</v>
      </c>
      <c r="H188" s="2" t="s">
        <v>1897</v>
      </c>
      <c r="I188" s="2" t="s">
        <v>1203</v>
      </c>
      <c r="J188" s="2" t="s">
        <v>1898</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234</v>
      </c>
      <c r="C189" s="2" t="s">
        <v>241</v>
      </c>
      <c r="D189" s="2" t="s">
        <v>1899</v>
      </c>
      <c r="E189" s="2" t="s">
        <v>1224</v>
      </c>
      <c r="F189" s="2" t="s">
        <v>1248</v>
      </c>
      <c r="G189" s="2" t="s">
        <v>1900</v>
      </c>
      <c r="H189" s="2" t="s">
        <v>1901</v>
      </c>
      <c r="I189" s="2" t="s">
        <v>1476</v>
      </c>
      <c r="J189" s="2" t="s">
        <v>1902</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234</v>
      </c>
      <c r="C190" s="2" t="s">
        <v>241</v>
      </c>
      <c r="D190" s="2" t="s">
        <v>1903</v>
      </c>
      <c r="E190" s="2" t="s">
        <v>1224</v>
      </c>
      <c r="F190" s="2" t="s">
        <v>1248</v>
      </c>
      <c r="G190" s="2" t="s">
        <v>1904</v>
      </c>
      <c r="H190" s="2" t="s">
        <v>1905</v>
      </c>
      <c r="I190" s="2" t="s">
        <v>1476</v>
      </c>
      <c r="J190" s="2" t="s">
        <v>1906</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234</v>
      </c>
      <c r="C191" s="2" t="s">
        <v>241</v>
      </c>
      <c r="D191" s="2" t="s">
        <v>1907</v>
      </c>
      <c r="E191" s="2" t="s">
        <v>1224</v>
      </c>
      <c r="F191" s="2" t="s">
        <v>1248</v>
      </c>
      <c r="G191" s="2" t="s">
        <v>1908</v>
      </c>
      <c r="H191" s="2" t="s">
        <v>1909</v>
      </c>
      <c r="I191" s="2" t="s">
        <v>1476</v>
      </c>
      <c r="J191" s="2" t="s">
        <v>1910</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234</v>
      </c>
      <c r="C192" s="2" t="s">
        <v>241</v>
      </c>
      <c r="D192" s="2" t="s">
        <v>1911</v>
      </c>
      <c r="E192" s="2" t="s">
        <v>1224</v>
      </c>
      <c r="F192" s="2" t="s">
        <v>1248</v>
      </c>
      <c r="G192" s="2" t="s">
        <v>1908</v>
      </c>
      <c r="H192" s="2" t="s">
        <v>1912</v>
      </c>
      <c r="I192" s="2" t="s">
        <v>1476</v>
      </c>
      <c r="J192" s="2" t="s">
        <v>1913</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234</v>
      </c>
      <c r="C193" s="2" t="s">
        <v>241</v>
      </c>
      <c r="D193" s="2" t="s">
        <v>1914</v>
      </c>
      <c r="E193" s="2" t="s">
        <v>1224</v>
      </c>
      <c r="F193" s="2" t="s">
        <v>1248</v>
      </c>
      <c r="G193" s="2" t="s">
        <v>1908</v>
      </c>
      <c r="H193" s="2" t="s">
        <v>1915</v>
      </c>
      <c r="I193" s="2" t="s">
        <v>1476</v>
      </c>
      <c r="J193" s="2" t="s">
        <v>1916</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234</v>
      </c>
      <c r="C194" s="2" t="s">
        <v>241</v>
      </c>
      <c r="D194" s="2" t="s">
        <v>1917</v>
      </c>
      <c r="E194" s="2" t="s">
        <v>1224</v>
      </c>
      <c r="F194" s="2" t="s">
        <v>1248</v>
      </c>
      <c r="G194" s="2" t="s">
        <v>1918</v>
      </c>
      <c r="H194" s="2" t="s">
        <v>1919</v>
      </c>
      <c r="I194" s="2" t="s">
        <v>1476</v>
      </c>
      <c r="J194" s="2" t="s">
        <v>1920</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234</v>
      </c>
      <c r="C195" s="2" t="s">
        <v>241</v>
      </c>
      <c r="D195" s="2" t="s">
        <v>1921</v>
      </c>
      <c r="E195" s="2" t="s">
        <v>1224</v>
      </c>
      <c r="F195" s="2" t="s">
        <v>1248</v>
      </c>
      <c r="G195" s="2" t="s">
        <v>1922</v>
      </c>
      <c r="H195" s="2" t="s">
        <v>1923</v>
      </c>
      <c r="I195" s="2" t="s">
        <v>1476</v>
      </c>
      <c r="J195" s="2" t="s">
        <v>1924</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234</v>
      </c>
      <c r="C196" s="2" t="s">
        <v>241</v>
      </c>
      <c r="D196" s="2" t="s">
        <v>1925</v>
      </c>
      <c r="E196" s="2" t="s">
        <v>1224</v>
      </c>
      <c r="F196" s="2" t="s">
        <v>1248</v>
      </c>
      <c r="G196" s="2" t="s">
        <v>1922</v>
      </c>
      <c r="H196" s="2" t="s">
        <v>1926</v>
      </c>
      <c r="I196" s="2" t="s">
        <v>1476</v>
      </c>
      <c r="J196" s="2" t="s">
        <v>1927</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234</v>
      </c>
      <c r="C197" s="2" t="s">
        <v>241</v>
      </c>
      <c r="D197" s="2" t="s">
        <v>1928</v>
      </c>
      <c r="E197" s="2" t="s">
        <v>1224</v>
      </c>
      <c r="F197" s="2" t="s">
        <v>1248</v>
      </c>
      <c r="G197" s="2" t="s">
        <v>1929</v>
      </c>
      <c r="H197" s="2" t="s">
        <v>1930</v>
      </c>
      <c r="I197" s="2" t="s">
        <v>1476</v>
      </c>
      <c r="J197" s="2" t="s">
        <v>1931</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234</v>
      </c>
      <c r="C198" s="2" t="s">
        <v>241</v>
      </c>
      <c r="D198" s="2" t="s">
        <v>1932</v>
      </c>
      <c r="E198" s="2" t="s">
        <v>1224</v>
      </c>
      <c r="F198" s="2" t="s">
        <v>1248</v>
      </c>
      <c r="G198" s="2" t="s">
        <v>1933</v>
      </c>
      <c r="H198" s="2" t="s">
        <v>1934</v>
      </c>
      <c r="I198" s="2" t="s">
        <v>1476</v>
      </c>
      <c r="J198" s="2" t="s">
        <v>1935</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234</v>
      </c>
      <c r="C199" s="2" t="s">
        <v>241</v>
      </c>
      <c r="D199" s="2" t="s">
        <v>1936</v>
      </c>
      <c r="E199" s="2" t="s">
        <v>1224</v>
      </c>
      <c r="F199" s="2" t="s">
        <v>1248</v>
      </c>
      <c r="G199" s="2" t="s">
        <v>1937</v>
      </c>
      <c r="H199" s="2" t="s">
        <v>1938</v>
      </c>
      <c r="I199" s="2" t="s">
        <v>1476</v>
      </c>
      <c r="J199" s="2" t="s">
        <v>1939</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234</v>
      </c>
      <c r="C200" s="2" t="s">
        <v>241</v>
      </c>
      <c r="D200" s="2" t="s">
        <v>1940</v>
      </c>
      <c r="E200" s="2" t="s">
        <v>1224</v>
      </c>
      <c r="F200" s="2" t="s">
        <v>1248</v>
      </c>
      <c r="G200" s="2" t="s">
        <v>1941</v>
      </c>
      <c r="H200" s="2" t="s">
        <v>1942</v>
      </c>
      <c r="I200" s="2" t="s">
        <v>1476</v>
      </c>
      <c r="J200" s="2" t="s">
        <v>1943</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234</v>
      </c>
      <c r="C201" s="2" t="s">
        <v>241</v>
      </c>
      <c r="D201" s="2" t="s">
        <v>1944</v>
      </c>
      <c r="E201" s="2" t="s">
        <v>1224</v>
      </c>
      <c r="F201" s="2" t="s">
        <v>1248</v>
      </c>
      <c r="G201" s="2" t="s">
        <v>1945</v>
      </c>
      <c r="H201" s="2" t="s">
        <v>1946</v>
      </c>
      <c r="I201" s="2" t="s">
        <v>1476</v>
      </c>
      <c r="J201" s="2" t="s">
        <v>1947</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234</v>
      </c>
      <c r="C202" s="2" t="s">
        <v>241</v>
      </c>
      <c r="D202" s="2" t="s">
        <v>1948</v>
      </c>
      <c r="E202" s="2" t="s">
        <v>1224</v>
      </c>
      <c r="F202" s="2" t="s">
        <v>1248</v>
      </c>
      <c r="G202" s="2" t="s">
        <v>1949</v>
      </c>
      <c r="H202" s="2" t="s">
        <v>1950</v>
      </c>
      <c r="I202" s="2" t="s">
        <v>1203</v>
      </c>
      <c r="J202" s="2" t="s">
        <v>1951</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234</v>
      </c>
      <c r="C203" s="2" t="s">
        <v>241</v>
      </c>
      <c r="D203" s="2" t="s">
        <v>1952</v>
      </c>
      <c r="E203" s="2" t="s">
        <v>1224</v>
      </c>
      <c r="F203" s="2" t="s">
        <v>1248</v>
      </c>
      <c r="G203" s="2" t="s">
        <v>1953</v>
      </c>
      <c r="H203" s="2" t="s">
        <v>1954</v>
      </c>
      <c r="I203" s="2" t="s">
        <v>1476</v>
      </c>
      <c r="J203" s="2" t="s">
        <v>1955</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234</v>
      </c>
      <c r="C204" s="2" t="s">
        <v>241</v>
      </c>
      <c r="D204" s="2" t="s">
        <v>1956</v>
      </c>
      <c r="E204" s="2" t="s">
        <v>1224</v>
      </c>
      <c r="F204" s="2" t="s">
        <v>1248</v>
      </c>
      <c r="G204" s="2" t="s">
        <v>1953</v>
      </c>
      <c r="H204" s="2" t="s">
        <v>1957</v>
      </c>
      <c r="I204" s="2" t="s">
        <v>1476</v>
      </c>
      <c r="J204" s="2" t="s">
        <v>1958</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234</v>
      </c>
      <c r="C205" s="2" t="s">
        <v>241</v>
      </c>
      <c r="D205" s="2" t="s">
        <v>1959</v>
      </c>
      <c r="E205" s="2" t="s">
        <v>1224</v>
      </c>
      <c r="F205" s="2" t="s">
        <v>1248</v>
      </c>
      <c r="G205" s="2" t="s">
        <v>1953</v>
      </c>
      <c r="H205" s="2" t="s">
        <v>1960</v>
      </c>
      <c r="I205" s="2" t="s">
        <v>1476</v>
      </c>
      <c r="J205" s="2" t="s">
        <v>1961</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234</v>
      </c>
      <c r="C206" s="2" t="s">
        <v>241</v>
      </c>
      <c r="D206" s="2" t="s">
        <v>1962</v>
      </c>
      <c r="E206" s="2" t="s">
        <v>1224</v>
      </c>
      <c r="F206" s="2" t="s">
        <v>1248</v>
      </c>
      <c r="G206" s="2" t="s">
        <v>1953</v>
      </c>
      <c r="H206" s="2" t="s">
        <v>1963</v>
      </c>
      <c r="I206" s="2" t="s">
        <v>1476</v>
      </c>
      <c r="J206" s="2" t="s">
        <v>1964</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234</v>
      </c>
      <c r="C207" s="2" t="s">
        <v>241</v>
      </c>
      <c r="D207" s="2" t="s">
        <v>1965</v>
      </c>
      <c r="E207" s="2" t="s">
        <v>1224</v>
      </c>
      <c r="F207" s="2" t="s">
        <v>1248</v>
      </c>
      <c r="G207" s="2" t="s">
        <v>1953</v>
      </c>
      <c r="H207" s="2" t="s">
        <v>1966</v>
      </c>
      <c r="I207" s="2" t="s">
        <v>1476</v>
      </c>
      <c r="J207" s="2" t="s">
        <v>1967</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234</v>
      </c>
      <c r="C208" s="2" t="s">
        <v>241</v>
      </c>
      <c r="D208" s="2" t="s">
        <v>1968</v>
      </c>
      <c r="E208" s="2" t="s">
        <v>1224</v>
      </c>
      <c r="F208" s="2" t="s">
        <v>1248</v>
      </c>
      <c r="G208" s="2" t="s">
        <v>1953</v>
      </c>
      <c r="H208" s="2" t="s">
        <v>1969</v>
      </c>
      <c r="I208" s="2" t="s">
        <v>1476</v>
      </c>
      <c r="J208" s="2" t="s">
        <v>1970</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234</v>
      </c>
      <c r="C209" s="2" t="s">
        <v>241</v>
      </c>
      <c r="D209" s="2" t="s">
        <v>1971</v>
      </c>
      <c r="E209" s="2" t="s">
        <v>1224</v>
      </c>
      <c r="F209" s="2" t="s">
        <v>1248</v>
      </c>
      <c r="G209" s="2" t="s">
        <v>1972</v>
      </c>
      <c r="H209" s="2" t="s">
        <v>1973</v>
      </c>
      <c r="I209" s="2" t="s">
        <v>1476</v>
      </c>
      <c r="J209" s="2" t="s">
        <v>1974</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234</v>
      </c>
      <c r="C210" s="2" t="s">
        <v>241</v>
      </c>
      <c r="D210" s="2" t="s">
        <v>1975</v>
      </c>
      <c r="E210" s="2" t="s">
        <v>1224</v>
      </c>
      <c r="F210" s="2" t="s">
        <v>1248</v>
      </c>
      <c r="G210" s="2" t="s">
        <v>1976</v>
      </c>
      <c r="H210" s="2" t="s">
        <v>1977</v>
      </c>
      <c r="I210" s="2" t="s">
        <v>1476</v>
      </c>
      <c r="J210" s="2" t="s">
        <v>1978</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234</v>
      </c>
      <c r="C211" s="2" t="s">
        <v>241</v>
      </c>
      <c r="D211" s="2" t="s">
        <v>1979</v>
      </c>
      <c r="E211" s="2" t="s">
        <v>1224</v>
      </c>
      <c r="F211" s="2" t="s">
        <v>1248</v>
      </c>
      <c r="G211" s="2" t="s">
        <v>1976</v>
      </c>
      <c r="H211" s="2" t="s">
        <v>1980</v>
      </c>
      <c r="I211" s="2" t="s">
        <v>1476</v>
      </c>
      <c r="J211" s="2" t="s">
        <v>1981</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234</v>
      </c>
      <c r="C212" s="2" t="s">
        <v>241</v>
      </c>
      <c r="D212" s="2" t="s">
        <v>1982</v>
      </c>
      <c r="E212" s="2" t="s">
        <v>1224</v>
      </c>
      <c r="F212" s="2" t="s">
        <v>1248</v>
      </c>
      <c r="G212" s="2" t="s">
        <v>1983</v>
      </c>
      <c r="H212" s="2" t="s">
        <v>1984</v>
      </c>
      <c r="I212" s="2" t="s">
        <v>1476</v>
      </c>
      <c r="J212" s="2" t="s">
        <v>1985</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234</v>
      </c>
      <c r="C213" s="2" t="s">
        <v>241</v>
      </c>
      <c r="D213" s="2" t="s">
        <v>1986</v>
      </c>
      <c r="E213" s="2" t="s">
        <v>1224</v>
      </c>
      <c r="F213" s="2" t="s">
        <v>1248</v>
      </c>
      <c r="G213" s="2" t="s">
        <v>1987</v>
      </c>
      <c r="H213" s="2" t="s">
        <v>1988</v>
      </c>
      <c r="I213" s="2" t="s">
        <v>1476</v>
      </c>
      <c r="J213" s="2" t="s">
        <v>1989</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234</v>
      </c>
      <c r="C214" s="2" t="s">
        <v>241</v>
      </c>
      <c r="D214" s="2" t="s">
        <v>1990</v>
      </c>
      <c r="E214" s="2" t="s">
        <v>1224</v>
      </c>
      <c r="F214" s="2" t="s">
        <v>1248</v>
      </c>
      <c r="G214" s="2" t="s">
        <v>1987</v>
      </c>
      <c r="H214" s="2" t="s">
        <v>1991</v>
      </c>
      <c r="I214" s="2" t="s">
        <v>1476</v>
      </c>
      <c r="J214" s="2" t="s">
        <v>1992</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234</v>
      </c>
      <c r="C215" s="2" t="s">
        <v>241</v>
      </c>
      <c r="D215" s="2" t="s">
        <v>1993</v>
      </c>
      <c r="E215" s="2" t="s">
        <v>1224</v>
      </c>
      <c r="F215" s="2" t="s">
        <v>1248</v>
      </c>
      <c r="G215" s="2" t="s">
        <v>1987</v>
      </c>
      <c r="H215" s="2" t="s">
        <v>1994</v>
      </c>
      <c r="I215" s="2" t="s">
        <v>1476</v>
      </c>
      <c r="J215" s="2" t="s">
        <v>1995</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234</v>
      </c>
      <c r="C216" s="2" t="s">
        <v>241</v>
      </c>
      <c r="D216" s="2" t="s">
        <v>1996</v>
      </c>
      <c r="E216" s="2" t="s">
        <v>1224</v>
      </c>
      <c r="F216" s="2" t="s">
        <v>1248</v>
      </c>
      <c r="G216" s="2" t="s">
        <v>1997</v>
      </c>
      <c r="H216" s="2" t="s">
        <v>1998</v>
      </c>
      <c r="I216" s="2" t="s">
        <v>1476</v>
      </c>
      <c r="J216" s="2" t="s">
        <v>1999</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234</v>
      </c>
      <c r="C217" s="2" t="s">
        <v>241</v>
      </c>
      <c r="D217" s="2" t="s">
        <v>2000</v>
      </c>
      <c r="E217" s="2" t="s">
        <v>1224</v>
      </c>
      <c r="F217" s="2" t="s">
        <v>1225</v>
      </c>
      <c r="G217" s="2" t="s">
        <v>2001</v>
      </c>
      <c r="H217" s="2" t="s">
        <v>2002</v>
      </c>
      <c r="I217" s="2" t="s">
        <v>1203</v>
      </c>
      <c r="J217" s="2" t="s">
        <v>2003</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234</v>
      </c>
      <c r="C218" s="2" t="s">
        <v>241</v>
      </c>
      <c r="D218" s="2" t="s">
        <v>2004</v>
      </c>
      <c r="E218" s="2" t="s">
        <v>1224</v>
      </c>
      <c r="F218" s="2" t="s">
        <v>1248</v>
      </c>
      <c r="G218" s="2" t="s">
        <v>2005</v>
      </c>
      <c r="H218" s="2" t="s">
        <v>2006</v>
      </c>
      <c r="I218" s="2" t="s">
        <v>1476</v>
      </c>
      <c r="J218" s="2" t="s">
        <v>2007</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234</v>
      </c>
      <c r="C219" s="2" t="s">
        <v>241</v>
      </c>
      <c r="D219" s="2" t="s">
        <v>2008</v>
      </c>
      <c r="E219" s="2" t="s">
        <v>1224</v>
      </c>
      <c r="F219" s="2" t="s">
        <v>1248</v>
      </c>
      <c r="G219" s="2" t="s">
        <v>2009</v>
      </c>
      <c r="H219" s="2" t="s">
        <v>2010</v>
      </c>
      <c r="I219" s="2" t="s">
        <v>1476</v>
      </c>
      <c r="J219" s="2" t="s">
        <v>2011</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234</v>
      </c>
      <c r="C220" s="2" t="s">
        <v>241</v>
      </c>
      <c r="D220" s="2" t="s">
        <v>2012</v>
      </c>
      <c r="E220" s="2" t="s">
        <v>1224</v>
      </c>
      <c r="F220" s="2" t="s">
        <v>1248</v>
      </c>
      <c r="G220" s="2" t="s">
        <v>2013</v>
      </c>
      <c r="H220" s="2" t="s">
        <v>2014</v>
      </c>
      <c r="I220" s="2" t="s">
        <v>1476</v>
      </c>
      <c r="J220" s="2" t="s">
        <v>2015</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234</v>
      </c>
      <c r="C221" s="2" t="s">
        <v>241</v>
      </c>
      <c r="D221" s="2" t="s">
        <v>2016</v>
      </c>
      <c r="E221" s="2" t="s">
        <v>1224</v>
      </c>
      <c r="F221" s="2" t="s">
        <v>1248</v>
      </c>
      <c r="G221" s="2" t="s">
        <v>2017</v>
      </c>
      <c r="H221" s="2" t="s">
        <v>2018</v>
      </c>
      <c r="I221" s="2" t="s">
        <v>1476</v>
      </c>
      <c r="J221" s="2" t="s">
        <v>2019</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234</v>
      </c>
      <c r="C222" s="2" t="s">
        <v>241</v>
      </c>
      <c r="D222" s="2" t="s">
        <v>2020</v>
      </c>
      <c r="E222" s="2" t="s">
        <v>1224</v>
      </c>
      <c r="F222" s="2" t="s">
        <v>1248</v>
      </c>
      <c r="G222" s="2" t="s">
        <v>2021</v>
      </c>
      <c r="H222" s="2" t="s">
        <v>2022</v>
      </c>
      <c r="I222" s="2" t="s">
        <v>1476</v>
      </c>
      <c r="J222" s="2" t="s">
        <v>2023</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234</v>
      </c>
      <c r="C223" s="2" t="s">
        <v>241</v>
      </c>
      <c r="D223" s="2" t="s">
        <v>2024</v>
      </c>
      <c r="E223" s="2" t="s">
        <v>1224</v>
      </c>
      <c r="F223" s="2" t="s">
        <v>1248</v>
      </c>
      <c r="G223" s="2" t="s">
        <v>2025</v>
      </c>
      <c r="H223" s="2" t="s">
        <v>2026</v>
      </c>
      <c r="I223" s="2" t="s">
        <v>1476</v>
      </c>
      <c r="J223" s="2" t="s">
        <v>2027</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234</v>
      </c>
      <c r="C224" s="2" t="s">
        <v>241</v>
      </c>
      <c r="D224" s="2" t="s">
        <v>2028</v>
      </c>
      <c r="E224" s="2" t="s">
        <v>1224</v>
      </c>
      <c r="F224" s="2" t="s">
        <v>1248</v>
      </c>
      <c r="G224" s="2" t="s">
        <v>2029</v>
      </c>
      <c r="H224" s="2" t="s">
        <v>2030</v>
      </c>
      <c r="I224" s="2" t="s">
        <v>1476</v>
      </c>
      <c r="J224" s="2" t="s">
        <v>2031</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234</v>
      </c>
      <c r="C225" s="2" t="s">
        <v>241</v>
      </c>
      <c r="D225" s="2" t="s">
        <v>2032</v>
      </c>
      <c r="E225" s="2" t="s">
        <v>1224</v>
      </c>
      <c r="F225" s="2" t="s">
        <v>1248</v>
      </c>
      <c r="G225" s="2" t="s">
        <v>2029</v>
      </c>
      <c r="H225" s="2" t="s">
        <v>2033</v>
      </c>
      <c r="I225" s="2" t="s">
        <v>1476</v>
      </c>
      <c r="J225" s="2" t="s">
        <v>2034</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234</v>
      </c>
      <c r="C226" s="2" t="s">
        <v>241</v>
      </c>
      <c r="D226" s="2" t="s">
        <v>2035</v>
      </c>
      <c r="E226" s="2" t="s">
        <v>1224</v>
      </c>
      <c r="F226" s="2" t="s">
        <v>1248</v>
      </c>
      <c r="G226" s="2" t="s">
        <v>819</v>
      </c>
      <c r="H226" s="2" t="s">
        <v>2036</v>
      </c>
      <c r="I226" s="2" t="s">
        <v>1476</v>
      </c>
      <c r="J226" s="2" t="s">
        <v>2037</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234</v>
      </c>
      <c r="C227" s="2" t="s">
        <v>241</v>
      </c>
      <c r="D227" s="2" t="s">
        <v>2038</v>
      </c>
      <c r="E227" s="2" t="s">
        <v>1224</v>
      </c>
      <c r="F227" s="2" t="s">
        <v>1248</v>
      </c>
      <c r="G227" s="2" t="s">
        <v>2039</v>
      </c>
      <c r="H227" s="2" t="s">
        <v>2040</v>
      </c>
      <c r="I227" s="2" t="s">
        <v>1476</v>
      </c>
      <c r="J227" s="2" t="s">
        <v>2041</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234</v>
      </c>
      <c r="C228" s="2" t="s">
        <v>241</v>
      </c>
      <c r="D228" s="2" t="s">
        <v>2042</v>
      </c>
      <c r="E228" s="2" t="s">
        <v>1224</v>
      </c>
      <c r="F228" s="2" t="s">
        <v>1248</v>
      </c>
      <c r="G228" s="2" t="s">
        <v>2043</v>
      </c>
      <c r="H228" s="2" t="s">
        <v>2044</v>
      </c>
      <c r="I228" s="2" t="s">
        <v>1476</v>
      </c>
      <c r="J228" s="2" t="s">
        <v>2045</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234</v>
      </c>
      <c r="C229" s="2" t="s">
        <v>241</v>
      </c>
      <c r="D229" s="2" t="s">
        <v>2046</v>
      </c>
      <c r="E229" s="2" t="s">
        <v>1224</v>
      </c>
      <c r="F229" s="2" t="s">
        <v>1248</v>
      </c>
      <c r="G229" s="2" t="s">
        <v>2047</v>
      </c>
      <c r="H229" s="2" t="s">
        <v>2048</v>
      </c>
      <c r="I229" s="2" t="s">
        <v>1476</v>
      </c>
      <c r="J229" s="2" t="s">
        <v>2049</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234</v>
      </c>
      <c r="C230" s="2" t="s">
        <v>241</v>
      </c>
      <c r="D230" s="2" t="s">
        <v>2050</v>
      </c>
      <c r="E230" s="2" t="s">
        <v>1224</v>
      </c>
      <c r="F230" s="2" t="s">
        <v>1248</v>
      </c>
      <c r="G230" s="2" t="s">
        <v>741</v>
      </c>
      <c r="H230" s="2" t="s">
        <v>2051</v>
      </c>
      <c r="I230" s="2" t="s">
        <v>1476</v>
      </c>
      <c r="J230" s="2" t="s">
        <v>2052</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234</v>
      </c>
      <c r="C231" s="2" t="s">
        <v>241</v>
      </c>
      <c r="D231" s="2" t="s">
        <v>2053</v>
      </c>
      <c r="E231" s="2" t="s">
        <v>1224</v>
      </c>
      <c r="F231" s="2" t="s">
        <v>1248</v>
      </c>
      <c r="G231" s="2" t="s">
        <v>741</v>
      </c>
      <c r="H231" s="2" t="s">
        <v>2054</v>
      </c>
      <c r="I231" s="2" t="s">
        <v>1476</v>
      </c>
      <c r="J231" s="2" t="s">
        <v>2055</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234</v>
      </c>
      <c r="C232" s="2" t="s">
        <v>241</v>
      </c>
      <c r="D232" s="2" t="s">
        <v>2056</v>
      </c>
      <c r="E232" s="2" t="s">
        <v>1224</v>
      </c>
      <c r="F232" s="2" t="s">
        <v>1248</v>
      </c>
      <c r="G232" s="2" t="s">
        <v>741</v>
      </c>
      <c r="H232" s="2" t="s">
        <v>2057</v>
      </c>
      <c r="I232" s="2" t="s">
        <v>1476</v>
      </c>
      <c r="J232" s="2" t="s">
        <v>2058</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234</v>
      </c>
      <c r="C233" s="2" t="s">
        <v>241</v>
      </c>
      <c r="D233" s="2" t="s">
        <v>2059</v>
      </c>
      <c r="E233" s="2" t="s">
        <v>1224</v>
      </c>
      <c r="F233" s="2" t="s">
        <v>1248</v>
      </c>
      <c r="G233" s="2" t="s">
        <v>2060</v>
      </c>
      <c r="H233" s="2" t="s">
        <v>2061</v>
      </c>
      <c r="I233" s="2" t="s">
        <v>1476</v>
      </c>
      <c r="J233" s="2" t="s">
        <v>2062</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234</v>
      </c>
      <c r="C234" s="2" t="s">
        <v>241</v>
      </c>
      <c r="D234" s="2" t="s">
        <v>2063</v>
      </c>
      <c r="E234" s="2" t="s">
        <v>1224</v>
      </c>
      <c r="F234" s="2" t="s">
        <v>1248</v>
      </c>
      <c r="G234" s="2" t="s">
        <v>2064</v>
      </c>
      <c r="H234" s="2" t="s">
        <v>2065</v>
      </c>
      <c r="I234" s="2" t="s">
        <v>1476</v>
      </c>
      <c r="J234" s="2" t="s">
        <v>2066</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234</v>
      </c>
      <c r="C235" s="2" t="s">
        <v>241</v>
      </c>
      <c r="D235" s="2" t="s">
        <v>2067</v>
      </c>
      <c r="E235" s="2" t="s">
        <v>1224</v>
      </c>
      <c r="F235" s="2" t="s">
        <v>1248</v>
      </c>
      <c r="G235" s="2" t="s">
        <v>883</v>
      </c>
      <c r="H235" s="2" t="s">
        <v>2068</v>
      </c>
      <c r="I235" s="2" t="s">
        <v>1476</v>
      </c>
      <c r="J235" s="2" t="s">
        <v>2069</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234</v>
      </c>
      <c r="C236" s="2" t="s">
        <v>241</v>
      </c>
      <c r="D236" s="2" t="s">
        <v>2070</v>
      </c>
      <c r="E236" s="2" t="s">
        <v>1224</v>
      </c>
      <c r="F236" s="2" t="s">
        <v>1248</v>
      </c>
      <c r="G236" s="2" t="s">
        <v>1107</v>
      </c>
      <c r="H236" s="2" t="s">
        <v>2071</v>
      </c>
      <c r="I236" s="2" t="s">
        <v>1476</v>
      </c>
      <c r="J236" s="2" t="s">
        <v>2072</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234</v>
      </c>
      <c r="C237" s="2" t="s">
        <v>241</v>
      </c>
      <c r="D237" s="2" t="s">
        <v>2073</v>
      </c>
      <c r="E237" s="2" t="s">
        <v>1224</v>
      </c>
      <c r="F237" s="2" t="s">
        <v>1248</v>
      </c>
      <c r="G237" s="2" t="s">
        <v>2074</v>
      </c>
      <c r="H237" s="2" t="s">
        <v>2075</v>
      </c>
      <c r="I237" s="2" t="s">
        <v>1476</v>
      </c>
      <c r="J237" s="2" t="s">
        <v>2076</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234</v>
      </c>
      <c r="C238" s="2" t="s">
        <v>241</v>
      </c>
      <c r="D238" s="2" t="s">
        <v>2077</v>
      </c>
      <c r="E238" s="2" t="s">
        <v>1224</v>
      </c>
      <c r="F238" s="2" t="s">
        <v>1248</v>
      </c>
      <c r="G238" s="2" t="s">
        <v>2074</v>
      </c>
      <c r="H238" s="2" t="s">
        <v>2078</v>
      </c>
      <c r="I238" s="2" t="s">
        <v>1476</v>
      </c>
      <c r="J238" s="2" t="s">
        <v>2079</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234</v>
      </c>
      <c r="C239" s="2" t="s">
        <v>241</v>
      </c>
      <c r="D239" s="2" t="s">
        <v>2080</v>
      </c>
      <c r="E239" s="2" t="s">
        <v>1224</v>
      </c>
      <c r="F239" s="2" t="s">
        <v>1248</v>
      </c>
      <c r="G239" s="2" t="s">
        <v>950</v>
      </c>
      <c r="H239" s="2" t="s">
        <v>2081</v>
      </c>
      <c r="I239" s="2" t="s">
        <v>1476</v>
      </c>
      <c r="J239" s="2" t="s">
        <v>2082</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234</v>
      </c>
      <c r="C240" s="2" t="s">
        <v>241</v>
      </c>
      <c r="D240" s="2" t="s">
        <v>2083</v>
      </c>
      <c r="E240" s="2" t="s">
        <v>1224</v>
      </c>
      <c r="F240" s="2" t="s">
        <v>1248</v>
      </c>
      <c r="G240" s="2" t="s">
        <v>932</v>
      </c>
      <c r="H240" s="2" t="s">
        <v>2084</v>
      </c>
      <c r="I240" s="2" t="s">
        <v>1476</v>
      </c>
      <c r="J240" s="2" t="s">
        <v>2085</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234</v>
      </c>
      <c r="C241" s="2" t="s">
        <v>241</v>
      </c>
      <c r="D241" s="2" t="s">
        <v>2086</v>
      </c>
      <c r="E241" s="2" t="s">
        <v>1224</v>
      </c>
      <c r="F241" s="2" t="s">
        <v>1248</v>
      </c>
      <c r="G241" s="2" t="s">
        <v>932</v>
      </c>
      <c r="H241" s="2" t="s">
        <v>2087</v>
      </c>
      <c r="I241" s="2" t="s">
        <v>1476</v>
      </c>
      <c r="J241" s="2" t="s">
        <v>2088</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234</v>
      </c>
      <c r="C242" s="2" t="s">
        <v>241</v>
      </c>
      <c r="D242" s="2" t="s">
        <v>2089</v>
      </c>
      <c r="E242" s="2" t="s">
        <v>1224</v>
      </c>
      <c r="F242" s="2" t="s">
        <v>1248</v>
      </c>
      <c r="G242" s="2" t="s">
        <v>932</v>
      </c>
      <c r="H242" s="2" t="s">
        <v>2090</v>
      </c>
      <c r="I242" s="2" t="s">
        <v>1476</v>
      </c>
      <c r="J242" s="2" t="s">
        <v>2091</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234</v>
      </c>
      <c r="C243" s="2" t="s">
        <v>241</v>
      </c>
      <c r="D243" s="2" t="s">
        <v>2092</v>
      </c>
      <c r="E243" s="2" t="s">
        <v>1224</v>
      </c>
      <c r="F243" s="2" t="s">
        <v>1248</v>
      </c>
      <c r="G243" s="2" t="s">
        <v>2093</v>
      </c>
      <c r="H243" s="2" t="s">
        <v>2094</v>
      </c>
      <c r="I243" s="2" t="s">
        <v>1476</v>
      </c>
      <c r="J243" s="2" t="s">
        <v>2095</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234</v>
      </c>
      <c r="C244" s="2" t="s">
        <v>241</v>
      </c>
      <c r="D244" s="2" t="s">
        <v>2096</v>
      </c>
      <c r="E244" s="2" t="s">
        <v>1224</v>
      </c>
      <c r="F244" s="2" t="s">
        <v>1248</v>
      </c>
      <c r="G244" s="2" t="s">
        <v>2093</v>
      </c>
      <c r="H244" s="2" t="s">
        <v>2097</v>
      </c>
      <c r="I244" s="2" t="s">
        <v>1476</v>
      </c>
      <c r="J244" s="2" t="s">
        <v>2098</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234</v>
      </c>
      <c r="C245" s="2" t="s">
        <v>241</v>
      </c>
      <c r="D245" s="2" t="s">
        <v>2099</v>
      </c>
      <c r="E245" s="2" t="s">
        <v>1224</v>
      </c>
      <c r="F245" s="2" t="s">
        <v>1248</v>
      </c>
      <c r="G245" s="2" t="s">
        <v>2100</v>
      </c>
      <c r="H245" s="2" t="s">
        <v>2101</v>
      </c>
      <c r="I245" s="2" t="s">
        <v>1476</v>
      </c>
      <c r="J245" s="2" t="s">
        <v>2102</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234</v>
      </c>
      <c r="C246" s="2" t="s">
        <v>241</v>
      </c>
      <c r="D246" s="2" t="s">
        <v>2103</v>
      </c>
      <c r="E246" s="2" t="s">
        <v>1224</v>
      </c>
      <c r="F246" s="2" t="s">
        <v>1225</v>
      </c>
      <c r="G246" s="2" t="s">
        <v>2100</v>
      </c>
      <c r="H246" s="2" t="s">
        <v>2104</v>
      </c>
      <c r="I246" s="2" t="s">
        <v>1203</v>
      </c>
      <c r="J246" s="2" t="s">
        <v>2105</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234</v>
      </c>
      <c r="C247" s="2" t="s">
        <v>241</v>
      </c>
      <c r="D247" s="2" t="s">
        <v>2106</v>
      </c>
      <c r="E247" s="2" t="s">
        <v>1224</v>
      </c>
      <c r="F247" s="2" t="s">
        <v>1248</v>
      </c>
      <c r="G247" s="2" t="s">
        <v>917</v>
      </c>
      <c r="H247" s="2" t="s">
        <v>2107</v>
      </c>
      <c r="I247" s="2" t="s">
        <v>1476</v>
      </c>
      <c r="J247" s="2" t="s">
        <v>2108</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234</v>
      </c>
      <c r="C248" s="2" t="s">
        <v>241</v>
      </c>
      <c r="D248" s="2" t="s">
        <v>2109</v>
      </c>
      <c r="E248" s="2" t="s">
        <v>1224</v>
      </c>
      <c r="F248" s="2" t="s">
        <v>1225</v>
      </c>
      <c r="G248" s="2" t="s">
        <v>990</v>
      </c>
      <c r="H248" s="2" t="s">
        <v>2110</v>
      </c>
      <c r="I248" s="2" t="s">
        <v>1203</v>
      </c>
      <c r="J248" s="2" t="s">
        <v>2111</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234</v>
      </c>
      <c r="C249" s="2" t="s">
        <v>241</v>
      </c>
      <c r="D249" s="2" t="s">
        <v>2112</v>
      </c>
      <c r="E249" s="2" t="s">
        <v>1224</v>
      </c>
      <c r="F249" s="2" t="s">
        <v>1248</v>
      </c>
      <c r="G249" s="2" t="s">
        <v>2113</v>
      </c>
      <c r="H249" s="2" t="s">
        <v>2114</v>
      </c>
      <c r="I249" s="2" t="s">
        <v>1476</v>
      </c>
      <c r="J249" s="2" t="s">
        <v>2115</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234</v>
      </c>
      <c r="C250" s="2" t="s">
        <v>241</v>
      </c>
      <c r="D250" s="2" t="s">
        <v>2116</v>
      </c>
      <c r="E250" s="2" t="s">
        <v>1224</v>
      </c>
      <c r="F250" s="2" t="s">
        <v>1248</v>
      </c>
      <c r="G250" s="2" t="s">
        <v>304</v>
      </c>
      <c r="H250" s="2" t="s">
        <v>2117</v>
      </c>
      <c r="I250" s="2" t="s">
        <v>1476</v>
      </c>
      <c r="J250" s="2" t="s">
        <v>2118</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234</v>
      </c>
      <c r="C251" s="2" t="s">
        <v>241</v>
      </c>
      <c r="D251" s="2" t="s">
        <v>2119</v>
      </c>
      <c r="E251" s="2" t="s">
        <v>1224</v>
      </c>
      <c r="F251" s="2" t="s">
        <v>1248</v>
      </c>
      <c r="G251" s="2" t="s">
        <v>2120</v>
      </c>
      <c r="H251" s="2" t="s">
        <v>2121</v>
      </c>
      <c r="I251" s="2" t="s">
        <v>1476</v>
      </c>
      <c r="J251" s="2" t="s">
        <v>2122</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234</v>
      </c>
      <c r="C252" s="2" t="s">
        <v>241</v>
      </c>
      <c r="D252" s="2" t="s">
        <v>2123</v>
      </c>
      <c r="E252" s="2" t="s">
        <v>1224</v>
      </c>
      <c r="F252" s="2" t="s">
        <v>1248</v>
      </c>
      <c r="G252" s="2" t="s">
        <v>2124</v>
      </c>
      <c r="H252" s="2" t="s">
        <v>2125</v>
      </c>
      <c r="I252" s="2" t="s">
        <v>1476</v>
      </c>
      <c r="J252" s="2" t="s">
        <v>2126</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234</v>
      </c>
      <c r="C253" s="2" t="s">
        <v>241</v>
      </c>
      <c r="D253" s="2" t="s">
        <v>2127</v>
      </c>
      <c r="E253" s="2" t="s">
        <v>1224</v>
      </c>
      <c r="F253" s="2" t="s">
        <v>1248</v>
      </c>
      <c r="G253" s="2" t="s">
        <v>2128</v>
      </c>
      <c r="H253" s="2" t="s">
        <v>2129</v>
      </c>
      <c r="I253" s="2" t="s">
        <v>1476</v>
      </c>
      <c r="J253" s="2" t="s">
        <v>2130</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248</v>
      </c>
      <c r="C254" s="2" t="s">
        <v>253</v>
      </c>
      <c r="D254" s="2" t="s">
        <v>2131</v>
      </c>
      <c r="E254" s="2" t="s">
        <v>1199</v>
      </c>
      <c r="F254" s="2" t="s">
        <v>1239</v>
      </c>
      <c r="G254" s="2" t="s">
        <v>2132</v>
      </c>
      <c r="H254" s="2" t="s">
        <v>2133</v>
      </c>
      <c r="I254" s="2" t="s">
        <v>1203</v>
      </c>
      <c r="J254" s="2" t="s">
        <v>2134</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1205</v>
      </c>
    </row>
    <row r="255" customFormat="false" ht="15" hidden="false" customHeight="false" outlineLevel="0" collapsed="false">
      <c r="A255" s="2" t="n">
        <v>15</v>
      </c>
      <c r="B255" s="2" t="s">
        <v>248</v>
      </c>
      <c r="C255" s="2" t="s">
        <v>253</v>
      </c>
      <c r="D255" s="2" t="s">
        <v>2135</v>
      </c>
      <c r="E255" s="2" t="s">
        <v>1199</v>
      </c>
      <c r="F255" s="2" t="s">
        <v>1239</v>
      </c>
      <c r="G255" s="2" t="s">
        <v>2132</v>
      </c>
      <c r="H255" s="2" t="s">
        <v>2136</v>
      </c>
      <c r="I255" s="2" t="s">
        <v>1203</v>
      </c>
      <c r="J255" s="2" t="s">
        <v>2137</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1205</v>
      </c>
    </row>
    <row r="256" customFormat="false" ht="15" hidden="false" customHeight="false" outlineLevel="0" collapsed="false">
      <c r="A256" s="2" t="n">
        <v>15</v>
      </c>
      <c r="B256" s="2" t="s">
        <v>248</v>
      </c>
      <c r="C256" s="2" t="s">
        <v>253</v>
      </c>
      <c r="D256" s="2" t="s">
        <v>2138</v>
      </c>
      <c r="E256" s="2" t="s">
        <v>1199</v>
      </c>
      <c r="F256" s="2" t="s">
        <v>1239</v>
      </c>
      <c r="G256" s="2" t="s">
        <v>998</v>
      </c>
      <c r="H256" s="2" t="s">
        <v>2139</v>
      </c>
      <c r="I256" s="2" t="s">
        <v>1203</v>
      </c>
      <c r="J256" s="2" t="s">
        <v>2140</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1205</v>
      </c>
    </row>
    <row r="257" customFormat="false" ht="15" hidden="false" customHeight="false" outlineLevel="0" collapsed="false">
      <c r="A257" s="2" t="n">
        <v>16</v>
      </c>
      <c r="B257" s="2" t="s">
        <v>259</v>
      </c>
      <c r="C257" s="2" t="s">
        <v>265</v>
      </c>
      <c r="D257" s="2" t="s">
        <v>2141</v>
      </c>
      <c r="E257" s="2" t="s">
        <v>1207</v>
      </c>
      <c r="F257" s="2" t="s">
        <v>1208</v>
      </c>
      <c r="G257" s="2" t="s">
        <v>2142</v>
      </c>
      <c r="H257" s="2" t="s">
        <v>2143</v>
      </c>
      <c r="I257" s="2" t="s">
        <v>1203</v>
      </c>
      <c r="J257" s="2" t="s">
        <v>2144</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259</v>
      </c>
      <c r="C258" s="2" t="s">
        <v>265</v>
      </c>
      <c r="D258" s="2" t="s">
        <v>2145</v>
      </c>
      <c r="E258" s="2" t="s">
        <v>1207</v>
      </c>
      <c r="F258" s="2" t="s">
        <v>1208</v>
      </c>
      <c r="G258" s="2" t="s">
        <v>2146</v>
      </c>
      <c r="H258" s="2" t="s">
        <v>2147</v>
      </c>
      <c r="I258" s="2" t="s">
        <v>1203</v>
      </c>
      <c r="J258" s="2" t="s">
        <v>2148</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259</v>
      </c>
      <c r="C259" s="2" t="s">
        <v>265</v>
      </c>
      <c r="D259" s="2" t="s">
        <v>2149</v>
      </c>
      <c r="E259" s="2" t="s">
        <v>1224</v>
      </c>
      <c r="F259" s="2" t="s">
        <v>1225</v>
      </c>
      <c r="G259" s="2" t="s">
        <v>468</v>
      </c>
      <c r="H259" s="2" t="s">
        <v>2150</v>
      </c>
      <c r="I259" s="2" t="s">
        <v>1203</v>
      </c>
      <c r="J259" s="2" t="s">
        <v>2151</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271</v>
      </c>
      <c r="C260" s="2" t="s">
        <v>277</v>
      </c>
      <c r="D260" s="2" t="s">
        <v>2152</v>
      </c>
      <c r="E260" s="2" t="s">
        <v>1207</v>
      </c>
      <c r="F260" s="2" t="s">
        <v>2153</v>
      </c>
      <c r="G260" s="2" t="s">
        <v>280</v>
      </c>
      <c r="H260" s="2" t="s">
        <v>2154</v>
      </c>
      <c r="I260" s="2" t="s">
        <v>1203</v>
      </c>
      <c r="J260" s="2" t="s">
        <v>2155</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271</v>
      </c>
      <c r="C261" s="2" t="s">
        <v>277</v>
      </c>
      <c r="D261" s="2" t="s">
        <v>2156</v>
      </c>
      <c r="E261" s="2" t="s">
        <v>1207</v>
      </c>
      <c r="F261" s="2" t="s">
        <v>1208</v>
      </c>
      <c r="G261" s="2" t="s">
        <v>2157</v>
      </c>
      <c r="H261" s="2" t="s">
        <v>2158</v>
      </c>
      <c r="I261" s="2" t="s">
        <v>1203</v>
      </c>
      <c r="J261" s="2" t="s">
        <v>2159</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271</v>
      </c>
      <c r="C262" s="2" t="s">
        <v>277</v>
      </c>
      <c r="D262" s="2" t="s">
        <v>2160</v>
      </c>
      <c r="E262" s="2" t="s">
        <v>1207</v>
      </c>
      <c r="F262" s="2" t="s">
        <v>2153</v>
      </c>
      <c r="G262" s="2" t="s">
        <v>2161</v>
      </c>
      <c r="H262" s="2" t="s">
        <v>2162</v>
      </c>
      <c r="I262" s="2" t="s">
        <v>1203</v>
      </c>
      <c r="J262" s="2" t="s">
        <v>2163</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271</v>
      </c>
      <c r="C263" s="2" t="s">
        <v>277</v>
      </c>
      <c r="D263" s="2" t="s">
        <v>2164</v>
      </c>
      <c r="E263" s="2" t="s">
        <v>1207</v>
      </c>
      <c r="F263" s="2" t="s">
        <v>2153</v>
      </c>
      <c r="G263" s="2" t="s">
        <v>2165</v>
      </c>
      <c r="H263" s="2" t="s">
        <v>2166</v>
      </c>
      <c r="I263" s="2" t="s">
        <v>1203</v>
      </c>
      <c r="J263" s="2" t="s">
        <v>2167</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271</v>
      </c>
      <c r="C264" s="2" t="s">
        <v>277</v>
      </c>
      <c r="D264" s="2" t="s">
        <v>2168</v>
      </c>
      <c r="E264" s="2" t="s">
        <v>1207</v>
      </c>
      <c r="F264" s="2" t="s">
        <v>2153</v>
      </c>
      <c r="G264" s="2" t="s">
        <v>2169</v>
      </c>
      <c r="H264" s="2" t="s">
        <v>2170</v>
      </c>
      <c r="I264" s="2" t="s">
        <v>1203</v>
      </c>
      <c r="J264" s="2" t="s">
        <v>2171</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271</v>
      </c>
      <c r="C265" s="2" t="s">
        <v>277</v>
      </c>
      <c r="D265" s="2" t="s">
        <v>2172</v>
      </c>
      <c r="E265" s="2" t="s">
        <v>1207</v>
      </c>
      <c r="F265" s="2" t="s">
        <v>2153</v>
      </c>
      <c r="G265" s="2" t="s">
        <v>2173</v>
      </c>
      <c r="H265" s="2" t="s">
        <v>2174</v>
      </c>
      <c r="I265" s="2" t="s">
        <v>1203</v>
      </c>
      <c r="J265" s="2" t="s">
        <v>2175</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271</v>
      </c>
      <c r="C266" s="2" t="s">
        <v>277</v>
      </c>
      <c r="D266" s="2" t="s">
        <v>2176</v>
      </c>
      <c r="E266" s="2" t="s">
        <v>1207</v>
      </c>
      <c r="F266" s="2" t="s">
        <v>2153</v>
      </c>
      <c r="G266" s="2" t="s">
        <v>2173</v>
      </c>
      <c r="H266" s="2" t="s">
        <v>2177</v>
      </c>
      <c r="I266" s="2" t="s">
        <v>1203</v>
      </c>
      <c r="J266" s="2" t="s">
        <v>2178</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271</v>
      </c>
      <c r="C267" s="2" t="s">
        <v>277</v>
      </c>
      <c r="D267" s="2" t="s">
        <v>2179</v>
      </c>
      <c r="E267" s="2" t="s">
        <v>1207</v>
      </c>
      <c r="F267" s="2" t="s">
        <v>2153</v>
      </c>
      <c r="G267" s="2" t="s">
        <v>2173</v>
      </c>
      <c r="H267" s="2" t="s">
        <v>2180</v>
      </c>
      <c r="I267" s="2" t="s">
        <v>1203</v>
      </c>
      <c r="J267" s="2" t="s">
        <v>2181</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271</v>
      </c>
      <c r="C268" s="2" t="s">
        <v>277</v>
      </c>
      <c r="D268" s="2" t="s">
        <v>2182</v>
      </c>
      <c r="E268" s="2" t="s">
        <v>1207</v>
      </c>
      <c r="F268" s="2" t="s">
        <v>2153</v>
      </c>
      <c r="G268" s="2" t="s">
        <v>2183</v>
      </c>
      <c r="H268" s="2" t="s">
        <v>2184</v>
      </c>
      <c r="I268" s="2" t="s">
        <v>1203</v>
      </c>
      <c r="J268" s="2" t="s">
        <v>2185</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271</v>
      </c>
      <c r="C269" s="2" t="s">
        <v>277</v>
      </c>
      <c r="D269" s="2" t="s">
        <v>2186</v>
      </c>
      <c r="E269" s="2" t="s">
        <v>1207</v>
      </c>
      <c r="F269" s="2" t="s">
        <v>2153</v>
      </c>
      <c r="G269" s="2" t="s">
        <v>2187</v>
      </c>
      <c r="H269" s="2" t="s">
        <v>2188</v>
      </c>
      <c r="I269" s="2" t="s">
        <v>1203</v>
      </c>
      <c r="J269" s="2" t="s">
        <v>2189</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271</v>
      </c>
      <c r="C270" s="2" t="s">
        <v>277</v>
      </c>
      <c r="D270" s="2" t="s">
        <v>2190</v>
      </c>
      <c r="E270" s="2" t="s">
        <v>1207</v>
      </c>
      <c r="F270" s="2" t="s">
        <v>2153</v>
      </c>
      <c r="G270" s="2" t="s">
        <v>2191</v>
      </c>
      <c r="H270" s="2" t="s">
        <v>2192</v>
      </c>
      <c r="I270" s="2" t="s">
        <v>1203</v>
      </c>
      <c r="J270" s="2" t="s">
        <v>2193</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271</v>
      </c>
      <c r="C271" s="2" t="s">
        <v>277</v>
      </c>
      <c r="D271" s="2" t="s">
        <v>2194</v>
      </c>
      <c r="E271" s="2" t="s">
        <v>1207</v>
      </c>
      <c r="F271" s="2" t="s">
        <v>2153</v>
      </c>
      <c r="G271" s="2" t="s">
        <v>2195</v>
      </c>
      <c r="H271" s="2" t="s">
        <v>2196</v>
      </c>
      <c r="I271" s="2" t="s">
        <v>1203</v>
      </c>
      <c r="J271" s="2" t="s">
        <v>2197</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271</v>
      </c>
      <c r="C272" s="2" t="s">
        <v>277</v>
      </c>
      <c r="D272" s="2" t="s">
        <v>2198</v>
      </c>
      <c r="E272" s="2" t="s">
        <v>1207</v>
      </c>
      <c r="F272" s="2" t="s">
        <v>2153</v>
      </c>
      <c r="G272" s="2" t="s">
        <v>2199</v>
      </c>
      <c r="H272" s="2" t="s">
        <v>2200</v>
      </c>
      <c r="I272" s="2" t="s">
        <v>1203</v>
      </c>
      <c r="J272" s="2" t="s">
        <v>2201</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271</v>
      </c>
      <c r="C273" s="2" t="s">
        <v>277</v>
      </c>
      <c r="D273" s="2" t="s">
        <v>2202</v>
      </c>
      <c r="E273" s="2" t="s">
        <v>1207</v>
      </c>
      <c r="F273" s="2" t="s">
        <v>2153</v>
      </c>
      <c r="G273" s="2" t="s">
        <v>2203</v>
      </c>
      <c r="H273" s="2" t="s">
        <v>2204</v>
      </c>
      <c r="I273" s="2" t="s">
        <v>1203</v>
      </c>
      <c r="J273" s="2" t="s">
        <v>2205</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271</v>
      </c>
      <c r="C274" s="2" t="s">
        <v>277</v>
      </c>
      <c r="D274" s="2" t="s">
        <v>2206</v>
      </c>
      <c r="E274" s="2" t="s">
        <v>1207</v>
      </c>
      <c r="F274" s="2" t="s">
        <v>2153</v>
      </c>
      <c r="G274" s="2" t="s">
        <v>2207</v>
      </c>
      <c r="H274" s="2" t="s">
        <v>2208</v>
      </c>
      <c r="I274" s="2" t="s">
        <v>1203</v>
      </c>
      <c r="J274" s="2" t="s">
        <v>2209</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271</v>
      </c>
      <c r="C275" s="2" t="s">
        <v>277</v>
      </c>
      <c r="D275" s="2" t="s">
        <v>2210</v>
      </c>
      <c r="E275" s="2" t="s">
        <v>1207</v>
      </c>
      <c r="F275" s="2" t="s">
        <v>2153</v>
      </c>
      <c r="G275" s="2" t="s">
        <v>2207</v>
      </c>
      <c r="H275" s="2" t="s">
        <v>2211</v>
      </c>
      <c r="I275" s="2" t="s">
        <v>1203</v>
      </c>
      <c r="J275" s="2" t="s">
        <v>2212</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271</v>
      </c>
      <c r="C276" s="2" t="s">
        <v>277</v>
      </c>
      <c r="D276" s="2" t="s">
        <v>2213</v>
      </c>
      <c r="E276" s="2" t="s">
        <v>1207</v>
      </c>
      <c r="F276" s="2" t="s">
        <v>2153</v>
      </c>
      <c r="G276" s="2" t="s">
        <v>2214</v>
      </c>
      <c r="H276" s="2" t="s">
        <v>2215</v>
      </c>
      <c r="I276" s="2" t="s">
        <v>1203</v>
      </c>
      <c r="J276" s="2" t="s">
        <v>2216</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271</v>
      </c>
      <c r="C277" s="2" t="s">
        <v>277</v>
      </c>
      <c r="D277" s="2" t="s">
        <v>2217</v>
      </c>
      <c r="E277" s="2" t="s">
        <v>1224</v>
      </c>
      <c r="F277" s="2" t="s">
        <v>1248</v>
      </c>
      <c r="G277" s="2" t="s">
        <v>2218</v>
      </c>
      <c r="H277" s="2" t="s">
        <v>2219</v>
      </c>
      <c r="I277" s="2" t="s">
        <v>1203</v>
      </c>
      <c r="J277" s="2" t="s">
        <v>2220</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271</v>
      </c>
      <c r="C278" s="2" t="s">
        <v>277</v>
      </c>
      <c r="D278" s="2" t="s">
        <v>2221</v>
      </c>
      <c r="E278" s="2" t="s">
        <v>1207</v>
      </c>
      <c r="F278" s="2" t="s">
        <v>2153</v>
      </c>
      <c r="G278" s="2" t="s">
        <v>281</v>
      </c>
      <c r="H278" s="2" t="s">
        <v>2222</v>
      </c>
      <c r="I278" s="2" t="s">
        <v>1203</v>
      </c>
      <c r="J278" s="2" t="s">
        <v>2223</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283</v>
      </c>
      <c r="C279" s="2" t="s">
        <v>288</v>
      </c>
      <c r="D279" s="2" t="s">
        <v>2224</v>
      </c>
      <c r="E279" s="2" t="s">
        <v>1199</v>
      </c>
      <c r="F279" s="2" t="s">
        <v>1239</v>
      </c>
      <c r="G279" s="2" t="s">
        <v>1240</v>
      </c>
      <c r="H279" s="2" t="s">
        <v>2225</v>
      </c>
      <c r="I279" s="2" t="s">
        <v>1203</v>
      </c>
      <c r="J279" s="2" t="s">
        <v>2226</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1205</v>
      </c>
    </row>
    <row r="280" customFormat="false" ht="15" hidden="false" customHeight="false" outlineLevel="0" collapsed="false">
      <c r="A280" s="2" t="n">
        <v>18</v>
      </c>
      <c r="B280" s="2" t="s">
        <v>283</v>
      </c>
      <c r="C280" s="2" t="s">
        <v>288</v>
      </c>
      <c r="D280" s="2" t="s">
        <v>2227</v>
      </c>
      <c r="E280" s="2" t="s">
        <v>1224</v>
      </c>
      <c r="F280" s="2" t="s">
        <v>1225</v>
      </c>
      <c r="G280" s="2" t="s">
        <v>2228</v>
      </c>
      <c r="H280" s="2" t="s">
        <v>2229</v>
      </c>
      <c r="I280" s="2" t="s">
        <v>1203</v>
      </c>
      <c r="J280" s="2" t="s">
        <v>2230</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295</v>
      </c>
      <c r="C281" s="2" t="s">
        <v>300</v>
      </c>
      <c r="D281" s="2" t="s">
        <v>2231</v>
      </c>
      <c r="E281" s="2" t="s">
        <v>1224</v>
      </c>
      <c r="F281" s="2" t="s">
        <v>1225</v>
      </c>
      <c r="G281" s="2" t="s">
        <v>2232</v>
      </c>
      <c r="H281" s="2" t="s">
        <v>2233</v>
      </c>
      <c r="I281" s="2" t="s">
        <v>1203</v>
      </c>
      <c r="J281" s="2" t="s">
        <v>2234</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295</v>
      </c>
      <c r="C282" s="2" t="s">
        <v>300</v>
      </c>
      <c r="D282" s="2" t="s">
        <v>2235</v>
      </c>
      <c r="E282" s="2" t="s">
        <v>1224</v>
      </c>
      <c r="F282" s="2" t="s">
        <v>1225</v>
      </c>
      <c r="G282" s="2" t="s">
        <v>2236</v>
      </c>
      <c r="H282" s="2" t="s">
        <v>2237</v>
      </c>
      <c r="I282" s="2" t="s">
        <v>1203</v>
      </c>
      <c r="J282" s="2" t="s">
        <v>2238</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295</v>
      </c>
      <c r="C283" s="2" t="s">
        <v>300</v>
      </c>
      <c r="D283" s="2" t="s">
        <v>2239</v>
      </c>
      <c r="E283" s="2" t="s">
        <v>1224</v>
      </c>
      <c r="F283" s="2" t="s">
        <v>1225</v>
      </c>
      <c r="G283" s="2" t="s">
        <v>2240</v>
      </c>
      <c r="H283" s="2" t="s">
        <v>2241</v>
      </c>
      <c r="I283" s="2" t="s">
        <v>1203</v>
      </c>
      <c r="J283" s="2" t="s">
        <v>2242</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295</v>
      </c>
      <c r="C284" s="2" t="s">
        <v>300</v>
      </c>
      <c r="D284" s="2" t="s">
        <v>2243</v>
      </c>
      <c r="E284" s="2" t="s">
        <v>1224</v>
      </c>
      <c r="F284" s="2" t="s">
        <v>1225</v>
      </c>
      <c r="G284" s="2" t="s">
        <v>2244</v>
      </c>
      <c r="H284" s="2" t="s">
        <v>2245</v>
      </c>
      <c r="I284" s="2" t="s">
        <v>1203</v>
      </c>
      <c r="J284" s="2" t="s">
        <v>2246</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295</v>
      </c>
      <c r="C285" s="2" t="s">
        <v>300</v>
      </c>
      <c r="D285" s="2" t="s">
        <v>2247</v>
      </c>
      <c r="E285" s="2" t="s">
        <v>1224</v>
      </c>
      <c r="F285" s="2" t="s">
        <v>1225</v>
      </c>
      <c r="G285" s="2" t="s">
        <v>2248</v>
      </c>
      <c r="H285" s="2" t="s">
        <v>2249</v>
      </c>
      <c r="I285" s="2" t="s">
        <v>1203</v>
      </c>
      <c r="J285" s="2" t="s">
        <v>2250</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295</v>
      </c>
      <c r="C286" s="2" t="s">
        <v>300</v>
      </c>
      <c r="D286" s="2" t="s">
        <v>2251</v>
      </c>
      <c r="E286" s="2" t="s">
        <v>1224</v>
      </c>
      <c r="F286" s="2" t="s">
        <v>1225</v>
      </c>
      <c r="G286" s="2" t="s">
        <v>2252</v>
      </c>
      <c r="H286" s="2" t="s">
        <v>2253</v>
      </c>
      <c r="I286" s="2" t="s">
        <v>1203</v>
      </c>
      <c r="J286" s="2" t="s">
        <v>2254</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295</v>
      </c>
      <c r="C287" s="2" t="s">
        <v>300</v>
      </c>
      <c r="D287" s="2" t="s">
        <v>2255</v>
      </c>
      <c r="E287" s="2" t="s">
        <v>1224</v>
      </c>
      <c r="F287" s="2" t="s">
        <v>1225</v>
      </c>
      <c r="G287" s="2" t="s">
        <v>2256</v>
      </c>
      <c r="H287" s="2" t="s">
        <v>2257</v>
      </c>
      <c r="I287" s="2" t="s">
        <v>1203</v>
      </c>
      <c r="J287" s="2" t="s">
        <v>2258</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295</v>
      </c>
      <c r="C288" s="2" t="s">
        <v>300</v>
      </c>
      <c r="D288" s="2" t="s">
        <v>2259</v>
      </c>
      <c r="E288" s="2" t="s">
        <v>1224</v>
      </c>
      <c r="F288" s="2" t="s">
        <v>1225</v>
      </c>
      <c r="G288" s="2" t="s">
        <v>2260</v>
      </c>
      <c r="H288" s="2" t="s">
        <v>2261</v>
      </c>
      <c r="I288" s="2" t="s">
        <v>1203</v>
      </c>
      <c r="J288" s="2" t="s">
        <v>2262</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295</v>
      </c>
      <c r="C289" s="2" t="s">
        <v>300</v>
      </c>
      <c r="D289" s="2" t="s">
        <v>2263</v>
      </c>
      <c r="E289" s="2" t="s">
        <v>1224</v>
      </c>
      <c r="F289" s="2" t="s">
        <v>1225</v>
      </c>
      <c r="G289" s="2" t="s">
        <v>2264</v>
      </c>
      <c r="H289" s="2" t="s">
        <v>2265</v>
      </c>
      <c r="I289" s="2" t="s">
        <v>1203</v>
      </c>
      <c r="J289" s="2" t="s">
        <v>2266</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295</v>
      </c>
      <c r="C290" s="2" t="s">
        <v>300</v>
      </c>
      <c r="D290" s="2" t="s">
        <v>2267</v>
      </c>
      <c r="E290" s="2" t="s">
        <v>1224</v>
      </c>
      <c r="F290" s="2" t="s">
        <v>1225</v>
      </c>
      <c r="G290" s="2" t="s">
        <v>2268</v>
      </c>
      <c r="H290" s="2" t="s">
        <v>2269</v>
      </c>
      <c r="I290" s="2" t="s">
        <v>1203</v>
      </c>
      <c r="J290" s="2" t="s">
        <v>2270</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295</v>
      </c>
      <c r="C291" s="2" t="s">
        <v>300</v>
      </c>
      <c r="D291" s="2" t="s">
        <v>2271</v>
      </c>
      <c r="E291" s="2" t="s">
        <v>1224</v>
      </c>
      <c r="F291" s="2" t="s">
        <v>1225</v>
      </c>
      <c r="G291" s="2" t="s">
        <v>2272</v>
      </c>
      <c r="H291" s="2" t="s">
        <v>2273</v>
      </c>
      <c r="I291" s="2" t="s">
        <v>1203</v>
      </c>
      <c r="J291" s="2" t="s">
        <v>2274</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295</v>
      </c>
      <c r="C292" s="2" t="s">
        <v>300</v>
      </c>
      <c r="D292" s="2" t="s">
        <v>2275</v>
      </c>
      <c r="E292" s="2" t="s">
        <v>1224</v>
      </c>
      <c r="F292" s="2" t="s">
        <v>1225</v>
      </c>
      <c r="G292" s="2" t="s">
        <v>2276</v>
      </c>
      <c r="H292" s="2" t="s">
        <v>2277</v>
      </c>
      <c r="I292" s="2" t="s">
        <v>1203</v>
      </c>
      <c r="J292" s="2" t="s">
        <v>2278</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295</v>
      </c>
      <c r="C293" s="2" t="s">
        <v>300</v>
      </c>
      <c r="D293" s="2" t="s">
        <v>2279</v>
      </c>
      <c r="E293" s="2" t="s">
        <v>1224</v>
      </c>
      <c r="F293" s="2" t="s">
        <v>1225</v>
      </c>
      <c r="G293" s="2" t="s">
        <v>2280</v>
      </c>
      <c r="H293" s="2" t="s">
        <v>2281</v>
      </c>
      <c r="I293" s="2" t="s">
        <v>1203</v>
      </c>
      <c r="J293" s="2" t="s">
        <v>2282</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295</v>
      </c>
      <c r="C294" s="2" t="s">
        <v>300</v>
      </c>
      <c r="D294" s="2" t="s">
        <v>2283</v>
      </c>
      <c r="E294" s="2" t="s">
        <v>1224</v>
      </c>
      <c r="F294" s="2" t="s">
        <v>1225</v>
      </c>
      <c r="G294" s="2" t="s">
        <v>2284</v>
      </c>
      <c r="H294" s="2" t="s">
        <v>2285</v>
      </c>
      <c r="I294" s="2" t="s">
        <v>1203</v>
      </c>
      <c r="J294" s="2" t="s">
        <v>2286</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308</v>
      </c>
      <c r="C295" s="2" t="s">
        <v>314</v>
      </c>
      <c r="D295" s="2" t="s">
        <v>2287</v>
      </c>
      <c r="E295" s="2" t="s">
        <v>1199</v>
      </c>
      <c r="F295" s="2" t="s">
        <v>1430</v>
      </c>
      <c r="G295" s="2" t="s">
        <v>2288</v>
      </c>
      <c r="H295" s="2" t="s">
        <v>2289</v>
      </c>
      <c r="I295" s="2" t="s">
        <v>1203</v>
      </c>
      <c r="J295" s="2" t="s">
        <v>2290</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1205</v>
      </c>
    </row>
    <row r="296" customFormat="false" ht="15" hidden="false" customHeight="false" outlineLevel="0" collapsed="false">
      <c r="A296" s="2" t="n">
        <v>20</v>
      </c>
      <c r="B296" s="2" t="s">
        <v>308</v>
      </c>
      <c r="C296" s="2" t="s">
        <v>314</v>
      </c>
      <c r="D296" s="2" t="s">
        <v>2291</v>
      </c>
      <c r="E296" s="2" t="s">
        <v>1224</v>
      </c>
      <c r="F296" s="2" t="s">
        <v>1248</v>
      </c>
      <c r="G296" s="2" t="s">
        <v>2292</v>
      </c>
      <c r="H296" s="2" t="s">
        <v>2293</v>
      </c>
      <c r="I296" s="2" t="s">
        <v>1476</v>
      </c>
      <c r="J296" s="2" t="s">
        <v>2294</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308</v>
      </c>
      <c r="C297" s="2" t="s">
        <v>314</v>
      </c>
      <c r="D297" s="2" t="s">
        <v>2295</v>
      </c>
      <c r="E297" s="2" t="s">
        <v>1199</v>
      </c>
      <c r="F297" s="2" t="s">
        <v>1430</v>
      </c>
      <c r="G297" s="2" t="s">
        <v>2296</v>
      </c>
      <c r="H297" s="2" t="s">
        <v>2297</v>
      </c>
      <c r="I297" s="2" t="s">
        <v>1203</v>
      </c>
      <c r="J297" s="2" t="s">
        <v>2298</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1205</v>
      </c>
    </row>
    <row r="298" customFormat="false" ht="15" hidden="false" customHeight="false" outlineLevel="0" collapsed="false">
      <c r="A298" s="2" t="n">
        <v>20</v>
      </c>
      <c r="B298" s="2" t="s">
        <v>308</v>
      </c>
      <c r="C298" s="2" t="s">
        <v>314</v>
      </c>
      <c r="D298" s="2" t="s">
        <v>2299</v>
      </c>
      <c r="E298" s="2" t="s">
        <v>1224</v>
      </c>
      <c r="F298" s="2" t="s">
        <v>1248</v>
      </c>
      <c r="G298" s="2" t="s">
        <v>2300</v>
      </c>
      <c r="H298" s="2" t="s">
        <v>2301</v>
      </c>
      <c r="I298" s="2" t="s">
        <v>1203</v>
      </c>
      <c r="J298" s="2" t="s">
        <v>2302</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308</v>
      </c>
      <c r="C299" s="2" t="s">
        <v>314</v>
      </c>
      <c r="D299" s="2" t="s">
        <v>2303</v>
      </c>
      <c r="E299" s="2" t="s">
        <v>1224</v>
      </c>
      <c r="F299" s="2" t="s">
        <v>1248</v>
      </c>
      <c r="G299" s="2" t="s">
        <v>2300</v>
      </c>
      <c r="H299" s="2" t="s">
        <v>2304</v>
      </c>
      <c r="I299" s="2" t="s">
        <v>1203</v>
      </c>
      <c r="J299" s="2" t="s">
        <v>2305</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308</v>
      </c>
      <c r="C300" s="2" t="s">
        <v>314</v>
      </c>
      <c r="D300" s="2" t="s">
        <v>2306</v>
      </c>
      <c r="E300" s="2" t="s">
        <v>1224</v>
      </c>
      <c r="F300" s="2" t="s">
        <v>1248</v>
      </c>
      <c r="G300" s="2" t="s">
        <v>614</v>
      </c>
      <c r="H300" s="2" t="s">
        <v>2307</v>
      </c>
      <c r="I300" s="2" t="s">
        <v>1476</v>
      </c>
      <c r="J300" s="2" t="s">
        <v>2308</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308</v>
      </c>
      <c r="C301" s="2" t="s">
        <v>314</v>
      </c>
      <c r="D301" s="2" t="s">
        <v>2309</v>
      </c>
      <c r="E301" s="2" t="s">
        <v>1224</v>
      </c>
      <c r="F301" s="2" t="s">
        <v>1248</v>
      </c>
      <c r="G301" s="2" t="s">
        <v>2310</v>
      </c>
      <c r="H301" s="2" t="s">
        <v>2311</v>
      </c>
      <c r="I301" s="2" t="s">
        <v>1476</v>
      </c>
      <c r="J301" s="2" t="s">
        <v>2312</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308</v>
      </c>
      <c r="C302" s="2" t="s">
        <v>314</v>
      </c>
      <c r="D302" s="2" t="s">
        <v>2313</v>
      </c>
      <c r="E302" s="2" t="s">
        <v>1224</v>
      </c>
      <c r="F302" s="2" t="s">
        <v>1248</v>
      </c>
      <c r="G302" s="2" t="s">
        <v>2314</v>
      </c>
      <c r="H302" s="2" t="s">
        <v>2315</v>
      </c>
      <c r="I302" s="2" t="s">
        <v>1203</v>
      </c>
      <c r="J302" s="2" t="s">
        <v>2316</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308</v>
      </c>
      <c r="C303" s="2" t="s">
        <v>314</v>
      </c>
      <c r="D303" s="2" t="s">
        <v>2317</v>
      </c>
      <c r="E303" s="2" t="s">
        <v>1224</v>
      </c>
      <c r="F303" s="2" t="s">
        <v>1248</v>
      </c>
      <c r="G303" s="2" t="s">
        <v>2318</v>
      </c>
      <c r="H303" s="2" t="s">
        <v>2319</v>
      </c>
      <c r="I303" s="2" t="s">
        <v>1203</v>
      </c>
      <c r="J303" s="2" t="s">
        <v>2320</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308</v>
      </c>
      <c r="C304" s="2" t="s">
        <v>314</v>
      </c>
      <c r="D304" s="2" t="s">
        <v>2321</v>
      </c>
      <c r="E304" s="2" t="s">
        <v>1224</v>
      </c>
      <c r="F304" s="2" t="s">
        <v>1248</v>
      </c>
      <c r="G304" s="2" t="s">
        <v>2322</v>
      </c>
      <c r="H304" s="2" t="s">
        <v>2323</v>
      </c>
      <c r="I304" s="2" t="s">
        <v>1476</v>
      </c>
      <c r="J304" s="2" t="s">
        <v>2324</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308</v>
      </c>
      <c r="C305" s="2" t="s">
        <v>314</v>
      </c>
      <c r="D305" s="2" t="s">
        <v>2325</v>
      </c>
      <c r="E305" s="2" t="s">
        <v>1224</v>
      </c>
      <c r="F305" s="2" t="s">
        <v>1248</v>
      </c>
      <c r="G305" s="2" t="s">
        <v>2326</v>
      </c>
      <c r="H305" s="2" t="s">
        <v>2327</v>
      </c>
      <c r="I305" s="2" t="s">
        <v>1476</v>
      </c>
      <c r="J305" s="2" t="s">
        <v>2328</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308</v>
      </c>
      <c r="C306" s="2" t="s">
        <v>314</v>
      </c>
      <c r="D306" s="2" t="s">
        <v>2329</v>
      </c>
      <c r="E306" s="2" t="s">
        <v>1224</v>
      </c>
      <c r="F306" s="2" t="s">
        <v>1248</v>
      </c>
      <c r="G306" s="2" t="s">
        <v>571</v>
      </c>
      <c r="H306" s="2" t="s">
        <v>2330</v>
      </c>
      <c r="I306" s="2" t="s">
        <v>1476</v>
      </c>
      <c r="J306" s="2" t="s">
        <v>2331</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308</v>
      </c>
      <c r="C307" s="2" t="s">
        <v>314</v>
      </c>
      <c r="D307" s="2" t="s">
        <v>2332</v>
      </c>
      <c r="E307" s="2" t="s">
        <v>1224</v>
      </c>
      <c r="F307" s="2" t="s">
        <v>1248</v>
      </c>
      <c r="G307" s="2" t="s">
        <v>2333</v>
      </c>
      <c r="H307" s="2" t="s">
        <v>2334</v>
      </c>
      <c r="I307" s="2" t="s">
        <v>1203</v>
      </c>
      <c r="J307" s="2" t="s">
        <v>2335</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320</v>
      </c>
      <c r="C308" s="2" t="s">
        <v>324</v>
      </c>
      <c r="D308" s="2" t="s">
        <v>2336</v>
      </c>
      <c r="E308" s="2" t="s">
        <v>1224</v>
      </c>
      <c r="F308" s="2" t="s">
        <v>1248</v>
      </c>
      <c r="G308" s="2" t="s">
        <v>614</v>
      </c>
      <c r="H308" s="2" t="s">
        <v>2337</v>
      </c>
      <c r="I308" s="2" t="s">
        <v>1476</v>
      </c>
      <c r="J308" s="2" t="s">
        <v>2338</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320</v>
      </c>
      <c r="C309" s="2" t="s">
        <v>324</v>
      </c>
      <c r="D309" s="2" t="s">
        <v>2339</v>
      </c>
      <c r="E309" s="2" t="s">
        <v>1224</v>
      </c>
      <c r="F309" s="2" t="s">
        <v>1248</v>
      </c>
      <c r="G309" s="2" t="s">
        <v>2322</v>
      </c>
      <c r="H309" s="2" t="s">
        <v>2340</v>
      </c>
      <c r="I309" s="2" t="s">
        <v>1476</v>
      </c>
      <c r="J309" s="2" t="s">
        <v>2341</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320</v>
      </c>
      <c r="C310" s="2" t="s">
        <v>324</v>
      </c>
      <c r="D310" s="2" t="s">
        <v>2342</v>
      </c>
      <c r="E310" s="2" t="s">
        <v>1224</v>
      </c>
      <c r="F310" s="2" t="s">
        <v>1248</v>
      </c>
      <c r="G310" s="2" t="s">
        <v>571</v>
      </c>
      <c r="H310" s="2" t="s">
        <v>2343</v>
      </c>
      <c r="I310" s="2" t="s">
        <v>1476</v>
      </c>
      <c r="J310" s="2" t="s">
        <v>2344</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328</v>
      </c>
      <c r="C311" s="2" t="s">
        <v>334</v>
      </c>
      <c r="D311" s="2" t="s">
        <v>2345</v>
      </c>
      <c r="E311" s="2" t="s">
        <v>1224</v>
      </c>
      <c r="F311" s="2" t="s">
        <v>1248</v>
      </c>
      <c r="G311" s="2" t="s">
        <v>2346</v>
      </c>
      <c r="H311" s="2" t="s">
        <v>2347</v>
      </c>
      <c r="I311" s="2" t="s">
        <v>1203</v>
      </c>
      <c r="J311" s="2" t="s">
        <v>2348</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328</v>
      </c>
      <c r="C312" s="2" t="s">
        <v>334</v>
      </c>
      <c r="D312" s="2" t="s">
        <v>2349</v>
      </c>
      <c r="E312" s="2" t="s">
        <v>1224</v>
      </c>
      <c r="F312" s="2" t="s">
        <v>1225</v>
      </c>
      <c r="G312" s="2" t="s">
        <v>2350</v>
      </c>
      <c r="H312" s="2" t="s">
        <v>2351</v>
      </c>
      <c r="I312" s="2" t="s">
        <v>1203</v>
      </c>
      <c r="J312" s="2" t="s">
        <v>2352</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328</v>
      </c>
      <c r="C313" s="2" t="s">
        <v>334</v>
      </c>
      <c r="D313" s="2" t="s">
        <v>2353</v>
      </c>
      <c r="E313" s="2" t="s">
        <v>1224</v>
      </c>
      <c r="F313" s="2" t="s">
        <v>1248</v>
      </c>
      <c r="G313" s="2" t="s">
        <v>2354</v>
      </c>
      <c r="H313" s="2" t="s">
        <v>2355</v>
      </c>
      <c r="I313" s="2" t="s">
        <v>1203</v>
      </c>
      <c r="J313" s="2" t="s">
        <v>2356</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328</v>
      </c>
      <c r="C314" s="2" t="s">
        <v>334</v>
      </c>
      <c r="D314" s="2" t="s">
        <v>2357</v>
      </c>
      <c r="E314" s="2" t="s">
        <v>1224</v>
      </c>
      <c r="F314" s="2" t="s">
        <v>1248</v>
      </c>
      <c r="G314" s="2" t="s">
        <v>2354</v>
      </c>
      <c r="H314" s="2" t="s">
        <v>2358</v>
      </c>
      <c r="I314" s="2" t="s">
        <v>1203</v>
      </c>
      <c r="J314" s="2" t="s">
        <v>2359</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328</v>
      </c>
      <c r="C315" s="2" t="s">
        <v>334</v>
      </c>
      <c r="D315" s="2" t="s">
        <v>2360</v>
      </c>
      <c r="E315" s="2" t="s">
        <v>1224</v>
      </c>
      <c r="F315" s="2" t="s">
        <v>1225</v>
      </c>
      <c r="G315" s="2" t="s">
        <v>2354</v>
      </c>
      <c r="H315" s="2" t="s">
        <v>2361</v>
      </c>
      <c r="I315" s="2" t="s">
        <v>1203</v>
      </c>
      <c r="J315" s="2" t="s">
        <v>2362</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328</v>
      </c>
      <c r="C316" s="2" t="s">
        <v>334</v>
      </c>
      <c r="D316" s="2" t="s">
        <v>2363</v>
      </c>
      <c r="E316" s="2" t="s">
        <v>1224</v>
      </c>
      <c r="F316" s="2" t="s">
        <v>1225</v>
      </c>
      <c r="G316" s="2" t="s">
        <v>2354</v>
      </c>
      <c r="H316" s="2" t="s">
        <v>2364</v>
      </c>
      <c r="I316" s="2" t="s">
        <v>1203</v>
      </c>
      <c r="J316" s="2" t="s">
        <v>2365</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328</v>
      </c>
      <c r="C317" s="2" t="s">
        <v>334</v>
      </c>
      <c r="D317" s="2" t="s">
        <v>2366</v>
      </c>
      <c r="E317" s="2" t="s">
        <v>1224</v>
      </c>
      <c r="F317" s="2" t="s">
        <v>1248</v>
      </c>
      <c r="G317" s="2" t="s">
        <v>2367</v>
      </c>
      <c r="H317" s="2" t="s">
        <v>2368</v>
      </c>
      <c r="I317" s="2" t="s">
        <v>1203</v>
      </c>
      <c r="J317" s="2" t="s">
        <v>2369</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328</v>
      </c>
      <c r="C318" s="2" t="s">
        <v>334</v>
      </c>
      <c r="D318" s="2" t="s">
        <v>2370</v>
      </c>
      <c r="E318" s="2" t="s">
        <v>1224</v>
      </c>
      <c r="F318" s="2" t="s">
        <v>1248</v>
      </c>
      <c r="G318" s="2" t="s">
        <v>2371</v>
      </c>
      <c r="H318" s="2" t="s">
        <v>2372</v>
      </c>
      <c r="I318" s="2" t="s">
        <v>1203</v>
      </c>
      <c r="J318" s="2" t="s">
        <v>2373</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328</v>
      </c>
      <c r="C319" s="2" t="s">
        <v>334</v>
      </c>
      <c r="D319" s="2" t="s">
        <v>2374</v>
      </c>
      <c r="E319" s="2" t="s">
        <v>1224</v>
      </c>
      <c r="F319" s="2" t="s">
        <v>1225</v>
      </c>
      <c r="G319" s="2" t="s">
        <v>2375</v>
      </c>
      <c r="H319" s="2" t="s">
        <v>2376</v>
      </c>
      <c r="I319" s="2" t="s">
        <v>1203</v>
      </c>
      <c r="J319" s="2" t="s">
        <v>2377</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328</v>
      </c>
      <c r="C320" s="2" t="s">
        <v>334</v>
      </c>
      <c r="D320" s="2" t="s">
        <v>2378</v>
      </c>
      <c r="E320" s="2" t="s">
        <v>1224</v>
      </c>
      <c r="F320" s="2" t="s">
        <v>1225</v>
      </c>
      <c r="G320" s="2" t="s">
        <v>950</v>
      </c>
      <c r="H320" s="2" t="s">
        <v>2379</v>
      </c>
      <c r="I320" s="2" t="s">
        <v>1203</v>
      </c>
      <c r="J320" s="2" t="s">
        <v>2380</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328</v>
      </c>
      <c r="C321" s="2" t="s">
        <v>334</v>
      </c>
      <c r="D321" s="2" t="s">
        <v>2381</v>
      </c>
      <c r="E321" s="2" t="s">
        <v>1224</v>
      </c>
      <c r="F321" s="2" t="s">
        <v>1225</v>
      </c>
      <c r="G321" s="2" t="s">
        <v>950</v>
      </c>
      <c r="H321" s="2" t="s">
        <v>2382</v>
      </c>
      <c r="I321" s="2" t="s">
        <v>1203</v>
      </c>
      <c r="J321" s="2" t="s">
        <v>2383</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328</v>
      </c>
      <c r="C322" s="2" t="s">
        <v>334</v>
      </c>
      <c r="D322" s="2" t="s">
        <v>2384</v>
      </c>
      <c r="E322" s="2" t="s">
        <v>1224</v>
      </c>
      <c r="F322" s="2" t="s">
        <v>1225</v>
      </c>
      <c r="G322" s="2" t="s">
        <v>950</v>
      </c>
      <c r="H322" s="2" t="s">
        <v>2385</v>
      </c>
      <c r="I322" s="2" t="s">
        <v>1203</v>
      </c>
      <c r="J322" s="2" t="s">
        <v>2386</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328</v>
      </c>
      <c r="C323" s="2" t="s">
        <v>334</v>
      </c>
      <c r="D323" s="2" t="s">
        <v>2387</v>
      </c>
      <c r="E323" s="2" t="s">
        <v>1224</v>
      </c>
      <c r="F323" s="2" t="s">
        <v>1225</v>
      </c>
      <c r="G323" s="2" t="s">
        <v>950</v>
      </c>
      <c r="H323" s="2" t="s">
        <v>2388</v>
      </c>
      <c r="I323" s="2" t="s">
        <v>1203</v>
      </c>
      <c r="J323" s="2" t="s">
        <v>2389</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328</v>
      </c>
      <c r="C324" s="2" t="s">
        <v>334</v>
      </c>
      <c r="D324" s="2" t="s">
        <v>2390</v>
      </c>
      <c r="E324" s="2" t="s">
        <v>1224</v>
      </c>
      <c r="F324" s="2" t="s">
        <v>1225</v>
      </c>
      <c r="G324" s="2" t="s">
        <v>950</v>
      </c>
      <c r="H324" s="2" t="s">
        <v>2391</v>
      </c>
      <c r="I324" s="2" t="s">
        <v>1203</v>
      </c>
      <c r="J324" s="2" t="s">
        <v>2392</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328</v>
      </c>
      <c r="C325" s="2" t="s">
        <v>334</v>
      </c>
      <c r="D325" s="2" t="s">
        <v>2393</v>
      </c>
      <c r="E325" s="2" t="s">
        <v>1224</v>
      </c>
      <c r="F325" s="2" t="s">
        <v>1225</v>
      </c>
      <c r="G325" s="2" t="s">
        <v>2394</v>
      </c>
      <c r="H325" s="2" t="s">
        <v>2395</v>
      </c>
      <c r="I325" s="2" t="s">
        <v>1203</v>
      </c>
      <c r="J325" s="2" t="s">
        <v>2396</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328</v>
      </c>
      <c r="C326" s="2" t="s">
        <v>334</v>
      </c>
      <c r="D326" s="2" t="s">
        <v>2397</v>
      </c>
      <c r="E326" s="2" t="s">
        <v>1224</v>
      </c>
      <c r="F326" s="2" t="s">
        <v>1225</v>
      </c>
      <c r="G326" s="2" t="s">
        <v>2394</v>
      </c>
      <c r="H326" s="2" t="s">
        <v>2398</v>
      </c>
      <c r="I326" s="2" t="s">
        <v>1203</v>
      </c>
      <c r="J326" s="2" t="s">
        <v>2399</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328</v>
      </c>
      <c r="C327" s="2" t="s">
        <v>334</v>
      </c>
      <c r="D327" s="2" t="s">
        <v>2400</v>
      </c>
      <c r="E327" s="2" t="s">
        <v>1224</v>
      </c>
      <c r="F327" s="2" t="s">
        <v>1225</v>
      </c>
      <c r="G327" s="2" t="s">
        <v>2394</v>
      </c>
      <c r="H327" s="2" t="s">
        <v>2401</v>
      </c>
      <c r="I327" s="2" t="s">
        <v>1203</v>
      </c>
      <c r="J327" s="2" t="s">
        <v>2402</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328</v>
      </c>
      <c r="C328" s="2" t="s">
        <v>334</v>
      </c>
      <c r="D328" s="2" t="s">
        <v>2403</v>
      </c>
      <c r="E328" s="2" t="s">
        <v>1224</v>
      </c>
      <c r="F328" s="2" t="s">
        <v>1225</v>
      </c>
      <c r="G328" s="2" t="s">
        <v>2394</v>
      </c>
      <c r="H328" s="2" t="s">
        <v>2404</v>
      </c>
      <c r="I328" s="2" t="s">
        <v>1203</v>
      </c>
      <c r="J328" s="2" t="s">
        <v>2405</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328</v>
      </c>
      <c r="C329" s="2" t="s">
        <v>334</v>
      </c>
      <c r="D329" s="2" t="s">
        <v>2406</v>
      </c>
      <c r="E329" s="2" t="s">
        <v>1224</v>
      </c>
      <c r="F329" s="2" t="s">
        <v>1225</v>
      </c>
      <c r="G329" s="2" t="s">
        <v>2407</v>
      </c>
      <c r="H329" s="2" t="s">
        <v>2408</v>
      </c>
      <c r="I329" s="2" t="s">
        <v>1203</v>
      </c>
      <c r="J329" s="2" t="s">
        <v>2409</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328</v>
      </c>
      <c r="C330" s="2" t="s">
        <v>334</v>
      </c>
      <c r="D330" s="2" t="s">
        <v>2410</v>
      </c>
      <c r="E330" s="2" t="s">
        <v>1224</v>
      </c>
      <c r="F330" s="2" t="s">
        <v>1225</v>
      </c>
      <c r="G330" s="2" t="s">
        <v>2407</v>
      </c>
      <c r="H330" s="2" t="s">
        <v>2411</v>
      </c>
      <c r="I330" s="2" t="s">
        <v>1203</v>
      </c>
      <c r="J330" s="2" t="s">
        <v>2412</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328</v>
      </c>
      <c r="C331" s="2" t="s">
        <v>334</v>
      </c>
      <c r="D331" s="2" t="s">
        <v>2413</v>
      </c>
      <c r="E331" s="2" t="s">
        <v>1224</v>
      </c>
      <c r="F331" s="2" t="s">
        <v>1225</v>
      </c>
      <c r="G331" s="2" t="s">
        <v>2407</v>
      </c>
      <c r="H331" s="2" t="s">
        <v>2414</v>
      </c>
      <c r="I331" s="2" t="s">
        <v>1203</v>
      </c>
      <c r="J331" s="2" t="s">
        <v>2415</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328</v>
      </c>
      <c r="C332" s="2" t="s">
        <v>334</v>
      </c>
      <c r="D332" s="2" t="s">
        <v>2416</v>
      </c>
      <c r="E332" s="2" t="s">
        <v>1224</v>
      </c>
      <c r="F332" s="2" t="s">
        <v>1225</v>
      </c>
      <c r="G332" s="2" t="s">
        <v>2407</v>
      </c>
      <c r="H332" s="2" t="s">
        <v>2417</v>
      </c>
      <c r="I332" s="2" t="s">
        <v>1203</v>
      </c>
      <c r="J332" s="2" t="s">
        <v>2418</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328</v>
      </c>
      <c r="C333" s="2" t="s">
        <v>334</v>
      </c>
      <c r="D333" s="2" t="s">
        <v>2419</v>
      </c>
      <c r="E333" s="2" t="s">
        <v>1224</v>
      </c>
      <c r="F333" s="2" t="s">
        <v>1225</v>
      </c>
      <c r="G333" s="2" t="s">
        <v>2407</v>
      </c>
      <c r="H333" s="2" t="s">
        <v>2420</v>
      </c>
      <c r="I333" s="2" t="s">
        <v>1203</v>
      </c>
      <c r="J333" s="2" t="s">
        <v>2421</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328</v>
      </c>
      <c r="C334" s="2" t="s">
        <v>334</v>
      </c>
      <c r="D334" s="2" t="s">
        <v>2422</v>
      </c>
      <c r="E334" s="2" t="s">
        <v>1224</v>
      </c>
      <c r="F334" s="2" t="s">
        <v>1225</v>
      </c>
      <c r="G334" s="2" t="s">
        <v>2407</v>
      </c>
      <c r="H334" s="2" t="s">
        <v>2423</v>
      </c>
      <c r="I334" s="2" t="s">
        <v>1203</v>
      </c>
      <c r="J334" s="2" t="s">
        <v>2424</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328</v>
      </c>
      <c r="C335" s="2" t="s">
        <v>334</v>
      </c>
      <c r="D335" s="2" t="s">
        <v>2425</v>
      </c>
      <c r="E335" s="2" t="s">
        <v>1224</v>
      </c>
      <c r="F335" s="2" t="s">
        <v>1225</v>
      </c>
      <c r="G335" s="2" t="s">
        <v>2407</v>
      </c>
      <c r="H335" s="2" t="s">
        <v>2426</v>
      </c>
      <c r="I335" s="2" t="s">
        <v>1203</v>
      </c>
      <c r="J335" s="2" t="s">
        <v>2427</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328</v>
      </c>
      <c r="C336" s="2" t="s">
        <v>334</v>
      </c>
      <c r="D336" s="2" t="s">
        <v>2428</v>
      </c>
      <c r="E336" s="2" t="s">
        <v>1224</v>
      </c>
      <c r="F336" s="2" t="s">
        <v>1225</v>
      </c>
      <c r="G336" s="2" t="s">
        <v>2429</v>
      </c>
      <c r="H336" s="2" t="s">
        <v>2430</v>
      </c>
      <c r="I336" s="2" t="s">
        <v>1203</v>
      </c>
      <c r="J336" s="2" t="s">
        <v>2431</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328</v>
      </c>
      <c r="C337" s="2" t="s">
        <v>334</v>
      </c>
      <c r="D337" s="2" t="s">
        <v>2432</v>
      </c>
      <c r="E337" s="2" t="s">
        <v>1224</v>
      </c>
      <c r="F337" s="2" t="s">
        <v>1225</v>
      </c>
      <c r="G337" s="2" t="s">
        <v>2429</v>
      </c>
      <c r="H337" s="2" t="s">
        <v>2433</v>
      </c>
      <c r="I337" s="2" t="s">
        <v>1203</v>
      </c>
      <c r="J337" s="2" t="s">
        <v>2434</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328</v>
      </c>
      <c r="C338" s="2" t="s">
        <v>334</v>
      </c>
      <c r="D338" s="2" t="s">
        <v>2435</v>
      </c>
      <c r="E338" s="2" t="s">
        <v>1224</v>
      </c>
      <c r="F338" s="2" t="s">
        <v>1225</v>
      </c>
      <c r="G338" s="2" t="s">
        <v>2429</v>
      </c>
      <c r="H338" s="2" t="s">
        <v>2436</v>
      </c>
      <c r="I338" s="2" t="s">
        <v>1203</v>
      </c>
      <c r="J338" s="2" t="s">
        <v>2437</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328</v>
      </c>
      <c r="C339" s="2" t="s">
        <v>334</v>
      </c>
      <c r="D339" s="2" t="s">
        <v>2438</v>
      </c>
      <c r="E339" s="2" t="s">
        <v>1224</v>
      </c>
      <c r="F339" s="2" t="s">
        <v>1225</v>
      </c>
      <c r="G339" s="2" t="s">
        <v>2429</v>
      </c>
      <c r="H339" s="2" t="s">
        <v>2439</v>
      </c>
      <c r="I339" s="2" t="s">
        <v>1203</v>
      </c>
      <c r="J339" s="2" t="s">
        <v>2440</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328</v>
      </c>
      <c r="C340" s="2" t="s">
        <v>334</v>
      </c>
      <c r="D340" s="2" t="s">
        <v>2441</v>
      </c>
      <c r="E340" s="2" t="s">
        <v>1224</v>
      </c>
      <c r="F340" s="2" t="s">
        <v>1225</v>
      </c>
      <c r="G340" s="2" t="s">
        <v>2429</v>
      </c>
      <c r="H340" s="2" t="s">
        <v>2442</v>
      </c>
      <c r="I340" s="2" t="s">
        <v>1203</v>
      </c>
      <c r="J340" s="2" t="s">
        <v>2443</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328</v>
      </c>
      <c r="C341" s="2" t="s">
        <v>334</v>
      </c>
      <c r="D341" s="2" t="s">
        <v>2444</v>
      </c>
      <c r="E341" s="2" t="s">
        <v>1224</v>
      </c>
      <c r="F341" s="2" t="s">
        <v>1225</v>
      </c>
      <c r="G341" s="2" t="s">
        <v>2429</v>
      </c>
      <c r="H341" s="2" t="s">
        <v>2445</v>
      </c>
      <c r="I341" s="2" t="s">
        <v>1203</v>
      </c>
      <c r="J341" s="2" t="s">
        <v>2446</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328</v>
      </c>
      <c r="C342" s="2" t="s">
        <v>334</v>
      </c>
      <c r="D342" s="2" t="s">
        <v>2447</v>
      </c>
      <c r="E342" s="2" t="s">
        <v>1224</v>
      </c>
      <c r="F342" s="2" t="s">
        <v>1248</v>
      </c>
      <c r="G342" s="2" t="s">
        <v>2448</v>
      </c>
      <c r="H342" s="2" t="s">
        <v>2449</v>
      </c>
      <c r="I342" s="2" t="s">
        <v>1203</v>
      </c>
      <c r="J342" s="2" t="s">
        <v>2450</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328</v>
      </c>
      <c r="C343" s="2" t="s">
        <v>334</v>
      </c>
      <c r="D343" s="2" t="s">
        <v>2451</v>
      </c>
      <c r="E343" s="2" t="s">
        <v>1224</v>
      </c>
      <c r="F343" s="2" t="s">
        <v>1225</v>
      </c>
      <c r="G343" s="2" t="s">
        <v>2448</v>
      </c>
      <c r="H343" s="2" t="s">
        <v>2452</v>
      </c>
      <c r="I343" s="2" t="s">
        <v>1203</v>
      </c>
      <c r="J343" s="2" t="s">
        <v>2453</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328</v>
      </c>
      <c r="C344" s="2" t="s">
        <v>334</v>
      </c>
      <c r="D344" s="2" t="s">
        <v>2454</v>
      </c>
      <c r="E344" s="2" t="s">
        <v>1224</v>
      </c>
      <c r="F344" s="2" t="s">
        <v>1225</v>
      </c>
      <c r="G344" s="2" t="s">
        <v>2448</v>
      </c>
      <c r="H344" s="2" t="s">
        <v>2455</v>
      </c>
      <c r="I344" s="2" t="s">
        <v>1203</v>
      </c>
      <c r="J344" s="2" t="s">
        <v>2456</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328</v>
      </c>
      <c r="C345" s="2" t="s">
        <v>334</v>
      </c>
      <c r="D345" s="2" t="s">
        <v>2457</v>
      </c>
      <c r="E345" s="2" t="s">
        <v>1224</v>
      </c>
      <c r="F345" s="2" t="s">
        <v>1225</v>
      </c>
      <c r="G345" s="2" t="s">
        <v>582</v>
      </c>
      <c r="H345" s="2" t="s">
        <v>2458</v>
      </c>
      <c r="I345" s="2" t="s">
        <v>1203</v>
      </c>
      <c r="J345" s="2" t="s">
        <v>2459</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328</v>
      </c>
      <c r="C346" s="2" t="s">
        <v>334</v>
      </c>
      <c r="D346" s="2" t="s">
        <v>2460</v>
      </c>
      <c r="E346" s="2" t="s">
        <v>1224</v>
      </c>
      <c r="F346" s="2" t="s">
        <v>1225</v>
      </c>
      <c r="G346" s="2" t="s">
        <v>582</v>
      </c>
      <c r="H346" s="2" t="s">
        <v>2461</v>
      </c>
      <c r="I346" s="2" t="s">
        <v>1203</v>
      </c>
      <c r="J346" s="2" t="s">
        <v>2462</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328</v>
      </c>
      <c r="C347" s="2" t="s">
        <v>334</v>
      </c>
      <c r="D347" s="2" t="s">
        <v>2463</v>
      </c>
      <c r="E347" s="2" t="s">
        <v>1224</v>
      </c>
      <c r="F347" s="2" t="s">
        <v>1225</v>
      </c>
      <c r="G347" s="2" t="s">
        <v>582</v>
      </c>
      <c r="H347" s="2" t="s">
        <v>2464</v>
      </c>
      <c r="I347" s="2" t="s">
        <v>1203</v>
      </c>
      <c r="J347" s="2" t="s">
        <v>2465</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328</v>
      </c>
      <c r="C348" s="2" t="s">
        <v>334</v>
      </c>
      <c r="D348" s="2" t="s">
        <v>2466</v>
      </c>
      <c r="E348" s="2" t="s">
        <v>1224</v>
      </c>
      <c r="F348" s="2" t="s">
        <v>1225</v>
      </c>
      <c r="G348" s="2" t="s">
        <v>582</v>
      </c>
      <c r="H348" s="2" t="s">
        <v>2467</v>
      </c>
      <c r="I348" s="2" t="s">
        <v>1203</v>
      </c>
      <c r="J348" s="2" t="s">
        <v>2468</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328</v>
      </c>
      <c r="C349" s="2" t="s">
        <v>334</v>
      </c>
      <c r="D349" s="2" t="s">
        <v>2469</v>
      </c>
      <c r="E349" s="2" t="s">
        <v>1224</v>
      </c>
      <c r="F349" s="2" t="s">
        <v>1225</v>
      </c>
      <c r="G349" s="2" t="s">
        <v>2470</v>
      </c>
      <c r="H349" s="2" t="s">
        <v>2471</v>
      </c>
      <c r="I349" s="2" t="s">
        <v>1203</v>
      </c>
      <c r="J349" s="2" t="s">
        <v>2472</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328</v>
      </c>
      <c r="C350" s="2" t="s">
        <v>334</v>
      </c>
      <c r="D350" s="2" t="s">
        <v>2473</v>
      </c>
      <c r="E350" s="2" t="s">
        <v>1224</v>
      </c>
      <c r="F350" s="2" t="s">
        <v>1225</v>
      </c>
      <c r="G350" s="2" t="s">
        <v>2474</v>
      </c>
      <c r="H350" s="2" t="s">
        <v>2475</v>
      </c>
      <c r="I350" s="2" t="s">
        <v>1203</v>
      </c>
      <c r="J350" s="2" t="s">
        <v>2476</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328</v>
      </c>
      <c r="C351" s="2" t="s">
        <v>334</v>
      </c>
      <c r="D351" s="2" t="s">
        <v>2477</v>
      </c>
      <c r="E351" s="2" t="s">
        <v>1224</v>
      </c>
      <c r="F351" s="2" t="s">
        <v>1225</v>
      </c>
      <c r="G351" s="2" t="s">
        <v>2478</v>
      </c>
      <c r="H351" s="2" t="s">
        <v>2479</v>
      </c>
      <c r="I351" s="2" t="s">
        <v>1203</v>
      </c>
      <c r="J351" s="2" t="s">
        <v>2480</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328</v>
      </c>
      <c r="C352" s="2" t="s">
        <v>334</v>
      </c>
      <c r="D352" s="2" t="s">
        <v>2481</v>
      </c>
      <c r="E352" s="2" t="s">
        <v>1224</v>
      </c>
      <c r="F352" s="2" t="s">
        <v>1225</v>
      </c>
      <c r="G352" s="2" t="s">
        <v>2478</v>
      </c>
      <c r="H352" s="2" t="s">
        <v>2482</v>
      </c>
      <c r="I352" s="2" t="s">
        <v>1203</v>
      </c>
      <c r="J352" s="2" t="s">
        <v>2483</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328</v>
      </c>
      <c r="C353" s="2" t="s">
        <v>334</v>
      </c>
      <c r="D353" s="2" t="s">
        <v>2484</v>
      </c>
      <c r="E353" s="2" t="s">
        <v>1224</v>
      </c>
      <c r="F353" s="2" t="s">
        <v>1225</v>
      </c>
      <c r="G353" s="2" t="s">
        <v>2478</v>
      </c>
      <c r="H353" s="2" t="s">
        <v>2485</v>
      </c>
      <c r="I353" s="2" t="s">
        <v>1203</v>
      </c>
      <c r="J353" s="2" t="s">
        <v>2486</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341</v>
      </c>
      <c r="C354" s="2" t="s">
        <v>346</v>
      </c>
      <c r="D354" s="2" t="s">
        <v>2487</v>
      </c>
      <c r="E354" s="2" t="s">
        <v>1230</v>
      </c>
      <c r="F354" s="2" t="s">
        <v>1231</v>
      </c>
      <c r="G354" s="2" t="s">
        <v>2488</v>
      </c>
      <c r="H354" s="2" t="s">
        <v>2489</v>
      </c>
      <c r="I354" s="2" t="s">
        <v>1203</v>
      </c>
      <c r="J354" s="2" t="s">
        <v>2490</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341</v>
      </c>
      <c r="C355" s="2" t="s">
        <v>346</v>
      </c>
      <c r="D355" s="2" t="s">
        <v>2491</v>
      </c>
      <c r="E355" s="2" t="s">
        <v>1230</v>
      </c>
      <c r="F355" s="2" t="s">
        <v>1231</v>
      </c>
      <c r="G355" s="2" t="s">
        <v>2492</v>
      </c>
      <c r="H355" s="2" t="s">
        <v>2493</v>
      </c>
      <c r="I355" s="2" t="s">
        <v>1203</v>
      </c>
      <c r="J355" s="2" t="s">
        <v>2494</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341</v>
      </c>
      <c r="C356" s="2" t="s">
        <v>346</v>
      </c>
      <c r="D356" s="2" t="s">
        <v>2495</v>
      </c>
      <c r="E356" s="2" t="s">
        <v>1224</v>
      </c>
      <c r="F356" s="2" t="s">
        <v>1225</v>
      </c>
      <c r="G356" s="2" t="s">
        <v>2496</v>
      </c>
      <c r="H356" s="2" t="s">
        <v>2497</v>
      </c>
      <c r="I356" s="2" t="s">
        <v>1203</v>
      </c>
      <c r="J356" s="2" t="s">
        <v>2498</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341</v>
      </c>
      <c r="C357" s="2" t="s">
        <v>346</v>
      </c>
      <c r="D357" s="2" t="s">
        <v>2499</v>
      </c>
      <c r="E357" s="2" t="s">
        <v>1230</v>
      </c>
      <c r="F357" s="2" t="s">
        <v>1231</v>
      </c>
      <c r="G357" s="2" t="s">
        <v>2496</v>
      </c>
      <c r="H357" s="2" t="s">
        <v>2500</v>
      </c>
      <c r="I357" s="2" t="s">
        <v>1203</v>
      </c>
      <c r="J357" s="2" t="s">
        <v>2501</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341</v>
      </c>
      <c r="C358" s="2" t="s">
        <v>346</v>
      </c>
      <c r="D358" s="2" t="s">
        <v>2502</v>
      </c>
      <c r="E358" s="2" t="s">
        <v>1230</v>
      </c>
      <c r="F358" s="2" t="s">
        <v>1231</v>
      </c>
      <c r="G358" s="2" t="s">
        <v>2503</v>
      </c>
      <c r="H358" s="2" t="s">
        <v>2504</v>
      </c>
      <c r="I358" s="2" t="s">
        <v>1203</v>
      </c>
      <c r="J358" s="2" t="s">
        <v>2505</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341</v>
      </c>
      <c r="C359" s="2" t="s">
        <v>346</v>
      </c>
      <c r="D359" s="2" t="s">
        <v>2506</v>
      </c>
      <c r="E359" s="2" t="s">
        <v>1230</v>
      </c>
      <c r="F359" s="2" t="s">
        <v>1231</v>
      </c>
      <c r="G359" s="2" t="s">
        <v>2507</v>
      </c>
      <c r="H359" s="2" t="s">
        <v>2508</v>
      </c>
      <c r="I359" s="2" t="s">
        <v>1203</v>
      </c>
      <c r="J359" s="2" t="s">
        <v>2509</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341</v>
      </c>
      <c r="C360" s="2" t="s">
        <v>346</v>
      </c>
      <c r="D360" s="2" t="s">
        <v>2510</v>
      </c>
      <c r="E360" s="2" t="s">
        <v>1230</v>
      </c>
      <c r="F360" s="2" t="s">
        <v>1231</v>
      </c>
      <c r="G360" s="2" t="s">
        <v>2511</v>
      </c>
      <c r="H360" s="2" t="s">
        <v>2512</v>
      </c>
      <c r="I360" s="2" t="s">
        <v>1203</v>
      </c>
      <c r="J360" s="2" t="s">
        <v>2513</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341</v>
      </c>
      <c r="C361" s="2" t="s">
        <v>346</v>
      </c>
      <c r="D361" s="2" t="s">
        <v>2514</v>
      </c>
      <c r="E361" s="2" t="s">
        <v>1230</v>
      </c>
      <c r="F361" s="2" t="s">
        <v>1231</v>
      </c>
      <c r="G361" s="2" t="s">
        <v>2515</v>
      </c>
      <c r="H361" s="2" t="s">
        <v>2516</v>
      </c>
      <c r="I361" s="2" t="s">
        <v>1203</v>
      </c>
      <c r="J361" s="2" t="s">
        <v>2517</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341</v>
      </c>
      <c r="C362" s="2" t="s">
        <v>346</v>
      </c>
      <c r="D362" s="2" t="s">
        <v>2518</v>
      </c>
      <c r="E362" s="2" t="s">
        <v>1230</v>
      </c>
      <c r="F362" s="2" t="s">
        <v>1231</v>
      </c>
      <c r="G362" s="2" t="s">
        <v>2519</v>
      </c>
      <c r="H362" s="2" t="s">
        <v>2520</v>
      </c>
      <c r="I362" s="2" t="s">
        <v>1203</v>
      </c>
      <c r="J362" s="2" t="s">
        <v>2521</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353</v>
      </c>
      <c r="C363" s="2" t="s">
        <v>358</v>
      </c>
      <c r="D363" s="2" t="s">
        <v>2522</v>
      </c>
      <c r="E363" s="2" t="s">
        <v>1224</v>
      </c>
      <c r="F363" s="2" t="s">
        <v>1225</v>
      </c>
      <c r="G363" s="2" t="s">
        <v>2523</v>
      </c>
      <c r="H363" s="2" t="s">
        <v>2524</v>
      </c>
      <c r="I363" s="2" t="s">
        <v>1203</v>
      </c>
      <c r="J363" s="2" t="s">
        <v>2525</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404</v>
      </c>
      <c r="C364" s="2" t="s">
        <v>410</v>
      </c>
      <c r="D364" s="2" t="s">
        <v>2526</v>
      </c>
      <c r="E364" s="2" t="s">
        <v>1224</v>
      </c>
      <c r="F364" s="2" t="s">
        <v>1225</v>
      </c>
      <c r="G364" s="2" t="s">
        <v>2527</v>
      </c>
      <c r="H364" s="2" t="s">
        <v>2528</v>
      </c>
      <c r="I364" s="2" t="s">
        <v>1203</v>
      </c>
      <c r="J364" s="2" t="s">
        <v>2529</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404</v>
      </c>
      <c r="C365" s="2" t="s">
        <v>410</v>
      </c>
      <c r="D365" s="2" t="s">
        <v>2530</v>
      </c>
      <c r="E365" s="2" t="s">
        <v>1224</v>
      </c>
      <c r="F365" s="2" t="s">
        <v>1225</v>
      </c>
      <c r="G365" s="2" t="s">
        <v>2531</v>
      </c>
      <c r="H365" s="2" t="s">
        <v>2532</v>
      </c>
      <c r="I365" s="2" t="s">
        <v>1203</v>
      </c>
      <c r="J365" s="2" t="s">
        <v>2533</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428</v>
      </c>
      <c r="C366" s="2" t="s">
        <v>433</v>
      </c>
      <c r="D366" s="2" t="s">
        <v>2534</v>
      </c>
      <c r="E366" s="2" t="s">
        <v>1224</v>
      </c>
      <c r="F366" s="2" t="s">
        <v>1248</v>
      </c>
      <c r="G366" s="2" t="s">
        <v>2535</v>
      </c>
      <c r="H366" s="2" t="s">
        <v>2536</v>
      </c>
      <c r="I366" s="2" t="s">
        <v>1203</v>
      </c>
      <c r="J366" s="2" t="s">
        <v>2537</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437</v>
      </c>
      <c r="C367" s="2" t="s">
        <v>442</v>
      </c>
      <c r="D367" s="2" t="s">
        <v>1327</v>
      </c>
      <c r="E367" s="2" t="s">
        <v>1224</v>
      </c>
      <c r="F367" s="2" t="s">
        <v>1248</v>
      </c>
      <c r="G367" s="2" t="s">
        <v>1328</v>
      </c>
      <c r="H367" s="2" t="s">
        <v>1329</v>
      </c>
      <c r="I367" s="2" t="s">
        <v>1203</v>
      </c>
      <c r="J367" s="2" t="s">
        <v>1330</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437</v>
      </c>
      <c r="C368" s="2" t="s">
        <v>442</v>
      </c>
      <c r="D368" s="2" t="s">
        <v>2538</v>
      </c>
      <c r="E368" s="2" t="s">
        <v>1224</v>
      </c>
      <c r="F368" s="2" t="s">
        <v>1225</v>
      </c>
      <c r="G368" s="2" t="s">
        <v>2539</v>
      </c>
      <c r="H368" s="2" t="s">
        <v>2540</v>
      </c>
      <c r="I368" s="2" t="s">
        <v>1203</v>
      </c>
      <c r="J368" s="2" t="s">
        <v>2541</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437</v>
      </c>
      <c r="C369" s="2" t="s">
        <v>442</v>
      </c>
      <c r="D369" s="2" t="s">
        <v>2542</v>
      </c>
      <c r="E369" s="2" t="s">
        <v>1224</v>
      </c>
      <c r="F369" s="2" t="s">
        <v>1225</v>
      </c>
      <c r="G369" s="2" t="s">
        <v>2543</v>
      </c>
      <c r="H369" s="2" t="s">
        <v>2544</v>
      </c>
      <c r="I369" s="2" t="s">
        <v>1203</v>
      </c>
      <c r="J369" s="2" t="s">
        <v>2545</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437</v>
      </c>
      <c r="C370" s="2" t="s">
        <v>442</v>
      </c>
      <c r="D370" s="2" t="s">
        <v>2546</v>
      </c>
      <c r="E370" s="2" t="s">
        <v>1224</v>
      </c>
      <c r="F370" s="2" t="s">
        <v>1225</v>
      </c>
      <c r="G370" s="2" t="s">
        <v>1896</v>
      </c>
      <c r="H370" s="2" t="s">
        <v>2547</v>
      </c>
      <c r="I370" s="2" t="s">
        <v>1203</v>
      </c>
      <c r="J370" s="2" t="s">
        <v>2548</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437</v>
      </c>
      <c r="C371" s="2" t="s">
        <v>442</v>
      </c>
      <c r="D371" s="2" t="s">
        <v>2549</v>
      </c>
      <c r="E371" s="2" t="s">
        <v>1199</v>
      </c>
      <c r="F371" s="2" t="s">
        <v>2550</v>
      </c>
      <c r="G371" s="2" t="s">
        <v>1929</v>
      </c>
      <c r="H371" s="2" t="s">
        <v>2551</v>
      </c>
      <c r="I371" s="2" t="s">
        <v>1203</v>
      </c>
      <c r="J371" s="2" t="s">
        <v>2552</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1205</v>
      </c>
    </row>
    <row r="372" customFormat="false" ht="15" hidden="false" customHeight="false" outlineLevel="0" collapsed="false">
      <c r="A372" s="2" t="n">
        <v>32</v>
      </c>
      <c r="B372" s="2" t="s">
        <v>437</v>
      </c>
      <c r="C372" s="2" t="s">
        <v>442</v>
      </c>
      <c r="D372" s="2" t="s">
        <v>2553</v>
      </c>
      <c r="E372" s="2" t="s">
        <v>1230</v>
      </c>
      <c r="F372" s="2" t="s">
        <v>1231</v>
      </c>
      <c r="G372" s="2" t="s">
        <v>1929</v>
      </c>
      <c r="H372" s="2" t="s">
        <v>2554</v>
      </c>
      <c r="I372" s="2" t="s">
        <v>1203</v>
      </c>
      <c r="J372" s="2" t="s">
        <v>2555</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437</v>
      </c>
      <c r="C373" s="2" t="s">
        <v>442</v>
      </c>
      <c r="D373" s="2" t="s">
        <v>2556</v>
      </c>
      <c r="E373" s="2" t="s">
        <v>1199</v>
      </c>
      <c r="F373" s="2" t="s">
        <v>2550</v>
      </c>
      <c r="G373" s="2" t="s">
        <v>2557</v>
      </c>
      <c r="H373" s="2" t="s">
        <v>2558</v>
      </c>
      <c r="I373" s="2" t="s">
        <v>1203</v>
      </c>
      <c r="J373" s="2" t="s">
        <v>2559</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1205</v>
      </c>
    </row>
    <row r="374" customFormat="false" ht="15" hidden="false" customHeight="false" outlineLevel="0" collapsed="false">
      <c r="A374" s="2" t="n">
        <v>32</v>
      </c>
      <c r="B374" s="2" t="s">
        <v>437</v>
      </c>
      <c r="C374" s="2" t="s">
        <v>442</v>
      </c>
      <c r="D374" s="2" t="s">
        <v>1370</v>
      </c>
      <c r="E374" s="2" t="s">
        <v>1224</v>
      </c>
      <c r="F374" s="2" t="s">
        <v>1248</v>
      </c>
      <c r="G374" s="2" t="s">
        <v>1367</v>
      </c>
      <c r="H374" s="2" t="s">
        <v>1371</v>
      </c>
      <c r="I374" s="2" t="s">
        <v>1203</v>
      </c>
      <c r="J374" s="2" t="s">
        <v>1372</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437</v>
      </c>
      <c r="C375" s="2" t="s">
        <v>442</v>
      </c>
      <c r="D375" s="2" t="s">
        <v>2560</v>
      </c>
      <c r="E375" s="2" t="s">
        <v>1224</v>
      </c>
      <c r="F375" s="2" t="s">
        <v>1248</v>
      </c>
      <c r="G375" s="2" t="s">
        <v>2561</v>
      </c>
      <c r="H375" s="2" t="s">
        <v>2562</v>
      </c>
      <c r="I375" s="2" t="s">
        <v>1203</v>
      </c>
      <c r="J375" s="2" t="s">
        <v>2563</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437</v>
      </c>
      <c r="C376" s="2" t="s">
        <v>442</v>
      </c>
      <c r="D376" s="2" t="s">
        <v>2564</v>
      </c>
      <c r="E376" s="2" t="s">
        <v>1230</v>
      </c>
      <c r="F376" s="2" t="s">
        <v>1231</v>
      </c>
      <c r="G376" s="2" t="s">
        <v>2565</v>
      </c>
      <c r="H376" s="2" t="s">
        <v>2566</v>
      </c>
      <c r="I376" s="2" t="s">
        <v>1203</v>
      </c>
      <c r="J376" s="2" t="s">
        <v>2567</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437</v>
      </c>
      <c r="C377" s="2" t="s">
        <v>442</v>
      </c>
      <c r="D377" s="2" t="s">
        <v>2568</v>
      </c>
      <c r="E377" s="2" t="s">
        <v>1224</v>
      </c>
      <c r="F377" s="2" t="s">
        <v>1225</v>
      </c>
      <c r="G377" s="2" t="s">
        <v>2569</v>
      </c>
      <c r="H377" s="2" t="s">
        <v>2570</v>
      </c>
      <c r="I377" s="2" t="s">
        <v>1203</v>
      </c>
      <c r="J377" s="2" t="s">
        <v>2571</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448</v>
      </c>
      <c r="C378" s="2" t="s">
        <v>452</v>
      </c>
      <c r="D378" s="2" t="s">
        <v>2572</v>
      </c>
      <c r="E378" s="2" t="s">
        <v>1199</v>
      </c>
      <c r="F378" s="2" t="s">
        <v>1430</v>
      </c>
      <c r="G378" s="2" t="s">
        <v>2300</v>
      </c>
      <c r="H378" s="2" t="s">
        <v>2573</v>
      </c>
      <c r="I378" s="2" t="s">
        <v>1203</v>
      </c>
      <c r="J378" s="2" t="s">
        <v>2574</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1205</v>
      </c>
    </row>
    <row r="379" customFormat="false" ht="15" hidden="false" customHeight="false" outlineLevel="0" collapsed="false">
      <c r="A379" s="2" t="n">
        <v>35</v>
      </c>
      <c r="B379" s="2" t="s">
        <v>464</v>
      </c>
      <c r="C379" s="2" t="s">
        <v>469</v>
      </c>
      <c r="D379" s="2" t="s">
        <v>2303</v>
      </c>
      <c r="E379" s="2" t="s">
        <v>1224</v>
      </c>
      <c r="F379" s="2" t="s">
        <v>1248</v>
      </c>
      <c r="G379" s="2" t="s">
        <v>2300</v>
      </c>
      <c r="H379" s="2" t="s">
        <v>2304</v>
      </c>
      <c r="I379" s="2" t="s">
        <v>1203</v>
      </c>
      <c r="J379" s="2" t="s">
        <v>2305</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464</v>
      </c>
      <c r="C380" s="2" t="s">
        <v>469</v>
      </c>
      <c r="D380" s="2" t="s">
        <v>2313</v>
      </c>
      <c r="E380" s="2" t="s">
        <v>1224</v>
      </c>
      <c r="F380" s="2" t="s">
        <v>1248</v>
      </c>
      <c r="G380" s="2" t="s">
        <v>2314</v>
      </c>
      <c r="H380" s="2" t="s">
        <v>2315</v>
      </c>
      <c r="I380" s="2" t="s">
        <v>1203</v>
      </c>
      <c r="J380" s="2" t="s">
        <v>2316</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473</v>
      </c>
      <c r="C381" s="2" t="s">
        <v>477</v>
      </c>
      <c r="D381" s="2" t="s">
        <v>2575</v>
      </c>
      <c r="E381" s="2" t="s">
        <v>1199</v>
      </c>
      <c r="F381" s="2" t="s">
        <v>1239</v>
      </c>
      <c r="G381" s="2" t="s">
        <v>553</v>
      </c>
      <c r="H381" s="2" t="s">
        <v>2576</v>
      </c>
      <c r="I381" s="2" t="s">
        <v>1203</v>
      </c>
      <c r="J381" s="2" t="s">
        <v>2577</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1205</v>
      </c>
    </row>
    <row r="382" customFormat="false" ht="15" hidden="false" customHeight="false" outlineLevel="0" collapsed="false">
      <c r="A382" s="2" t="n">
        <v>36</v>
      </c>
      <c r="B382" s="2" t="s">
        <v>473</v>
      </c>
      <c r="C382" s="2" t="s">
        <v>477</v>
      </c>
      <c r="D382" s="2" t="s">
        <v>2578</v>
      </c>
      <c r="E382" s="2" t="s">
        <v>1224</v>
      </c>
      <c r="F382" s="2" t="s">
        <v>1225</v>
      </c>
      <c r="G382" s="2" t="s">
        <v>2579</v>
      </c>
      <c r="H382" s="2" t="s">
        <v>2580</v>
      </c>
      <c r="I382" s="2" t="s">
        <v>1203</v>
      </c>
      <c r="J382" s="2" t="s">
        <v>2581</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473</v>
      </c>
      <c r="C383" s="2" t="s">
        <v>477</v>
      </c>
      <c r="D383" s="2" t="s">
        <v>2582</v>
      </c>
      <c r="E383" s="2" t="s">
        <v>1199</v>
      </c>
      <c r="F383" s="2" t="s">
        <v>1239</v>
      </c>
      <c r="G383" s="2" t="s">
        <v>2583</v>
      </c>
      <c r="H383" s="2" t="s">
        <v>2584</v>
      </c>
      <c r="I383" s="2" t="s">
        <v>1203</v>
      </c>
      <c r="J383" s="2" t="s">
        <v>2585</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1205</v>
      </c>
    </row>
    <row r="384" customFormat="false" ht="15" hidden="false" customHeight="false" outlineLevel="0" collapsed="false">
      <c r="A384" s="2" t="n">
        <v>36</v>
      </c>
      <c r="B384" s="2" t="s">
        <v>473</v>
      </c>
      <c r="C384" s="2" t="s">
        <v>477</v>
      </c>
      <c r="D384" s="2" t="s">
        <v>2586</v>
      </c>
      <c r="E384" s="2" t="s">
        <v>1224</v>
      </c>
      <c r="F384" s="2" t="s">
        <v>1225</v>
      </c>
      <c r="G384" s="2" t="s">
        <v>2587</v>
      </c>
      <c r="H384" s="2" t="s">
        <v>2588</v>
      </c>
      <c r="I384" s="2" t="s">
        <v>1203</v>
      </c>
      <c r="J384" s="2" t="s">
        <v>2589</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473</v>
      </c>
      <c r="C385" s="2" t="s">
        <v>477</v>
      </c>
      <c r="D385" s="2" t="s">
        <v>2590</v>
      </c>
      <c r="E385" s="2" t="s">
        <v>1199</v>
      </c>
      <c r="F385" s="2" t="s">
        <v>1239</v>
      </c>
      <c r="G385" s="2" t="s">
        <v>2314</v>
      </c>
      <c r="H385" s="2" t="s">
        <v>2591</v>
      </c>
      <c r="I385" s="2" t="s">
        <v>1203</v>
      </c>
      <c r="J385" s="2" t="s">
        <v>2592</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1205</v>
      </c>
    </row>
    <row r="386" customFormat="false" ht="15" hidden="false" customHeight="false" outlineLevel="0" collapsed="false">
      <c r="A386" s="2" t="n">
        <v>36</v>
      </c>
      <c r="B386" s="2" t="s">
        <v>473</v>
      </c>
      <c r="C386" s="2" t="s">
        <v>477</v>
      </c>
      <c r="D386" s="2" t="s">
        <v>2593</v>
      </c>
      <c r="E386" s="2" t="s">
        <v>1199</v>
      </c>
      <c r="F386" s="2" t="s">
        <v>1239</v>
      </c>
      <c r="G386" s="2" t="s">
        <v>2594</v>
      </c>
      <c r="H386" s="2" t="s">
        <v>2595</v>
      </c>
      <c r="I386" s="2" t="s">
        <v>1203</v>
      </c>
      <c r="J386" s="2" t="s">
        <v>2596</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1205</v>
      </c>
    </row>
    <row r="387" customFormat="false" ht="15" hidden="false" customHeight="false" outlineLevel="0" collapsed="false">
      <c r="A387" s="2" t="n">
        <v>37</v>
      </c>
      <c r="B387" s="2" t="s">
        <v>483</v>
      </c>
      <c r="C387" s="2" t="s">
        <v>488</v>
      </c>
      <c r="D387" s="2" t="s">
        <v>2597</v>
      </c>
      <c r="E387" s="2" t="s">
        <v>1224</v>
      </c>
      <c r="F387" s="2" t="s">
        <v>1225</v>
      </c>
      <c r="G387" s="2" t="s">
        <v>2598</v>
      </c>
      <c r="H387" s="2" t="s">
        <v>2599</v>
      </c>
      <c r="I387" s="2" t="s">
        <v>1203</v>
      </c>
      <c r="J387" s="2" t="s">
        <v>2600</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483</v>
      </c>
      <c r="C388" s="2" t="s">
        <v>488</v>
      </c>
      <c r="D388" s="2" t="s">
        <v>2601</v>
      </c>
      <c r="E388" s="2" t="s">
        <v>1224</v>
      </c>
      <c r="F388" s="2" t="s">
        <v>1225</v>
      </c>
      <c r="G388" s="2" t="s">
        <v>2602</v>
      </c>
      <c r="H388" s="2" t="s">
        <v>2603</v>
      </c>
      <c r="I388" s="2" t="s">
        <v>1203</v>
      </c>
      <c r="J388" s="2" t="s">
        <v>2604</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483</v>
      </c>
      <c r="C389" s="2" t="s">
        <v>488</v>
      </c>
      <c r="D389" s="2" t="s">
        <v>2605</v>
      </c>
      <c r="E389" s="2" t="s">
        <v>1224</v>
      </c>
      <c r="F389" s="2" t="s">
        <v>1225</v>
      </c>
      <c r="G389" s="2" t="s">
        <v>2602</v>
      </c>
      <c r="H389" s="2" t="s">
        <v>2606</v>
      </c>
      <c r="I389" s="2" t="s">
        <v>1203</v>
      </c>
      <c r="J389" s="2" t="s">
        <v>2607</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483</v>
      </c>
      <c r="C390" s="2" t="s">
        <v>488</v>
      </c>
      <c r="D390" s="2" t="s">
        <v>2608</v>
      </c>
      <c r="E390" s="2" t="s">
        <v>1224</v>
      </c>
      <c r="F390" s="2" t="s">
        <v>1225</v>
      </c>
      <c r="G390" s="2" t="s">
        <v>2124</v>
      </c>
      <c r="H390" s="2" t="s">
        <v>2609</v>
      </c>
      <c r="I390" s="2" t="s">
        <v>1203</v>
      </c>
      <c r="J390" s="2" t="s">
        <v>2610</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483</v>
      </c>
      <c r="C391" s="2" t="s">
        <v>488</v>
      </c>
      <c r="D391" s="2" t="s">
        <v>2611</v>
      </c>
      <c r="E391" s="2" t="s">
        <v>1224</v>
      </c>
      <c r="F391" s="2" t="s">
        <v>1225</v>
      </c>
      <c r="G391" s="2" t="s">
        <v>2612</v>
      </c>
      <c r="H391" s="2" t="s">
        <v>2613</v>
      </c>
      <c r="I391" s="2" t="s">
        <v>1203</v>
      </c>
      <c r="J391" s="2" t="s">
        <v>2614</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492</v>
      </c>
      <c r="C392" s="2" t="s">
        <v>496</v>
      </c>
      <c r="D392" s="2" t="s">
        <v>2615</v>
      </c>
      <c r="E392" s="2" t="s">
        <v>1199</v>
      </c>
      <c r="F392" s="2" t="s">
        <v>1430</v>
      </c>
      <c r="G392" s="2" t="s">
        <v>2616</v>
      </c>
      <c r="H392" s="2" t="s">
        <v>2617</v>
      </c>
      <c r="I392" s="2" t="s">
        <v>1203</v>
      </c>
      <c r="J392" s="2" t="s">
        <v>2618</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1205</v>
      </c>
    </row>
    <row r="393" customFormat="false" ht="15" hidden="false" customHeight="false" outlineLevel="0" collapsed="false">
      <c r="A393" s="2" t="n">
        <v>39</v>
      </c>
      <c r="B393" s="2" t="s">
        <v>499</v>
      </c>
      <c r="C393" s="2" t="s">
        <v>504</v>
      </c>
      <c r="D393" s="2" t="s">
        <v>2619</v>
      </c>
      <c r="E393" s="2" t="s">
        <v>1199</v>
      </c>
      <c r="F393" s="2" t="s">
        <v>1239</v>
      </c>
      <c r="G393" s="2" t="s">
        <v>2620</v>
      </c>
      <c r="H393" s="2" t="s">
        <v>2621</v>
      </c>
      <c r="I393" s="2" t="s">
        <v>1203</v>
      </c>
      <c r="J393" s="2" t="s">
        <v>2622</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1205</v>
      </c>
    </row>
    <row r="394" customFormat="false" ht="15" hidden="false" customHeight="false" outlineLevel="0" collapsed="false">
      <c r="A394" s="2" t="n">
        <v>39</v>
      </c>
      <c r="B394" s="2" t="s">
        <v>499</v>
      </c>
      <c r="C394" s="2" t="s">
        <v>504</v>
      </c>
      <c r="D394" s="2" t="s">
        <v>2623</v>
      </c>
      <c r="E394" s="2" t="s">
        <v>1230</v>
      </c>
      <c r="F394" s="2" t="s">
        <v>1231</v>
      </c>
      <c r="G394" s="2" t="s">
        <v>507</v>
      </c>
      <c r="H394" s="2" t="s">
        <v>2624</v>
      </c>
      <c r="I394" s="2" t="s">
        <v>1203</v>
      </c>
      <c r="J394" s="2" t="s">
        <v>2625</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499</v>
      </c>
      <c r="C395" s="2" t="s">
        <v>504</v>
      </c>
      <c r="D395" s="2" t="s">
        <v>2626</v>
      </c>
      <c r="E395" s="2" t="s">
        <v>1230</v>
      </c>
      <c r="F395" s="2" t="s">
        <v>1231</v>
      </c>
      <c r="G395" s="2" t="s">
        <v>508</v>
      </c>
      <c r="H395" s="2" t="s">
        <v>2627</v>
      </c>
      <c r="I395" s="2" t="s">
        <v>1203</v>
      </c>
      <c r="J395" s="2" t="s">
        <v>2628</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519</v>
      </c>
      <c r="C396" s="2" t="s">
        <v>524</v>
      </c>
      <c r="D396" s="2" t="s">
        <v>2629</v>
      </c>
      <c r="E396" s="2" t="s">
        <v>1199</v>
      </c>
      <c r="F396" s="2" t="s">
        <v>1239</v>
      </c>
      <c r="G396" s="2" t="s">
        <v>2630</v>
      </c>
      <c r="H396" s="2" t="s">
        <v>2631</v>
      </c>
      <c r="I396" s="2" t="s">
        <v>1203</v>
      </c>
      <c r="J396" s="2" t="s">
        <v>2632</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1205</v>
      </c>
    </row>
    <row r="397" customFormat="false" ht="15" hidden="false" customHeight="false" outlineLevel="0" collapsed="false">
      <c r="A397" s="2" t="n">
        <v>41</v>
      </c>
      <c r="B397" s="2" t="s">
        <v>519</v>
      </c>
      <c r="C397" s="2" t="s">
        <v>524</v>
      </c>
      <c r="D397" s="2" t="s">
        <v>2633</v>
      </c>
      <c r="E397" s="2" t="s">
        <v>1224</v>
      </c>
      <c r="F397" s="2" t="s">
        <v>1225</v>
      </c>
      <c r="G397" s="2" t="s">
        <v>2634</v>
      </c>
      <c r="H397" s="2" t="s">
        <v>2635</v>
      </c>
      <c r="I397" s="2" t="s">
        <v>1203</v>
      </c>
      <c r="J397" s="2" t="s">
        <v>2636</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519</v>
      </c>
      <c r="C398" s="2" t="s">
        <v>524</v>
      </c>
      <c r="D398" s="2" t="s">
        <v>2637</v>
      </c>
      <c r="E398" s="2" t="s">
        <v>1224</v>
      </c>
      <c r="F398" s="2" t="s">
        <v>1225</v>
      </c>
      <c r="G398" s="2" t="s">
        <v>2638</v>
      </c>
      <c r="H398" s="2" t="s">
        <v>2639</v>
      </c>
      <c r="I398" s="2" t="s">
        <v>1203</v>
      </c>
      <c r="J398" s="2" t="s">
        <v>2640</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519</v>
      </c>
      <c r="C399" s="2" t="s">
        <v>524</v>
      </c>
      <c r="D399" s="2" t="s">
        <v>2641</v>
      </c>
      <c r="E399" s="2" t="s">
        <v>1224</v>
      </c>
      <c r="F399" s="2" t="s">
        <v>1225</v>
      </c>
      <c r="G399" s="2" t="s">
        <v>2642</v>
      </c>
      <c r="H399" s="2" t="s">
        <v>2643</v>
      </c>
      <c r="I399" s="2" t="s">
        <v>1203</v>
      </c>
      <c r="J399" s="2" t="s">
        <v>2644</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519</v>
      </c>
      <c r="C400" s="2" t="s">
        <v>524</v>
      </c>
      <c r="D400" s="2" t="s">
        <v>2645</v>
      </c>
      <c r="E400" s="2" t="s">
        <v>1224</v>
      </c>
      <c r="F400" s="2" t="s">
        <v>1248</v>
      </c>
      <c r="G400" s="2" t="s">
        <v>2646</v>
      </c>
      <c r="H400" s="2" t="s">
        <v>2647</v>
      </c>
      <c r="I400" s="2" t="s">
        <v>1203</v>
      </c>
      <c r="J400" s="2" t="s">
        <v>2648</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519</v>
      </c>
      <c r="C401" s="2" t="s">
        <v>524</v>
      </c>
      <c r="D401" s="2" t="s">
        <v>2313</v>
      </c>
      <c r="E401" s="2" t="s">
        <v>1224</v>
      </c>
      <c r="F401" s="2" t="s">
        <v>1248</v>
      </c>
      <c r="G401" s="2" t="s">
        <v>2314</v>
      </c>
      <c r="H401" s="2" t="s">
        <v>2315</v>
      </c>
      <c r="I401" s="2" t="s">
        <v>1203</v>
      </c>
      <c r="J401" s="2" t="s">
        <v>2316</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519</v>
      </c>
      <c r="C402" s="2" t="s">
        <v>524</v>
      </c>
      <c r="D402" s="2" t="s">
        <v>2649</v>
      </c>
      <c r="E402" s="2" t="s">
        <v>1224</v>
      </c>
      <c r="F402" s="2" t="s">
        <v>1225</v>
      </c>
      <c r="G402" s="2" t="s">
        <v>2650</v>
      </c>
      <c r="H402" s="2" t="s">
        <v>2651</v>
      </c>
      <c r="I402" s="2" t="s">
        <v>1203</v>
      </c>
      <c r="J402" s="2" t="s">
        <v>2652</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519</v>
      </c>
      <c r="C403" s="2" t="s">
        <v>524</v>
      </c>
      <c r="D403" s="2" t="s">
        <v>2653</v>
      </c>
      <c r="E403" s="2" t="s">
        <v>1224</v>
      </c>
      <c r="F403" s="2" t="s">
        <v>1248</v>
      </c>
      <c r="G403" s="2" t="s">
        <v>1391</v>
      </c>
      <c r="H403" s="2" t="s">
        <v>2654</v>
      </c>
      <c r="I403" s="2" t="s">
        <v>1203</v>
      </c>
      <c r="J403" s="2" t="s">
        <v>2655</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519</v>
      </c>
      <c r="C404" s="2" t="s">
        <v>524</v>
      </c>
      <c r="D404" s="2" t="s">
        <v>2656</v>
      </c>
      <c r="E404" s="2" t="s">
        <v>1224</v>
      </c>
      <c r="F404" s="2" t="s">
        <v>1225</v>
      </c>
      <c r="G404" s="2" t="s">
        <v>2657</v>
      </c>
      <c r="H404" s="2" t="s">
        <v>2658</v>
      </c>
      <c r="I404" s="2" t="s">
        <v>1203</v>
      </c>
      <c r="J404" s="2" t="s">
        <v>2659</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519</v>
      </c>
      <c r="C405" s="2" t="s">
        <v>524</v>
      </c>
      <c r="D405" s="2" t="s">
        <v>2660</v>
      </c>
      <c r="E405" s="2" t="s">
        <v>1224</v>
      </c>
      <c r="F405" s="2" t="s">
        <v>1248</v>
      </c>
      <c r="G405" s="2" t="s">
        <v>2661</v>
      </c>
      <c r="H405" s="2" t="s">
        <v>2662</v>
      </c>
      <c r="I405" s="2" t="s">
        <v>1203</v>
      </c>
      <c r="J405" s="2" t="s">
        <v>2663</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519</v>
      </c>
      <c r="C406" s="2" t="s">
        <v>524</v>
      </c>
      <c r="D406" s="2" t="s">
        <v>2664</v>
      </c>
      <c r="E406" s="2" t="s">
        <v>1224</v>
      </c>
      <c r="F406" s="2" t="s">
        <v>1248</v>
      </c>
      <c r="G406" s="2" t="s">
        <v>2665</v>
      </c>
      <c r="H406" s="2" t="s">
        <v>2666</v>
      </c>
      <c r="I406" s="2" t="s">
        <v>1203</v>
      </c>
      <c r="J406" s="2" t="s">
        <v>2667</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530</v>
      </c>
      <c r="C407" s="2" t="s">
        <v>535</v>
      </c>
      <c r="D407" s="2" t="s">
        <v>2668</v>
      </c>
      <c r="E407" s="2" t="s">
        <v>1224</v>
      </c>
      <c r="F407" s="2" t="s">
        <v>1225</v>
      </c>
      <c r="G407" s="2" t="s">
        <v>2669</v>
      </c>
      <c r="H407" s="2" t="s">
        <v>2670</v>
      </c>
      <c r="I407" s="2" t="s">
        <v>1203</v>
      </c>
      <c r="J407" s="2" t="s">
        <v>2671</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539</v>
      </c>
      <c r="C408" s="2" t="s">
        <v>544</v>
      </c>
      <c r="D408" s="2" t="s">
        <v>2672</v>
      </c>
      <c r="E408" s="2" t="s">
        <v>1224</v>
      </c>
      <c r="F408" s="2" t="s">
        <v>1225</v>
      </c>
      <c r="G408" s="2" t="s">
        <v>2673</v>
      </c>
      <c r="H408" s="2" t="s">
        <v>2674</v>
      </c>
      <c r="I408" s="2" t="s">
        <v>1203</v>
      </c>
      <c r="J408" s="2" t="s">
        <v>2675</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549</v>
      </c>
      <c r="C409" s="2" t="s">
        <v>554</v>
      </c>
      <c r="D409" s="2" t="s">
        <v>2676</v>
      </c>
      <c r="E409" s="2" t="s">
        <v>1199</v>
      </c>
      <c r="F409" s="2" t="s">
        <v>1239</v>
      </c>
      <c r="G409" s="2" t="s">
        <v>2677</v>
      </c>
      <c r="H409" s="2" t="s">
        <v>2678</v>
      </c>
      <c r="I409" s="2" t="s">
        <v>1203</v>
      </c>
      <c r="J409" s="2" t="s">
        <v>2679</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1205</v>
      </c>
    </row>
    <row r="410" customFormat="false" ht="15" hidden="false" customHeight="false" outlineLevel="0" collapsed="false">
      <c r="A410" s="2" t="n">
        <v>45</v>
      </c>
      <c r="B410" s="2" t="s">
        <v>560</v>
      </c>
      <c r="C410" s="2" t="s">
        <v>567</v>
      </c>
      <c r="D410" s="2" t="s">
        <v>2680</v>
      </c>
      <c r="E410" s="2" t="s">
        <v>1224</v>
      </c>
      <c r="F410" s="2" t="s">
        <v>1248</v>
      </c>
      <c r="G410" s="2" t="s">
        <v>2681</v>
      </c>
      <c r="H410" s="2" t="s">
        <v>2682</v>
      </c>
      <c r="I410" s="2" t="s">
        <v>1203</v>
      </c>
      <c r="J410" s="2" t="s">
        <v>2683</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573</v>
      </c>
      <c r="C411" s="2" t="s">
        <v>578</v>
      </c>
      <c r="D411" s="2" t="s">
        <v>2684</v>
      </c>
      <c r="E411" s="2" t="s">
        <v>1224</v>
      </c>
      <c r="F411" s="2" t="s">
        <v>1248</v>
      </c>
      <c r="G411" s="2" t="s">
        <v>2685</v>
      </c>
      <c r="H411" s="2" t="s">
        <v>2686</v>
      </c>
      <c r="I411" s="2" t="s">
        <v>1203</v>
      </c>
      <c r="J411" s="2" t="s">
        <v>2687</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573</v>
      </c>
      <c r="C412" s="2" t="s">
        <v>578</v>
      </c>
      <c r="D412" s="2" t="s">
        <v>2688</v>
      </c>
      <c r="E412" s="2" t="s">
        <v>1230</v>
      </c>
      <c r="F412" s="2" t="s">
        <v>1231</v>
      </c>
      <c r="G412" s="2" t="s">
        <v>2685</v>
      </c>
      <c r="H412" s="2" t="s">
        <v>2689</v>
      </c>
      <c r="I412" s="2" t="s">
        <v>1203</v>
      </c>
      <c r="J412" s="2" t="s">
        <v>2690</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573</v>
      </c>
      <c r="C413" s="2" t="s">
        <v>578</v>
      </c>
      <c r="D413" s="2" t="s">
        <v>2691</v>
      </c>
      <c r="E413" s="2" t="s">
        <v>1230</v>
      </c>
      <c r="F413" s="2" t="s">
        <v>1231</v>
      </c>
      <c r="G413" s="2" t="s">
        <v>2692</v>
      </c>
      <c r="H413" s="2" t="s">
        <v>2693</v>
      </c>
      <c r="I413" s="2" t="s">
        <v>1203</v>
      </c>
      <c r="J413" s="2" t="s">
        <v>2694</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573</v>
      </c>
      <c r="C414" s="2" t="s">
        <v>578</v>
      </c>
      <c r="D414" s="2" t="s">
        <v>2695</v>
      </c>
      <c r="E414" s="2" t="s">
        <v>1199</v>
      </c>
      <c r="F414" s="2" t="s">
        <v>1239</v>
      </c>
      <c r="G414" s="2" t="s">
        <v>651</v>
      </c>
      <c r="H414" s="2" t="s">
        <v>2696</v>
      </c>
      <c r="I414" s="2" t="s">
        <v>1203</v>
      </c>
      <c r="J414" s="2" t="s">
        <v>2697</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1205</v>
      </c>
    </row>
    <row r="415" customFormat="false" ht="15" hidden="false" customHeight="false" outlineLevel="0" collapsed="false">
      <c r="A415" s="2" t="n">
        <v>46</v>
      </c>
      <c r="B415" s="2" t="s">
        <v>573</v>
      </c>
      <c r="C415" s="2" t="s">
        <v>578</v>
      </c>
      <c r="D415" s="2" t="s">
        <v>2698</v>
      </c>
      <c r="E415" s="2" t="s">
        <v>1199</v>
      </c>
      <c r="F415" s="2" t="s">
        <v>1239</v>
      </c>
      <c r="G415" s="2" t="s">
        <v>2699</v>
      </c>
      <c r="H415" s="2" t="s">
        <v>2700</v>
      </c>
      <c r="I415" s="2" t="s">
        <v>1203</v>
      </c>
      <c r="J415" s="2" t="s">
        <v>2701</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1205</v>
      </c>
    </row>
    <row r="416" customFormat="false" ht="15" hidden="false" customHeight="false" outlineLevel="0" collapsed="false">
      <c r="A416" s="2" t="n">
        <v>46</v>
      </c>
      <c r="B416" s="2" t="s">
        <v>573</v>
      </c>
      <c r="C416" s="2" t="s">
        <v>578</v>
      </c>
      <c r="D416" s="2" t="s">
        <v>2702</v>
      </c>
      <c r="E416" s="2" t="s">
        <v>1224</v>
      </c>
      <c r="F416" s="2" t="s">
        <v>1248</v>
      </c>
      <c r="G416" s="2" t="s">
        <v>170</v>
      </c>
      <c r="H416" s="2" t="s">
        <v>2703</v>
      </c>
      <c r="I416" s="2" t="s">
        <v>1203</v>
      </c>
      <c r="J416" s="2" t="s">
        <v>2704</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573</v>
      </c>
      <c r="C417" s="2" t="s">
        <v>578</v>
      </c>
      <c r="D417" s="2" t="s">
        <v>2705</v>
      </c>
      <c r="E417" s="2" t="s">
        <v>1230</v>
      </c>
      <c r="F417" s="2" t="s">
        <v>1231</v>
      </c>
      <c r="G417" s="2" t="s">
        <v>2706</v>
      </c>
      <c r="H417" s="2" t="s">
        <v>2707</v>
      </c>
      <c r="I417" s="2" t="s">
        <v>1203</v>
      </c>
      <c r="J417" s="2" t="s">
        <v>2708</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584</v>
      </c>
      <c r="C418" s="2" t="s">
        <v>588</v>
      </c>
      <c r="D418" s="2" t="s">
        <v>2709</v>
      </c>
      <c r="E418" s="2" t="s">
        <v>1224</v>
      </c>
      <c r="F418" s="2" t="s">
        <v>1225</v>
      </c>
      <c r="G418" s="2" t="s">
        <v>2710</v>
      </c>
      <c r="H418" s="2" t="s">
        <v>2711</v>
      </c>
      <c r="I418" s="2" t="s">
        <v>1203</v>
      </c>
      <c r="J418" s="2" t="s">
        <v>2712</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584</v>
      </c>
      <c r="C419" s="2" t="s">
        <v>588</v>
      </c>
      <c r="D419" s="2" t="s">
        <v>2698</v>
      </c>
      <c r="E419" s="2" t="s">
        <v>1199</v>
      </c>
      <c r="F419" s="2" t="s">
        <v>1239</v>
      </c>
      <c r="G419" s="2" t="s">
        <v>2699</v>
      </c>
      <c r="H419" s="2" t="s">
        <v>2700</v>
      </c>
      <c r="I419" s="2" t="s">
        <v>1203</v>
      </c>
      <c r="J419" s="2" t="s">
        <v>2701</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1205</v>
      </c>
    </row>
    <row r="420" customFormat="false" ht="15" hidden="false" customHeight="false" outlineLevel="0" collapsed="false">
      <c r="A420" s="2" t="n">
        <v>47</v>
      </c>
      <c r="B420" s="2" t="s">
        <v>584</v>
      </c>
      <c r="C420" s="2" t="s">
        <v>588</v>
      </c>
      <c r="D420" s="2" t="s">
        <v>2713</v>
      </c>
      <c r="E420" s="2" t="s">
        <v>1230</v>
      </c>
      <c r="F420" s="2" t="s">
        <v>1231</v>
      </c>
      <c r="G420" s="2" t="s">
        <v>2714</v>
      </c>
      <c r="H420" s="2" t="s">
        <v>2715</v>
      </c>
      <c r="I420" s="2" t="s">
        <v>1203</v>
      </c>
      <c r="J420" s="2" t="s">
        <v>2716</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584</v>
      </c>
      <c r="C421" s="2" t="s">
        <v>588</v>
      </c>
      <c r="D421" s="2" t="s">
        <v>2717</v>
      </c>
      <c r="E421" s="2" t="s">
        <v>1230</v>
      </c>
      <c r="F421" s="2" t="s">
        <v>1231</v>
      </c>
      <c r="G421" s="2" t="s">
        <v>2718</v>
      </c>
      <c r="H421" s="2" t="s">
        <v>2719</v>
      </c>
      <c r="I421" s="2" t="s">
        <v>1203</v>
      </c>
      <c r="J421" s="2" t="s">
        <v>2720</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584</v>
      </c>
      <c r="C422" s="2" t="s">
        <v>588</v>
      </c>
      <c r="D422" s="2" t="s">
        <v>2721</v>
      </c>
      <c r="E422" s="2" t="s">
        <v>1230</v>
      </c>
      <c r="F422" s="2" t="s">
        <v>1231</v>
      </c>
      <c r="G422" s="2" t="s">
        <v>2722</v>
      </c>
      <c r="H422" s="2" t="s">
        <v>2723</v>
      </c>
      <c r="I422" s="2" t="s">
        <v>1203</v>
      </c>
      <c r="J422" s="2" t="s">
        <v>2724</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584</v>
      </c>
      <c r="C423" s="2" t="s">
        <v>588</v>
      </c>
      <c r="D423" s="2" t="s">
        <v>2725</v>
      </c>
      <c r="E423" s="2" t="s">
        <v>1230</v>
      </c>
      <c r="F423" s="2" t="s">
        <v>1231</v>
      </c>
      <c r="G423" s="2" t="s">
        <v>2569</v>
      </c>
      <c r="H423" s="2" t="s">
        <v>2726</v>
      </c>
      <c r="I423" s="2" t="s">
        <v>1203</v>
      </c>
      <c r="J423" s="2" t="s">
        <v>2727</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584</v>
      </c>
      <c r="C424" s="2" t="s">
        <v>588</v>
      </c>
      <c r="D424" s="2" t="s">
        <v>2728</v>
      </c>
      <c r="E424" s="2" t="s">
        <v>1230</v>
      </c>
      <c r="F424" s="2" t="s">
        <v>1231</v>
      </c>
      <c r="G424" s="2" t="s">
        <v>2407</v>
      </c>
      <c r="H424" s="2" t="s">
        <v>2729</v>
      </c>
      <c r="I424" s="2" t="s">
        <v>1203</v>
      </c>
      <c r="J424" s="2" t="s">
        <v>2730</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584</v>
      </c>
      <c r="C425" s="2" t="s">
        <v>588</v>
      </c>
      <c r="D425" s="2" t="s">
        <v>2731</v>
      </c>
      <c r="E425" s="2" t="s">
        <v>1230</v>
      </c>
      <c r="F425" s="2" t="s">
        <v>1231</v>
      </c>
      <c r="G425" s="2" t="s">
        <v>2665</v>
      </c>
      <c r="H425" s="2" t="s">
        <v>2732</v>
      </c>
      <c r="I425" s="2" t="s">
        <v>1203</v>
      </c>
      <c r="J425" s="2" t="s">
        <v>2733</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602</v>
      </c>
      <c r="C426" s="2" t="s">
        <v>605</v>
      </c>
      <c r="D426" s="2" t="s">
        <v>2734</v>
      </c>
      <c r="E426" s="2" t="s">
        <v>1230</v>
      </c>
      <c r="F426" s="2" t="s">
        <v>1231</v>
      </c>
      <c r="G426" s="2" t="s">
        <v>533</v>
      </c>
      <c r="H426" s="2" t="s">
        <v>2735</v>
      </c>
      <c r="I426" s="2" t="s">
        <v>1203</v>
      </c>
      <c r="J426" s="2" t="s">
        <v>2736</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626</v>
      </c>
      <c r="C427" s="2" t="s">
        <v>632</v>
      </c>
      <c r="D427" s="2" t="s">
        <v>2737</v>
      </c>
      <c r="E427" s="2" t="s">
        <v>1199</v>
      </c>
      <c r="F427" s="2" t="s">
        <v>1239</v>
      </c>
      <c r="G427" s="2" t="s">
        <v>630</v>
      </c>
      <c r="H427" s="2" t="s">
        <v>2738</v>
      </c>
      <c r="I427" s="2" t="s">
        <v>1203</v>
      </c>
      <c r="J427" s="2" t="s">
        <v>2739</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1205</v>
      </c>
    </row>
    <row r="428" customFormat="false" ht="15" hidden="false" customHeight="false" outlineLevel="0" collapsed="false">
      <c r="A428" s="2" t="n">
        <v>52</v>
      </c>
      <c r="B428" s="2" t="s">
        <v>626</v>
      </c>
      <c r="C428" s="2" t="s">
        <v>632</v>
      </c>
      <c r="D428" s="2" t="s">
        <v>2740</v>
      </c>
      <c r="E428" s="2" t="s">
        <v>1224</v>
      </c>
      <c r="F428" s="2" t="s">
        <v>1248</v>
      </c>
      <c r="G428" s="2" t="s">
        <v>2741</v>
      </c>
      <c r="H428" s="2" t="s">
        <v>2742</v>
      </c>
      <c r="I428" s="2" t="s">
        <v>1203</v>
      </c>
      <c r="J428" s="2" t="s">
        <v>2743</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626</v>
      </c>
      <c r="C429" s="2" t="s">
        <v>632</v>
      </c>
      <c r="D429" s="2" t="s">
        <v>2698</v>
      </c>
      <c r="E429" s="2" t="s">
        <v>1199</v>
      </c>
      <c r="F429" s="2" t="s">
        <v>1239</v>
      </c>
      <c r="G429" s="2" t="s">
        <v>2699</v>
      </c>
      <c r="H429" s="2" t="s">
        <v>2700</v>
      </c>
      <c r="I429" s="2" t="s">
        <v>1203</v>
      </c>
      <c r="J429" s="2" t="s">
        <v>2701</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1205</v>
      </c>
    </row>
    <row r="430" customFormat="false" ht="15" hidden="false" customHeight="false" outlineLevel="0" collapsed="false">
      <c r="A430" s="2" t="n">
        <v>52</v>
      </c>
      <c r="B430" s="2" t="s">
        <v>626</v>
      </c>
      <c r="C430" s="2" t="s">
        <v>632</v>
      </c>
      <c r="D430" s="2" t="s">
        <v>2744</v>
      </c>
      <c r="E430" s="2" t="s">
        <v>1230</v>
      </c>
      <c r="F430" s="2" t="s">
        <v>1231</v>
      </c>
      <c r="G430" s="2" t="s">
        <v>1363</v>
      </c>
      <c r="H430" s="2" t="s">
        <v>2745</v>
      </c>
      <c r="I430" s="2" t="s">
        <v>1203</v>
      </c>
      <c r="J430" s="2" t="s">
        <v>2746</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626</v>
      </c>
      <c r="C431" s="2" t="s">
        <v>632</v>
      </c>
      <c r="D431" s="2" t="s">
        <v>2747</v>
      </c>
      <c r="E431" s="2" t="s">
        <v>1230</v>
      </c>
      <c r="F431" s="2" t="s">
        <v>1231</v>
      </c>
      <c r="G431" s="2" t="s">
        <v>1363</v>
      </c>
      <c r="H431" s="2" t="s">
        <v>2748</v>
      </c>
      <c r="I431" s="2" t="s">
        <v>1203</v>
      </c>
      <c r="J431" s="2" t="s">
        <v>2749</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626</v>
      </c>
      <c r="C432" s="2" t="s">
        <v>632</v>
      </c>
      <c r="D432" s="2" t="s">
        <v>2750</v>
      </c>
      <c r="E432" s="2" t="s">
        <v>1199</v>
      </c>
      <c r="F432" s="2" t="s">
        <v>1239</v>
      </c>
      <c r="G432" s="2" t="s">
        <v>2751</v>
      </c>
      <c r="H432" s="2" t="s">
        <v>2752</v>
      </c>
      <c r="I432" s="2" t="s">
        <v>1203</v>
      </c>
      <c r="J432" s="2" t="s">
        <v>2753</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1205</v>
      </c>
    </row>
    <row r="433" customFormat="false" ht="15" hidden="false" customHeight="false" outlineLevel="0" collapsed="false">
      <c r="A433" s="2" t="n">
        <v>52</v>
      </c>
      <c r="B433" s="2" t="s">
        <v>626</v>
      </c>
      <c r="C433" s="2" t="s">
        <v>632</v>
      </c>
      <c r="D433" s="2" t="s">
        <v>2754</v>
      </c>
      <c r="E433" s="2" t="s">
        <v>1199</v>
      </c>
      <c r="F433" s="2" t="s">
        <v>1239</v>
      </c>
      <c r="G433" s="2" t="s">
        <v>2755</v>
      </c>
      <c r="H433" s="2" t="s">
        <v>2756</v>
      </c>
      <c r="I433" s="2" t="s">
        <v>1203</v>
      </c>
      <c r="J433" s="2" t="s">
        <v>2757</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1205</v>
      </c>
    </row>
    <row r="434" customFormat="false" ht="15" hidden="false" customHeight="false" outlineLevel="0" collapsed="false">
      <c r="A434" s="2" t="n">
        <v>53</v>
      </c>
      <c r="B434" s="2" t="s">
        <v>639</v>
      </c>
      <c r="C434" s="2" t="s">
        <v>644</v>
      </c>
      <c r="D434" s="2" t="s">
        <v>2758</v>
      </c>
      <c r="E434" s="2" t="s">
        <v>1224</v>
      </c>
      <c r="F434" s="2" t="s">
        <v>1225</v>
      </c>
      <c r="G434" s="2" t="s">
        <v>2759</v>
      </c>
      <c r="H434" s="2" t="s">
        <v>2760</v>
      </c>
      <c r="I434" s="2" t="s">
        <v>1203</v>
      </c>
      <c r="J434" s="2" t="s">
        <v>2761</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669</v>
      </c>
      <c r="C435" s="2" t="s">
        <v>674</v>
      </c>
      <c r="D435" s="2" t="s">
        <v>2762</v>
      </c>
      <c r="E435" s="2" t="s">
        <v>1230</v>
      </c>
      <c r="F435" s="2" t="s">
        <v>1231</v>
      </c>
      <c r="G435" s="2" t="s">
        <v>2763</v>
      </c>
      <c r="H435" s="2" t="s">
        <v>2764</v>
      </c>
      <c r="I435" s="2" t="s">
        <v>1203</v>
      </c>
      <c r="J435" s="2" t="s">
        <v>2765</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669</v>
      </c>
      <c r="C436" s="2" t="s">
        <v>674</v>
      </c>
      <c r="D436" s="2" t="s">
        <v>2766</v>
      </c>
      <c r="E436" s="2" t="s">
        <v>1230</v>
      </c>
      <c r="F436" s="2" t="s">
        <v>1231</v>
      </c>
      <c r="G436" s="2" t="s">
        <v>2763</v>
      </c>
      <c r="H436" s="2" t="s">
        <v>2767</v>
      </c>
      <c r="I436" s="2" t="s">
        <v>1203</v>
      </c>
      <c r="J436" s="2" t="s">
        <v>2768</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669</v>
      </c>
      <c r="C437" s="2" t="s">
        <v>674</v>
      </c>
      <c r="D437" s="2" t="s">
        <v>2769</v>
      </c>
      <c r="E437" s="2" t="s">
        <v>1230</v>
      </c>
      <c r="F437" s="2" t="s">
        <v>1231</v>
      </c>
      <c r="G437" s="2" t="s">
        <v>2763</v>
      </c>
      <c r="H437" s="2" t="s">
        <v>2770</v>
      </c>
      <c r="I437" s="2" t="s">
        <v>1203</v>
      </c>
      <c r="J437" s="2" t="s">
        <v>2771</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669</v>
      </c>
      <c r="C438" s="2" t="s">
        <v>674</v>
      </c>
      <c r="D438" s="2" t="s">
        <v>2772</v>
      </c>
      <c r="E438" s="2" t="s">
        <v>1230</v>
      </c>
      <c r="F438" s="2" t="s">
        <v>1231</v>
      </c>
      <c r="G438" s="2" t="s">
        <v>2763</v>
      </c>
      <c r="H438" s="2" t="s">
        <v>2773</v>
      </c>
      <c r="I438" s="2" t="s">
        <v>1203</v>
      </c>
      <c r="J438" s="2" t="s">
        <v>2774</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669</v>
      </c>
      <c r="C439" s="2" t="s">
        <v>674</v>
      </c>
      <c r="D439" s="2" t="s">
        <v>2775</v>
      </c>
      <c r="E439" s="2" t="s">
        <v>1224</v>
      </c>
      <c r="F439" s="2" t="s">
        <v>1225</v>
      </c>
      <c r="G439" s="2" t="s">
        <v>2776</v>
      </c>
      <c r="H439" s="2" t="s">
        <v>2777</v>
      </c>
      <c r="I439" s="2" t="s">
        <v>1203</v>
      </c>
      <c r="J439" s="2" t="s">
        <v>2778</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669</v>
      </c>
      <c r="C440" s="2" t="s">
        <v>674</v>
      </c>
      <c r="D440" s="2" t="s">
        <v>2779</v>
      </c>
      <c r="E440" s="2" t="s">
        <v>1224</v>
      </c>
      <c r="F440" s="2" t="s">
        <v>1225</v>
      </c>
      <c r="G440" s="2" t="s">
        <v>2776</v>
      </c>
      <c r="H440" s="2" t="s">
        <v>2780</v>
      </c>
      <c r="I440" s="2" t="s">
        <v>1203</v>
      </c>
      <c r="J440" s="2" t="s">
        <v>2781</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669</v>
      </c>
      <c r="C441" s="2" t="s">
        <v>674</v>
      </c>
      <c r="D441" s="2" t="s">
        <v>2782</v>
      </c>
      <c r="E441" s="2" t="s">
        <v>1230</v>
      </c>
      <c r="F441" s="2" t="s">
        <v>1231</v>
      </c>
      <c r="G441" s="2" t="s">
        <v>2783</v>
      </c>
      <c r="H441" s="2" t="s">
        <v>2784</v>
      </c>
      <c r="I441" s="2" t="s">
        <v>1203</v>
      </c>
      <c r="J441" s="2" t="s">
        <v>2785</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669</v>
      </c>
      <c r="C442" s="2" t="s">
        <v>674</v>
      </c>
      <c r="D442" s="2" t="s">
        <v>2786</v>
      </c>
      <c r="E442" s="2" t="s">
        <v>1230</v>
      </c>
      <c r="F442" s="2" t="s">
        <v>1231</v>
      </c>
      <c r="G442" s="2" t="s">
        <v>2787</v>
      </c>
      <c r="H442" s="2" t="s">
        <v>2788</v>
      </c>
      <c r="I442" s="2" t="s">
        <v>1203</v>
      </c>
      <c r="J442" s="2" t="s">
        <v>2789</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669</v>
      </c>
      <c r="C443" s="2" t="s">
        <v>674</v>
      </c>
      <c r="D443" s="2" t="s">
        <v>2790</v>
      </c>
      <c r="E443" s="2" t="s">
        <v>1230</v>
      </c>
      <c r="F443" s="2" t="s">
        <v>1231</v>
      </c>
      <c r="G443" s="2" t="s">
        <v>2791</v>
      </c>
      <c r="H443" s="2" t="s">
        <v>2792</v>
      </c>
      <c r="I443" s="2" t="s">
        <v>1203</v>
      </c>
      <c r="J443" s="2" t="s">
        <v>2793</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669</v>
      </c>
      <c r="C444" s="2" t="s">
        <v>674</v>
      </c>
      <c r="D444" s="2" t="s">
        <v>2794</v>
      </c>
      <c r="E444" s="2" t="s">
        <v>1230</v>
      </c>
      <c r="F444" s="2" t="s">
        <v>1231</v>
      </c>
      <c r="G444" s="2" t="s">
        <v>2795</v>
      </c>
      <c r="H444" s="2" t="s">
        <v>2796</v>
      </c>
      <c r="I444" s="2" t="s">
        <v>1203</v>
      </c>
      <c r="J444" s="2" t="s">
        <v>2797</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669</v>
      </c>
      <c r="C445" s="2" t="s">
        <v>674</v>
      </c>
      <c r="D445" s="2" t="s">
        <v>2798</v>
      </c>
      <c r="E445" s="2" t="s">
        <v>1230</v>
      </c>
      <c r="F445" s="2" t="s">
        <v>1231</v>
      </c>
      <c r="G445" s="2" t="s">
        <v>1459</v>
      </c>
      <c r="H445" s="2" t="s">
        <v>2799</v>
      </c>
      <c r="I445" s="2" t="s">
        <v>1203</v>
      </c>
      <c r="J445" s="2" t="s">
        <v>2800</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669</v>
      </c>
      <c r="C446" s="2" t="s">
        <v>674</v>
      </c>
      <c r="D446" s="2" t="s">
        <v>2801</v>
      </c>
      <c r="E446" s="2" t="s">
        <v>1230</v>
      </c>
      <c r="F446" s="2" t="s">
        <v>1231</v>
      </c>
      <c r="G446" s="2" t="s">
        <v>1459</v>
      </c>
      <c r="H446" s="2" t="s">
        <v>2802</v>
      </c>
      <c r="I446" s="2" t="s">
        <v>1203</v>
      </c>
      <c r="J446" s="2" t="s">
        <v>2803</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669</v>
      </c>
      <c r="C447" s="2" t="s">
        <v>674</v>
      </c>
      <c r="D447" s="2" t="s">
        <v>2804</v>
      </c>
      <c r="E447" s="2" t="s">
        <v>1230</v>
      </c>
      <c r="F447" s="2" t="s">
        <v>1231</v>
      </c>
      <c r="G447" s="2" t="s">
        <v>1459</v>
      </c>
      <c r="H447" s="2" t="s">
        <v>2805</v>
      </c>
      <c r="I447" s="2" t="s">
        <v>1203</v>
      </c>
      <c r="J447" s="2" t="s">
        <v>2806</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669</v>
      </c>
      <c r="C448" s="2" t="s">
        <v>674</v>
      </c>
      <c r="D448" s="2" t="s">
        <v>2807</v>
      </c>
      <c r="E448" s="2" t="s">
        <v>1230</v>
      </c>
      <c r="F448" s="2" t="s">
        <v>1231</v>
      </c>
      <c r="G448" s="2" t="s">
        <v>1459</v>
      </c>
      <c r="H448" s="2" t="s">
        <v>2808</v>
      </c>
      <c r="I448" s="2" t="s">
        <v>1203</v>
      </c>
      <c r="J448" s="2" t="s">
        <v>2809</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669</v>
      </c>
      <c r="C449" s="2" t="s">
        <v>674</v>
      </c>
      <c r="D449" s="2" t="s">
        <v>2810</v>
      </c>
      <c r="E449" s="2" t="s">
        <v>1230</v>
      </c>
      <c r="F449" s="2" t="s">
        <v>1231</v>
      </c>
      <c r="G449" s="2" t="s">
        <v>1459</v>
      </c>
      <c r="H449" s="2" t="s">
        <v>2811</v>
      </c>
      <c r="I449" s="2" t="s">
        <v>1203</v>
      </c>
      <c r="J449" s="2" t="s">
        <v>2812</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669</v>
      </c>
      <c r="C450" s="2" t="s">
        <v>674</v>
      </c>
      <c r="D450" s="2" t="s">
        <v>2813</v>
      </c>
      <c r="E450" s="2" t="s">
        <v>1224</v>
      </c>
      <c r="F450" s="2" t="s">
        <v>1225</v>
      </c>
      <c r="G450" s="2" t="s">
        <v>1459</v>
      </c>
      <c r="H450" s="2" t="s">
        <v>2814</v>
      </c>
      <c r="I450" s="2" t="s">
        <v>1203</v>
      </c>
      <c r="J450" s="2" t="s">
        <v>2815</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669</v>
      </c>
      <c r="C451" s="2" t="s">
        <v>674</v>
      </c>
      <c r="D451" s="2" t="s">
        <v>2816</v>
      </c>
      <c r="E451" s="2" t="s">
        <v>1230</v>
      </c>
      <c r="F451" s="2" t="s">
        <v>1231</v>
      </c>
      <c r="G451" s="2" t="s">
        <v>1459</v>
      </c>
      <c r="H451" s="2" t="s">
        <v>2817</v>
      </c>
      <c r="I451" s="2" t="s">
        <v>1203</v>
      </c>
      <c r="J451" s="2" t="s">
        <v>2818</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669</v>
      </c>
      <c r="C452" s="2" t="s">
        <v>674</v>
      </c>
      <c r="D452" s="2" t="s">
        <v>2819</v>
      </c>
      <c r="E452" s="2" t="s">
        <v>1224</v>
      </c>
      <c r="F452" s="2" t="s">
        <v>1225</v>
      </c>
      <c r="G452" s="2" t="s">
        <v>1459</v>
      </c>
      <c r="H452" s="2" t="s">
        <v>2820</v>
      </c>
      <c r="I452" s="2" t="s">
        <v>1203</v>
      </c>
      <c r="J452" s="2" t="s">
        <v>2821</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669</v>
      </c>
      <c r="C453" s="2" t="s">
        <v>674</v>
      </c>
      <c r="D453" s="2" t="s">
        <v>2822</v>
      </c>
      <c r="E453" s="2" t="s">
        <v>1224</v>
      </c>
      <c r="F453" s="2" t="s">
        <v>1225</v>
      </c>
      <c r="G453" s="2" t="s">
        <v>2823</v>
      </c>
      <c r="H453" s="2" t="s">
        <v>2824</v>
      </c>
      <c r="I453" s="2" t="s">
        <v>1203</v>
      </c>
      <c r="J453" s="2" t="s">
        <v>2825</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669</v>
      </c>
      <c r="C454" s="2" t="s">
        <v>674</v>
      </c>
      <c r="D454" s="2" t="s">
        <v>2826</v>
      </c>
      <c r="E454" s="2" t="s">
        <v>1224</v>
      </c>
      <c r="F454" s="2" t="s">
        <v>1225</v>
      </c>
      <c r="G454" s="2" t="s">
        <v>931</v>
      </c>
      <c r="H454" s="2" t="s">
        <v>2827</v>
      </c>
      <c r="I454" s="2" t="s">
        <v>1203</v>
      </c>
      <c r="J454" s="2" t="s">
        <v>2828</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669</v>
      </c>
      <c r="C455" s="2" t="s">
        <v>674</v>
      </c>
      <c r="D455" s="2" t="s">
        <v>2829</v>
      </c>
      <c r="E455" s="2" t="s">
        <v>1230</v>
      </c>
      <c r="F455" s="2" t="s">
        <v>1231</v>
      </c>
      <c r="G455" s="2" t="s">
        <v>950</v>
      </c>
      <c r="H455" s="2" t="s">
        <v>2830</v>
      </c>
      <c r="I455" s="2" t="s">
        <v>1203</v>
      </c>
      <c r="J455" s="2" t="s">
        <v>2831</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669</v>
      </c>
      <c r="C456" s="2" t="s">
        <v>674</v>
      </c>
      <c r="D456" s="2" t="s">
        <v>2832</v>
      </c>
      <c r="E456" s="2" t="s">
        <v>1224</v>
      </c>
      <c r="F456" s="2" t="s">
        <v>1225</v>
      </c>
      <c r="G456" s="2" t="s">
        <v>2833</v>
      </c>
      <c r="H456" s="2" t="s">
        <v>2834</v>
      </c>
      <c r="I456" s="2" t="s">
        <v>1203</v>
      </c>
      <c r="J456" s="2" t="s">
        <v>2835</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669</v>
      </c>
      <c r="C457" s="2" t="s">
        <v>674</v>
      </c>
      <c r="D457" s="2" t="s">
        <v>2836</v>
      </c>
      <c r="E457" s="2" t="s">
        <v>1230</v>
      </c>
      <c r="F457" s="2" t="s">
        <v>1231</v>
      </c>
      <c r="G457" s="2" t="s">
        <v>2833</v>
      </c>
      <c r="H457" s="2" t="s">
        <v>2837</v>
      </c>
      <c r="I457" s="2" t="s">
        <v>1203</v>
      </c>
      <c r="J457" s="2" t="s">
        <v>2838</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669</v>
      </c>
      <c r="C458" s="2" t="s">
        <v>674</v>
      </c>
      <c r="D458" s="2" t="s">
        <v>2839</v>
      </c>
      <c r="E458" s="2" t="s">
        <v>1230</v>
      </c>
      <c r="F458" s="2" t="s">
        <v>1231</v>
      </c>
      <c r="G458" s="2" t="s">
        <v>2840</v>
      </c>
      <c r="H458" s="2" t="s">
        <v>2841</v>
      </c>
      <c r="I458" s="2" t="s">
        <v>1203</v>
      </c>
      <c r="J458" s="2" t="s">
        <v>2842</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669</v>
      </c>
      <c r="C459" s="2" t="s">
        <v>674</v>
      </c>
      <c r="D459" s="2" t="s">
        <v>2843</v>
      </c>
      <c r="E459" s="2" t="s">
        <v>1230</v>
      </c>
      <c r="F459" s="2" t="s">
        <v>1231</v>
      </c>
      <c r="G459" s="2" t="s">
        <v>2844</v>
      </c>
      <c r="H459" s="2" t="s">
        <v>2845</v>
      </c>
      <c r="I459" s="2" t="s">
        <v>1203</v>
      </c>
      <c r="J459" s="2" t="s">
        <v>2846</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669</v>
      </c>
      <c r="C460" s="2" t="s">
        <v>674</v>
      </c>
      <c r="D460" s="2" t="s">
        <v>2847</v>
      </c>
      <c r="E460" s="2" t="s">
        <v>1230</v>
      </c>
      <c r="F460" s="2" t="s">
        <v>1231</v>
      </c>
      <c r="G460" s="2" t="s">
        <v>2844</v>
      </c>
      <c r="H460" s="2" t="s">
        <v>2848</v>
      </c>
      <c r="I460" s="2" t="s">
        <v>1203</v>
      </c>
      <c r="J460" s="2" t="s">
        <v>2849</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669</v>
      </c>
      <c r="C461" s="2" t="s">
        <v>674</v>
      </c>
      <c r="D461" s="2" t="s">
        <v>2850</v>
      </c>
      <c r="E461" s="2" t="s">
        <v>1230</v>
      </c>
      <c r="F461" s="2" t="s">
        <v>1231</v>
      </c>
      <c r="G461" s="2" t="s">
        <v>2844</v>
      </c>
      <c r="H461" s="2" t="s">
        <v>2851</v>
      </c>
      <c r="I461" s="2" t="s">
        <v>1203</v>
      </c>
      <c r="J461" s="2" t="s">
        <v>2852</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669</v>
      </c>
      <c r="C462" s="2" t="s">
        <v>674</v>
      </c>
      <c r="D462" s="2" t="s">
        <v>2853</v>
      </c>
      <c r="E462" s="2" t="s">
        <v>1230</v>
      </c>
      <c r="F462" s="2" t="s">
        <v>1231</v>
      </c>
      <c r="G462" s="2" t="s">
        <v>1398</v>
      </c>
      <c r="H462" s="2" t="s">
        <v>2854</v>
      </c>
      <c r="I462" s="2" t="s">
        <v>1203</v>
      </c>
      <c r="J462" s="2" t="s">
        <v>2855</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669</v>
      </c>
      <c r="C463" s="2" t="s">
        <v>674</v>
      </c>
      <c r="D463" s="2" t="s">
        <v>2856</v>
      </c>
      <c r="E463" s="2" t="s">
        <v>1230</v>
      </c>
      <c r="F463" s="2" t="s">
        <v>1231</v>
      </c>
      <c r="G463" s="2" t="s">
        <v>2602</v>
      </c>
      <c r="H463" s="2" t="s">
        <v>2857</v>
      </c>
      <c r="I463" s="2" t="s">
        <v>1203</v>
      </c>
      <c r="J463" s="2" t="s">
        <v>2858</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669</v>
      </c>
      <c r="C464" s="2" t="s">
        <v>674</v>
      </c>
      <c r="D464" s="2" t="s">
        <v>2859</v>
      </c>
      <c r="E464" s="2" t="s">
        <v>1230</v>
      </c>
      <c r="F464" s="2" t="s">
        <v>1231</v>
      </c>
      <c r="G464" s="2" t="s">
        <v>2602</v>
      </c>
      <c r="H464" s="2" t="s">
        <v>2860</v>
      </c>
      <c r="I464" s="2" t="s">
        <v>1203</v>
      </c>
      <c r="J464" s="2" t="s">
        <v>2861</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669</v>
      </c>
      <c r="C465" s="2" t="s">
        <v>674</v>
      </c>
      <c r="D465" s="2" t="s">
        <v>2862</v>
      </c>
      <c r="E465" s="2" t="s">
        <v>1230</v>
      </c>
      <c r="F465" s="2" t="s">
        <v>1231</v>
      </c>
      <c r="G465" s="2" t="s">
        <v>2863</v>
      </c>
      <c r="H465" s="2" t="s">
        <v>2864</v>
      </c>
      <c r="I465" s="2" t="s">
        <v>1203</v>
      </c>
      <c r="J465" s="2" t="s">
        <v>2865</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669</v>
      </c>
      <c r="C466" s="2" t="s">
        <v>674</v>
      </c>
      <c r="D466" s="2" t="s">
        <v>2866</v>
      </c>
      <c r="E466" s="2" t="s">
        <v>1230</v>
      </c>
      <c r="F466" s="2" t="s">
        <v>1231</v>
      </c>
      <c r="G466" s="2" t="s">
        <v>2863</v>
      </c>
      <c r="H466" s="2" t="s">
        <v>2867</v>
      </c>
      <c r="I466" s="2" t="s">
        <v>1203</v>
      </c>
      <c r="J466" s="2" t="s">
        <v>2868</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669</v>
      </c>
      <c r="C467" s="2" t="s">
        <v>674</v>
      </c>
      <c r="D467" s="2" t="s">
        <v>2869</v>
      </c>
      <c r="E467" s="2" t="s">
        <v>1230</v>
      </c>
      <c r="F467" s="2" t="s">
        <v>1231</v>
      </c>
      <c r="G467" s="2" t="s">
        <v>2863</v>
      </c>
      <c r="H467" s="2" t="s">
        <v>2870</v>
      </c>
      <c r="I467" s="2" t="s">
        <v>1203</v>
      </c>
      <c r="J467" s="2" t="s">
        <v>2871</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669</v>
      </c>
      <c r="C468" s="2" t="s">
        <v>674</v>
      </c>
      <c r="D468" s="2" t="s">
        <v>2872</v>
      </c>
      <c r="E468" s="2" t="s">
        <v>1230</v>
      </c>
      <c r="F468" s="2" t="s">
        <v>1231</v>
      </c>
      <c r="G468" s="2" t="s">
        <v>2873</v>
      </c>
      <c r="H468" s="2" t="s">
        <v>2874</v>
      </c>
      <c r="I468" s="2" t="s">
        <v>1203</v>
      </c>
      <c r="J468" s="2" t="s">
        <v>2875</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669</v>
      </c>
      <c r="C469" s="2" t="s">
        <v>674</v>
      </c>
      <c r="D469" s="2" t="s">
        <v>2876</v>
      </c>
      <c r="E469" s="2" t="s">
        <v>1230</v>
      </c>
      <c r="F469" s="2" t="s">
        <v>1231</v>
      </c>
      <c r="G469" s="2" t="s">
        <v>2877</v>
      </c>
      <c r="H469" s="2" t="s">
        <v>2878</v>
      </c>
      <c r="I469" s="2" t="s">
        <v>1203</v>
      </c>
      <c r="J469" s="2" t="s">
        <v>2879</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669</v>
      </c>
      <c r="C470" s="2" t="s">
        <v>674</v>
      </c>
      <c r="D470" s="2" t="s">
        <v>2880</v>
      </c>
      <c r="E470" s="2" t="s">
        <v>1224</v>
      </c>
      <c r="F470" s="2" t="s">
        <v>1225</v>
      </c>
      <c r="G470" s="2" t="s">
        <v>2877</v>
      </c>
      <c r="H470" s="2" t="s">
        <v>2881</v>
      </c>
      <c r="I470" s="2" t="s">
        <v>1203</v>
      </c>
      <c r="J470" s="2" t="s">
        <v>2882</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669</v>
      </c>
      <c r="C471" s="2" t="s">
        <v>674</v>
      </c>
      <c r="D471" s="2" t="s">
        <v>2883</v>
      </c>
      <c r="E471" s="2" t="s">
        <v>1230</v>
      </c>
      <c r="F471" s="2" t="s">
        <v>1231</v>
      </c>
      <c r="G471" s="2" t="s">
        <v>2884</v>
      </c>
      <c r="H471" s="2" t="s">
        <v>2885</v>
      </c>
      <c r="I471" s="2" t="s">
        <v>1203</v>
      </c>
      <c r="J471" s="2" t="s">
        <v>2886</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681</v>
      </c>
      <c r="C472" s="2" t="s">
        <v>685</v>
      </c>
      <c r="D472" s="2" t="s">
        <v>2887</v>
      </c>
      <c r="E472" s="2" t="s">
        <v>1230</v>
      </c>
      <c r="F472" s="2" t="s">
        <v>1231</v>
      </c>
      <c r="G472" s="2" t="s">
        <v>2763</v>
      </c>
      <c r="H472" s="2" t="s">
        <v>2888</v>
      </c>
      <c r="I472" s="2" t="s">
        <v>1203</v>
      </c>
      <c r="J472" s="2" t="s">
        <v>2889</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681</v>
      </c>
      <c r="C473" s="2" t="s">
        <v>685</v>
      </c>
      <c r="D473" s="2" t="s">
        <v>2890</v>
      </c>
      <c r="E473" s="2" t="s">
        <v>1230</v>
      </c>
      <c r="F473" s="2" t="s">
        <v>1231</v>
      </c>
      <c r="G473" s="2" t="s">
        <v>2763</v>
      </c>
      <c r="H473" s="2" t="s">
        <v>2891</v>
      </c>
      <c r="I473" s="2" t="s">
        <v>1203</v>
      </c>
      <c r="J473" s="2" t="s">
        <v>2892</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681</v>
      </c>
      <c r="C474" s="2" t="s">
        <v>685</v>
      </c>
      <c r="D474" s="2" t="s">
        <v>2893</v>
      </c>
      <c r="E474" s="2" t="s">
        <v>1230</v>
      </c>
      <c r="F474" s="2" t="s">
        <v>1231</v>
      </c>
      <c r="G474" s="2" t="s">
        <v>349</v>
      </c>
      <c r="H474" s="2" t="s">
        <v>2894</v>
      </c>
      <c r="I474" s="2" t="s">
        <v>1203</v>
      </c>
      <c r="J474" s="2" t="s">
        <v>2895</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681</v>
      </c>
      <c r="C475" s="2" t="s">
        <v>685</v>
      </c>
      <c r="D475" s="2" t="s">
        <v>2896</v>
      </c>
      <c r="E475" s="2" t="s">
        <v>1230</v>
      </c>
      <c r="F475" s="2" t="s">
        <v>1231</v>
      </c>
      <c r="G475" s="2" t="s">
        <v>349</v>
      </c>
      <c r="H475" s="2" t="s">
        <v>2897</v>
      </c>
      <c r="I475" s="2" t="s">
        <v>1203</v>
      </c>
      <c r="J475" s="2" t="s">
        <v>2898</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681</v>
      </c>
      <c r="C476" s="2" t="s">
        <v>685</v>
      </c>
      <c r="D476" s="2" t="s">
        <v>2899</v>
      </c>
      <c r="E476" s="2" t="s">
        <v>1230</v>
      </c>
      <c r="F476" s="2" t="s">
        <v>1231</v>
      </c>
      <c r="G476" s="2" t="s">
        <v>349</v>
      </c>
      <c r="H476" s="2" t="s">
        <v>2900</v>
      </c>
      <c r="I476" s="2" t="s">
        <v>1203</v>
      </c>
      <c r="J476" s="2" t="s">
        <v>2901</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681</v>
      </c>
      <c r="C477" s="2" t="s">
        <v>685</v>
      </c>
      <c r="D477" s="2" t="s">
        <v>2902</v>
      </c>
      <c r="E477" s="2" t="s">
        <v>1230</v>
      </c>
      <c r="F477" s="2" t="s">
        <v>1231</v>
      </c>
      <c r="G477" s="2" t="s">
        <v>134</v>
      </c>
      <c r="H477" s="2" t="s">
        <v>2903</v>
      </c>
      <c r="I477" s="2" t="s">
        <v>1203</v>
      </c>
      <c r="J477" s="2" t="s">
        <v>2904</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681</v>
      </c>
      <c r="C478" s="2" t="s">
        <v>685</v>
      </c>
      <c r="D478" s="2" t="s">
        <v>2905</v>
      </c>
      <c r="E478" s="2" t="s">
        <v>1224</v>
      </c>
      <c r="F478" s="2" t="s">
        <v>1225</v>
      </c>
      <c r="G478" s="2" t="s">
        <v>134</v>
      </c>
      <c r="H478" s="2" t="s">
        <v>2906</v>
      </c>
      <c r="I478" s="2" t="s">
        <v>1203</v>
      </c>
      <c r="J478" s="2" t="s">
        <v>2907</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681</v>
      </c>
      <c r="C479" s="2" t="s">
        <v>685</v>
      </c>
      <c r="D479" s="2" t="s">
        <v>2908</v>
      </c>
      <c r="E479" s="2" t="s">
        <v>1230</v>
      </c>
      <c r="F479" s="2" t="s">
        <v>1231</v>
      </c>
      <c r="G479" s="2" t="s">
        <v>2909</v>
      </c>
      <c r="H479" s="2" t="s">
        <v>2910</v>
      </c>
      <c r="I479" s="2" t="s">
        <v>1203</v>
      </c>
      <c r="J479" s="2" t="s">
        <v>2911</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681</v>
      </c>
      <c r="C480" s="2" t="s">
        <v>685</v>
      </c>
      <c r="D480" s="2" t="s">
        <v>2912</v>
      </c>
      <c r="E480" s="2" t="s">
        <v>1224</v>
      </c>
      <c r="F480" s="2" t="s">
        <v>1225</v>
      </c>
      <c r="G480" s="2" t="s">
        <v>2833</v>
      </c>
      <c r="H480" s="2" t="s">
        <v>2913</v>
      </c>
      <c r="I480" s="2" t="s">
        <v>1203</v>
      </c>
      <c r="J480" s="2" t="s">
        <v>2914</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681</v>
      </c>
      <c r="C481" s="2" t="s">
        <v>685</v>
      </c>
      <c r="D481" s="2" t="s">
        <v>2915</v>
      </c>
      <c r="E481" s="2" t="s">
        <v>1230</v>
      </c>
      <c r="F481" s="2" t="s">
        <v>1231</v>
      </c>
      <c r="G481" s="2" t="s">
        <v>2844</v>
      </c>
      <c r="H481" s="2" t="s">
        <v>2916</v>
      </c>
      <c r="I481" s="2" t="s">
        <v>1203</v>
      </c>
      <c r="J481" s="2" t="s">
        <v>2917</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681</v>
      </c>
      <c r="C482" s="2" t="s">
        <v>685</v>
      </c>
      <c r="D482" s="2" t="s">
        <v>2918</v>
      </c>
      <c r="E482" s="2" t="s">
        <v>1230</v>
      </c>
      <c r="F482" s="2" t="s">
        <v>1231</v>
      </c>
      <c r="G482" s="2" t="s">
        <v>2919</v>
      </c>
      <c r="H482" s="2" t="s">
        <v>2920</v>
      </c>
      <c r="I482" s="2" t="s">
        <v>1203</v>
      </c>
      <c r="J482" s="2" t="s">
        <v>2921</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681</v>
      </c>
      <c r="C483" s="2" t="s">
        <v>685</v>
      </c>
      <c r="D483" s="2" t="s">
        <v>2922</v>
      </c>
      <c r="E483" s="2" t="s">
        <v>1230</v>
      </c>
      <c r="F483" s="2" t="s">
        <v>1231</v>
      </c>
      <c r="G483" s="2" t="s">
        <v>2923</v>
      </c>
      <c r="H483" s="2" t="s">
        <v>2924</v>
      </c>
      <c r="I483" s="2" t="s">
        <v>1203</v>
      </c>
      <c r="J483" s="2" t="s">
        <v>2925</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691</v>
      </c>
      <c r="C484" s="2" t="s">
        <v>696</v>
      </c>
      <c r="D484" s="2" t="s">
        <v>2926</v>
      </c>
      <c r="E484" s="2" t="s">
        <v>1224</v>
      </c>
      <c r="F484" s="2" t="s">
        <v>1225</v>
      </c>
      <c r="G484" s="2" t="s">
        <v>2927</v>
      </c>
      <c r="H484" s="2" t="s">
        <v>2928</v>
      </c>
      <c r="I484" s="2" t="s">
        <v>1203</v>
      </c>
      <c r="J484" s="2" t="s">
        <v>2929</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702</v>
      </c>
      <c r="C485" s="2" t="s">
        <v>708</v>
      </c>
      <c r="D485" s="2" t="s">
        <v>2930</v>
      </c>
      <c r="E485" s="2" t="s">
        <v>1224</v>
      </c>
      <c r="F485" s="2" t="s">
        <v>1225</v>
      </c>
      <c r="G485" s="2" t="s">
        <v>2931</v>
      </c>
      <c r="H485" s="2" t="s">
        <v>2932</v>
      </c>
      <c r="I485" s="2" t="s">
        <v>1203</v>
      </c>
      <c r="J485" s="2" t="s">
        <v>2933</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714</v>
      </c>
      <c r="C486" s="2" t="s">
        <v>718</v>
      </c>
      <c r="D486" s="2" t="s">
        <v>2934</v>
      </c>
      <c r="E486" s="2" t="s">
        <v>1230</v>
      </c>
      <c r="F486" s="2" t="s">
        <v>1231</v>
      </c>
      <c r="G486" s="2" t="s">
        <v>2935</v>
      </c>
      <c r="H486" s="2" t="s">
        <v>2936</v>
      </c>
      <c r="I486" s="2" t="s">
        <v>1203</v>
      </c>
      <c r="J486" s="2" t="s">
        <v>2937</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714</v>
      </c>
      <c r="C487" s="2" t="s">
        <v>718</v>
      </c>
      <c r="D487" s="2" t="s">
        <v>2938</v>
      </c>
      <c r="E487" s="2" t="s">
        <v>1224</v>
      </c>
      <c r="F487" s="2" t="s">
        <v>1225</v>
      </c>
      <c r="G487" s="2" t="s">
        <v>2939</v>
      </c>
      <c r="H487" s="2" t="s">
        <v>2940</v>
      </c>
      <c r="I487" s="2" t="s">
        <v>1203</v>
      </c>
      <c r="J487" s="2" t="s">
        <v>2941</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714</v>
      </c>
      <c r="C488" s="2" t="s">
        <v>718</v>
      </c>
      <c r="D488" s="2" t="s">
        <v>2942</v>
      </c>
      <c r="E488" s="2" t="s">
        <v>1230</v>
      </c>
      <c r="F488" s="2" t="s">
        <v>1231</v>
      </c>
      <c r="G488" s="2" t="s">
        <v>2943</v>
      </c>
      <c r="H488" s="2" t="s">
        <v>2944</v>
      </c>
      <c r="I488" s="2" t="s">
        <v>1203</v>
      </c>
      <c r="J488" s="2" t="s">
        <v>2945</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714</v>
      </c>
      <c r="C489" s="2" t="s">
        <v>718</v>
      </c>
      <c r="D489" s="2" t="s">
        <v>2946</v>
      </c>
      <c r="E489" s="2" t="s">
        <v>1224</v>
      </c>
      <c r="F489" s="2" t="s">
        <v>1225</v>
      </c>
      <c r="G489" s="2" t="s">
        <v>2947</v>
      </c>
      <c r="H489" s="2" t="s">
        <v>2948</v>
      </c>
      <c r="I489" s="2" t="s">
        <v>1203</v>
      </c>
      <c r="J489" s="2" t="s">
        <v>2949</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714</v>
      </c>
      <c r="C490" s="2" t="s">
        <v>718</v>
      </c>
      <c r="D490" s="2" t="s">
        <v>2950</v>
      </c>
      <c r="E490" s="2" t="s">
        <v>1199</v>
      </c>
      <c r="F490" s="2" t="s">
        <v>1239</v>
      </c>
      <c r="G490" s="2" t="s">
        <v>2951</v>
      </c>
      <c r="H490" s="2" t="s">
        <v>2952</v>
      </c>
      <c r="I490" s="2" t="s">
        <v>1203</v>
      </c>
      <c r="J490" s="2" t="s">
        <v>2953</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1205</v>
      </c>
    </row>
    <row r="491" customFormat="false" ht="15" hidden="false" customHeight="false" outlineLevel="0" collapsed="false">
      <c r="A491" s="2" t="n">
        <v>60</v>
      </c>
      <c r="B491" s="2" t="s">
        <v>714</v>
      </c>
      <c r="C491" s="2" t="s">
        <v>718</v>
      </c>
      <c r="D491" s="2" t="s">
        <v>2954</v>
      </c>
      <c r="E491" s="2" t="s">
        <v>1224</v>
      </c>
      <c r="F491" s="2" t="s">
        <v>1225</v>
      </c>
      <c r="G491" s="2" t="s">
        <v>2955</v>
      </c>
      <c r="H491" s="2" t="s">
        <v>2956</v>
      </c>
      <c r="I491" s="2" t="s">
        <v>1203</v>
      </c>
      <c r="J491" s="2" t="s">
        <v>2957</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714</v>
      </c>
      <c r="C492" s="2" t="s">
        <v>718</v>
      </c>
      <c r="D492" s="2" t="s">
        <v>2958</v>
      </c>
      <c r="E492" s="2" t="s">
        <v>1230</v>
      </c>
      <c r="F492" s="2" t="s">
        <v>1231</v>
      </c>
      <c r="G492" s="2" t="s">
        <v>2959</v>
      </c>
      <c r="H492" s="2" t="s">
        <v>2960</v>
      </c>
      <c r="I492" s="2" t="s">
        <v>1203</v>
      </c>
      <c r="J492" s="2" t="s">
        <v>2961</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714</v>
      </c>
      <c r="C493" s="2" t="s">
        <v>718</v>
      </c>
      <c r="D493" s="2" t="s">
        <v>2962</v>
      </c>
      <c r="E493" s="2" t="s">
        <v>1199</v>
      </c>
      <c r="F493" s="2" t="s">
        <v>1239</v>
      </c>
      <c r="G493" s="2" t="s">
        <v>2963</v>
      </c>
      <c r="H493" s="2" t="s">
        <v>2964</v>
      </c>
      <c r="I493" s="2" t="s">
        <v>1203</v>
      </c>
      <c r="J493" s="2" t="s">
        <v>2965</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1205</v>
      </c>
    </row>
    <row r="494" customFormat="false" ht="15" hidden="false" customHeight="false" outlineLevel="0" collapsed="false">
      <c r="A494" s="2" t="n">
        <v>61</v>
      </c>
      <c r="B494" s="2" t="s">
        <v>724</v>
      </c>
      <c r="C494" s="2" t="s">
        <v>727</v>
      </c>
      <c r="D494" s="2" t="s">
        <v>2966</v>
      </c>
      <c r="E494" s="2" t="s">
        <v>1199</v>
      </c>
      <c r="F494" s="2" t="s">
        <v>2967</v>
      </c>
      <c r="G494" s="2" t="s">
        <v>2968</v>
      </c>
      <c r="H494" s="2" t="s">
        <v>2969</v>
      </c>
      <c r="I494" s="2" t="s">
        <v>1203</v>
      </c>
      <c r="J494" s="2" t="s">
        <v>2970</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1205</v>
      </c>
    </row>
    <row r="495" customFormat="false" ht="15" hidden="false" customHeight="false" outlineLevel="0" collapsed="false">
      <c r="A495" s="2" t="n">
        <v>61</v>
      </c>
      <c r="B495" s="2" t="s">
        <v>724</v>
      </c>
      <c r="C495" s="2" t="s">
        <v>727</v>
      </c>
      <c r="D495" s="2" t="s">
        <v>2971</v>
      </c>
      <c r="E495" s="2" t="s">
        <v>1199</v>
      </c>
      <c r="F495" s="2" t="s">
        <v>2967</v>
      </c>
      <c r="G495" s="2" t="s">
        <v>854</v>
      </c>
      <c r="H495" s="2" t="s">
        <v>2972</v>
      </c>
      <c r="I495" s="2" t="s">
        <v>1203</v>
      </c>
      <c r="J495" s="2" t="s">
        <v>2973</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1205</v>
      </c>
    </row>
    <row r="496" customFormat="false" ht="15" hidden="false" customHeight="false" outlineLevel="0" collapsed="false">
      <c r="A496" s="2" t="n">
        <v>61</v>
      </c>
      <c r="B496" s="2" t="s">
        <v>724</v>
      </c>
      <c r="C496" s="2" t="s">
        <v>727</v>
      </c>
      <c r="D496" s="2" t="s">
        <v>2974</v>
      </c>
      <c r="E496" s="2" t="s">
        <v>1199</v>
      </c>
      <c r="F496" s="2" t="s">
        <v>2550</v>
      </c>
      <c r="G496" s="2" t="s">
        <v>257</v>
      </c>
      <c r="H496" s="2" t="s">
        <v>2975</v>
      </c>
      <c r="I496" s="2" t="s">
        <v>1203</v>
      </c>
      <c r="J496" s="2" t="s">
        <v>2976</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1205</v>
      </c>
    </row>
    <row r="497" customFormat="false" ht="15" hidden="false" customHeight="false" outlineLevel="0" collapsed="false">
      <c r="A497" s="2" t="n">
        <v>61</v>
      </c>
      <c r="B497" s="2" t="s">
        <v>724</v>
      </c>
      <c r="C497" s="2" t="s">
        <v>727</v>
      </c>
      <c r="D497" s="2" t="s">
        <v>2977</v>
      </c>
      <c r="E497" s="2" t="s">
        <v>1224</v>
      </c>
      <c r="F497" s="2" t="s">
        <v>1225</v>
      </c>
      <c r="G497" s="2" t="s">
        <v>2978</v>
      </c>
      <c r="H497" s="2" t="s">
        <v>2979</v>
      </c>
      <c r="I497" s="2" t="s">
        <v>1203</v>
      </c>
      <c r="J497" s="2" t="s">
        <v>2980</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755</v>
      </c>
      <c r="C498" s="2" t="s">
        <v>760</v>
      </c>
      <c r="D498" s="2" t="s">
        <v>2981</v>
      </c>
      <c r="E498" s="2" t="s">
        <v>1224</v>
      </c>
      <c r="F498" s="2" t="s">
        <v>1225</v>
      </c>
      <c r="G498" s="2" t="s">
        <v>2982</v>
      </c>
      <c r="H498" s="2" t="s">
        <v>2983</v>
      </c>
      <c r="I498" s="2" t="s">
        <v>1203</v>
      </c>
      <c r="J498" s="2" t="s">
        <v>2984</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755</v>
      </c>
      <c r="C499" s="2" t="s">
        <v>760</v>
      </c>
      <c r="D499" s="2" t="s">
        <v>2985</v>
      </c>
      <c r="E499" s="2" t="s">
        <v>1224</v>
      </c>
      <c r="F499" s="2" t="s">
        <v>1225</v>
      </c>
      <c r="G499" s="2" t="s">
        <v>2986</v>
      </c>
      <c r="H499" s="2" t="s">
        <v>2987</v>
      </c>
      <c r="I499" s="2" t="s">
        <v>1203</v>
      </c>
      <c r="J499" s="2" t="s">
        <v>2988</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766</v>
      </c>
      <c r="C500" s="2" t="s">
        <v>770</v>
      </c>
      <c r="D500" s="2" t="s">
        <v>2989</v>
      </c>
      <c r="E500" s="2" t="s">
        <v>1224</v>
      </c>
      <c r="F500" s="2" t="s">
        <v>1225</v>
      </c>
      <c r="G500" s="2" t="s">
        <v>758</v>
      </c>
      <c r="H500" s="2" t="s">
        <v>2990</v>
      </c>
      <c r="I500" s="2" t="s">
        <v>1203</v>
      </c>
      <c r="J500" s="2" t="s">
        <v>2991</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766</v>
      </c>
      <c r="C501" s="2" t="s">
        <v>770</v>
      </c>
      <c r="D501" s="2" t="s">
        <v>2992</v>
      </c>
      <c r="E501" s="2" t="s">
        <v>1199</v>
      </c>
      <c r="F501" s="2" t="s">
        <v>1239</v>
      </c>
      <c r="G501" s="2" t="s">
        <v>2993</v>
      </c>
      <c r="H501" s="2" t="s">
        <v>2994</v>
      </c>
      <c r="I501" s="2" t="s">
        <v>1203</v>
      </c>
      <c r="J501" s="2" t="s">
        <v>2995</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1205</v>
      </c>
    </row>
    <row r="502" customFormat="false" ht="15" hidden="false" customHeight="false" outlineLevel="0" collapsed="false">
      <c r="A502" s="2" t="n">
        <v>66</v>
      </c>
      <c r="B502" s="2" t="s">
        <v>775</v>
      </c>
      <c r="C502" s="2" t="s">
        <v>780</v>
      </c>
      <c r="D502" s="2" t="s">
        <v>2996</v>
      </c>
      <c r="E502" s="2" t="s">
        <v>1224</v>
      </c>
      <c r="F502" s="2" t="s">
        <v>1225</v>
      </c>
      <c r="G502" s="2" t="s">
        <v>2318</v>
      </c>
      <c r="H502" s="2" t="s">
        <v>2997</v>
      </c>
      <c r="I502" s="2" t="s">
        <v>1203</v>
      </c>
      <c r="J502" s="2" t="s">
        <v>2998</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775</v>
      </c>
      <c r="C503" s="2" t="s">
        <v>780</v>
      </c>
      <c r="D503" s="2" t="s">
        <v>2999</v>
      </c>
      <c r="E503" s="2" t="s">
        <v>1224</v>
      </c>
      <c r="F503" s="2" t="s">
        <v>1225</v>
      </c>
      <c r="G503" s="2" t="s">
        <v>3000</v>
      </c>
      <c r="H503" s="2" t="s">
        <v>3001</v>
      </c>
      <c r="I503" s="2" t="s">
        <v>1203</v>
      </c>
      <c r="J503" s="2" t="s">
        <v>3002</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775</v>
      </c>
      <c r="C504" s="2" t="s">
        <v>780</v>
      </c>
      <c r="D504" s="2" t="s">
        <v>3003</v>
      </c>
      <c r="E504" s="2" t="s">
        <v>1199</v>
      </c>
      <c r="F504" s="2" t="s">
        <v>1239</v>
      </c>
      <c r="G504" s="2" t="s">
        <v>3004</v>
      </c>
      <c r="H504" s="2" t="s">
        <v>3005</v>
      </c>
      <c r="I504" s="2" t="s">
        <v>1203</v>
      </c>
      <c r="J504" s="2" t="s">
        <v>3006</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1205</v>
      </c>
    </row>
    <row r="505" customFormat="false" ht="15" hidden="false" customHeight="false" outlineLevel="0" collapsed="false">
      <c r="A505" s="2" t="n">
        <v>67</v>
      </c>
      <c r="B505" s="2" t="s">
        <v>784</v>
      </c>
      <c r="C505" s="2" t="s">
        <v>790</v>
      </c>
      <c r="D505" s="2" t="s">
        <v>3007</v>
      </c>
      <c r="E505" s="2" t="s">
        <v>1224</v>
      </c>
      <c r="F505" s="2" t="s">
        <v>1225</v>
      </c>
      <c r="G505" s="2" t="s">
        <v>883</v>
      </c>
      <c r="H505" s="2" t="s">
        <v>3008</v>
      </c>
      <c r="I505" s="2" t="s">
        <v>1203</v>
      </c>
      <c r="J505" s="2" t="s">
        <v>3009</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784</v>
      </c>
      <c r="C506" s="2" t="s">
        <v>790</v>
      </c>
      <c r="D506" s="2" t="s">
        <v>3010</v>
      </c>
      <c r="E506" s="2" t="s">
        <v>1224</v>
      </c>
      <c r="F506" s="2" t="s">
        <v>1225</v>
      </c>
      <c r="G506" s="2" t="s">
        <v>1391</v>
      </c>
      <c r="H506" s="2" t="s">
        <v>3011</v>
      </c>
      <c r="I506" s="2" t="s">
        <v>1203</v>
      </c>
      <c r="J506" s="2" t="s">
        <v>3012</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784</v>
      </c>
      <c r="C507" s="2" t="s">
        <v>790</v>
      </c>
      <c r="D507" s="2" t="s">
        <v>3013</v>
      </c>
      <c r="E507" s="2" t="s">
        <v>1224</v>
      </c>
      <c r="F507" s="2" t="s">
        <v>1225</v>
      </c>
      <c r="G507" s="2" t="s">
        <v>3014</v>
      </c>
      <c r="H507" s="2" t="s">
        <v>3015</v>
      </c>
      <c r="I507" s="2" t="s">
        <v>1203</v>
      </c>
      <c r="J507" s="2" t="s">
        <v>3016</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784</v>
      </c>
      <c r="C508" s="2" t="s">
        <v>790</v>
      </c>
      <c r="D508" s="2" t="s">
        <v>3017</v>
      </c>
      <c r="E508" s="2" t="s">
        <v>1230</v>
      </c>
      <c r="F508" s="2" t="s">
        <v>1231</v>
      </c>
      <c r="G508" s="2" t="s">
        <v>3018</v>
      </c>
      <c r="H508" s="2" t="s">
        <v>3019</v>
      </c>
      <c r="I508" s="2" t="s">
        <v>1203</v>
      </c>
      <c r="J508" s="2" t="s">
        <v>3020</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784</v>
      </c>
      <c r="C509" s="2" t="s">
        <v>790</v>
      </c>
      <c r="D509" s="2" t="s">
        <v>3021</v>
      </c>
      <c r="E509" s="2" t="s">
        <v>1224</v>
      </c>
      <c r="F509" s="2" t="s">
        <v>1225</v>
      </c>
      <c r="G509" s="2" t="s">
        <v>773</v>
      </c>
      <c r="H509" s="2" t="s">
        <v>3022</v>
      </c>
      <c r="I509" s="2" t="s">
        <v>1203</v>
      </c>
      <c r="J509" s="2" t="s">
        <v>3023</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784</v>
      </c>
      <c r="C510" s="2" t="s">
        <v>790</v>
      </c>
      <c r="D510" s="2" t="s">
        <v>3024</v>
      </c>
      <c r="E510" s="2" t="s">
        <v>1224</v>
      </c>
      <c r="F510" s="2" t="s">
        <v>1225</v>
      </c>
      <c r="G510" s="2" t="s">
        <v>2833</v>
      </c>
      <c r="H510" s="2" t="s">
        <v>3025</v>
      </c>
      <c r="I510" s="2" t="s">
        <v>1203</v>
      </c>
      <c r="J510" s="2" t="s">
        <v>3026</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784</v>
      </c>
      <c r="C511" s="2" t="s">
        <v>790</v>
      </c>
      <c r="D511" s="2" t="s">
        <v>3027</v>
      </c>
      <c r="E511" s="2" t="s">
        <v>1199</v>
      </c>
      <c r="F511" s="2" t="s">
        <v>1239</v>
      </c>
      <c r="G511" s="2" t="s">
        <v>3028</v>
      </c>
      <c r="H511" s="2" t="s">
        <v>3029</v>
      </c>
      <c r="I511" s="2" t="s">
        <v>1203</v>
      </c>
      <c r="J511" s="2" t="s">
        <v>3030</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1205</v>
      </c>
    </row>
    <row r="512" customFormat="false" ht="15" hidden="false" customHeight="false" outlineLevel="0" collapsed="false">
      <c r="A512" s="2" t="n">
        <v>67</v>
      </c>
      <c r="B512" s="2" t="s">
        <v>784</v>
      </c>
      <c r="C512" s="2" t="s">
        <v>790</v>
      </c>
      <c r="D512" s="2" t="s">
        <v>3031</v>
      </c>
      <c r="E512" s="2" t="s">
        <v>1199</v>
      </c>
      <c r="F512" s="2" t="s">
        <v>1239</v>
      </c>
      <c r="G512" s="2" t="s">
        <v>3028</v>
      </c>
      <c r="H512" s="2" t="s">
        <v>3032</v>
      </c>
      <c r="I512" s="2" t="s">
        <v>1203</v>
      </c>
      <c r="J512" s="2" t="s">
        <v>3033</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1205</v>
      </c>
    </row>
    <row r="513" customFormat="false" ht="15" hidden="false" customHeight="false" outlineLevel="0" collapsed="false">
      <c r="A513" s="2" t="n">
        <v>69</v>
      </c>
      <c r="B513" s="2" t="s">
        <v>806</v>
      </c>
      <c r="C513" s="2" t="s">
        <v>812</v>
      </c>
      <c r="D513" s="2" t="s">
        <v>3034</v>
      </c>
      <c r="E513" s="2" t="s">
        <v>1199</v>
      </c>
      <c r="F513" s="2" t="s">
        <v>2967</v>
      </c>
      <c r="G513" s="2" t="s">
        <v>3035</v>
      </c>
      <c r="H513" s="2" t="s">
        <v>3036</v>
      </c>
      <c r="I513" s="2" t="s">
        <v>1203</v>
      </c>
      <c r="J513" s="2" t="s">
        <v>3037</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1205</v>
      </c>
    </row>
    <row r="514" customFormat="false" ht="15" hidden="false" customHeight="false" outlineLevel="0" collapsed="false">
      <c r="A514" s="2" t="n">
        <v>70</v>
      </c>
      <c r="B514" s="2" t="s">
        <v>816</v>
      </c>
      <c r="C514" s="2" t="s">
        <v>821</v>
      </c>
      <c r="D514" s="2" t="s">
        <v>3038</v>
      </c>
      <c r="E514" s="2" t="s">
        <v>1224</v>
      </c>
      <c r="F514" s="2" t="s">
        <v>1248</v>
      </c>
      <c r="G514" s="2" t="s">
        <v>3039</v>
      </c>
      <c r="H514" s="2" t="s">
        <v>3040</v>
      </c>
      <c r="I514" s="2" t="s">
        <v>1203</v>
      </c>
      <c r="J514" s="2" t="s">
        <v>3041</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816</v>
      </c>
      <c r="C515" s="2" t="s">
        <v>821</v>
      </c>
      <c r="D515" s="2" t="s">
        <v>3042</v>
      </c>
      <c r="E515" s="2" t="s">
        <v>1199</v>
      </c>
      <c r="F515" s="2" t="s">
        <v>1239</v>
      </c>
      <c r="G515" s="2" t="s">
        <v>3039</v>
      </c>
      <c r="H515" s="2" t="s">
        <v>3043</v>
      </c>
      <c r="I515" s="2" t="s">
        <v>1203</v>
      </c>
      <c r="J515" s="2" t="s">
        <v>3044</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1205</v>
      </c>
    </row>
    <row r="516" customFormat="false" ht="15" hidden="false" customHeight="false" outlineLevel="0" collapsed="false">
      <c r="A516" s="2" t="n">
        <v>70</v>
      </c>
      <c r="B516" s="2" t="s">
        <v>816</v>
      </c>
      <c r="C516" s="2" t="s">
        <v>821</v>
      </c>
      <c r="D516" s="2" t="s">
        <v>3045</v>
      </c>
      <c r="E516" s="2" t="s">
        <v>1224</v>
      </c>
      <c r="F516" s="2" t="s">
        <v>1248</v>
      </c>
      <c r="G516" s="2" t="s">
        <v>3046</v>
      </c>
      <c r="H516" s="2" t="s">
        <v>3047</v>
      </c>
      <c r="I516" s="2" t="s">
        <v>1203</v>
      </c>
      <c r="J516" s="2" t="s">
        <v>3048</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816</v>
      </c>
      <c r="C517" s="2" t="s">
        <v>821</v>
      </c>
      <c r="D517" s="2" t="s">
        <v>3049</v>
      </c>
      <c r="E517" s="2" t="s">
        <v>1224</v>
      </c>
      <c r="F517" s="2" t="s">
        <v>1248</v>
      </c>
      <c r="G517" s="2" t="s">
        <v>3046</v>
      </c>
      <c r="H517" s="2" t="s">
        <v>3050</v>
      </c>
      <c r="I517" s="2" t="s">
        <v>1203</v>
      </c>
      <c r="J517" s="2" t="s">
        <v>3051</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816</v>
      </c>
      <c r="C518" s="2" t="s">
        <v>821</v>
      </c>
      <c r="D518" s="2" t="s">
        <v>3052</v>
      </c>
      <c r="E518" s="2" t="s">
        <v>1224</v>
      </c>
      <c r="F518" s="2" t="s">
        <v>1248</v>
      </c>
      <c r="G518" s="2" t="s">
        <v>3053</v>
      </c>
      <c r="H518" s="2" t="s">
        <v>3054</v>
      </c>
      <c r="I518" s="2" t="s">
        <v>1203</v>
      </c>
      <c r="J518" s="2" t="s">
        <v>3055</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816</v>
      </c>
      <c r="C519" s="2" t="s">
        <v>821</v>
      </c>
      <c r="D519" s="2" t="s">
        <v>3056</v>
      </c>
      <c r="E519" s="2" t="s">
        <v>1224</v>
      </c>
      <c r="F519" s="2" t="s">
        <v>1248</v>
      </c>
      <c r="G519" s="2" t="s">
        <v>3057</v>
      </c>
      <c r="H519" s="2" t="s">
        <v>3058</v>
      </c>
      <c r="I519" s="2" t="s">
        <v>1203</v>
      </c>
      <c r="J519" s="2" t="s">
        <v>3059</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816</v>
      </c>
      <c r="C520" s="2" t="s">
        <v>821</v>
      </c>
      <c r="D520" s="2" t="s">
        <v>3060</v>
      </c>
      <c r="E520" s="2" t="s">
        <v>1224</v>
      </c>
      <c r="F520" s="2" t="s">
        <v>1248</v>
      </c>
      <c r="G520" s="2" t="s">
        <v>1414</v>
      </c>
      <c r="H520" s="2" t="s">
        <v>3061</v>
      </c>
      <c r="I520" s="2" t="s">
        <v>1203</v>
      </c>
      <c r="J520" s="2" t="s">
        <v>3062</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816</v>
      </c>
      <c r="C521" s="2" t="s">
        <v>821</v>
      </c>
      <c r="D521" s="2" t="s">
        <v>3063</v>
      </c>
      <c r="E521" s="2" t="s">
        <v>1224</v>
      </c>
      <c r="F521" s="2" t="s">
        <v>1248</v>
      </c>
      <c r="G521" s="2" t="s">
        <v>3064</v>
      </c>
      <c r="H521" s="2" t="s">
        <v>3065</v>
      </c>
      <c r="I521" s="2" t="s">
        <v>1203</v>
      </c>
      <c r="J521" s="2" t="s">
        <v>3066</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816</v>
      </c>
      <c r="C522" s="2" t="s">
        <v>821</v>
      </c>
      <c r="D522" s="2" t="s">
        <v>3067</v>
      </c>
      <c r="E522" s="2" t="s">
        <v>1224</v>
      </c>
      <c r="F522" s="2" t="s">
        <v>1248</v>
      </c>
      <c r="G522" s="2" t="s">
        <v>3068</v>
      </c>
      <c r="H522" s="2" t="s">
        <v>3069</v>
      </c>
      <c r="I522" s="2" t="s">
        <v>1203</v>
      </c>
      <c r="J522" s="2" t="s">
        <v>3070</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824</v>
      </c>
      <c r="C523" s="2" t="s">
        <v>829</v>
      </c>
      <c r="D523" s="2" t="s">
        <v>3071</v>
      </c>
      <c r="E523" s="2" t="s">
        <v>1224</v>
      </c>
      <c r="F523" s="2" t="s">
        <v>1225</v>
      </c>
      <c r="G523" s="2" t="s">
        <v>3072</v>
      </c>
      <c r="H523" s="2" t="s">
        <v>3073</v>
      </c>
      <c r="I523" s="2" t="s">
        <v>1203</v>
      </c>
      <c r="J523" s="2" t="s">
        <v>3074</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824</v>
      </c>
      <c r="C524" s="2" t="s">
        <v>829</v>
      </c>
      <c r="D524" s="2" t="s">
        <v>3075</v>
      </c>
      <c r="E524" s="2" t="s">
        <v>1199</v>
      </c>
      <c r="F524" s="2" t="s">
        <v>1239</v>
      </c>
      <c r="G524" s="2" t="s">
        <v>2963</v>
      </c>
      <c r="H524" s="2" t="s">
        <v>3076</v>
      </c>
      <c r="I524" s="2" t="s">
        <v>1203</v>
      </c>
      <c r="J524" s="2" t="s">
        <v>3077</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1205</v>
      </c>
    </row>
    <row r="525" customFormat="false" ht="15" hidden="false" customHeight="false" outlineLevel="0" collapsed="false">
      <c r="A525" s="2" t="n">
        <v>71</v>
      </c>
      <c r="B525" s="2" t="s">
        <v>824</v>
      </c>
      <c r="C525" s="2" t="s">
        <v>829</v>
      </c>
      <c r="D525" s="2" t="s">
        <v>3078</v>
      </c>
      <c r="E525" s="2" t="s">
        <v>1224</v>
      </c>
      <c r="F525" s="2" t="s">
        <v>1225</v>
      </c>
      <c r="G525" s="2" t="s">
        <v>3079</v>
      </c>
      <c r="H525" s="2" t="s">
        <v>3080</v>
      </c>
      <c r="I525" s="2" t="s">
        <v>1203</v>
      </c>
      <c r="J525" s="2" t="s">
        <v>3081</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833</v>
      </c>
      <c r="C526" s="2" t="s">
        <v>838</v>
      </c>
      <c r="D526" s="2" t="s">
        <v>3082</v>
      </c>
      <c r="E526" s="2" t="s">
        <v>1224</v>
      </c>
      <c r="F526" s="2" t="s">
        <v>1225</v>
      </c>
      <c r="G526" s="2" t="s">
        <v>1232</v>
      </c>
      <c r="H526" s="2" t="s">
        <v>3083</v>
      </c>
      <c r="I526" s="2" t="s">
        <v>1203</v>
      </c>
      <c r="J526" s="2" t="s">
        <v>3084</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833</v>
      </c>
      <c r="C527" s="2" t="s">
        <v>838</v>
      </c>
      <c r="D527" s="2" t="s">
        <v>3085</v>
      </c>
      <c r="E527" s="2" t="s">
        <v>1224</v>
      </c>
      <c r="F527" s="2" t="s">
        <v>1225</v>
      </c>
      <c r="G527" s="2" t="s">
        <v>1232</v>
      </c>
      <c r="H527" s="2" t="s">
        <v>3086</v>
      </c>
      <c r="I527" s="2" t="s">
        <v>1203</v>
      </c>
      <c r="J527" s="2" t="s">
        <v>3087</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851</v>
      </c>
      <c r="C528" s="2" t="s">
        <v>856</v>
      </c>
      <c r="D528" s="2" t="s">
        <v>3088</v>
      </c>
      <c r="E528" s="2" t="s">
        <v>1199</v>
      </c>
      <c r="F528" s="2" t="s">
        <v>1430</v>
      </c>
      <c r="G528" s="2" t="s">
        <v>3089</v>
      </c>
      <c r="H528" s="2" t="s">
        <v>3090</v>
      </c>
      <c r="I528" s="2" t="s">
        <v>1203</v>
      </c>
      <c r="J528" s="2" t="s">
        <v>3091</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1205</v>
      </c>
    </row>
    <row r="529" customFormat="false" ht="15" hidden="false" customHeight="false" outlineLevel="0" collapsed="false">
      <c r="A529" s="2" t="n">
        <v>75</v>
      </c>
      <c r="B529" s="2" t="s">
        <v>859</v>
      </c>
      <c r="C529" s="2" t="s">
        <v>865</v>
      </c>
      <c r="D529" s="2" t="s">
        <v>3092</v>
      </c>
      <c r="E529" s="2" t="s">
        <v>1224</v>
      </c>
      <c r="F529" s="2" t="s">
        <v>1248</v>
      </c>
      <c r="G529" s="2" t="s">
        <v>3093</v>
      </c>
      <c r="H529" s="2" t="s">
        <v>3094</v>
      </c>
      <c r="I529" s="2" t="s">
        <v>1203</v>
      </c>
      <c r="J529" s="2" t="s">
        <v>3095</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859</v>
      </c>
      <c r="C530" s="2" t="s">
        <v>865</v>
      </c>
      <c r="D530" s="2" t="s">
        <v>3096</v>
      </c>
      <c r="E530" s="2" t="s">
        <v>1224</v>
      </c>
      <c r="F530" s="2" t="s">
        <v>1248</v>
      </c>
      <c r="G530" s="2" t="s">
        <v>3097</v>
      </c>
      <c r="H530" s="2" t="s">
        <v>3098</v>
      </c>
      <c r="I530" s="2" t="s">
        <v>1203</v>
      </c>
      <c r="J530" s="2" t="s">
        <v>3099</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868</v>
      </c>
      <c r="C531" s="2" t="s">
        <v>873</v>
      </c>
      <c r="D531" s="2" t="s">
        <v>3100</v>
      </c>
      <c r="E531" s="2" t="s">
        <v>1199</v>
      </c>
      <c r="F531" s="2" t="s">
        <v>1239</v>
      </c>
      <c r="G531" s="2" t="s">
        <v>3101</v>
      </c>
      <c r="H531" s="2" t="s">
        <v>3102</v>
      </c>
      <c r="I531" s="2" t="s">
        <v>1203</v>
      </c>
      <c r="J531" s="2" t="s">
        <v>3103</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1205</v>
      </c>
    </row>
    <row r="532" customFormat="false" ht="15" hidden="false" customHeight="false" outlineLevel="0" collapsed="false">
      <c r="A532" s="2" t="n">
        <v>80</v>
      </c>
      <c r="B532" s="2" t="s">
        <v>904</v>
      </c>
      <c r="C532" s="2" t="s">
        <v>909</v>
      </c>
      <c r="D532" s="2" t="s">
        <v>3104</v>
      </c>
      <c r="E532" s="2" t="s">
        <v>1224</v>
      </c>
      <c r="F532" s="2" t="s">
        <v>1225</v>
      </c>
      <c r="G532" s="2" t="s">
        <v>1418</v>
      </c>
      <c r="H532" s="2" t="s">
        <v>3105</v>
      </c>
      <c r="I532" s="2" t="s">
        <v>1203</v>
      </c>
      <c r="J532" s="2" t="s">
        <v>3106</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904</v>
      </c>
      <c r="C533" s="2" t="s">
        <v>909</v>
      </c>
      <c r="D533" s="2" t="s">
        <v>3107</v>
      </c>
      <c r="E533" s="2" t="s">
        <v>1230</v>
      </c>
      <c r="F533" s="2" t="s">
        <v>1231</v>
      </c>
      <c r="G533" s="2" t="s">
        <v>1418</v>
      </c>
      <c r="H533" s="2" t="s">
        <v>3108</v>
      </c>
      <c r="I533" s="2" t="s">
        <v>1203</v>
      </c>
      <c r="J533" s="2" t="s">
        <v>3109</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904</v>
      </c>
      <c r="C534" s="2" t="s">
        <v>909</v>
      </c>
      <c r="D534" s="2" t="s">
        <v>3110</v>
      </c>
      <c r="E534" s="2" t="s">
        <v>1224</v>
      </c>
      <c r="F534" s="2" t="s">
        <v>1225</v>
      </c>
      <c r="G534" s="2" t="s">
        <v>3111</v>
      </c>
      <c r="H534" s="2" t="s">
        <v>3112</v>
      </c>
      <c r="I534" s="2" t="s">
        <v>1203</v>
      </c>
      <c r="J534" s="2" t="s">
        <v>3113</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913</v>
      </c>
      <c r="C535" s="2" t="s">
        <v>919</v>
      </c>
      <c r="D535" s="2" t="s">
        <v>3114</v>
      </c>
      <c r="E535" s="2" t="s">
        <v>1224</v>
      </c>
      <c r="F535" s="2" t="s">
        <v>1225</v>
      </c>
      <c r="G535" s="2" t="s">
        <v>2474</v>
      </c>
      <c r="H535" s="2" t="s">
        <v>3115</v>
      </c>
      <c r="I535" s="2" t="s">
        <v>1203</v>
      </c>
      <c r="J535" s="2" t="s">
        <v>3116</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913</v>
      </c>
      <c r="C536" s="2" t="s">
        <v>919</v>
      </c>
      <c r="D536" s="2" t="s">
        <v>3117</v>
      </c>
      <c r="E536" s="2" t="s">
        <v>1224</v>
      </c>
      <c r="F536" s="2" t="s">
        <v>1225</v>
      </c>
      <c r="G536" s="2" t="s">
        <v>3118</v>
      </c>
      <c r="H536" s="2" t="s">
        <v>3119</v>
      </c>
      <c r="I536" s="2" t="s">
        <v>1203</v>
      </c>
      <c r="J536" s="2" t="s">
        <v>3120</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913</v>
      </c>
      <c r="C537" s="2" t="s">
        <v>919</v>
      </c>
      <c r="D537" s="2" t="s">
        <v>3121</v>
      </c>
      <c r="E537" s="2" t="s">
        <v>1224</v>
      </c>
      <c r="F537" s="2" t="s">
        <v>1225</v>
      </c>
      <c r="G537" s="2" t="s">
        <v>3118</v>
      </c>
      <c r="H537" s="2" t="s">
        <v>3122</v>
      </c>
      <c r="I537" s="2" t="s">
        <v>1203</v>
      </c>
      <c r="J537" s="2" t="s">
        <v>3123</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913</v>
      </c>
      <c r="C538" s="2" t="s">
        <v>919</v>
      </c>
      <c r="D538" s="2" t="s">
        <v>3124</v>
      </c>
      <c r="E538" s="2" t="s">
        <v>1224</v>
      </c>
      <c r="F538" s="2" t="s">
        <v>1225</v>
      </c>
      <c r="G538" s="2" t="s">
        <v>3125</v>
      </c>
      <c r="H538" s="2" t="s">
        <v>3126</v>
      </c>
      <c r="I538" s="2" t="s">
        <v>1203</v>
      </c>
      <c r="J538" s="2" t="s">
        <v>3127</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928</v>
      </c>
      <c r="C539" s="2" t="s">
        <v>933</v>
      </c>
      <c r="D539" s="2" t="s">
        <v>3128</v>
      </c>
      <c r="E539" s="2" t="s">
        <v>1230</v>
      </c>
      <c r="F539" s="2" t="s">
        <v>1231</v>
      </c>
      <c r="G539" s="2" t="s">
        <v>2407</v>
      </c>
      <c r="H539" s="2" t="s">
        <v>3129</v>
      </c>
      <c r="I539" s="2" t="s">
        <v>1203</v>
      </c>
      <c r="J539" s="2" t="s">
        <v>3130</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928</v>
      </c>
      <c r="C540" s="2" t="s">
        <v>933</v>
      </c>
      <c r="D540" s="2" t="s">
        <v>3131</v>
      </c>
      <c r="E540" s="2" t="s">
        <v>1224</v>
      </c>
      <c r="F540" s="2" t="s">
        <v>1225</v>
      </c>
      <c r="G540" s="2" t="s">
        <v>3132</v>
      </c>
      <c r="H540" s="2" t="s">
        <v>3133</v>
      </c>
      <c r="I540" s="2" t="s">
        <v>1203</v>
      </c>
      <c r="J540" s="2" t="s">
        <v>3134</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928</v>
      </c>
      <c r="C541" s="2" t="s">
        <v>933</v>
      </c>
      <c r="D541" s="2" t="s">
        <v>3135</v>
      </c>
      <c r="E541" s="2" t="s">
        <v>1230</v>
      </c>
      <c r="F541" s="2" t="s">
        <v>1231</v>
      </c>
      <c r="G541" s="2" t="s">
        <v>3136</v>
      </c>
      <c r="H541" s="2" t="s">
        <v>3137</v>
      </c>
      <c r="I541" s="2" t="s">
        <v>1203</v>
      </c>
      <c r="J541" s="2" t="s">
        <v>3138</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937</v>
      </c>
      <c r="C542" s="2" t="s">
        <v>942</v>
      </c>
      <c r="D542" s="2" t="s">
        <v>3139</v>
      </c>
      <c r="E542" s="2" t="s">
        <v>1199</v>
      </c>
      <c r="F542" s="2" t="s">
        <v>1239</v>
      </c>
      <c r="G542" s="2" t="s">
        <v>3140</v>
      </c>
      <c r="H542" s="2" t="s">
        <v>3141</v>
      </c>
      <c r="I542" s="2" t="s">
        <v>1203</v>
      </c>
      <c r="J542" s="2" t="s">
        <v>3142</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1205</v>
      </c>
    </row>
    <row r="543" customFormat="false" ht="15" hidden="false" customHeight="false" outlineLevel="0" collapsed="false">
      <c r="A543" s="2" t="n">
        <v>88</v>
      </c>
      <c r="B543" s="2" t="s">
        <v>973</v>
      </c>
      <c r="C543" s="2" t="s">
        <v>977</v>
      </c>
      <c r="D543" s="2" t="s">
        <v>3143</v>
      </c>
      <c r="E543" s="2" t="s">
        <v>1224</v>
      </c>
      <c r="F543" s="2" t="s">
        <v>1225</v>
      </c>
      <c r="G543" s="2" t="s">
        <v>3144</v>
      </c>
      <c r="H543" s="2" t="s">
        <v>3145</v>
      </c>
      <c r="I543" s="2" t="s">
        <v>1203</v>
      </c>
      <c r="J543" s="2" t="s">
        <v>3146</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1005</v>
      </c>
      <c r="C544" s="2" t="s">
        <v>1010</v>
      </c>
      <c r="D544" s="2" t="s">
        <v>3147</v>
      </c>
      <c r="E544" s="2" t="s">
        <v>1224</v>
      </c>
      <c r="F544" s="2" t="s">
        <v>1225</v>
      </c>
      <c r="G544" s="2" t="s">
        <v>3148</v>
      </c>
      <c r="H544" s="2" t="s">
        <v>3149</v>
      </c>
      <c r="I544" s="2" t="s">
        <v>1203</v>
      </c>
      <c r="J544" s="2" t="s">
        <v>3150</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1005</v>
      </c>
      <c r="C545" s="2" t="s">
        <v>1010</v>
      </c>
      <c r="D545" s="2" t="s">
        <v>3151</v>
      </c>
      <c r="E545" s="2" t="s">
        <v>1224</v>
      </c>
      <c r="F545" s="2" t="s">
        <v>1225</v>
      </c>
      <c r="G545" s="2" t="s">
        <v>3152</v>
      </c>
      <c r="H545" s="2" t="s">
        <v>3153</v>
      </c>
      <c r="I545" s="2" t="s">
        <v>1203</v>
      </c>
      <c r="J545" s="2" t="s">
        <v>3154</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1014</v>
      </c>
      <c r="C546" s="2" t="s">
        <v>1017</v>
      </c>
      <c r="D546" s="2" t="s">
        <v>3155</v>
      </c>
      <c r="E546" s="2" t="s">
        <v>1230</v>
      </c>
      <c r="F546" s="2" t="s">
        <v>1231</v>
      </c>
      <c r="G546" s="2" t="s">
        <v>3156</v>
      </c>
      <c r="H546" s="2" t="s">
        <v>3157</v>
      </c>
      <c r="I546" s="2" t="s">
        <v>1203</v>
      </c>
      <c r="J546" s="2" t="s">
        <v>3158</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1014</v>
      </c>
      <c r="C547" s="2" t="s">
        <v>1017</v>
      </c>
      <c r="D547" s="2" t="s">
        <v>3159</v>
      </c>
      <c r="E547" s="2" t="s">
        <v>1224</v>
      </c>
      <c r="F547" s="2" t="s">
        <v>1248</v>
      </c>
      <c r="G547" s="2" t="s">
        <v>1020</v>
      </c>
      <c r="H547" s="2" t="s">
        <v>3160</v>
      </c>
      <c r="I547" s="2" t="s">
        <v>1203</v>
      </c>
      <c r="J547" s="2" t="s">
        <v>3161</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1014</v>
      </c>
      <c r="C548" s="2" t="s">
        <v>1017</v>
      </c>
      <c r="D548" s="2" t="s">
        <v>3162</v>
      </c>
      <c r="E548" s="2" t="s">
        <v>1224</v>
      </c>
      <c r="F548" s="2" t="s">
        <v>1225</v>
      </c>
      <c r="G548" s="2" t="s">
        <v>1020</v>
      </c>
      <c r="H548" s="2" t="s">
        <v>3163</v>
      </c>
      <c r="I548" s="2" t="s">
        <v>1203</v>
      </c>
      <c r="J548" s="2" t="s">
        <v>3164</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1014</v>
      </c>
      <c r="C549" s="2" t="s">
        <v>1017</v>
      </c>
      <c r="D549" s="2" t="s">
        <v>3165</v>
      </c>
      <c r="E549" s="2" t="s">
        <v>1224</v>
      </c>
      <c r="F549" s="2" t="s">
        <v>1225</v>
      </c>
      <c r="G549" s="2" t="s">
        <v>1020</v>
      </c>
      <c r="H549" s="2" t="s">
        <v>3166</v>
      </c>
      <c r="I549" s="2" t="s">
        <v>1203</v>
      </c>
      <c r="J549" s="2" t="s">
        <v>3167</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1014</v>
      </c>
      <c r="C550" s="2" t="s">
        <v>1017</v>
      </c>
      <c r="D550" s="2" t="s">
        <v>3168</v>
      </c>
      <c r="E550" s="2" t="s">
        <v>1230</v>
      </c>
      <c r="F550" s="2" t="s">
        <v>1231</v>
      </c>
      <c r="G550" s="2" t="s">
        <v>1020</v>
      </c>
      <c r="H550" s="2" t="s">
        <v>3169</v>
      </c>
      <c r="I550" s="2" t="s">
        <v>1203</v>
      </c>
      <c r="J550" s="2" t="s">
        <v>3170</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1014</v>
      </c>
      <c r="C551" s="2" t="s">
        <v>1017</v>
      </c>
      <c r="D551" s="2" t="s">
        <v>3171</v>
      </c>
      <c r="E551" s="2" t="s">
        <v>1199</v>
      </c>
      <c r="F551" s="2" t="s">
        <v>1239</v>
      </c>
      <c r="G551" s="2" t="s">
        <v>3172</v>
      </c>
      <c r="H551" s="2" t="s">
        <v>3173</v>
      </c>
      <c r="I551" s="2" t="s">
        <v>1203</v>
      </c>
      <c r="J551" s="2" t="s">
        <v>3174</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1205</v>
      </c>
    </row>
    <row r="552" customFormat="false" ht="15" hidden="false" customHeight="false" outlineLevel="0" collapsed="false">
      <c r="A552" s="2" t="n">
        <v>93</v>
      </c>
      <c r="B552" s="2" t="s">
        <v>1014</v>
      </c>
      <c r="C552" s="2" t="s">
        <v>1017</v>
      </c>
      <c r="D552" s="2" t="s">
        <v>3175</v>
      </c>
      <c r="E552" s="2" t="s">
        <v>1224</v>
      </c>
      <c r="F552" s="2" t="s">
        <v>1225</v>
      </c>
      <c r="G552" s="2" t="s">
        <v>3176</v>
      </c>
      <c r="H552" s="2" t="s">
        <v>3177</v>
      </c>
      <c r="I552" s="2" t="s">
        <v>1203</v>
      </c>
      <c r="J552" s="2" t="s">
        <v>3178</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1014</v>
      </c>
      <c r="C553" s="2" t="s">
        <v>1017</v>
      </c>
      <c r="D553" s="2" t="s">
        <v>3179</v>
      </c>
      <c r="E553" s="2" t="s">
        <v>1199</v>
      </c>
      <c r="F553" s="2" t="s">
        <v>1239</v>
      </c>
      <c r="G553" s="2" t="s">
        <v>3180</v>
      </c>
      <c r="H553" s="2" t="s">
        <v>3181</v>
      </c>
      <c r="I553" s="2" t="s">
        <v>1203</v>
      </c>
      <c r="J553" s="2" t="s">
        <v>3182</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1205</v>
      </c>
    </row>
    <row r="554" customFormat="false" ht="15" hidden="false" customHeight="false" outlineLevel="0" collapsed="false">
      <c r="A554" s="2" t="n">
        <v>93</v>
      </c>
      <c r="B554" s="2" t="s">
        <v>1014</v>
      </c>
      <c r="C554" s="2" t="s">
        <v>1017</v>
      </c>
      <c r="D554" s="2" t="s">
        <v>3183</v>
      </c>
      <c r="E554" s="2" t="s">
        <v>1199</v>
      </c>
      <c r="F554" s="2" t="s">
        <v>1239</v>
      </c>
      <c r="G554" s="2" t="s">
        <v>3184</v>
      </c>
      <c r="H554" s="2" t="s">
        <v>3185</v>
      </c>
      <c r="I554" s="2" t="s">
        <v>1203</v>
      </c>
      <c r="J554" s="2" t="s">
        <v>3186</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1205</v>
      </c>
    </row>
    <row r="555" customFormat="false" ht="15" hidden="false" customHeight="false" outlineLevel="0" collapsed="false">
      <c r="A555" s="2" t="n">
        <v>94</v>
      </c>
      <c r="B555" s="2" t="s">
        <v>1022</v>
      </c>
      <c r="C555" s="2" t="s">
        <v>1027</v>
      </c>
      <c r="D555" s="2" t="s">
        <v>3187</v>
      </c>
      <c r="E555" s="2" t="s">
        <v>1230</v>
      </c>
      <c r="F555" s="2" t="s">
        <v>3188</v>
      </c>
      <c r="G555" s="2" t="s">
        <v>1030</v>
      </c>
      <c r="H555" s="2" t="s">
        <v>3189</v>
      </c>
      <c r="I555" s="2" t="s">
        <v>1203</v>
      </c>
      <c r="J555" s="2" t="s">
        <v>3190</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1032</v>
      </c>
      <c r="C556" s="2" t="s">
        <v>1037</v>
      </c>
      <c r="D556" s="2" t="s">
        <v>3191</v>
      </c>
      <c r="E556" s="2" t="s">
        <v>1224</v>
      </c>
      <c r="F556" s="2" t="s">
        <v>1248</v>
      </c>
      <c r="G556" s="2" t="s">
        <v>3192</v>
      </c>
      <c r="H556" s="2" t="s">
        <v>3193</v>
      </c>
      <c r="I556" s="2" t="s">
        <v>1476</v>
      </c>
      <c r="J556" s="2" t="s">
        <v>3194</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1032</v>
      </c>
      <c r="C557" s="2" t="s">
        <v>1037</v>
      </c>
      <c r="D557" s="2" t="s">
        <v>3195</v>
      </c>
      <c r="E557" s="2" t="s">
        <v>1224</v>
      </c>
      <c r="F557" s="2" t="s">
        <v>1248</v>
      </c>
      <c r="G557" s="2" t="s">
        <v>2128</v>
      </c>
      <c r="H557" s="2" t="s">
        <v>3196</v>
      </c>
      <c r="I557" s="2" t="s">
        <v>1476</v>
      </c>
      <c r="J557" s="2" t="s">
        <v>3197</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1050</v>
      </c>
      <c r="C558" s="2" t="s">
        <v>1054</v>
      </c>
      <c r="D558" s="2" t="s">
        <v>3198</v>
      </c>
      <c r="E558" s="2" t="s">
        <v>1199</v>
      </c>
      <c r="F558" s="2" t="s">
        <v>1239</v>
      </c>
      <c r="G558" s="2" t="s">
        <v>3199</v>
      </c>
      <c r="H558" s="2" t="s">
        <v>3200</v>
      </c>
      <c r="I558" s="2" t="s">
        <v>1203</v>
      </c>
      <c r="J558" s="2" t="s">
        <v>3201</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1205</v>
      </c>
    </row>
    <row r="559" customFormat="false" ht="15" hidden="false" customHeight="false" outlineLevel="0" collapsed="false">
      <c r="A559" s="2" t="n">
        <v>97</v>
      </c>
      <c r="B559" s="2" t="s">
        <v>1050</v>
      </c>
      <c r="C559" s="2" t="s">
        <v>1054</v>
      </c>
      <c r="D559" s="2" t="s">
        <v>3202</v>
      </c>
      <c r="E559" s="2" t="s">
        <v>1199</v>
      </c>
      <c r="F559" s="2" t="s">
        <v>1239</v>
      </c>
      <c r="G559" s="2" t="s">
        <v>3203</v>
      </c>
      <c r="H559" s="2" t="s">
        <v>3204</v>
      </c>
      <c r="I559" s="2" t="s">
        <v>1203</v>
      </c>
      <c r="J559" s="2" t="s">
        <v>3205</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1205</v>
      </c>
    </row>
    <row r="560" customFormat="false" ht="15" hidden="false" customHeight="false" outlineLevel="0" collapsed="false">
      <c r="A560" s="2" t="n">
        <v>108</v>
      </c>
      <c r="B560" s="2" t="s">
        <v>1116</v>
      </c>
      <c r="C560" s="2" t="s">
        <v>1121</v>
      </c>
      <c r="D560" s="2" t="s">
        <v>3206</v>
      </c>
      <c r="E560" s="2" t="s">
        <v>1224</v>
      </c>
      <c r="F560" s="2" t="s">
        <v>1248</v>
      </c>
      <c r="G560" s="2" t="s">
        <v>3207</v>
      </c>
      <c r="H560" s="2" t="s">
        <v>3208</v>
      </c>
      <c r="I560" s="2" t="s">
        <v>1203</v>
      </c>
      <c r="J560" s="2" t="s">
        <v>3209</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1116</v>
      </c>
      <c r="C561" s="2" t="s">
        <v>1121</v>
      </c>
      <c r="D561" s="2" t="s">
        <v>3210</v>
      </c>
      <c r="E561" s="2" t="s">
        <v>1224</v>
      </c>
      <c r="F561" s="2" t="s">
        <v>1248</v>
      </c>
      <c r="G561" s="2" t="s">
        <v>3211</v>
      </c>
      <c r="H561" s="2" t="s">
        <v>3212</v>
      </c>
      <c r="I561" s="2" t="s">
        <v>1203</v>
      </c>
      <c r="J561" s="2" t="s">
        <v>3213</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1116</v>
      </c>
      <c r="C562" s="2" t="s">
        <v>1121</v>
      </c>
      <c r="D562" s="2" t="s">
        <v>3214</v>
      </c>
      <c r="E562" s="2" t="s">
        <v>1224</v>
      </c>
      <c r="F562" s="2" t="s">
        <v>1248</v>
      </c>
      <c r="G562" s="2" t="s">
        <v>3215</v>
      </c>
      <c r="H562" s="2" t="s">
        <v>3216</v>
      </c>
      <c r="I562" s="2" t="s">
        <v>1203</v>
      </c>
      <c r="J562" s="2" t="s">
        <v>3217</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1116</v>
      </c>
      <c r="C563" s="2" t="s">
        <v>1121</v>
      </c>
      <c r="D563" s="2" t="s">
        <v>3218</v>
      </c>
      <c r="E563" s="2" t="s">
        <v>1224</v>
      </c>
      <c r="F563" s="2" t="s">
        <v>1248</v>
      </c>
      <c r="G563" s="2" t="s">
        <v>3219</v>
      </c>
      <c r="H563" s="2" t="s">
        <v>3220</v>
      </c>
      <c r="I563" s="2" t="s">
        <v>1203</v>
      </c>
      <c r="J563" s="2" t="s">
        <v>3221</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1116</v>
      </c>
      <c r="C564" s="2" t="s">
        <v>1121</v>
      </c>
      <c r="D564" s="2" t="s">
        <v>3222</v>
      </c>
      <c r="E564" s="2" t="s">
        <v>1224</v>
      </c>
      <c r="F564" s="2" t="s">
        <v>1248</v>
      </c>
      <c r="G564" s="2" t="s">
        <v>3223</v>
      </c>
      <c r="H564" s="2" t="s">
        <v>3224</v>
      </c>
      <c r="I564" s="2" t="s">
        <v>1203</v>
      </c>
      <c r="J564" s="2" t="s">
        <v>3225</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1116</v>
      </c>
      <c r="C565" s="2" t="s">
        <v>1121</v>
      </c>
      <c r="D565" s="2" t="s">
        <v>3226</v>
      </c>
      <c r="E565" s="2" t="s">
        <v>1224</v>
      </c>
      <c r="F565" s="2" t="s">
        <v>1248</v>
      </c>
      <c r="G565" s="2" t="s">
        <v>3227</v>
      </c>
      <c r="H565" s="2" t="s">
        <v>3228</v>
      </c>
      <c r="I565" s="2" t="s">
        <v>1203</v>
      </c>
      <c r="J565" s="2" t="s">
        <v>3229</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1116</v>
      </c>
      <c r="C566" s="2" t="s">
        <v>1121</v>
      </c>
      <c r="D566" s="2" t="s">
        <v>3230</v>
      </c>
      <c r="E566" s="2" t="s">
        <v>1224</v>
      </c>
      <c r="F566" s="2" t="s">
        <v>1248</v>
      </c>
      <c r="G566" s="2" t="s">
        <v>3231</v>
      </c>
      <c r="H566" s="2" t="s">
        <v>3232</v>
      </c>
      <c r="I566" s="2" t="s">
        <v>1203</v>
      </c>
      <c r="J566" s="2" t="s">
        <v>3233</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1116</v>
      </c>
      <c r="C567" s="2" t="s">
        <v>1121</v>
      </c>
      <c r="D567" s="2" t="s">
        <v>3234</v>
      </c>
      <c r="E567" s="2" t="s">
        <v>1224</v>
      </c>
      <c r="F567" s="2" t="s">
        <v>1248</v>
      </c>
      <c r="G567" s="2" t="s">
        <v>3235</v>
      </c>
      <c r="H567" s="2" t="s">
        <v>3236</v>
      </c>
      <c r="I567" s="2" t="s">
        <v>1203</v>
      </c>
      <c r="J567" s="2" t="s">
        <v>3237</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1116</v>
      </c>
      <c r="C568" s="2" t="s">
        <v>1121</v>
      </c>
      <c r="D568" s="2" t="s">
        <v>3238</v>
      </c>
      <c r="E568" s="2" t="s">
        <v>1224</v>
      </c>
      <c r="F568" s="2" t="s">
        <v>1248</v>
      </c>
      <c r="G568" s="2" t="s">
        <v>3239</v>
      </c>
      <c r="H568" s="2" t="s">
        <v>3240</v>
      </c>
      <c r="I568" s="2" t="s">
        <v>1203</v>
      </c>
      <c r="J568" s="2" t="s">
        <v>3241</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1116</v>
      </c>
      <c r="C569" s="2" t="s">
        <v>1121</v>
      </c>
      <c r="D569" s="2" t="s">
        <v>3242</v>
      </c>
      <c r="E569" s="2" t="s">
        <v>1224</v>
      </c>
      <c r="F569" s="2" t="s">
        <v>1248</v>
      </c>
      <c r="G569" s="2" t="s">
        <v>3243</v>
      </c>
      <c r="H569" s="2" t="s">
        <v>3244</v>
      </c>
      <c r="I569" s="2" t="s">
        <v>1203</v>
      </c>
      <c r="J569" s="2" t="s">
        <v>3245</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1116</v>
      </c>
      <c r="C570" s="2" t="s">
        <v>1121</v>
      </c>
      <c r="D570" s="2" t="s">
        <v>3246</v>
      </c>
      <c r="E570" s="2" t="s">
        <v>1224</v>
      </c>
      <c r="F570" s="2" t="s">
        <v>1248</v>
      </c>
      <c r="G570" s="2" t="s">
        <v>3247</v>
      </c>
      <c r="H570" s="2" t="s">
        <v>3248</v>
      </c>
      <c r="I570" s="2" t="s">
        <v>1203</v>
      </c>
      <c r="J570" s="2" t="s">
        <v>3249</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1116</v>
      </c>
      <c r="C571" s="2" t="s">
        <v>1121</v>
      </c>
      <c r="D571" s="2" t="s">
        <v>3250</v>
      </c>
      <c r="E571" s="2" t="s">
        <v>1224</v>
      </c>
      <c r="F571" s="2" t="s">
        <v>1248</v>
      </c>
      <c r="G571" s="2" t="s">
        <v>409</v>
      </c>
      <c r="H571" s="2" t="s">
        <v>3251</v>
      </c>
      <c r="I571" s="2" t="s">
        <v>1203</v>
      </c>
      <c r="J571" s="2" t="s">
        <v>3252</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1116</v>
      </c>
      <c r="C572" s="2" t="s">
        <v>1121</v>
      </c>
      <c r="D572" s="2" t="s">
        <v>3253</v>
      </c>
      <c r="E572" s="2" t="s">
        <v>1224</v>
      </c>
      <c r="F572" s="2" t="s">
        <v>1248</v>
      </c>
      <c r="G572" s="2" t="s">
        <v>3254</v>
      </c>
      <c r="H572" s="2" t="s">
        <v>3255</v>
      </c>
      <c r="I572" s="2" t="s">
        <v>1203</v>
      </c>
      <c r="J572" s="2" t="s">
        <v>3256</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1116</v>
      </c>
      <c r="C573" s="2" t="s">
        <v>1121</v>
      </c>
      <c r="D573" s="2" t="s">
        <v>3257</v>
      </c>
      <c r="E573" s="2" t="s">
        <v>1224</v>
      </c>
      <c r="F573" s="2" t="s">
        <v>1248</v>
      </c>
      <c r="G573" s="2" t="s">
        <v>441</v>
      </c>
      <c r="H573" s="2" t="s">
        <v>3258</v>
      </c>
      <c r="I573" s="2" t="s">
        <v>1203</v>
      </c>
      <c r="J573" s="2" t="s">
        <v>3259</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1116</v>
      </c>
      <c r="C574" s="2" t="s">
        <v>1121</v>
      </c>
      <c r="D574" s="2" t="s">
        <v>3260</v>
      </c>
      <c r="E574" s="2" t="s">
        <v>1224</v>
      </c>
      <c r="F574" s="2" t="s">
        <v>1248</v>
      </c>
      <c r="G574" s="2" t="s">
        <v>3261</v>
      </c>
      <c r="H574" s="2" t="s">
        <v>3262</v>
      </c>
      <c r="I574" s="2" t="s">
        <v>1203</v>
      </c>
      <c r="J574" s="2" t="s">
        <v>3263</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1116</v>
      </c>
      <c r="C575" s="2" t="s">
        <v>1121</v>
      </c>
      <c r="D575" s="2" t="s">
        <v>3264</v>
      </c>
      <c r="E575" s="2" t="s">
        <v>1224</v>
      </c>
      <c r="F575" s="2" t="s">
        <v>1248</v>
      </c>
      <c r="G575" s="2" t="s">
        <v>3265</v>
      </c>
      <c r="H575" s="2" t="s">
        <v>3266</v>
      </c>
      <c r="I575" s="2" t="s">
        <v>1203</v>
      </c>
      <c r="J575" s="2" t="s">
        <v>3267</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1116</v>
      </c>
      <c r="C576" s="2" t="s">
        <v>1121</v>
      </c>
      <c r="D576" s="2" t="s">
        <v>3268</v>
      </c>
      <c r="E576" s="2" t="s">
        <v>1224</v>
      </c>
      <c r="F576" s="2" t="s">
        <v>1248</v>
      </c>
      <c r="G576" s="2" t="s">
        <v>3269</v>
      </c>
      <c r="H576" s="2" t="s">
        <v>3270</v>
      </c>
      <c r="I576" s="2" t="s">
        <v>1203</v>
      </c>
      <c r="J576" s="2" t="s">
        <v>3271</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1116</v>
      </c>
      <c r="C577" s="2" t="s">
        <v>1121</v>
      </c>
      <c r="D577" s="2" t="s">
        <v>3272</v>
      </c>
      <c r="E577" s="2" t="s">
        <v>1224</v>
      </c>
      <c r="F577" s="2" t="s">
        <v>1248</v>
      </c>
      <c r="G577" s="2" t="s">
        <v>3273</v>
      </c>
      <c r="H577" s="2" t="s">
        <v>3274</v>
      </c>
      <c r="I577" s="2" t="s">
        <v>1203</v>
      </c>
      <c r="J577" s="2" t="s">
        <v>3275</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1116</v>
      </c>
      <c r="C578" s="2" t="s">
        <v>1121</v>
      </c>
      <c r="D578" s="2" t="s">
        <v>3276</v>
      </c>
      <c r="E578" s="2" t="s">
        <v>1224</v>
      </c>
      <c r="F578" s="2" t="s">
        <v>1248</v>
      </c>
      <c r="G578" s="2" t="s">
        <v>3277</v>
      </c>
      <c r="H578" s="2" t="s">
        <v>3278</v>
      </c>
      <c r="I578" s="2" t="s">
        <v>1203</v>
      </c>
      <c r="J578" s="2" t="s">
        <v>3279</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1116</v>
      </c>
      <c r="C579" s="2" t="s">
        <v>1121</v>
      </c>
      <c r="D579" s="2" t="s">
        <v>3280</v>
      </c>
      <c r="E579" s="2" t="s">
        <v>1224</v>
      </c>
      <c r="F579" s="2" t="s">
        <v>1248</v>
      </c>
      <c r="G579" s="2" t="s">
        <v>3281</v>
      </c>
      <c r="H579" s="2" t="s">
        <v>3282</v>
      </c>
      <c r="I579" s="2" t="s">
        <v>1203</v>
      </c>
      <c r="J579" s="2" t="s">
        <v>3283</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1116</v>
      </c>
      <c r="C580" s="2" t="s">
        <v>1121</v>
      </c>
      <c r="D580" s="2" t="s">
        <v>3284</v>
      </c>
      <c r="E580" s="2" t="s">
        <v>1224</v>
      </c>
      <c r="F580" s="2" t="s">
        <v>1248</v>
      </c>
      <c r="G580" s="2" t="s">
        <v>1201</v>
      </c>
      <c r="H580" s="2" t="s">
        <v>3285</v>
      </c>
      <c r="I580" s="2" t="s">
        <v>1203</v>
      </c>
      <c r="J580" s="2" t="s">
        <v>3286</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1116</v>
      </c>
      <c r="C581" s="2" t="s">
        <v>1121</v>
      </c>
      <c r="D581" s="2" t="s">
        <v>3287</v>
      </c>
      <c r="E581" s="2" t="s">
        <v>1224</v>
      </c>
      <c r="F581" s="2" t="s">
        <v>1248</v>
      </c>
      <c r="G581" s="2" t="s">
        <v>3288</v>
      </c>
      <c r="H581" s="2" t="s">
        <v>3289</v>
      </c>
      <c r="I581" s="2" t="s">
        <v>1203</v>
      </c>
      <c r="J581" s="2" t="s">
        <v>3290</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1116</v>
      </c>
      <c r="C582" s="2" t="s">
        <v>1121</v>
      </c>
      <c r="D582" s="2" t="s">
        <v>3291</v>
      </c>
      <c r="E582" s="2" t="s">
        <v>1224</v>
      </c>
      <c r="F582" s="2" t="s">
        <v>1248</v>
      </c>
      <c r="G582" s="2" t="s">
        <v>3292</v>
      </c>
      <c r="H582" s="2" t="s">
        <v>3293</v>
      </c>
      <c r="I582" s="2" t="s">
        <v>1203</v>
      </c>
      <c r="J582" s="2" t="s">
        <v>3294</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1116</v>
      </c>
      <c r="C583" s="2" t="s">
        <v>1121</v>
      </c>
      <c r="D583" s="2" t="s">
        <v>3295</v>
      </c>
      <c r="E583" s="2" t="s">
        <v>1224</v>
      </c>
      <c r="F583" s="2" t="s">
        <v>1248</v>
      </c>
      <c r="G583" s="2" t="s">
        <v>3292</v>
      </c>
      <c r="H583" s="2" t="s">
        <v>3296</v>
      </c>
      <c r="I583" s="2" t="s">
        <v>1203</v>
      </c>
      <c r="J583" s="2" t="s">
        <v>3297</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1116</v>
      </c>
      <c r="C584" s="2" t="s">
        <v>1121</v>
      </c>
      <c r="D584" s="2" t="s">
        <v>3298</v>
      </c>
      <c r="E584" s="2" t="s">
        <v>1224</v>
      </c>
      <c r="F584" s="2" t="s">
        <v>1248</v>
      </c>
      <c r="G584" s="2" t="s">
        <v>3299</v>
      </c>
      <c r="H584" s="2" t="s">
        <v>3300</v>
      </c>
      <c r="I584" s="2" t="s">
        <v>1203</v>
      </c>
      <c r="J584" s="2" t="s">
        <v>3301</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1116</v>
      </c>
      <c r="C585" s="2" t="s">
        <v>1121</v>
      </c>
      <c r="D585" s="2" t="s">
        <v>3302</v>
      </c>
      <c r="E585" s="2" t="s">
        <v>1224</v>
      </c>
      <c r="F585" s="2" t="s">
        <v>1248</v>
      </c>
      <c r="G585" s="2" t="s">
        <v>2199</v>
      </c>
      <c r="H585" s="2" t="s">
        <v>3303</v>
      </c>
      <c r="I585" s="2" t="s">
        <v>1203</v>
      </c>
      <c r="J585" s="2" t="s">
        <v>3304</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1116</v>
      </c>
      <c r="C586" s="2" t="s">
        <v>1121</v>
      </c>
      <c r="D586" s="2" t="s">
        <v>3305</v>
      </c>
      <c r="E586" s="2" t="s">
        <v>1224</v>
      </c>
      <c r="F586" s="2" t="s">
        <v>1248</v>
      </c>
      <c r="G586" s="2" t="s">
        <v>3306</v>
      </c>
      <c r="H586" s="2" t="s">
        <v>3307</v>
      </c>
      <c r="I586" s="2" t="s">
        <v>1203</v>
      </c>
      <c r="J586" s="2" t="s">
        <v>3308</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1116</v>
      </c>
      <c r="C587" s="2" t="s">
        <v>1121</v>
      </c>
      <c r="D587" s="2" t="s">
        <v>3309</v>
      </c>
      <c r="E587" s="2" t="s">
        <v>1224</v>
      </c>
      <c r="F587" s="2" t="s">
        <v>1248</v>
      </c>
      <c r="G587" s="2" t="s">
        <v>3310</v>
      </c>
      <c r="H587" s="2" t="s">
        <v>3311</v>
      </c>
      <c r="I587" s="2" t="s">
        <v>1203</v>
      </c>
      <c r="J587" s="2" t="s">
        <v>3312</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1116</v>
      </c>
      <c r="C588" s="2" t="s">
        <v>1121</v>
      </c>
      <c r="D588" s="2" t="s">
        <v>3313</v>
      </c>
      <c r="E588" s="2" t="s">
        <v>1224</v>
      </c>
      <c r="F588" s="2" t="s">
        <v>1248</v>
      </c>
      <c r="G588" s="2" t="s">
        <v>3314</v>
      </c>
      <c r="H588" s="2" t="s">
        <v>3315</v>
      </c>
      <c r="I588" s="2" t="s">
        <v>1203</v>
      </c>
      <c r="J588" s="2" t="s">
        <v>3316</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1116</v>
      </c>
      <c r="C589" s="2" t="s">
        <v>1121</v>
      </c>
      <c r="D589" s="2" t="s">
        <v>3317</v>
      </c>
      <c r="E589" s="2" t="s">
        <v>1224</v>
      </c>
      <c r="F589" s="2" t="s">
        <v>1248</v>
      </c>
      <c r="G589" s="2" t="s">
        <v>3318</v>
      </c>
      <c r="H589" s="2" t="s">
        <v>3319</v>
      </c>
      <c r="I589" s="2" t="s">
        <v>1203</v>
      </c>
      <c r="J589" s="2" t="s">
        <v>3320</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1116</v>
      </c>
      <c r="C590" s="2" t="s">
        <v>1121</v>
      </c>
      <c r="D590" s="2" t="s">
        <v>3321</v>
      </c>
      <c r="E590" s="2" t="s">
        <v>1224</v>
      </c>
      <c r="F590" s="2" t="s">
        <v>1248</v>
      </c>
      <c r="G590" s="2" t="s">
        <v>3322</v>
      </c>
      <c r="H590" s="2" t="s">
        <v>3323</v>
      </c>
      <c r="I590" s="2" t="s">
        <v>1203</v>
      </c>
      <c r="J590" s="2" t="s">
        <v>3324</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1116</v>
      </c>
      <c r="C591" s="2" t="s">
        <v>1121</v>
      </c>
      <c r="D591" s="2" t="s">
        <v>3325</v>
      </c>
      <c r="E591" s="2" t="s">
        <v>1224</v>
      </c>
      <c r="F591" s="2" t="s">
        <v>1248</v>
      </c>
      <c r="G591" s="2" t="s">
        <v>3322</v>
      </c>
      <c r="H591" s="2" t="s">
        <v>3326</v>
      </c>
      <c r="I591" s="2" t="s">
        <v>1203</v>
      </c>
      <c r="J591" s="2" t="s">
        <v>3327</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1116</v>
      </c>
      <c r="C592" s="2" t="s">
        <v>1121</v>
      </c>
      <c r="D592" s="2" t="s">
        <v>3328</v>
      </c>
      <c r="E592" s="2" t="s">
        <v>1224</v>
      </c>
      <c r="F592" s="2" t="s">
        <v>1248</v>
      </c>
      <c r="G592" s="2" t="s">
        <v>3322</v>
      </c>
      <c r="H592" s="2" t="s">
        <v>3329</v>
      </c>
      <c r="I592" s="2" t="s">
        <v>1203</v>
      </c>
      <c r="J592" s="2" t="s">
        <v>3330</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1116</v>
      </c>
      <c r="C593" s="2" t="s">
        <v>1121</v>
      </c>
      <c r="D593" s="2" t="s">
        <v>3331</v>
      </c>
      <c r="E593" s="2" t="s">
        <v>1224</v>
      </c>
      <c r="F593" s="2" t="s">
        <v>1248</v>
      </c>
      <c r="G593" s="2" t="s">
        <v>3332</v>
      </c>
      <c r="H593" s="2" t="s">
        <v>3333</v>
      </c>
      <c r="I593" s="2" t="s">
        <v>1203</v>
      </c>
      <c r="J593" s="2" t="s">
        <v>3334</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1116</v>
      </c>
      <c r="C594" s="2" t="s">
        <v>1121</v>
      </c>
      <c r="D594" s="2" t="s">
        <v>3335</v>
      </c>
      <c r="E594" s="2" t="s">
        <v>1224</v>
      </c>
      <c r="F594" s="2" t="s">
        <v>1248</v>
      </c>
      <c r="G594" s="2" t="s">
        <v>3336</v>
      </c>
      <c r="H594" s="2" t="s">
        <v>3337</v>
      </c>
      <c r="I594" s="2" t="s">
        <v>1203</v>
      </c>
      <c r="J594" s="2" t="s">
        <v>3338</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1116</v>
      </c>
      <c r="C595" s="2" t="s">
        <v>1121</v>
      </c>
      <c r="D595" s="2" t="s">
        <v>3339</v>
      </c>
      <c r="E595" s="2" t="s">
        <v>1224</v>
      </c>
      <c r="F595" s="2" t="s">
        <v>1248</v>
      </c>
      <c r="G595" s="2" t="s">
        <v>3340</v>
      </c>
      <c r="H595" s="2" t="s">
        <v>3341</v>
      </c>
      <c r="I595" s="2" t="s">
        <v>1203</v>
      </c>
      <c r="J595" s="2" t="s">
        <v>3342</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1116</v>
      </c>
      <c r="C596" s="2" t="s">
        <v>1121</v>
      </c>
      <c r="D596" s="2" t="s">
        <v>3343</v>
      </c>
      <c r="E596" s="2" t="s">
        <v>1224</v>
      </c>
      <c r="F596" s="2" t="s">
        <v>1248</v>
      </c>
      <c r="G596" s="2" t="s">
        <v>3344</v>
      </c>
      <c r="H596" s="2" t="s">
        <v>3345</v>
      </c>
      <c r="I596" s="2" t="s">
        <v>1203</v>
      </c>
      <c r="J596" s="2" t="s">
        <v>3346</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1116</v>
      </c>
      <c r="C597" s="2" t="s">
        <v>1121</v>
      </c>
      <c r="D597" s="2" t="s">
        <v>3347</v>
      </c>
      <c r="E597" s="2" t="s">
        <v>1224</v>
      </c>
      <c r="F597" s="2" t="s">
        <v>1248</v>
      </c>
      <c r="G597" s="2" t="s">
        <v>3348</v>
      </c>
      <c r="H597" s="2" t="s">
        <v>3349</v>
      </c>
      <c r="I597" s="2" t="s">
        <v>1203</v>
      </c>
      <c r="J597" s="2" t="s">
        <v>3350</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1116</v>
      </c>
      <c r="C598" s="2" t="s">
        <v>1121</v>
      </c>
      <c r="D598" s="2" t="s">
        <v>3351</v>
      </c>
      <c r="E598" s="2" t="s">
        <v>1224</v>
      </c>
      <c r="F598" s="2" t="s">
        <v>1248</v>
      </c>
      <c r="G598" s="2" t="s">
        <v>3348</v>
      </c>
      <c r="H598" s="2" t="s">
        <v>3352</v>
      </c>
      <c r="I598" s="2" t="s">
        <v>1203</v>
      </c>
      <c r="J598" s="2" t="s">
        <v>3353</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1116</v>
      </c>
      <c r="C599" s="2" t="s">
        <v>1121</v>
      </c>
      <c r="D599" s="2" t="s">
        <v>3354</v>
      </c>
      <c r="E599" s="2" t="s">
        <v>1224</v>
      </c>
      <c r="F599" s="2" t="s">
        <v>1248</v>
      </c>
      <c r="G599" s="2" t="s">
        <v>3355</v>
      </c>
      <c r="H599" s="2" t="s">
        <v>3356</v>
      </c>
      <c r="I599" s="2" t="s">
        <v>1203</v>
      </c>
      <c r="J599" s="2" t="s">
        <v>3357</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1116</v>
      </c>
      <c r="C600" s="2" t="s">
        <v>1121</v>
      </c>
      <c r="D600" s="2" t="s">
        <v>3358</v>
      </c>
      <c r="E600" s="2" t="s">
        <v>1224</v>
      </c>
      <c r="F600" s="2" t="s">
        <v>1248</v>
      </c>
      <c r="G600" s="2" t="s">
        <v>3359</v>
      </c>
      <c r="H600" s="2" t="s">
        <v>3360</v>
      </c>
      <c r="I600" s="2" t="s">
        <v>1203</v>
      </c>
      <c r="J600" s="2" t="s">
        <v>3361</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1116</v>
      </c>
      <c r="C601" s="2" t="s">
        <v>1121</v>
      </c>
      <c r="D601" s="2" t="s">
        <v>3362</v>
      </c>
      <c r="E601" s="2" t="s">
        <v>1224</v>
      </c>
      <c r="F601" s="2" t="s">
        <v>1248</v>
      </c>
      <c r="G601" s="2" t="s">
        <v>3363</v>
      </c>
      <c r="H601" s="2" t="s">
        <v>3364</v>
      </c>
      <c r="I601" s="2" t="s">
        <v>1203</v>
      </c>
      <c r="J601" s="2" t="s">
        <v>3365</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1116</v>
      </c>
      <c r="C602" s="2" t="s">
        <v>1121</v>
      </c>
      <c r="D602" s="2" t="s">
        <v>3366</v>
      </c>
      <c r="E602" s="2" t="s">
        <v>1224</v>
      </c>
      <c r="F602" s="2" t="s">
        <v>1248</v>
      </c>
      <c r="G602" s="2" t="s">
        <v>1922</v>
      </c>
      <c r="H602" s="2" t="s">
        <v>3367</v>
      </c>
      <c r="I602" s="2" t="s">
        <v>1203</v>
      </c>
      <c r="J602" s="2" t="s">
        <v>3368</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1116</v>
      </c>
      <c r="C603" s="2" t="s">
        <v>1121</v>
      </c>
      <c r="D603" s="2" t="s">
        <v>3369</v>
      </c>
      <c r="E603" s="2" t="s">
        <v>1224</v>
      </c>
      <c r="F603" s="2" t="s">
        <v>1248</v>
      </c>
      <c r="G603" s="2" t="s">
        <v>3370</v>
      </c>
      <c r="H603" s="2" t="s">
        <v>3371</v>
      </c>
      <c r="I603" s="2" t="s">
        <v>1203</v>
      </c>
      <c r="J603" s="2" t="s">
        <v>3372</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1116</v>
      </c>
      <c r="C604" s="2" t="s">
        <v>1121</v>
      </c>
      <c r="D604" s="2" t="s">
        <v>3373</v>
      </c>
      <c r="E604" s="2" t="s">
        <v>1224</v>
      </c>
      <c r="F604" s="2" t="s">
        <v>1248</v>
      </c>
      <c r="G604" s="2" t="s">
        <v>3374</v>
      </c>
      <c r="H604" s="2" t="s">
        <v>3375</v>
      </c>
      <c r="I604" s="2" t="s">
        <v>1203</v>
      </c>
      <c r="J604" s="2" t="s">
        <v>3376</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1116</v>
      </c>
      <c r="C605" s="2" t="s">
        <v>1121</v>
      </c>
      <c r="D605" s="2" t="s">
        <v>3377</v>
      </c>
      <c r="E605" s="2" t="s">
        <v>1224</v>
      </c>
      <c r="F605" s="2" t="s">
        <v>1248</v>
      </c>
      <c r="G605" s="2" t="s">
        <v>3378</v>
      </c>
      <c r="H605" s="2" t="s">
        <v>3379</v>
      </c>
      <c r="I605" s="2" t="s">
        <v>1203</v>
      </c>
      <c r="J605" s="2" t="s">
        <v>3380</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1116</v>
      </c>
      <c r="C606" s="2" t="s">
        <v>1121</v>
      </c>
      <c r="D606" s="2" t="s">
        <v>3381</v>
      </c>
      <c r="E606" s="2" t="s">
        <v>1224</v>
      </c>
      <c r="F606" s="2" t="s">
        <v>1248</v>
      </c>
      <c r="G606" s="2" t="s">
        <v>3382</v>
      </c>
      <c r="H606" s="2" t="s">
        <v>3383</v>
      </c>
      <c r="I606" s="2" t="s">
        <v>1203</v>
      </c>
      <c r="J606" s="2" t="s">
        <v>3384</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1116</v>
      </c>
      <c r="C607" s="2" t="s">
        <v>1121</v>
      </c>
      <c r="D607" s="2" t="s">
        <v>3385</v>
      </c>
      <c r="E607" s="2" t="s">
        <v>1224</v>
      </c>
      <c r="F607" s="2" t="s">
        <v>1248</v>
      </c>
      <c r="G607" s="2" t="s">
        <v>3386</v>
      </c>
      <c r="H607" s="2" t="s">
        <v>3387</v>
      </c>
      <c r="I607" s="2" t="s">
        <v>1203</v>
      </c>
      <c r="J607" s="2" t="s">
        <v>3388</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1116</v>
      </c>
      <c r="C608" s="2" t="s">
        <v>1121</v>
      </c>
      <c r="D608" s="2" t="s">
        <v>3389</v>
      </c>
      <c r="E608" s="2" t="s">
        <v>1224</v>
      </c>
      <c r="F608" s="2" t="s">
        <v>1248</v>
      </c>
      <c r="G608" s="2" t="s">
        <v>3390</v>
      </c>
      <c r="H608" s="2" t="s">
        <v>3391</v>
      </c>
      <c r="I608" s="2" t="s">
        <v>1203</v>
      </c>
      <c r="J608" s="2" t="s">
        <v>3392</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1116</v>
      </c>
      <c r="C609" s="2" t="s">
        <v>1121</v>
      </c>
      <c r="D609" s="2" t="s">
        <v>3393</v>
      </c>
      <c r="E609" s="2" t="s">
        <v>1224</v>
      </c>
      <c r="F609" s="2" t="s">
        <v>1248</v>
      </c>
      <c r="G609" s="2" t="s">
        <v>3394</v>
      </c>
      <c r="H609" s="2" t="s">
        <v>3395</v>
      </c>
      <c r="I609" s="2" t="s">
        <v>1203</v>
      </c>
      <c r="J609" s="2" t="s">
        <v>3396</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1116</v>
      </c>
      <c r="C610" s="2" t="s">
        <v>1121</v>
      </c>
      <c r="D610" s="2" t="s">
        <v>3397</v>
      </c>
      <c r="E610" s="2" t="s">
        <v>1224</v>
      </c>
      <c r="F610" s="2" t="s">
        <v>1248</v>
      </c>
      <c r="G610" s="2" t="s">
        <v>3398</v>
      </c>
      <c r="H610" s="2" t="s">
        <v>3399</v>
      </c>
      <c r="I610" s="2" t="s">
        <v>1203</v>
      </c>
      <c r="J610" s="2" t="s">
        <v>3400</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1116</v>
      </c>
      <c r="C611" s="2" t="s">
        <v>1121</v>
      </c>
      <c r="D611" s="2" t="s">
        <v>3401</v>
      </c>
      <c r="E611" s="2" t="s">
        <v>1224</v>
      </c>
      <c r="F611" s="2" t="s">
        <v>1248</v>
      </c>
      <c r="G611" s="2" t="s">
        <v>2685</v>
      </c>
      <c r="H611" s="2" t="s">
        <v>3402</v>
      </c>
      <c r="I611" s="2" t="s">
        <v>1203</v>
      </c>
      <c r="J611" s="2" t="s">
        <v>3403</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1116</v>
      </c>
      <c r="C612" s="2" t="s">
        <v>1121</v>
      </c>
      <c r="D612" s="2" t="s">
        <v>3404</v>
      </c>
      <c r="E612" s="2" t="s">
        <v>1224</v>
      </c>
      <c r="F612" s="2" t="s">
        <v>1248</v>
      </c>
      <c r="G612" s="2" t="s">
        <v>2685</v>
      </c>
      <c r="H612" s="2" t="s">
        <v>3405</v>
      </c>
      <c r="I612" s="2" t="s">
        <v>1203</v>
      </c>
      <c r="J612" s="2" t="s">
        <v>3406</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1116</v>
      </c>
      <c r="C613" s="2" t="s">
        <v>1121</v>
      </c>
      <c r="D613" s="2" t="s">
        <v>3407</v>
      </c>
      <c r="E613" s="2" t="s">
        <v>1224</v>
      </c>
      <c r="F613" s="2" t="s">
        <v>1248</v>
      </c>
      <c r="G613" s="2" t="s">
        <v>2685</v>
      </c>
      <c r="H613" s="2" t="s">
        <v>3408</v>
      </c>
      <c r="I613" s="2" t="s">
        <v>1203</v>
      </c>
      <c r="J613" s="2" t="s">
        <v>3409</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1116</v>
      </c>
      <c r="C614" s="2" t="s">
        <v>1121</v>
      </c>
      <c r="D614" s="2" t="s">
        <v>3410</v>
      </c>
      <c r="E614" s="2" t="s">
        <v>1224</v>
      </c>
      <c r="F614" s="2" t="s">
        <v>1248</v>
      </c>
      <c r="G614" s="2" t="s">
        <v>3411</v>
      </c>
      <c r="H614" s="2" t="s">
        <v>3412</v>
      </c>
      <c r="I614" s="2" t="s">
        <v>1203</v>
      </c>
      <c r="J614" s="2" t="s">
        <v>3413</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1116</v>
      </c>
      <c r="C615" s="2" t="s">
        <v>1121</v>
      </c>
      <c r="D615" s="2" t="s">
        <v>3414</v>
      </c>
      <c r="E615" s="2" t="s">
        <v>1224</v>
      </c>
      <c r="F615" s="2" t="s">
        <v>1248</v>
      </c>
      <c r="G615" s="2" t="s">
        <v>3415</v>
      </c>
      <c r="H615" s="2" t="s">
        <v>3416</v>
      </c>
      <c r="I615" s="2" t="s">
        <v>1203</v>
      </c>
      <c r="J615" s="2" t="s">
        <v>3417</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1116</v>
      </c>
      <c r="C616" s="2" t="s">
        <v>1121</v>
      </c>
      <c r="D616" s="2" t="s">
        <v>3418</v>
      </c>
      <c r="E616" s="2" t="s">
        <v>1224</v>
      </c>
      <c r="F616" s="2" t="s">
        <v>1248</v>
      </c>
      <c r="G616" s="2" t="s">
        <v>2214</v>
      </c>
      <c r="H616" s="2" t="s">
        <v>3419</v>
      </c>
      <c r="I616" s="2" t="s">
        <v>1203</v>
      </c>
      <c r="J616" s="2" t="s">
        <v>3420</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1116</v>
      </c>
      <c r="C617" s="2" t="s">
        <v>1121</v>
      </c>
      <c r="D617" s="2" t="s">
        <v>3421</v>
      </c>
      <c r="E617" s="2" t="s">
        <v>1224</v>
      </c>
      <c r="F617" s="2" t="s">
        <v>1248</v>
      </c>
      <c r="G617" s="2" t="s">
        <v>2214</v>
      </c>
      <c r="H617" s="2" t="s">
        <v>3422</v>
      </c>
      <c r="I617" s="2" t="s">
        <v>1203</v>
      </c>
      <c r="J617" s="2" t="s">
        <v>3423</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1116</v>
      </c>
      <c r="C618" s="2" t="s">
        <v>1121</v>
      </c>
      <c r="D618" s="2" t="s">
        <v>3424</v>
      </c>
      <c r="E618" s="2" t="s">
        <v>1224</v>
      </c>
      <c r="F618" s="2" t="s">
        <v>1248</v>
      </c>
      <c r="G618" s="2" t="s">
        <v>1359</v>
      </c>
      <c r="H618" s="2" t="s">
        <v>3425</v>
      </c>
      <c r="I618" s="2" t="s">
        <v>1203</v>
      </c>
      <c r="J618" s="2" t="s">
        <v>3426</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1116</v>
      </c>
      <c r="C619" s="2" t="s">
        <v>1121</v>
      </c>
      <c r="D619" s="2" t="s">
        <v>3427</v>
      </c>
      <c r="E619" s="2" t="s">
        <v>1224</v>
      </c>
      <c r="F619" s="2" t="s">
        <v>1248</v>
      </c>
      <c r="G619" s="2" t="s">
        <v>3428</v>
      </c>
      <c r="H619" s="2" t="s">
        <v>3429</v>
      </c>
      <c r="I619" s="2" t="s">
        <v>1203</v>
      </c>
      <c r="J619" s="2" t="s">
        <v>3430</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1116</v>
      </c>
      <c r="C620" s="2" t="s">
        <v>1121</v>
      </c>
      <c r="D620" s="2" t="s">
        <v>3431</v>
      </c>
      <c r="E620" s="2" t="s">
        <v>1224</v>
      </c>
      <c r="F620" s="2" t="s">
        <v>1248</v>
      </c>
      <c r="G620" s="2" t="s">
        <v>3428</v>
      </c>
      <c r="H620" s="2" t="s">
        <v>3432</v>
      </c>
      <c r="I620" s="2" t="s">
        <v>1203</v>
      </c>
      <c r="J620" s="2" t="s">
        <v>3433</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1116</v>
      </c>
      <c r="C621" s="2" t="s">
        <v>1121</v>
      </c>
      <c r="D621" s="2" t="s">
        <v>3434</v>
      </c>
      <c r="E621" s="2" t="s">
        <v>1224</v>
      </c>
      <c r="F621" s="2" t="s">
        <v>1248</v>
      </c>
      <c r="G621" s="2" t="s">
        <v>652</v>
      </c>
      <c r="H621" s="2" t="s">
        <v>3435</v>
      </c>
      <c r="I621" s="2" t="s">
        <v>1203</v>
      </c>
      <c r="J621" s="2" t="s">
        <v>3436</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1116</v>
      </c>
      <c r="C622" s="2" t="s">
        <v>1121</v>
      </c>
      <c r="D622" s="2" t="s">
        <v>3437</v>
      </c>
      <c r="E622" s="2" t="s">
        <v>1224</v>
      </c>
      <c r="F622" s="2" t="s">
        <v>1248</v>
      </c>
      <c r="G622" s="2" t="s">
        <v>652</v>
      </c>
      <c r="H622" s="2" t="s">
        <v>3438</v>
      </c>
      <c r="I622" s="2" t="s">
        <v>1203</v>
      </c>
      <c r="J622" s="2" t="s">
        <v>3439</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1116</v>
      </c>
      <c r="C623" s="2" t="s">
        <v>1121</v>
      </c>
      <c r="D623" s="2" t="s">
        <v>3440</v>
      </c>
      <c r="E623" s="2" t="s">
        <v>1224</v>
      </c>
      <c r="F623" s="2" t="s">
        <v>1248</v>
      </c>
      <c r="G623" s="2" t="s">
        <v>3441</v>
      </c>
      <c r="H623" s="2" t="s">
        <v>3442</v>
      </c>
      <c r="I623" s="2" t="s">
        <v>1203</v>
      </c>
      <c r="J623" s="2" t="s">
        <v>3443</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1116</v>
      </c>
      <c r="C624" s="2" t="s">
        <v>1121</v>
      </c>
      <c r="D624" s="2" t="s">
        <v>3444</v>
      </c>
      <c r="E624" s="2" t="s">
        <v>1224</v>
      </c>
      <c r="F624" s="2" t="s">
        <v>1248</v>
      </c>
      <c r="G624" s="2" t="s">
        <v>3445</v>
      </c>
      <c r="H624" s="2" t="s">
        <v>3446</v>
      </c>
      <c r="I624" s="2" t="s">
        <v>1203</v>
      </c>
      <c r="J624" s="2" t="s">
        <v>3447</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1116</v>
      </c>
      <c r="C625" s="2" t="s">
        <v>1121</v>
      </c>
      <c r="D625" s="2" t="s">
        <v>3448</v>
      </c>
      <c r="E625" s="2" t="s">
        <v>1224</v>
      </c>
      <c r="F625" s="2" t="s">
        <v>1248</v>
      </c>
      <c r="G625" s="2" t="s">
        <v>3449</v>
      </c>
      <c r="H625" s="2" t="s">
        <v>3450</v>
      </c>
      <c r="I625" s="2" t="s">
        <v>1203</v>
      </c>
      <c r="J625" s="2" t="s">
        <v>3451</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1116</v>
      </c>
      <c r="C626" s="2" t="s">
        <v>1121</v>
      </c>
      <c r="D626" s="2" t="s">
        <v>3452</v>
      </c>
      <c r="E626" s="2" t="s">
        <v>1224</v>
      </c>
      <c r="F626" s="2" t="s">
        <v>1248</v>
      </c>
      <c r="G626" s="2" t="s">
        <v>3449</v>
      </c>
      <c r="H626" s="2" t="s">
        <v>3453</v>
      </c>
      <c r="I626" s="2" t="s">
        <v>1203</v>
      </c>
      <c r="J626" s="2" t="s">
        <v>3454</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1116</v>
      </c>
      <c r="C627" s="2" t="s">
        <v>1121</v>
      </c>
      <c r="D627" s="2" t="s">
        <v>3455</v>
      </c>
      <c r="E627" s="2" t="s">
        <v>1224</v>
      </c>
      <c r="F627" s="2" t="s">
        <v>1248</v>
      </c>
      <c r="G627" s="2" t="s">
        <v>3456</v>
      </c>
      <c r="H627" s="2" t="s">
        <v>3457</v>
      </c>
      <c r="I627" s="2" t="s">
        <v>1203</v>
      </c>
      <c r="J627" s="2" t="s">
        <v>3458</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1116</v>
      </c>
      <c r="C628" s="2" t="s">
        <v>1121</v>
      </c>
      <c r="D628" s="2" t="s">
        <v>3459</v>
      </c>
      <c r="E628" s="2" t="s">
        <v>1224</v>
      </c>
      <c r="F628" s="2" t="s">
        <v>1248</v>
      </c>
      <c r="G628" s="2" t="s">
        <v>3460</v>
      </c>
      <c r="H628" s="2" t="s">
        <v>3461</v>
      </c>
      <c r="I628" s="2" t="s">
        <v>1203</v>
      </c>
      <c r="J628" s="2" t="s">
        <v>3462</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1116</v>
      </c>
      <c r="C629" s="2" t="s">
        <v>1121</v>
      </c>
      <c r="D629" s="2" t="s">
        <v>3463</v>
      </c>
      <c r="E629" s="2" t="s">
        <v>1224</v>
      </c>
      <c r="F629" s="2" t="s">
        <v>1248</v>
      </c>
      <c r="G629" s="2" t="s">
        <v>3464</v>
      </c>
      <c r="H629" s="2" t="s">
        <v>3465</v>
      </c>
      <c r="I629" s="2" t="s">
        <v>1203</v>
      </c>
      <c r="J629" s="2" t="s">
        <v>3466</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1116</v>
      </c>
      <c r="C630" s="2" t="s">
        <v>1121</v>
      </c>
      <c r="D630" s="2" t="s">
        <v>3467</v>
      </c>
      <c r="E630" s="2" t="s">
        <v>1224</v>
      </c>
      <c r="F630" s="2" t="s">
        <v>1248</v>
      </c>
      <c r="G630" s="2" t="s">
        <v>3468</v>
      </c>
      <c r="H630" s="2" t="s">
        <v>3469</v>
      </c>
      <c r="I630" s="2" t="s">
        <v>1203</v>
      </c>
      <c r="J630" s="2" t="s">
        <v>3470</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1116</v>
      </c>
      <c r="C631" s="2" t="s">
        <v>1121</v>
      </c>
      <c r="D631" s="2" t="s">
        <v>3471</v>
      </c>
      <c r="E631" s="2" t="s">
        <v>1224</v>
      </c>
      <c r="F631" s="2" t="s">
        <v>1248</v>
      </c>
      <c r="G631" s="2" t="s">
        <v>1976</v>
      </c>
      <c r="H631" s="2" t="s">
        <v>3472</v>
      </c>
      <c r="I631" s="2" t="s">
        <v>1203</v>
      </c>
      <c r="J631" s="2" t="s">
        <v>3473</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1116</v>
      </c>
      <c r="C632" s="2" t="s">
        <v>1121</v>
      </c>
      <c r="D632" s="2" t="s">
        <v>3474</v>
      </c>
      <c r="E632" s="2" t="s">
        <v>1224</v>
      </c>
      <c r="F632" s="2" t="s">
        <v>1248</v>
      </c>
      <c r="G632" s="2" t="s">
        <v>3475</v>
      </c>
      <c r="H632" s="2" t="s">
        <v>3476</v>
      </c>
      <c r="I632" s="2" t="s">
        <v>1203</v>
      </c>
      <c r="J632" s="2" t="s">
        <v>3477</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1116</v>
      </c>
      <c r="C633" s="2" t="s">
        <v>1121</v>
      </c>
      <c r="D633" s="2" t="s">
        <v>3478</v>
      </c>
      <c r="E633" s="2" t="s">
        <v>1224</v>
      </c>
      <c r="F633" s="2" t="s">
        <v>1248</v>
      </c>
      <c r="G633" s="2" t="s">
        <v>3479</v>
      </c>
      <c r="H633" s="2" t="s">
        <v>3480</v>
      </c>
      <c r="I633" s="2" t="s">
        <v>1203</v>
      </c>
      <c r="J633" s="2" t="s">
        <v>3481</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1116</v>
      </c>
      <c r="C634" s="2" t="s">
        <v>1121</v>
      </c>
      <c r="D634" s="2" t="s">
        <v>3482</v>
      </c>
      <c r="E634" s="2" t="s">
        <v>1224</v>
      </c>
      <c r="F634" s="2" t="s">
        <v>1248</v>
      </c>
      <c r="G634" s="2" t="s">
        <v>3479</v>
      </c>
      <c r="H634" s="2" t="s">
        <v>3483</v>
      </c>
      <c r="I634" s="2" t="s">
        <v>1203</v>
      </c>
      <c r="J634" s="2" t="s">
        <v>3484</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1116</v>
      </c>
      <c r="C635" s="2" t="s">
        <v>1121</v>
      </c>
      <c r="D635" s="2" t="s">
        <v>3485</v>
      </c>
      <c r="E635" s="2" t="s">
        <v>1224</v>
      </c>
      <c r="F635" s="2" t="s">
        <v>1248</v>
      </c>
      <c r="G635" s="2" t="s">
        <v>3486</v>
      </c>
      <c r="H635" s="2" t="s">
        <v>3487</v>
      </c>
      <c r="I635" s="2" t="s">
        <v>1203</v>
      </c>
      <c r="J635" s="2" t="s">
        <v>3488</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1116</v>
      </c>
      <c r="C636" s="2" t="s">
        <v>1121</v>
      </c>
      <c r="D636" s="2" t="s">
        <v>3489</v>
      </c>
      <c r="E636" s="2" t="s">
        <v>1224</v>
      </c>
      <c r="F636" s="2" t="s">
        <v>1248</v>
      </c>
      <c r="G636" s="2" t="s">
        <v>3490</v>
      </c>
      <c r="H636" s="2" t="s">
        <v>3491</v>
      </c>
      <c r="I636" s="2" t="s">
        <v>1203</v>
      </c>
      <c r="J636" s="2" t="s">
        <v>3492</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1116</v>
      </c>
      <c r="C637" s="2" t="s">
        <v>1121</v>
      </c>
      <c r="D637" s="2" t="s">
        <v>3493</v>
      </c>
      <c r="E637" s="2" t="s">
        <v>1224</v>
      </c>
      <c r="F637" s="2" t="s">
        <v>1248</v>
      </c>
      <c r="G637" s="2" t="s">
        <v>3494</v>
      </c>
      <c r="H637" s="2" t="s">
        <v>3495</v>
      </c>
      <c r="I637" s="2" t="s">
        <v>1203</v>
      </c>
      <c r="J637" s="2" t="s">
        <v>3496</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1116</v>
      </c>
      <c r="C638" s="2" t="s">
        <v>1121</v>
      </c>
      <c r="D638" s="2" t="s">
        <v>3497</v>
      </c>
      <c r="E638" s="2" t="s">
        <v>1224</v>
      </c>
      <c r="F638" s="2" t="s">
        <v>1248</v>
      </c>
      <c r="G638" s="2" t="s">
        <v>3494</v>
      </c>
      <c r="H638" s="2" t="s">
        <v>3498</v>
      </c>
      <c r="I638" s="2" t="s">
        <v>1203</v>
      </c>
      <c r="J638" s="2" t="s">
        <v>3499</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1116</v>
      </c>
      <c r="C639" s="2" t="s">
        <v>1121</v>
      </c>
      <c r="D639" s="2" t="s">
        <v>3500</v>
      </c>
      <c r="E639" s="2" t="s">
        <v>1224</v>
      </c>
      <c r="F639" s="2" t="s">
        <v>1248</v>
      </c>
      <c r="G639" s="2" t="s">
        <v>3494</v>
      </c>
      <c r="H639" s="2" t="s">
        <v>3501</v>
      </c>
      <c r="I639" s="2" t="s">
        <v>1203</v>
      </c>
      <c r="J639" s="2" t="s">
        <v>3502</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1116</v>
      </c>
      <c r="C640" s="2" t="s">
        <v>1121</v>
      </c>
      <c r="D640" s="2" t="s">
        <v>3503</v>
      </c>
      <c r="E640" s="2" t="s">
        <v>1224</v>
      </c>
      <c r="F640" s="2" t="s">
        <v>1248</v>
      </c>
      <c r="G640" s="2" t="s">
        <v>889</v>
      </c>
      <c r="H640" s="2" t="s">
        <v>3504</v>
      </c>
      <c r="I640" s="2" t="s">
        <v>1203</v>
      </c>
      <c r="J640" s="2" t="s">
        <v>3505</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1116</v>
      </c>
      <c r="C641" s="2" t="s">
        <v>1121</v>
      </c>
      <c r="D641" s="2" t="s">
        <v>3506</v>
      </c>
      <c r="E641" s="2" t="s">
        <v>1224</v>
      </c>
      <c r="F641" s="2" t="s">
        <v>1248</v>
      </c>
      <c r="G641" s="2" t="s">
        <v>3507</v>
      </c>
      <c r="H641" s="2" t="s">
        <v>3508</v>
      </c>
      <c r="I641" s="2" t="s">
        <v>1203</v>
      </c>
      <c r="J641" s="2" t="s">
        <v>3509</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1116</v>
      </c>
      <c r="C642" s="2" t="s">
        <v>1121</v>
      </c>
      <c r="D642" s="2" t="s">
        <v>3510</v>
      </c>
      <c r="E642" s="2" t="s">
        <v>1224</v>
      </c>
      <c r="F642" s="2" t="s">
        <v>1248</v>
      </c>
      <c r="G642" s="2" t="s">
        <v>3507</v>
      </c>
      <c r="H642" s="2" t="s">
        <v>3511</v>
      </c>
      <c r="I642" s="2" t="s">
        <v>1203</v>
      </c>
      <c r="J642" s="2" t="s">
        <v>3512</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1116</v>
      </c>
      <c r="C643" s="2" t="s">
        <v>1121</v>
      </c>
      <c r="D643" s="2" t="s">
        <v>3513</v>
      </c>
      <c r="E643" s="2" t="s">
        <v>1224</v>
      </c>
      <c r="F643" s="2" t="s">
        <v>1248</v>
      </c>
      <c r="G643" s="2" t="s">
        <v>3514</v>
      </c>
      <c r="H643" s="2" t="s">
        <v>3515</v>
      </c>
      <c r="I643" s="2" t="s">
        <v>1203</v>
      </c>
      <c r="J643" s="2" t="s">
        <v>3516</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1116</v>
      </c>
      <c r="C644" s="2" t="s">
        <v>1121</v>
      </c>
      <c r="D644" s="2" t="s">
        <v>3517</v>
      </c>
      <c r="E644" s="2" t="s">
        <v>1224</v>
      </c>
      <c r="F644" s="2" t="s">
        <v>1248</v>
      </c>
      <c r="G644" s="2" t="s">
        <v>810</v>
      </c>
      <c r="H644" s="2" t="s">
        <v>3518</v>
      </c>
      <c r="I644" s="2" t="s">
        <v>1203</v>
      </c>
      <c r="J644" s="2" t="s">
        <v>3519</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1116</v>
      </c>
      <c r="C645" s="2" t="s">
        <v>1121</v>
      </c>
      <c r="D645" s="2" t="s">
        <v>3520</v>
      </c>
      <c r="E645" s="2" t="s">
        <v>1224</v>
      </c>
      <c r="F645" s="2" t="s">
        <v>1248</v>
      </c>
      <c r="G645" s="2" t="s">
        <v>810</v>
      </c>
      <c r="H645" s="2" t="s">
        <v>3521</v>
      </c>
      <c r="I645" s="2" t="s">
        <v>1203</v>
      </c>
      <c r="J645" s="2" t="s">
        <v>3522</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1116</v>
      </c>
      <c r="C646" s="2" t="s">
        <v>1121</v>
      </c>
      <c r="D646" s="2" t="s">
        <v>3523</v>
      </c>
      <c r="E646" s="2" t="s">
        <v>1224</v>
      </c>
      <c r="F646" s="2" t="s">
        <v>1248</v>
      </c>
      <c r="G646" s="2" t="s">
        <v>3524</v>
      </c>
      <c r="H646" s="2" t="s">
        <v>3525</v>
      </c>
      <c r="I646" s="2" t="s">
        <v>1203</v>
      </c>
      <c r="J646" s="2" t="s">
        <v>3526</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1116</v>
      </c>
      <c r="C647" s="2" t="s">
        <v>1121</v>
      </c>
      <c r="D647" s="2" t="s">
        <v>3527</v>
      </c>
      <c r="E647" s="2" t="s">
        <v>1224</v>
      </c>
      <c r="F647" s="2" t="s">
        <v>1248</v>
      </c>
      <c r="G647" s="2" t="s">
        <v>3528</v>
      </c>
      <c r="H647" s="2" t="s">
        <v>3529</v>
      </c>
      <c r="I647" s="2" t="s">
        <v>1203</v>
      </c>
      <c r="J647" s="2" t="s">
        <v>3530</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1116</v>
      </c>
      <c r="C648" s="2" t="s">
        <v>1121</v>
      </c>
      <c r="D648" s="2" t="s">
        <v>3531</v>
      </c>
      <c r="E648" s="2" t="s">
        <v>1224</v>
      </c>
      <c r="F648" s="2" t="s">
        <v>1248</v>
      </c>
      <c r="G648" s="2" t="s">
        <v>3532</v>
      </c>
      <c r="H648" s="2" t="s">
        <v>3533</v>
      </c>
      <c r="I648" s="2" t="s">
        <v>1203</v>
      </c>
      <c r="J648" s="2" t="s">
        <v>3534</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1116</v>
      </c>
      <c r="C649" s="2" t="s">
        <v>1121</v>
      </c>
      <c r="D649" s="2" t="s">
        <v>3535</v>
      </c>
      <c r="E649" s="2" t="s">
        <v>1224</v>
      </c>
      <c r="F649" s="2" t="s">
        <v>1248</v>
      </c>
      <c r="G649" s="2" t="s">
        <v>3536</v>
      </c>
      <c r="H649" s="2" t="s">
        <v>3537</v>
      </c>
      <c r="I649" s="2" t="s">
        <v>1203</v>
      </c>
      <c r="J649" s="2" t="s">
        <v>3538</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1116</v>
      </c>
      <c r="C650" s="2" t="s">
        <v>1121</v>
      </c>
      <c r="D650" s="2" t="s">
        <v>3539</v>
      </c>
      <c r="E650" s="2" t="s">
        <v>1224</v>
      </c>
      <c r="F650" s="2" t="s">
        <v>1248</v>
      </c>
      <c r="G650" s="2" t="s">
        <v>957</v>
      </c>
      <c r="H650" s="2" t="s">
        <v>3540</v>
      </c>
      <c r="I650" s="2" t="s">
        <v>1203</v>
      </c>
      <c r="J650" s="2" t="s">
        <v>3541</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1116</v>
      </c>
      <c r="C651" s="2" t="s">
        <v>1121</v>
      </c>
      <c r="D651" s="2" t="s">
        <v>3542</v>
      </c>
      <c r="E651" s="2" t="s">
        <v>1224</v>
      </c>
      <c r="F651" s="2" t="s">
        <v>1248</v>
      </c>
      <c r="G651" s="2" t="s">
        <v>957</v>
      </c>
      <c r="H651" s="2" t="s">
        <v>3543</v>
      </c>
      <c r="I651" s="2" t="s">
        <v>1203</v>
      </c>
      <c r="J651" s="2" t="s">
        <v>3544</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1116</v>
      </c>
      <c r="C652" s="2" t="s">
        <v>1121</v>
      </c>
      <c r="D652" s="2" t="s">
        <v>3545</v>
      </c>
      <c r="E652" s="2" t="s">
        <v>1224</v>
      </c>
      <c r="F652" s="2" t="s">
        <v>1248</v>
      </c>
      <c r="G652" s="2" t="s">
        <v>3546</v>
      </c>
      <c r="H652" s="2" t="s">
        <v>3547</v>
      </c>
      <c r="I652" s="2" t="s">
        <v>1203</v>
      </c>
      <c r="J652" s="2" t="s">
        <v>3548</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1116</v>
      </c>
      <c r="C653" s="2" t="s">
        <v>1121</v>
      </c>
      <c r="D653" s="2" t="s">
        <v>3549</v>
      </c>
      <c r="E653" s="2" t="s">
        <v>1224</v>
      </c>
      <c r="F653" s="2" t="s">
        <v>1248</v>
      </c>
      <c r="G653" s="2" t="s">
        <v>706</v>
      </c>
      <c r="H653" s="2" t="s">
        <v>3550</v>
      </c>
      <c r="I653" s="2" t="s">
        <v>1203</v>
      </c>
      <c r="J653" s="2" t="s">
        <v>3551</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1116</v>
      </c>
      <c r="C654" s="2" t="s">
        <v>1121</v>
      </c>
      <c r="D654" s="2" t="s">
        <v>3552</v>
      </c>
      <c r="E654" s="2" t="s">
        <v>1224</v>
      </c>
      <c r="F654" s="2" t="s">
        <v>1248</v>
      </c>
      <c r="G654" s="2" t="s">
        <v>3553</v>
      </c>
      <c r="H654" s="2" t="s">
        <v>3554</v>
      </c>
      <c r="I654" s="2" t="s">
        <v>1203</v>
      </c>
      <c r="J654" s="2" t="s">
        <v>3555</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1116</v>
      </c>
      <c r="C655" s="2" t="s">
        <v>1121</v>
      </c>
      <c r="D655" s="2" t="s">
        <v>3556</v>
      </c>
      <c r="E655" s="2" t="s">
        <v>1224</v>
      </c>
      <c r="F655" s="2" t="s">
        <v>1248</v>
      </c>
      <c r="G655" s="2" t="s">
        <v>2029</v>
      </c>
      <c r="H655" s="2" t="s">
        <v>3557</v>
      </c>
      <c r="I655" s="2" t="s">
        <v>1203</v>
      </c>
      <c r="J655" s="2" t="s">
        <v>3558</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1116</v>
      </c>
      <c r="C656" s="2" t="s">
        <v>1121</v>
      </c>
      <c r="D656" s="2" t="s">
        <v>3559</v>
      </c>
      <c r="E656" s="2" t="s">
        <v>1224</v>
      </c>
      <c r="F656" s="2" t="s">
        <v>1248</v>
      </c>
      <c r="G656" s="2" t="s">
        <v>3560</v>
      </c>
      <c r="H656" s="2" t="s">
        <v>3561</v>
      </c>
      <c r="I656" s="2" t="s">
        <v>1203</v>
      </c>
      <c r="J656" s="2" t="s">
        <v>3562</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1116</v>
      </c>
      <c r="C657" s="2" t="s">
        <v>1121</v>
      </c>
      <c r="D657" s="2" t="s">
        <v>3563</v>
      </c>
      <c r="E657" s="2" t="s">
        <v>1224</v>
      </c>
      <c r="F657" s="2" t="s">
        <v>1248</v>
      </c>
      <c r="G657" s="2" t="s">
        <v>3564</v>
      </c>
      <c r="H657" s="2" t="s">
        <v>3565</v>
      </c>
      <c r="I657" s="2" t="s">
        <v>1203</v>
      </c>
      <c r="J657" s="2" t="s">
        <v>3566</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1116</v>
      </c>
      <c r="C658" s="2" t="s">
        <v>1121</v>
      </c>
      <c r="D658" s="2" t="s">
        <v>3567</v>
      </c>
      <c r="E658" s="2" t="s">
        <v>1224</v>
      </c>
      <c r="F658" s="2" t="s">
        <v>1248</v>
      </c>
      <c r="G658" s="2" t="s">
        <v>3564</v>
      </c>
      <c r="H658" s="2" t="s">
        <v>3568</v>
      </c>
      <c r="I658" s="2" t="s">
        <v>1203</v>
      </c>
      <c r="J658" s="2" t="s">
        <v>3569</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1116</v>
      </c>
      <c r="C659" s="2" t="s">
        <v>1121</v>
      </c>
      <c r="D659" s="2" t="s">
        <v>3570</v>
      </c>
      <c r="E659" s="2" t="s">
        <v>1224</v>
      </c>
      <c r="F659" s="2" t="s">
        <v>1248</v>
      </c>
      <c r="G659" s="2" t="s">
        <v>3571</v>
      </c>
      <c r="H659" s="2" t="s">
        <v>3572</v>
      </c>
      <c r="I659" s="2" t="s">
        <v>1203</v>
      </c>
      <c r="J659" s="2" t="s">
        <v>3573</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1116</v>
      </c>
      <c r="C660" s="2" t="s">
        <v>1121</v>
      </c>
      <c r="D660" s="2" t="s">
        <v>3574</v>
      </c>
      <c r="E660" s="2" t="s">
        <v>1224</v>
      </c>
      <c r="F660" s="2" t="s">
        <v>1248</v>
      </c>
      <c r="G660" s="2" t="s">
        <v>3575</v>
      </c>
      <c r="H660" s="2" t="s">
        <v>3576</v>
      </c>
      <c r="I660" s="2" t="s">
        <v>1203</v>
      </c>
      <c r="J660" s="2" t="s">
        <v>3577</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1116</v>
      </c>
      <c r="C661" s="2" t="s">
        <v>1121</v>
      </c>
      <c r="D661" s="2" t="s">
        <v>3578</v>
      </c>
      <c r="E661" s="2" t="s">
        <v>1224</v>
      </c>
      <c r="F661" s="2" t="s">
        <v>1248</v>
      </c>
      <c r="G661" s="2" t="s">
        <v>3093</v>
      </c>
      <c r="H661" s="2" t="s">
        <v>3579</v>
      </c>
      <c r="I661" s="2" t="s">
        <v>1203</v>
      </c>
      <c r="J661" s="2" t="s">
        <v>3580</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1116</v>
      </c>
      <c r="C662" s="2" t="s">
        <v>1121</v>
      </c>
      <c r="D662" s="2" t="s">
        <v>3581</v>
      </c>
      <c r="E662" s="2" t="s">
        <v>1224</v>
      </c>
      <c r="F662" s="2" t="s">
        <v>1248</v>
      </c>
      <c r="G662" s="2" t="s">
        <v>1080</v>
      </c>
      <c r="H662" s="2" t="s">
        <v>3582</v>
      </c>
      <c r="I662" s="2" t="s">
        <v>1203</v>
      </c>
      <c r="J662" s="2" t="s">
        <v>3583</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1116</v>
      </c>
      <c r="C663" s="2" t="s">
        <v>1121</v>
      </c>
      <c r="D663" s="2" t="s">
        <v>3584</v>
      </c>
      <c r="E663" s="2" t="s">
        <v>1224</v>
      </c>
      <c r="F663" s="2" t="s">
        <v>1248</v>
      </c>
      <c r="G663" s="2" t="s">
        <v>1080</v>
      </c>
      <c r="H663" s="2" t="s">
        <v>3585</v>
      </c>
      <c r="I663" s="2" t="s">
        <v>1203</v>
      </c>
      <c r="J663" s="2" t="s">
        <v>3586</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1116</v>
      </c>
      <c r="C664" s="2" t="s">
        <v>1121</v>
      </c>
      <c r="D664" s="2" t="s">
        <v>3587</v>
      </c>
      <c r="E664" s="2" t="s">
        <v>1224</v>
      </c>
      <c r="F664" s="2" t="s">
        <v>1248</v>
      </c>
      <c r="G664" s="2" t="s">
        <v>3588</v>
      </c>
      <c r="H664" s="2" t="s">
        <v>3589</v>
      </c>
      <c r="I664" s="2" t="s">
        <v>1203</v>
      </c>
      <c r="J664" s="2" t="s">
        <v>3590</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1116</v>
      </c>
      <c r="C665" s="2" t="s">
        <v>1121</v>
      </c>
      <c r="D665" s="2" t="s">
        <v>3591</v>
      </c>
      <c r="E665" s="2" t="s">
        <v>1224</v>
      </c>
      <c r="F665" s="2" t="s">
        <v>1248</v>
      </c>
      <c r="G665" s="2" t="s">
        <v>3592</v>
      </c>
      <c r="H665" s="2" t="s">
        <v>3593</v>
      </c>
      <c r="I665" s="2" t="s">
        <v>1203</v>
      </c>
      <c r="J665" s="2" t="s">
        <v>3594</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1116</v>
      </c>
      <c r="C666" s="2" t="s">
        <v>1121</v>
      </c>
      <c r="D666" s="2" t="s">
        <v>3595</v>
      </c>
      <c r="E666" s="2" t="s">
        <v>1224</v>
      </c>
      <c r="F666" s="2" t="s">
        <v>1248</v>
      </c>
      <c r="G666" s="2" t="s">
        <v>534</v>
      </c>
      <c r="H666" s="2" t="s">
        <v>3596</v>
      </c>
      <c r="I666" s="2" t="s">
        <v>1203</v>
      </c>
      <c r="J666" s="2" t="s">
        <v>3597</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1116</v>
      </c>
      <c r="C667" s="2" t="s">
        <v>1121</v>
      </c>
      <c r="D667" s="2" t="s">
        <v>3598</v>
      </c>
      <c r="E667" s="2" t="s">
        <v>1224</v>
      </c>
      <c r="F667" s="2" t="s">
        <v>1248</v>
      </c>
      <c r="G667" s="2" t="s">
        <v>3599</v>
      </c>
      <c r="H667" s="2" t="s">
        <v>3600</v>
      </c>
      <c r="I667" s="2" t="s">
        <v>1203</v>
      </c>
      <c r="J667" s="2" t="s">
        <v>3601</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1116</v>
      </c>
      <c r="C668" s="2" t="s">
        <v>1121</v>
      </c>
      <c r="D668" s="2" t="s">
        <v>3602</v>
      </c>
      <c r="E668" s="2" t="s">
        <v>1224</v>
      </c>
      <c r="F668" s="2" t="s">
        <v>1248</v>
      </c>
      <c r="G668" s="2" t="s">
        <v>3603</v>
      </c>
      <c r="H668" s="2" t="s">
        <v>3604</v>
      </c>
      <c r="I668" s="2" t="s">
        <v>1203</v>
      </c>
      <c r="J668" s="2" t="s">
        <v>3605</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1116</v>
      </c>
      <c r="C669" s="2" t="s">
        <v>1121</v>
      </c>
      <c r="D669" s="2" t="s">
        <v>3606</v>
      </c>
      <c r="E669" s="2" t="s">
        <v>1224</v>
      </c>
      <c r="F669" s="2" t="s">
        <v>1248</v>
      </c>
      <c r="G669" s="2" t="s">
        <v>3607</v>
      </c>
      <c r="H669" s="2" t="s">
        <v>3608</v>
      </c>
      <c r="I669" s="2" t="s">
        <v>1203</v>
      </c>
      <c r="J669" s="2" t="s">
        <v>3609</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1116</v>
      </c>
      <c r="C670" s="2" t="s">
        <v>1121</v>
      </c>
      <c r="D670" s="2" t="s">
        <v>3610</v>
      </c>
      <c r="E670" s="2" t="s">
        <v>1224</v>
      </c>
      <c r="F670" s="2" t="s">
        <v>1248</v>
      </c>
      <c r="G670" s="2" t="s">
        <v>3611</v>
      </c>
      <c r="H670" s="2" t="s">
        <v>3612</v>
      </c>
      <c r="I670" s="2" t="s">
        <v>1203</v>
      </c>
      <c r="J670" s="2" t="s">
        <v>3613</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1116</v>
      </c>
      <c r="C671" s="2" t="s">
        <v>1121</v>
      </c>
      <c r="D671" s="2" t="s">
        <v>3614</v>
      </c>
      <c r="E671" s="2" t="s">
        <v>1224</v>
      </c>
      <c r="F671" s="2" t="s">
        <v>1248</v>
      </c>
      <c r="G671" s="2" t="s">
        <v>3615</v>
      </c>
      <c r="H671" s="2" t="s">
        <v>3616</v>
      </c>
      <c r="I671" s="2" t="s">
        <v>1203</v>
      </c>
      <c r="J671" s="2" t="s">
        <v>3617</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1116</v>
      </c>
      <c r="C672" s="2" t="s">
        <v>1121</v>
      </c>
      <c r="D672" s="2" t="s">
        <v>3618</v>
      </c>
      <c r="E672" s="2" t="s">
        <v>1224</v>
      </c>
      <c r="F672" s="2" t="s">
        <v>1248</v>
      </c>
      <c r="G672" s="2" t="s">
        <v>3619</v>
      </c>
      <c r="H672" s="2" t="s">
        <v>3620</v>
      </c>
      <c r="I672" s="2" t="s">
        <v>1203</v>
      </c>
      <c r="J672" s="2" t="s">
        <v>3621</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1116</v>
      </c>
      <c r="C673" s="2" t="s">
        <v>1121</v>
      </c>
      <c r="D673" s="2" t="s">
        <v>3622</v>
      </c>
      <c r="E673" s="2" t="s">
        <v>1224</v>
      </c>
      <c r="F673" s="2" t="s">
        <v>1248</v>
      </c>
      <c r="G673" s="2" t="s">
        <v>3623</v>
      </c>
      <c r="H673" s="2" t="s">
        <v>3624</v>
      </c>
      <c r="I673" s="2" t="s">
        <v>1203</v>
      </c>
      <c r="J673" s="2" t="s">
        <v>3625</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1116</v>
      </c>
      <c r="C674" s="2" t="s">
        <v>1121</v>
      </c>
      <c r="D674" s="2" t="s">
        <v>3626</v>
      </c>
      <c r="E674" s="2" t="s">
        <v>1224</v>
      </c>
      <c r="F674" s="2" t="s">
        <v>1248</v>
      </c>
      <c r="G674" s="2" t="s">
        <v>3623</v>
      </c>
      <c r="H674" s="2" t="s">
        <v>3627</v>
      </c>
      <c r="I674" s="2" t="s">
        <v>1203</v>
      </c>
      <c r="J674" s="2" t="s">
        <v>3628</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1116</v>
      </c>
      <c r="C675" s="2" t="s">
        <v>1121</v>
      </c>
      <c r="D675" s="2" t="s">
        <v>3629</v>
      </c>
      <c r="E675" s="2" t="s">
        <v>1224</v>
      </c>
      <c r="F675" s="2" t="s">
        <v>1248</v>
      </c>
      <c r="G675" s="2" t="s">
        <v>815</v>
      </c>
      <c r="H675" s="2" t="s">
        <v>3630</v>
      </c>
      <c r="I675" s="2" t="s">
        <v>1203</v>
      </c>
      <c r="J675" s="2" t="s">
        <v>3631</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1116</v>
      </c>
      <c r="C676" s="2" t="s">
        <v>1121</v>
      </c>
      <c r="D676" s="2" t="s">
        <v>3632</v>
      </c>
      <c r="E676" s="2" t="s">
        <v>1224</v>
      </c>
      <c r="F676" s="2" t="s">
        <v>1248</v>
      </c>
      <c r="G676" s="2" t="s">
        <v>3633</v>
      </c>
      <c r="H676" s="2" t="s">
        <v>3634</v>
      </c>
      <c r="I676" s="2" t="s">
        <v>1203</v>
      </c>
      <c r="J676" s="2" t="s">
        <v>3635</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1116</v>
      </c>
      <c r="C677" s="2" t="s">
        <v>1121</v>
      </c>
      <c r="D677" s="2" t="s">
        <v>3636</v>
      </c>
      <c r="E677" s="2" t="s">
        <v>1224</v>
      </c>
      <c r="F677" s="2" t="s">
        <v>1248</v>
      </c>
      <c r="G677" s="2" t="s">
        <v>3637</v>
      </c>
      <c r="H677" s="2" t="s">
        <v>3638</v>
      </c>
      <c r="I677" s="2" t="s">
        <v>1203</v>
      </c>
      <c r="J677" s="2" t="s">
        <v>3639</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1116</v>
      </c>
      <c r="C678" s="2" t="s">
        <v>1121</v>
      </c>
      <c r="D678" s="2" t="s">
        <v>3640</v>
      </c>
      <c r="E678" s="2" t="s">
        <v>1224</v>
      </c>
      <c r="F678" s="2" t="s">
        <v>1248</v>
      </c>
      <c r="G678" s="2" t="s">
        <v>3641</v>
      </c>
      <c r="H678" s="2" t="s">
        <v>3642</v>
      </c>
      <c r="I678" s="2" t="s">
        <v>1203</v>
      </c>
      <c r="J678" s="2" t="s">
        <v>3643</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1116</v>
      </c>
      <c r="C679" s="2" t="s">
        <v>1121</v>
      </c>
      <c r="D679" s="2" t="s">
        <v>3644</v>
      </c>
      <c r="E679" s="2" t="s">
        <v>1224</v>
      </c>
      <c r="F679" s="2" t="s">
        <v>1248</v>
      </c>
      <c r="G679" s="2" t="s">
        <v>3645</v>
      </c>
      <c r="H679" s="2" t="s">
        <v>3646</v>
      </c>
      <c r="I679" s="2" t="s">
        <v>1203</v>
      </c>
      <c r="J679" s="2" t="s">
        <v>3647</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1116</v>
      </c>
      <c r="C680" s="2" t="s">
        <v>1121</v>
      </c>
      <c r="D680" s="2" t="s">
        <v>3648</v>
      </c>
      <c r="E680" s="2" t="s">
        <v>1224</v>
      </c>
      <c r="F680" s="2" t="s">
        <v>1248</v>
      </c>
      <c r="G680" s="2" t="s">
        <v>3645</v>
      </c>
      <c r="H680" s="2" t="s">
        <v>3649</v>
      </c>
      <c r="I680" s="2" t="s">
        <v>1203</v>
      </c>
      <c r="J680" s="2" t="s">
        <v>3650</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1116</v>
      </c>
      <c r="C681" s="2" t="s">
        <v>1121</v>
      </c>
      <c r="D681" s="2" t="s">
        <v>3651</v>
      </c>
      <c r="E681" s="2" t="s">
        <v>1224</v>
      </c>
      <c r="F681" s="2" t="s">
        <v>1248</v>
      </c>
      <c r="G681" s="2" t="s">
        <v>3652</v>
      </c>
      <c r="H681" s="2" t="s">
        <v>3653</v>
      </c>
      <c r="I681" s="2" t="s">
        <v>1203</v>
      </c>
      <c r="J681" s="2" t="s">
        <v>3654</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1116</v>
      </c>
      <c r="C682" s="2" t="s">
        <v>1121</v>
      </c>
      <c r="D682" s="2" t="s">
        <v>3655</v>
      </c>
      <c r="E682" s="2" t="s">
        <v>1224</v>
      </c>
      <c r="F682" s="2" t="s">
        <v>1248</v>
      </c>
      <c r="G682" s="2" t="s">
        <v>3656</v>
      </c>
      <c r="H682" s="2" t="s">
        <v>3657</v>
      </c>
      <c r="I682" s="2" t="s">
        <v>1203</v>
      </c>
      <c r="J682" s="2" t="s">
        <v>3658</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1116</v>
      </c>
      <c r="C683" s="2" t="s">
        <v>1121</v>
      </c>
      <c r="D683" s="2" t="s">
        <v>3659</v>
      </c>
      <c r="E683" s="2" t="s">
        <v>1224</v>
      </c>
      <c r="F683" s="2" t="s">
        <v>1248</v>
      </c>
      <c r="G683" s="2" t="s">
        <v>3199</v>
      </c>
      <c r="H683" s="2" t="s">
        <v>3660</v>
      </c>
      <c r="I683" s="2" t="s">
        <v>1203</v>
      </c>
      <c r="J683" s="2" t="s">
        <v>3661</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1116</v>
      </c>
      <c r="C684" s="2" t="s">
        <v>1121</v>
      </c>
      <c r="D684" s="2" t="s">
        <v>3662</v>
      </c>
      <c r="E684" s="2" t="s">
        <v>1224</v>
      </c>
      <c r="F684" s="2" t="s">
        <v>1248</v>
      </c>
      <c r="G684" s="2" t="s">
        <v>3663</v>
      </c>
      <c r="H684" s="2" t="s">
        <v>3664</v>
      </c>
      <c r="I684" s="2" t="s">
        <v>1203</v>
      </c>
      <c r="J684" s="2" t="s">
        <v>3665</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1116</v>
      </c>
      <c r="C685" s="2" t="s">
        <v>1121</v>
      </c>
      <c r="D685" s="2" t="s">
        <v>3666</v>
      </c>
      <c r="E685" s="2" t="s">
        <v>1224</v>
      </c>
      <c r="F685" s="2" t="s">
        <v>1248</v>
      </c>
      <c r="G685" s="2" t="s">
        <v>1026</v>
      </c>
      <c r="H685" s="2" t="s">
        <v>3667</v>
      </c>
      <c r="I685" s="2" t="s">
        <v>1203</v>
      </c>
      <c r="J685" s="2" t="s">
        <v>3668</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1116</v>
      </c>
      <c r="C686" s="2" t="s">
        <v>1121</v>
      </c>
      <c r="D686" s="2" t="s">
        <v>3669</v>
      </c>
      <c r="E686" s="2" t="s">
        <v>1224</v>
      </c>
      <c r="F686" s="2" t="s">
        <v>1248</v>
      </c>
      <c r="G686" s="2" t="s">
        <v>3670</v>
      </c>
      <c r="H686" s="2" t="s">
        <v>3671</v>
      </c>
      <c r="I686" s="2" t="s">
        <v>1203</v>
      </c>
      <c r="J686" s="2" t="s">
        <v>3672</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1116</v>
      </c>
      <c r="C687" s="2" t="s">
        <v>1121</v>
      </c>
      <c r="D687" s="2" t="s">
        <v>3673</v>
      </c>
      <c r="E687" s="2" t="s">
        <v>1224</v>
      </c>
      <c r="F687" s="2" t="s">
        <v>1248</v>
      </c>
      <c r="G687" s="2" t="s">
        <v>3674</v>
      </c>
      <c r="H687" s="2" t="s">
        <v>3675</v>
      </c>
      <c r="I687" s="2" t="s">
        <v>1203</v>
      </c>
      <c r="J687" s="2" t="s">
        <v>3676</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1116</v>
      </c>
      <c r="C688" s="2" t="s">
        <v>1121</v>
      </c>
      <c r="D688" s="2" t="s">
        <v>3677</v>
      </c>
      <c r="E688" s="2" t="s">
        <v>1224</v>
      </c>
      <c r="F688" s="2" t="s">
        <v>1248</v>
      </c>
      <c r="G688" s="2" t="s">
        <v>3678</v>
      </c>
      <c r="H688" s="2" t="s">
        <v>3679</v>
      </c>
      <c r="I688" s="2" t="s">
        <v>1203</v>
      </c>
      <c r="J688" s="2" t="s">
        <v>3680</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1116</v>
      </c>
      <c r="C689" s="2" t="s">
        <v>1121</v>
      </c>
      <c r="D689" s="2" t="s">
        <v>3681</v>
      </c>
      <c r="E689" s="2" t="s">
        <v>1224</v>
      </c>
      <c r="F689" s="2" t="s">
        <v>1248</v>
      </c>
      <c r="G689" s="2" t="s">
        <v>2519</v>
      </c>
      <c r="H689" s="2" t="s">
        <v>3682</v>
      </c>
      <c r="I689" s="2" t="s">
        <v>1203</v>
      </c>
      <c r="J689" s="2" t="s">
        <v>3683</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1116</v>
      </c>
      <c r="C690" s="2" t="s">
        <v>1121</v>
      </c>
      <c r="D690" s="2" t="s">
        <v>3684</v>
      </c>
      <c r="E690" s="2" t="s">
        <v>1224</v>
      </c>
      <c r="F690" s="2" t="s">
        <v>1248</v>
      </c>
      <c r="G690" s="2" t="s">
        <v>3685</v>
      </c>
      <c r="H690" s="2" t="s">
        <v>3686</v>
      </c>
      <c r="I690" s="2" t="s">
        <v>1203</v>
      </c>
      <c r="J690" s="2" t="s">
        <v>3687</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1116</v>
      </c>
      <c r="C691" s="2" t="s">
        <v>1121</v>
      </c>
      <c r="D691" s="2" t="s">
        <v>3688</v>
      </c>
      <c r="E691" s="2" t="s">
        <v>1224</v>
      </c>
      <c r="F691" s="2" t="s">
        <v>1248</v>
      </c>
      <c r="G691" s="2" t="s">
        <v>1107</v>
      </c>
      <c r="H691" s="2" t="s">
        <v>3689</v>
      </c>
      <c r="I691" s="2" t="s">
        <v>1203</v>
      </c>
      <c r="J691" s="2" t="s">
        <v>3690</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1116</v>
      </c>
      <c r="C692" s="2" t="s">
        <v>1121</v>
      </c>
      <c r="D692" s="2" t="s">
        <v>3691</v>
      </c>
      <c r="E692" s="2" t="s">
        <v>1224</v>
      </c>
      <c r="F692" s="2" t="s">
        <v>1248</v>
      </c>
      <c r="G692" s="2" t="s">
        <v>1107</v>
      </c>
      <c r="H692" s="2" t="s">
        <v>3692</v>
      </c>
      <c r="I692" s="2" t="s">
        <v>1203</v>
      </c>
      <c r="J692" s="2" t="s">
        <v>3693</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1116</v>
      </c>
      <c r="C693" s="2" t="s">
        <v>1121</v>
      </c>
      <c r="D693" s="2" t="s">
        <v>3694</v>
      </c>
      <c r="E693" s="2" t="s">
        <v>1224</v>
      </c>
      <c r="F693" s="2" t="s">
        <v>1248</v>
      </c>
      <c r="G693" s="2" t="s">
        <v>773</v>
      </c>
      <c r="H693" s="2" t="s">
        <v>3695</v>
      </c>
      <c r="I693" s="2" t="s">
        <v>1203</v>
      </c>
      <c r="J693" s="2" t="s">
        <v>3696</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1116</v>
      </c>
      <c r="C694" s="2" t="s">
        <v>1121</v>
      </c>
      <c r="D694" s="2" t="s">
        <v>3697</v>
      </c>
      <c r="E694" s="2" t="s">
        <v>1224</v>
      </c>
      <c r="F694" s="2" t="s">
        <v>1248</v>
      </c>
      <c r="G694" s="2" t="s">
        <v>3698</v>
      </c>
      <c r="H694" s="2" t="s">
        <v>3699</v>
      </c>
      <c r="I694" s="2" t="s">
        <v>1203</v>
      </c>
      <c r="J694" s="2" t="s">
        <v>3700</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1116</v>
      </c>
      <c r="C695" s="2" t="s">
        <v>1121</v>
      </c>
      <c r="D695" s="2" t="s">
        <v>3701</v>
      </c>
      <c r="E695" s="2" t="s">
        <v>1224</v>
      </c>
      <c r="F695" s="2" t="s">
        <v>1248</v>
      </c>
      <c r="G695" s="2" t="s">
        <v>3702</v>
      </c>
      <c r="H695" s="2" t="s">
        <v>3703</v>
      </c>
      <c r="I695" s="2" t="s">
        <v>1203</v>
      </c>
      <c r="J695" s="2" t="s">
        <v>3704</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1116</v>
      </c>
      <c r="C696" s="2" t="s">
        <v>1121</v>
      </c>
      <c r="D696" s="2" t="s">
        <v>3705</v>
      </c>
      <c r="E696" s="2" t="s">
        <v>1224</v>
      </c>
      <c r="F696" s="2" t="s">
        <v>1248</v>
      </c>
      <c r="G696" s="2" t="s">
        <v>950</v>
      </c>
      <c r="H696" s="2" t="s">
        <v>3706</v>
      </c>
      <c r="I696" s="2" t="s">
        <v>1203</v>
      </c>
      <c r="J696" s="2" t="s">
        <v>3707</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1116</v>
      </c>
      <c r="C697" s="2" t="s">
        <v>1121</v>
      </c>
      <c r="D697" s="2" t="s">
        <v>3708</v>
      </c>
      <c r="E697" s="2" t="s">
        <v>1224</v>
      </c>
      <c r="F697" s="2" t="s">
        <v>1248</v>
      </c>
      <c r="G697" s="2" t="s">
        <v>1035</v>
      </c>
      <c r="H697" s="2" t="s">
        <v>3709</v>
      </c>
      <c r="I697" s="2" t="s">
        <v>1203</v>
      </c>
      <c r="J697" s="2" t="s">
        <v>3710</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1116</v>
      </c>
      <c r="C698" s="2" t="s">
        <v>1121</v>
      </c>
      <c r="D698" s="2" t="s">
        <v>3711</v>
      </c>
      <c r="E698" s="2" t="s">
        <v>1224</v>
      </c>
      <c r="F698" s="2" t="s">
        <v>1248</v>
      </c>
      <c r="G698" s="2" t="s">
        <v>3712</v>
      </c>
      <c r="H698" s="2" t="s">
        <v>3713</v>
      </c>
      <c r="I698" s="2" t="s">
        <v>1203</v>
      </c>
      <c r="J698" s="2" t="s">
        <v>3714</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1116</v>
      </c>
      <c r="C699" s="2" t="s">
        <v>1121</v>
      </c>
      <c r="D699" s="2" t="s">
        <v>3715</v>
      </c>
      <c r="E699" s="2" t="s">
        <v>1224</v>
      </c>
      <c r="F699" s="2" t="s">
        <v>1248</v>
      </c>
      <c r="G699" s="2" t="s">
        <v>3716</v>
      </c>
      <c r="H699" s="2" t="s">
        <v>3717</v>
      </c>
      <c r="I699" s="2" t="s">
        <v>1203</v>
      </c>
      <c r="J699" s="2" t="s">
        <v>3718</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1116</v>
      </c>
      <c r="C700" s="2" t="s">
        <v>1121</v>
      </c>
      <c r="D700" s="2" t="s">
        <v>3719</v>
      </c>
      <c r="E700" s="2" t="s">
        <v>1224</v>
      </c>
      <c r="F700" s="2" t="s">
        <v>1248</v>
      </c>
      <c r="G700" s="2" t="s">
        <v>2919</v>
      </c>
      <c r="H700" s="2" t="s">
        <v>3720</v>
      </c>
      <c r="I700" s="2" t="s">
        <v>1203</v>
      </c>
      <c r="J700" s="2" t="s">
        <v>3721</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1116</v>
      </c>
      <c r="C701" s="2" t="s">
        <v>1121</v>
      </c>
      <c r="D701" s="2" t="s">
        <v>3722</v>
      </c>
      <c r="E701" s="2" t="s">
        <v>1224</v>
      </c>
      <c r="F701" s="2" t="s">
        <v>1248</v>
      </c>
      <c r="G701" s="2" t="s">
        <v>3723</v>
      </c>
      <c r="H701" s="2" t="s">
        <v>3724</v>
      </c>
      <c r="I701" s="2" t="s">
        <v>1203</v>
      </c>
      <c r="J701" s="2" t="s">
        <v>3725</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1116</v>
      </c>
      <c r="C702" s="2" t="s">
        <v>1121</v>
      </c>
      <c r="D702" s="2" t="s">
        <v>3726</v>
      </c>
      <c r="E702" s="2" t="s">
        <v>1224</v>
      </c>
      <c r="F702" s="2" t="s">
        <v>1248</v>
      </c>
      <c r="G702" s="2" t="s">
        <v>3727</v>
      </c>
      <c r="H702" s="2" t="s">
        <v>3728</v>
      </c>
      <c r="I702" s="2" t="s">
        <v>1203</v>
      </c>
      <c r="J702" s="2" t="s">
        <v>3729</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1116</v>
      </c>
      <c r="C703" s="2" t="s">
        <v>1121</v>
      </c>
      <c r="D703" s="2" t="s">
        <v>3730</v>
      </c>
      <c r="E703" s="2" t="s">
        <v>1224</v>
      </c>
      <c r="F703" s="2" t="s">
        <v>1248</v>
      </c>
      <c r="G703" s="2" t="s">
        <v>3731</v>
      </c>
      <c r="H703" s="2" t="s">
        <v>3732</v>
      </c>
      <c r="I703" s="2" t="s">
        <v>1203</v>
      </c>
      <c r="J703" s="2" t="s">
        <v>3733</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1116</v>
      </c>
      <c r="C704" s="2" t="s">
        <v>1121</v>
      </c>
      <c r="D704" s="2" t="s">
        <v>3734</v>
      </c>
      <c r="E704" s="2" t="s">
        <v>1224</v>
      </c>
      <c r="F704" s="2" t="s">
        <v>1248</v>
      </c>
      <c r="G704" s="2" t="s">
        <v>918</v>
      </c>
      <c r="H704" s="2" t="s">
        <v>3735</v>
      </c>
      <c r="I704" s="2" t="s">
        <v>1203</v>
      </c>
      <c r="J704" s="2" t="s">
        <v>3736</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1116</v>
      </c>
      <c r="C705" s="2" t="s">
        <v>1121</v>
      </c>
      <c r="D705" s="2" t="s">
        <v>3737</v>
      </c>
      <c r="E705" s="2" t="s">
        <v>1224</v>
      </c>
      <c r="F705" s="2" t="s">
        <v>1248</v>
      </c>
      <c r="G705" s="2" t="s">
        <v>3738</v>
      </c>
      <c r="H705" s="2" t="s">
        <v>3739</v>
      </c>
      <c r="I705" s="2" t="s">
        <v>1203</v>
      </c>
      <c r="J705" s="2" t="s">
        <v>3740</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1116</v>
      </c>
      <c r="C706" s="2" t="s">
        <v>1121</v>
      </c>
      <c r="D706" s="2" t="s">
        <v>3741</v>
      </c>
      <c r="E706" s="2" t="s">
        <v>1224</v>
      </c>
      <c r="F706" s="2" t="s">
        <v>1248</v>
      </c>
      <c r="G706" s="2" t="s">
        <v>3742</v>
      </c>
      <c r="H706" s="2" t="s">
        <v>3743</v>
      </c>
      <c r="I706" s="2" t="s">
        <v>1203</v>
      </c>
      <c r="J706" s="2" t="s">
        <v>3744</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1116</v>
      </c>
      <c r="C707" s="2" t="s">
        <v>1121</v>
      </c>
      <c r="D707" s="2" t="s">
        <v>3745</v>
      </c>
      <c r="E707" s="2" t="s">
        <v>1224</v>
      </c>
      <c r="F707" s="2" t="s">
        <v>1248</v>
      </c>
      <c r="G707" s="2" t="s">
        <v>3742</v>
      </c>
      <c r="H707" s="2" t="s">
        <v>3746</v>
      </c>
      <c r="I707" s="2" t="s">
        <v>1203</v>
      </c>
      <c r="J707" s="2" t="s">
        <v>3747</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1116</v>
      </c>
      <c r="C708" s="2" t="s">
        <v>1121</v>
      </c>
      <c r="D708" s="2" t="s">
        <v>3748</v>
      </c>
      <c r="E708" s="2" t="s">
        <v>1224</v>
      </c>
      <c r="F708" s="2" t="s">
        <v>1248</v>
      </c>
      <c r="G708" s="2" t="s">
        <v>3749</v>
      </c>
      <c r="H708" s="2" t="s">
        <v>3750</v>
      </c>
      <c r="I708" s="2" t="s">
        <v>1203</v>
      </c>
      <c r="J708" s="2" t="s">
        <v>3751</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1116</v>
      </c>
      <c r="C709" s="2" t="s">
        <v>1121</v>
      </c>
      <c r="D709" s="2" t="s">
        <v>3752</v>
      </c>
      <c r="E709" s="2" t="s">
        <v>1224</v>
      </c>
      <c r="F709" s="2" t="s">
        <v>1248</v>
      </c>
      <c r="G709" s="2" t="s">
        <v>3749</v>
      </c>
      <c r="H709" s="2" t="s">
        <v>3753</v>
      </c>
      <c r="I709" s="2" t="s">
        <v>1203</v>
      </c>
      <c r="J709" s="2" t="s">
        <v>3754</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1116</v>
      </c>
      <c r="C710" s="2" t="s">
        <v>1121</v>
      </c>
      <c r="D710" s="2" t="s">
        <v>3755</v>
      </c>
      <c r="E710" s="2" t="s">
        <v>1224</v>
      </c>
      <c r="F710" s="2" t="s">
        <v>1248</v>
      </c>
      <c r="G710" s="2" t="s">
        <v>3756</v>
      </c>
      <c r="H710" s="2" t="s">
        <v>3757</v>
      </c>
      <c r="I710" s="2" t="s">
        <v>1203</v>
      </c>
      <c r="J710" s="2" t="s">
        <v>3758</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1116</v>
      </c>
      <c r="C711" s="2" t="s">
        <v>1121</v>
      </c>
      <c r="D711" s="2" t="s">
        <v>3759</v>
      </c>
      <c r="E711" s="2" t="s">
        <v>1224</v>
      </c>
      <c r="F711" s="2" t="s">
        <v>1248</v>
      </c>
      <c r="G711" s="2" t="s">
        <v>3144</v>
      </c>
      <c r="H711" s="2" t="s">
        <v>3760</v>
      </c>
      <c r="I711" s="2" t="s">
        <v>1203</v>
      </c>
      <c r="J711" s="2" t="s">
        <v>3761</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1116</v>
      </c>
      <c r="C712" s="2" t="s">
        <v>1121</v>
      </c>
      <c r="D712" s="2" t="s">
        <v>3762</v>
      </c>
      <c r="E712" s="2" t="s">
        <v>1224</v>
      </c>
      <c r="F712" s="2" t="s">
        <v>1248</v>
      </c>
      <c r="G712" s="2" t="s">
        <v>3763</v>
      </c>
      <c r="H712" s="2" t="s">
        <v>3764</v>
      </c>
      <c r="I712" s="2" t="s">
        <v>1203</v>
      </c>
      <c r="J712" s="2" t="s">
        <v>3765</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1116</v>
      </c>
      <c r="C713" s="2" t="s">
        <v>1121</v>
      </c>
      <c r="D713" s="2" t="s">
        <v>3766</v>
      </c>
      <c r="E713" s="2" t="s">
        <v>1224</v>
      </c>
      <c r="F713" s="2" t="s">
        <v>1248</v>
      </c>
      <c r="G713" s="2" t="s">
        <v>3767</v>
      </c>
      <c r="H713" s="2" t="s">
        <v>3768</v>
      </c>
      <c r="I713" s="2" t="s">
        <v>1203</v>
      </c>
      <c r="J713" s="2" t="s">
        <v>3769</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1116</v>
      </c>
      <c r="C714" s="2" t="s">
        <v>1121</v>
      </c>
      <c r="D714" s="2" t="s">
        <v>3770</v>
      </c>
      <c r="E714" s="2" t="s">
        <v>1224</v>
      </c>
      <c r="F714" s="2" t="s">
        <v>1248</v>
      </c>
      <c r="G714" s="2" t="s">
        <v>3767</v>
      </c>
      <c r="H714" s="2" t="s">
        <v>3771</v>
      </c>
      <c r="I714" s="2" t="s">
        <v>1203</v>
      </c>
      <c r="J714" s="2" t="s">
        <v>3772</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1116</v>
      </c>
      <c r="C715" s="2" t="s">
        <v>1121</v>
      </c>
      <c r="D715" s="2" t="s">
        <v>3773</v>
      </c>
      <c r="E715" s="2" t="s">
        <v>1224</v>
      </c>
      <c r="F715" s="2" t="s">
        <v>1248</v>
      </c>
      <c r="G715" s="2" t="s">
        <v>3774</v>
      </c>
      <c r="H715" s="2" t="s">
        <v>3775</v>
      </c>
      <c r="I715" s="2" t="s">
        <v>1203</v>
      </c>
      <c r="J715" s="2" t="s">
        <v>3776</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1116</v>
      </c>
      <c r="C716" s="2" t="s">
        <v>1121</v>
      </c>
      <c r="D716" s="2" t="s">
        <v>3777</v>
      </c>
      <c r="E716" s="2" t="s">
        <v>1224</v>
      </c>
      <c r="F716" s="2" t="s">
        <v>1248</v>
      </c>
      <c r="G716" s="2" t="s">
        <v>3778</v>
      </c>
      <c r="H716" s="2" t="s">
        <v>3779</v>
      </c>
      <c r="I716" s="2" t="s">
        <v>1203</v>
      </c>
      <c r="J716" s="2" t="s">
        <v>3780</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1116</v>
      </c>
      <c r="C717" s="2" t="s">
        <v>1121</v>
      </c>
      <c r="D717" s="2" t="s">
        <v>3781</v>
      </c>
      <c r="E717" s="2" t="s">
        <v>1224</v>
      </c>
      <c r="F717" s="2" t="s">
        <v>1248</v>
      </c>
      <c r="G717" s="2" t="s">
        <v>3782</v>
      </c>
      <c r="H717" s="2" t="s">
        <v>3783</v>
      </c>
      <c r="I717" s="2" t="s">
        <v>1203</v>
      </c>
      <c r="J717" s="2" t="s">
        <v>3784</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1116</v>
      </c>
      <c r="C718" s="2" t="s">
        <v>1121</v>
      </c>
      <c r="D718" s="2" t="s">
        <v>3785</v>
      </c>
      <c r="E718" s="2" t="s">
        <v>1224</v>
      </c>
      <c r="F718" s="2" t="s">
        <v>1248</v>
      </c>
      <c r="G718" s="2" t="s">
        <v>3786</v>
      </c>
      <c r="H718" s="2" t="s">
        <v>3787</v>
      </c>
      <c r="I718" s="2" t="s">
        <v>1203</v>
      </c>
      <c r="J718" s="2" t="s">
        <v>3788</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1116</v>
      </c>
      <c r="C719" s="2" t="s">
        <v>1121</v>
      </c>
      <c r="D719" s="2" t="s">
        <v>3789</v>
      </c>
      <c r="E719" s="2" t="s">
        <v>1224</v>
      </c>
      <c r="F719" s="2" t="s">
        <v>1248</v>
      </c>
      <c r="G719" s="2" t="s">
        <v>3790</v>
      </c>
      <c r="H719" s="2" t="s">
        <v>3791</v>
      </c>
      <c r="I719" s="2" t="s">
        <v>1203</v>
      </c>
      <c r="J719" s="2" t="s">
        <v>3792</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1116</v>
      </c>
      <c r="C720" s="2" t="s">
        <v>1121</v>
      </c>
      <c r="D720" s="2" t="s">
        <v>3793</v>
      </c>
      <c r="E720" s="2" t="s">
        <v>1224</v>
      </c>
      <c r="F720" s="2" t="s">
        <v>1248</v>
      </c>
      <c r="G720" s="2" t="s">
        <v>3794</v>
      </c>
      <c r="H720" s="2" t="s">
        <v>3795</v>
      </c>
      <c r="I720" s="2" t="s">
        <v>1203</v>
      </c>
      <c r="J720" s="2" t="s">
        <v>3796</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1116</v>
      </c>
      <c r="C721" s="2" t="s">
        <v>1121</v>
      </c>
      <c r="D721" s="2" t="s">
        <v>3797</v>
      </c>
      <c r="E721" s="2" t="s">
        <v>1224</v>
      </c>
      <c r="F721" s="2" t="s">
        <v>1248</v>
      </c>
      <c r="G721" s="2" t="s">
        <v>2612</v>
      </c>
      <c r="H721" s="2" t="s">
        <v>3798</v>
      </c>
      <c r="I721" s="2" t="s">
        <v>1203</v>
      </c>
      <c r="J721" s="2" t="s">
        <v>3799</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1116</v>
      </c>
      <c r="C722" s="2" t="s">
        <v>1121</v>
      </c>
      <c r="D722" s="2" t="s">
        <v>3800</v>
      </c>
      <c r="E722" s="2" t="s">
        <v>1224</v>
      </c>
      <c r="F722" s="2" t="s">
        <v>1248</v>
      </c>
      <c r="G722" s="2" t="s">
        <v>3801</v>
      </c>
      <c r="H722" s="2" t="s">
        <v>3802</v>
      </c>
      <c r="I722" s="2" t="s">
        <v>1203</v>
      </c>
      <c r="J722" s="2" t="s">
        <v>3803</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1116</v>
      </c>
      <c r="C723" s="2" t="s">
        <v>1121</v>
      </c>
      <c r="D723" s="2" t="s">
        <v>3804</v>
      </c>
      <c r="E723" s="2" t="s">
        <v>1224</v>
      </c>
      <c r="F723" s="2" t="s">
        <v>1248</v>
      </c>
      <c r="G723" s="2" t="s">
        <v>1030</v>
      </c>
      <c r="H723" s="2" t="s">
        <v>3805</v>
      </c>
      <c r="I723" s="2" t="s">
        <v>1203</v>
      </c>
      <c r="J723" s="2" t="s">
        <v>3806</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1116</v>
      </c>
      <c r="C724" s="2" t="s">
        <v>1121</v>
      </c>
      <c r="D724" s="2" t="s">
        <v>3807</v>
      </c>
      <c r="E724" s="2" t="s">
        <v>1224</v>
      </c>
      <c r="F724" s="2" t="s">
        <v>1248</v>
      </c>
      <c r="G724" s="2" t="s">
        <v>3004</v>
      </c>
      <c r="H724" s="2" t="s">
        <v>3808</v>
      </c>
      <c r="I724" s="2" t="s">
        <v>1203</v>
      </c>
      <c r="J724" s="2" t="s">
        <v>3809</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1116</v>
      </c>
      <c r="C725" s="2" t="s">
        <v>1121</v>
      </c>
      <c r="D725" s="2" t="s">
        <v>3810</v>
      </c>
      <c r="E725" s="2" t="s">
        <v>1224</v>
      </c>
      <c r="F725" s="2" t="s">
        <v>1248</v>
      </c>
      <c r="G725" s="2" t="s">
        <v>3811</v>
      </c>
      <c r="H725" s="2" t="s">
        <v>3812</v>
      </c>
      <c r="I725" s="2" t="s">
        <v>1203</v>
      </c>
      <c r="J725" s="2" t="s">
        <v>3813</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1116</v>
      </c>
      <c r="C726" s="2" t="s">
        <v>1121</v>
      </c>
      <c r="D726" s="2" t="s">
        <v>3814</v>
      </c>
      <c r="E726" s="2" t="s">
        <v>1224</v>
      </c>
      <c r="F726" s="2" t="s">
        <v>1248</v>
      </c>
      <c r="G726" s="2" t="s">
        <v>3811</v>
      </c>
      <c r="H726" s="2" t="s">
        <v>3815</v>
      </c>
      <c r="I726" s="2" t="s">
        <v>1203</v>
      </c>
      <c r="J726" s="2" t="s">
        <v>3816</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1116</v>
      </c>
      <c r="C727" s="2" t="s">
        <v>1121</v>
      </c>
      <c r="D727" s="2" t="s">
        <v>3817</v>
      </c>
      <c r="E727" s="2" t="s">
        <v>1224</v>
      </c>
      <c r="F727" s="2" t="s">
        <v>1248</v>
      </c>
      <c r="G727" s="2" t="s">
        <v>281</v>
      </c>
      <c r="H727" s="2" t="s">
        <v>3818</v>
      </c>
      <c r="I727" s="2" t="s">
        <v>1203</v>
      </c>
      <c r="J727" s="2" t="s">
        <v>3819</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1116</v>
      </c>
      <c r="C728" s="2" t="s">
        <v>1121</v>
      </c>
      <c r="D728" s="2" t="s">
        <v>3820</v>
      </c>
      <c r="E728" s="2" t="s">
        <v>1224</v>
      </c>
      <c r="F728" s="2" t="s">
        <v>1248</v>
      </c>
      <c r="G728" s="2" t="s">
        <v>281</v>
      </c>
      <c r="H728" s="2" t="s">
        <v>3821</v>
      </c>
      <c r="I728" s="2" t="s">
        <v>1203</v>
      </c>
      <c r="J728" s="2" t="s">
        <v>3822</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1116</v>
      </c>
      <c r="C729" s="2" t="s">
        <v>1121</v>
      </c>
      <c r="D729" s="2" t="s">
        <v>3823</v>
      </c>
      <c r="E729" s="2" t="s">
        <v>1224</v>
      </c>
      <c r="F729" s="2" t="s">
        <v>1248</v>
      </c>
      <c r="G729" s="2" t="s">
        <v>3824</v>
      </c>
      <c r="H729" s="2" t="s">
        <v>3825</v>
      </c>
      <c r="I729" s="2" t="s">
        <v>1203</v>
      </c>
      <c r="J729" s="2" t="s">
        <v>3826</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1116</v>
      </c>
      <c r="C730" s="2" t="s">
        <v>1121</v>
      </c>
      <c r="D730" s="2" t="s">
        <v>3827</v>
      </c>
      <c r="E730" s="2" t="s">
        <v>1224</v>
      </c>
      <c r="F730" s="2" t="s">
        <v>1248</v>
      </c>
      <c r="G730" s="2" t="s">
        <v>3828</v>
      </c>
      <c r="H730" s="2" t="s">
        <v>3829</v>
      </c>
      <c r="I730" s="2" t="s">
        <v>1203</v>
      </c>
      <c r="J730" s="2" t="s">
        <v>3830</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1116</v>
      </c>
      <c r="C731" s="2" t="s">
        <v>1121</v>
      </c>
      <c r="D731" s="2" t="s">
        <v>3831</v>
      </c>
      <c r="E731" s="2" t="s">
        <v>1224</v>
      </c>
      <c r="F731" s="2" t="s">
        <v>1248</v>
      </c>
      <c r="G731" s="2" t="s">
        <v>3828</v>
      </c>
      <c r="H731" s="2" t="s">
        <v>3832</v>
      </c>
      <c r="I731" s="2" t="s">
        <v>1203</v>
      </c>
      <c r="J731" s="2" t="s">
        <v>3833</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1116</v>
      </c>
      <c r="C732" s="2" t="s">
        <v>1121</v>
      </c>
      <c r="D732" s="2" t="s">
        <v>3834</v>
      </c>
      <c r="E732" s="2" t="s">
        <v>1224</v>
      </c>
      <c r="F732" s="2" t="s">
        <v>1248</v>
      </c>
      <c r="G732" s="2" t="s">
        <v>3835</v>
      </c>
      <c r="H732" s="2" t="s">
        <v>3836</v>
      </c>
      <c r="I732" s="2" t="s">
        <v>1203</v>
      </c>
      <c r="J732" s="2" t="s">
        <v>3837</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1116</v>
      </c>
      <c r="C733" s="2" t="s">
        <v>1121</v>
      </c>
      <c r="D733" s="2" t="s">
        <v>3838</v>
      </c>
      <c r="E733" s="2" t="s">
        <v>1224</v>
      </c>
      <c r="F733" s="2" t="s">
        <v>1248</v>
      </c>
      <c r="G733" s="2" t="s">
        <v>3839</v>
      </c>
      <c r="H733" s="2" t="s">
        <v>3840</v>
      </c>
      <c r="I733" s="2" t="s">
        <v>1203</v>
      </c>
      <c r="J733" s="2" t="s">
        <v>3841</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1116</v>
      </c>
      <c r="C734" s="2" t="s">
        <v>1121</v>
      </c>
      <c r="D734" s="2" t="s">
        <v>3842</v>
      </c>
      <c r="E734" s="2" t="s">
        <v>1224</v>
      </c>
      <c r="F734" s="2" t="s">
        <v>1248</v>
      </c>
      <c r="G734" s="2" t="s">
        <v>3843</v>
      </c>
      <c r="H734" s="2" t="s">
        <v>3844</v>
      </c>
      <c r="I734" s="2" t="s">
        <v>1203</v>
      </c>
      <c r="J734" s="2" t="s">
        <v>3845</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1116</v>
      </c>
      <c r="C735" s="2" t="s">
        <v>1121</v>
      </c>
      <c r="D735" s="2" t="s">
        <v>3846</v>
      </c>
      <c r="E735" s="2" t="s">
        <v>1224</v>
      </c>
      <c r="F735" s="2" t="s">
        <v>1248</v>
      </c>
      <c r="G735" s="2" t="s">
        <v>2755</v>
      </c>
      <c r="H735" s="2" t="s">
        <v>3847</v>
      </c>
      <c r="I735" s="2" t="s">
        <v>1203</v>
      </c>
      <c r="J735" s="2" t="s">
        <v>3848</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1116</v>
      </c>
      <c r="C736" s="2" t="s">
        <v>1121</v>
      </c>
      <c r="D736" s="2" t="s">
        <v>3849</v>
      </c>
      <c r="E736" s="2" t="s">
        <v>1224</v>
      </c>
      <c r="F736" s="2" t="s">
        <v>1248</v>
      </c>
      <c r="G736" s="2" t="s">
        <v>3850</v>
      </c>
      <c r="H736" s="2" t="s">
        <v>3851</v>
      </c>
      <c r="I736" s="2" t="s">
        <v>1203</v>
      </c>
      <c r="J736" s="2" t="s">
        <v>3852</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1116</v>
      </c>
      <c r="C737" s="2" t="s">
        <v>1121</v>
      </c>
      <c r="D737" s="2" t="s">
        <v>3853</v>
      </c>
      <c r="E737" s="2" t="s">
        <v>1224</v>
      </c>
      <c r="F737" s="2" t="s">
        <v>1248</v>
      </c>
      <c r="G737" s="2" t="s">
        <v>3854</v>
      </c>
      <c r="H737" s="2" t="s">
        <v>3855</v>
      </c>
      <c r="I737" s="2" t="s">
        <v>1203</v>
      </c>
      <c r="J737" s="2" t="s">
        <v>3856</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1116</v>
      </c>
      <c r="C738" s="2" t="s">
        <v>1121</v>
      </c>
      <c r="D738" s="2" t="s">
        <v>3857</v>
      </c>
      <c r="E738" s="2" t="s">
        <v>1224</v>
      </c>
      <c r="F738" s="2" t="s">
        <v>1248</v>
      </c>
      <c r="G738" s="2" t="s">
        <v>3192</v>
      </c>
      <c r="H738" s="2" t="s">
        <v>3858</v>
      </c>
      <c r="I738" s="2" t="s">
        <v>1203</v>
      </c>
      <c r="J738" s="2" t="s">
        <v>3859</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1116</v>
      </c>
      <c r="C739" s="2" t="s">
        <v>1121</v>
      </c>
      <c r="D739" s="2" t="s">
        <v>3860</v>
      </c>
      <c r="E739" s="2" t="s">
        <v>1224</v>
      </c>
      <c r="F739" s="2" t="s">
        <v>1248</v>
      </c>
      <c r="G739" s="2" t="s">
        <v>3861</v>
      </c>
      <c r="H739" s="2" t="s">
        <v>3862</v>
      </c>
      <c r="I739" s="2" t="s">
        <v>1203</v>
      </c>
      <c r="J739" s="2" t="s">
        <v>3863</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1116</v>
      </c>
      <c r="C740" s="2" t="s">
        <v>1121</v>
      </c>
      <c r="D740" s="2" t="s">
        <v>3864</v>
      </c>
      <c r="E740" s="2" t="s">
        <v>1224</v>
      </c>
      <c r="F740" s="2" t="s">
        <v>1248</v>
      </c>
      <c r="G740" s="2" t="s">
        <v>2986</v>
      </c>
      <c r="H740" s="2" t="s">
        <v>3865</v>
      </c>
      <c r="I740" s="2" t="s">
        <v>1203</v>
      </c>
      <c r="J740" s="2" t="s">
        <v>3866</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1116</v>
      </c>
      <c r="C741" s="2" t="s">
        <v>1121</v>
      </c>
      <c r="D741" s="2" t="s">
        <v>3867</v>
      </c>
      <c r="E741" s="2" t="s">
        <v>1224</v>
      </c>
      <c r="F741" s="2" t="s">
        <v>1248</v>
      </c>
      <c r="G741" s="2" t="s">
        <v>2986</v>
      </c>
      <c r="H741" s="2" t="s">
        <v>3868</v>
      </c>
      <c r="I741" s="2" t="s">
        <v>1203</v>
      </c>
      <c r="J741" s="2" t="s">
        <v>3869</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1116</v>
      </c>
      <c r="C742" s="2" t="s">
        <v>1121</v>
      </c>
      <c r="D742" s="2" t="s">
        <v>3870</v>
      </c>
      <c r="E742" s="2" t="s">
        <v>1224</v>
      </c>
      <c r="F742" s="2" t="s">
        <v>1248</v>
      </c>
      <c r="G742" s="2" t="s">
        <v>3871</v>
      </c>
      <c r="H742" s="2" t="s">
        <v>3872</v>
      </c>
      <c r="I742" s="2" t="s">
        <v>1203</v>
      </c>
      <c r="J742" s="2" t="s">
        <v>3873</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1116</v>
      </c>
      <c r="C743" s="2" t="s">
        <v>1121</v>
      </c>
      <c r="D743" s="2" t="s">
        <v>3874</v>
      </c>
      <c r="E743" s="2" t="s">
        <v>1224</v>
      </c>
      <c r="F743" s="2" t="s">
        <v>1248</v>
      </c>
      <c r="G743" s="2" t="s">
        <v>3871</v>
      </c>
      <c r="H743" s="2" t="s">
        <v>3875</v>
      </c>
      <c r="I743" s="2" t="s">
        <v>1203</v>
      </c>
      <c r="J743" s="2" t="s">
        <v>3876</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1116</v>
      </c>
      <c r="C744" s="2" t="s">
        <v>1121</v>
      </c>
      <c r="D744" s="2" t="s">
        <v>3877</v>
      </c>
      <c r="E744" s="2" t="s">
        <v>1224</v>
      </c>
      <c r="F744" s="2" t="s">
        <v>1248</v>
      </c>
      <c r="G744" s="2" t="s">
        <v>3878</v>
      </c>
      <c r="H744" s="2" t="s">
        <v>3879</v>
      </c>
      <c r="I744" s="2" t="s">
        <v>1203</v>
      </c>
      <c r="J744" s="2" t="s">
        <v>3880</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1116</v>
      </c>
      <c r="C745" s="2" t="s">
        <v>1121</v>
      </c>
      <c r="D745" s="2" t="s">
        <v>3881</v>
      </c>
      <c r="E745" s="2" t="s">
        <v>1224</v>
      </c>
      <c r="F745" s="2" t="s">
        <v>1248</v>
      </c>
      <c r="G745" s="2" t="s">
        <v>3878</v>
      </c>
      <c r="H745" s="2" t="s">
        <v>3882</v>
      </c>
      <c r="I745" s="2" t="s">
        <v>1203</v>
      </c>
      <c r="J745" s="2" t="s">
        <v>3883</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1116</v>
      </c>
      <c r="C746" s="2" t="s">
        <v>1121</v>
      </c>
      <c r="D746" s="2" t="s">
        <v>3884</v>
      </c>
      <c r="E746" s="2" t="s">
        <v>1224</v>
      </c>
      <c r="F746" s="2" t="s">
        <v>1248</v>
      </c>
      <c r="G746" s="2" t="s">
        <v>3885</v>
      </c>
      <c r="H746" s="2" t="s">
        <v>3886</v>
      </c>
      <c r="I746" s="2" t="s">
        <v>1203</v>
      </c>
      <c r="J746" s="2" t="s">
        <v>3887</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1116</v>
      </c>
      <c r="C747" s="2" t="s">
        <v>1121</v>
      </c>
      <c r="D747" s="2" t="s">
        <v>3888</v>
      </c>
      <c r="E747" s="2" t="s">
        <v>1224</v>
      </c>
      <c r="F747" s="2" t="s">
        <v>1248</v>
      </c>
      <c r="G747" s="2" t="s">
        <v>3889</v>
      </c>
      <c r="H747" s="2" t="s">
        <v>3890</v>
      </c>
      <c r="I747" s="2" t="s">
        <v>1203</v>
      </c>
      <c r="J747" s="2" t="s">
        <v>3891</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1116</v>
      </c>
      <c r="C748" s="2" t="s">
        <v>1121</v>
      </c>
      <c r="D748" s="2" t="s">
        <v>3892</v>
      </c>
      <c r="E748" s="2" t="s">
        <v>1224</v>
      </c>
      <c r="F748" s="2" t="s">
        <v>1248</v>
      </c>
      <c r="G748" s="2" t="s">
        <v>3893</v>
      </c>
      <c r="H748" s="2" t="s">
        <v>3894</v>
      </c>
      <c r="I748" s="2" t="s">
        <v>1203</v>
      </c>
      <c r="J748" s="2" t="s">
        <v>3895</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1139</v>
      </c>
      <c r="C749" s="2" t="s">
        <v>1145</v>
      </c>
      <c r="D749" s="2" t="s">
        <v>3896</v>
      </c>
      <c r="E749" s="2" t="s">
        <v>1224</v>
      </c>
      <c r="F749" s="2" t="s">
        <v>1225</v>
      </c>
      <c r="G749" s="2" t="s">
        <v>409</v>
      </c>
      <c r="H749" s="2" t="s">
        <v>3897</v>
      </c>
      <c r="I749" s="2" t="s">
        <v>1203</v>
      </c>
      <c r="J749" s="2" t="s">
        <v>3898</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1139</v>
      </c>
      <c r="C750" s="2" t="s">
        <v>1145</v>
      </c>
      <c r="D750" s="2" t="s">
        <v>3899</v>
      </c>
      <c r="E750" s="2" t="s">
        <v>1230</v>
      </c>
      <c r="F750" s="2" t="s">
        <v>1231</v>
      </c>
      <c r="G750" s="2" t="s">
        <v>3900</v>
      </c>
      <c r="H750" s="2" t="s">
        <v>3901</v>
      </c>
      <c r="I750" s="2" t="s">
        <v>1203</v>
      </c>
      <c r="J750" s="2" t="s">
        <v>3902</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1139</v>
      </c>
      <c r="C751" s="2" t="s">
        <v>1145</v>
      </c>
      <c r="D751" s="2" t="s">
        <v>3903</v>
      </c>
      <c r="E751" s="2" t="s">
        <v>1230</v>
      </c>
      <c r="F751" s="2" t="s">
        <v>1231</v>
      </c>
      <c r="G751" s="2" t="s">
        <v>3904</v>
      </c>
      <c r="H751" s="2" t="s">
        <v>3905</v>
      </c>
      <c r="I751" s="2" t="s">
        <v>1203</v>
      </c>
      <c r="J751" s="2" t="s">
        <v>3906</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1139</v>
      </c>
      <c r="C752" s="2" t="s">
        <v>1145</v>
      </c>
      <c r="D752" s="2" t="s">
        <v>3907</v>
      </c>
      <c r="E752" s="2" t="s">
        <v>1230</v>
      </c>
      <c r="F752" s="2" t="s">
        <v>1231</v>
      </c>
      <c r="G752" s="2" t="s">
        <v>3908</v>
      </c>
      <c r="H752" s="2" t="s">
        <v>3909</v>
      </c>
      <c r="I752" s="2" t="s">
        <v>1203</v>
      </c>
      <c r="J752" s="2" t="s">
        <v>3910</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1139</v>
      </c>
      <c r="C753" s="2" t="s">
        <v>1145</v>
      </c>
      <c r="D753" s="2" t="s">
        <v>3911</v>
      </c>
      <c r="E753" s="2" t="s">
        <v>1230</v>
      </c>
      <c r="F753" s="2" t="s">
        <v>1231</v>
      </c>
      <c r="G753" s="2" t="s">
        <v>3912</v>
      </c>
      <c r="H753" s="2" t="s">
        <v>3913</v>
      </c>
      <c r="I753" s="2" t="s">
        <v>1203</v>
      </c>
      <c r="J753" s="2" t="s">
        <v>3914</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1139</v>
      </c>
      <c r="C754" s="2" t="s">
        <v>1145</v>
      </c>
      <c r="D754" s="2" t="s">
        <v>3915</v>
      </c>
      <c r="E754" s="2" t="s">
        <v>1224</v>
      </c>
      <c r="F754" s="2" t="s">
        <v>1248</v>
      </c>
      <c r="G754" s="2" t="s">
        <v>3916</v>
      </c>
      <c r="H754" s="2" t="s">
        <v>3917</v>
      </c>
      <c r="I754" s="2" t="s">
        <v>1203</v>
      </c>
      <c r="J754" s="2" t="s">
        <v>3918</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1139</v>
      </c>
      <c r="C755" s="2" t="s">
        <v>1145</v>
      </c>
      <c r="D755" s="2" t="s">
        <v>3919</v>
      </c>
      <c r="E755" s="2" t="s">
        <v>1230</v>
      </c>
      <c r="F755" s="2" t="s">
        <v>1231</v>
      </c>
      <c r="G755" s="2" t="s">
        <v>3920</v>
      </c>
      <c r="H755" s="2" t="s">
        <v>3921</v>
      </c>
      <c r="I755" s="2" t="s">
        <v>1203</v>
      </c>
      <c r="J755" s="2" t="s">
        <v>3922</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1149</v>
      </c>
      <c r="C756" s="2" t="s">
        <v>1154</v>
      </c>
      <c r="D756" s="2" t="s">
        <v>3923</v>
      </c>
      <c r="E756" s="2" t="s">
        <v>1224</v>
      </c>
      <c r="F756" s="2" t="s">
        <v>1248</v>
      </c>
      <c r="G756" s="2" t="s">
        <v>3924</v>
      </c>
      <c r="H756" s="2" t="s">
        <v>3925</v>
      </c>
      <c r="I756" s="2" t="s">
        <v>1203</v>
      </c>
      <c r="J756" s="2" t="s">
        <v>3926</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1166</v>
      </c>
      <c r="C757" s="2" t="s">
        <v>1171</v>
      </c>
      <c r="D757" s="2" t="s">
        <v>3927</v>
      </c>
      <c r="E757" s="2" t="s">
        <v>1230</v>
      </c>
      <c r="F757" s="2" t="s">
        <v>1231</v>
      </c>
      <c r="G757" s="2" t="s">
        <v>3928</v>
      </c>
      <c r="H757" s="2" t="s">
        <v>3929</v>
      </c>
      <c r="I757" s="2" t="s">
        <v>1203</v>
      </c>
      <c r="J757" s="2" t="s">
        <v>3930</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1166</v>
      </c>
      <c r="C758" s="2" t="s">
        <v>1171</v>
      </c>
      <c r="D758" s="2" t="s">
        <v>3931</v>
      </c>
      <c r="E758" s="2" t="s">
        <v>1224</v>
      </c>
      <c r="F758" s="2" t="s">
        <v>1225</v>
      </c>
      <c r="G758" s="2" t="s">
        <v>3932</v>
      </c>
      <c r="H758" s="2" t="s">
        <v>3933</v>
      </c>
      <c r="I758" s="2" t="s">
        <v>1203</v>
      </c>
      <c r="J758" s="2" t="s">
        <v>3934</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1166</v>
      </c>
      <c r="C759" s="2" t="s">
        <v>1171</v>
      </c>
      <c r="D759" s="2" t="s">
        <v>3935</v>
      </c>
      <c r="E759" s="2" t="s">
        <v>1224</v>
      </c>
      <c r="F759" s="2" t="s">
        <v>1248</v>
      </c>
      <c r="G759" s="2" t="s">
        <v>3936</v>
      </c>
      <c r="H759" s="2" t="s">
        <v>3937</v>
      </c>
      <c r="I759" s="2" t="s">
        <v>1203</v>
      </c>
      <c r="J759" s="2" t="s">
        <v>3938</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1166</v>
      </c>
      <c r="C760" s="2" t="s">
        <v>1171</v>
      </c>
      <c r="D760" s="2" t="s">
        <v>3939</v>
      </c>
      <c r="E760" s="2" t="s">
        <v>1224</v>
      </c>
      <c r="F760" s="2" t="s">
        <v>1225</v>
      </c>
      <c r="G760" s="2" t="s">
        <v>3940</v>
      </c>
      <c r="H760" s="2" t="s">
        <v>3941</v>
      </c>
      <c r="I760" s="2" t="s">
        <v>1203</v>
      </c>
      <c r="J760" s="2" t="s">
        <v>3942</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1175</v>
      </c>
      <c r="C761" s="2" t="s">
        <v>1177</v>
      </c>
      <c r="D761" s="2" t="s">
        <v>3943</v>
      </c>
      <c r="E761" s="2" t="s">
        <v>1230</v>
      </c>
      <c r="F761" s="2" t="s">
        <v>1231</v>
      </c>
      <c r="G761" s="2" t="s">
        <v>3944</v>
      </c>
      <c r="H761" s="2" t="s">
        <v>3945</v>
      </c>
      <c r="I761" s="2" t="s">
        <v>1203</v>
      </c>
      <c r="J761" s="2" t="s">
        <v>3946</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1175</v>
      </c>
      <c r="C762" s="2" t="s">
        <v>1177</v>
      </c>
      <c r="D762" s="2" t="s">
        <v>3947</v>
      </c>
      <c r="E762" s="2" t="s">
        <v>1224</v>
      </c>
      <c r="F762" s="2" t="s">
        <v>1225</v>
      </c>
      <c r="G762" s="2" t="s">
        <v>3948</v>
      </c>
      <c r="H762" s="2" t="s">
        <v>3949</v>
      </c>
      <c r="I762" s="2" t="s">
        <v>1203</v>
      </c>
      <c r="J762" s="2" t="s">
        <v>3950</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1175</v>
      </c>
      <c r="C763" s="2" t="s">
        <v>1177</v>
      </c>
      <c r="D763" s="2" t="s">
        <v>3951</v>
      </c>
      <c r="E763" s="2" t="s">
        <v>1230</v>
      </c>
      <c r="F763" s="2" t="s">
        <v>1231</v>
      </c>
      <c r="G763" s="2" t="s">
        <v>3952</v>
      </c>
      <c r="H763" s="2" t="s">
        <v>3953</v>
      </c>
      <c r="I763" s="2" t="s">
        <v>1203</v>
      </c>
      <c r="J763" s="2" t="s">
        <v>3954</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1175</v>
      </c>
      <c r="C764" s="2" t="s">
        <v>1177</v>
      </c>
      <c r="D764" s="2" t="s">
        <v>3955</v>
      </c>
      <c r="E764" s="2" t="s">
        <v>1230</v>
      </c>
      <c r="F764" s="2" t="s">
        <v>1231</v>
      </c>
      <c r="G764" s="2" t="s">
        <v>3536</v>
      </c>
      <c r="H764" s="2" t="s">
        <v>3956</v>
      </c>
      <c r="I764" s="2" t="s">
        <v>1203</v>
      </c>
      <c r="J764" s="2" t="s">
        <v>3957</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1175</v>
      </c>
      <c r="C765" s="2" t="s">
        <v>1177</v>
      </c>
      <c r="D765" s="2" t="s">
        <v>3958</v>
      </c>
      <c r="E765" s="2" t="s">
        <v>1224</v>
      </c>
      <c r="F765" s="2" t="s">
        <v>1248</v>
      </c>
      <c r="G765" s="2" t="s">
        <v>3959</v>
      </c>
      <c r="H765" s="2" t="s">
        <v>3960</v>
      </c>
      <c r="I765" s="2" t="s">
        <v>1203</v>
      </c>
      <c r="J765" s="2" t="s">
        <v>3961</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1175</v>
      </c>
      <c r="C766" s="2" t="s">
        <v>1177</v>
      </c>
      <c r="D766" s="2" t="s">
        <v>3962</v>
      </c>
      <c r="E766" s="2" t="s">
        <v>1224</v>
      </c>
      <c r="F766" s="2" t="s">
        <v>1225</v>
      </c>
      <c r="G766" s="2" t="s">
        <v>3963</v>
      </c>
      <c r="H766" s="2" t="s">
        <v>3964</v>
      </c>
      <c r="I766" s="2" t="s">
        <v>1203</v>
      </c>
      <c r="J766" s="2" t="s">
        <v>3965</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1175</v>
      </c>
      <c r="C767" s="2" t="s">
        <v>1177</v>
      </c>
      <c r="D767" s="2" t="s">
        <v>3966</v>
      </c>
      <c r="E767" s="2" t="s">
        <v>1224</v>
      </c>
      <c r="F767" s="2" t="s">
        <v>1248</v>
      </c>
      <c r="G767" s="2" t="s">
        <v>3967</v>
      </c>
      <c r="H767" s="2" t="s">
        <v>3968</v>
      </c>
      <c r="I767" s="2" t="s">
        <v>1203</v>
      </c>
      <c r="J767" s="2" t="s">
        <v>3969</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1175</v>
      </c>
      <c r="C768" s="2" t="s">
        <v>1177</v>
      </c>
      <c r="D768" s="2" t="s">
        <v>3970</v>
      </c>
      <c r="E768" s="2" t="s">
        <v>1230</v>
      </c>
      <c r="F768" s="2" t="s">
        <v>1231</v>
      </c>
      <c r="G768" s="2" t="s">
        <v>3971</v>
      </c>
      <c r="H768" s="2" t="s">
        <v>3972</v>
      </c>
      <c r="I768" s="2" t="s">
        <v>1203</v>
      </c>
      <c r="J768" s="2" t="s">
        <v>3973</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1175</v>
      </c>
      <c r="C769" s="2" t="s">
        <v>1177</v>
      </c>
      <c r="D769" s="2" t="s">
        <v>3974</v>
      </c>
      <c r="E769" s="2" t="s">
        <v>1230</v>
      </c>
      <c r="F769" s="2" t="s">
        <v>1231</v>
      </c>
      <c r="G769" s="2" t="s">
        <v>3136</v>
      </c>
      <c r="H769" s="2" t="s">
        <v>3975</v>
      </c>
      <c r="I769" s="2" t="s">
        <v>1203</v>
      </c>
      <c r="J769" s="2" t="s">
        <v>3976</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1175</v>
      </c>
      <c r="C770" s="2" t="s">
        <v>1177</v>
      </c>
      <c r="D770" s="2" t="s">
        <v>3977</v>
      </c>
      <c r="E770" s="2" t="s">
        <v>1224</v>
      </c>
      <c r="F770" s="2" t="s">
        <v>1248</v>
      </c>
      <c r="G770" s="2" t="s">
        <v>3978</v>
      </c>
      <c r="H770" s="2" t="s">
        <v>3979</v>
      </c>
      <c r="I770" s="2" t="s">
        <v>1203</v>
      </c>
      <c r="J770" s="2" t="s">
        <v>3980</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1175</v>
      </c>
      <c r="C771" s="2" t="s">
        <v>1177</v>
      </c>
      <c r="D771" s="2" t="s">
        <v>3981</v>
      </c>
      <c r="E771" s="2" t="s">
        <v>1224</v>
      </c>
      <c r="F771" s="2" t="s">
        <v>1248</v>
      </c>
      <c r="G771" s="2" t="s">
        <v>3978</v>
      </c>
      <c r="H771" s="2" t="s">
        <v>3982</v>
      </c>
      <c r="I771" s="2" t="s">
        <v>1203</v>
      </c>
      <c r="J771" s="2" t="s">
        <v>3983</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1189</v>
      </c>
      <c r="B1" s="1" t="s">
        <v>1190</v>
      </c>
      <c r="C1" s="1" t="s">
        <v>1191</v>
      </c>
      <c r="D1" s="1" t="s">
        <v>1192</v>
      </c>
      <c r="E1" s="1" t="s">
        <v>1193</v>
      </c>
      <c r="F1" s="1" t="s">
        <v>1195</v>
      </c>
      <c r="G1" s="1" t="s">
        <v>1196</v>
      </c>
      <c r="H1" s="1" t="s">
        <v>14</v>
      </c>
    </row>
    <row r="2" customFormat="false" ht="15" hidden="false" customHeight="false" outlineLevel="0" collapsed="false">
      <c r="A2" s="2" t="n">
        <v>1</v>
      </c>
      <c r="B2" s="2" t="s">
        <v>68</v>
      </c>
      <c r="C2" s="2" t="s">
        <v>77</v>
      </c>
      <c r="D2" s="2" t="s">
        <v>3984</v>
      </c>
      <c r="E2" s="2" t="s">
        <v>3985</v>
      </c>
      <c r="F2" s="2" t="s">
        <v>81</v>
      </c>
      <c r="G2" s="2" t="s">
        <v>3986</v>
      </c>
      <c r="H2" s="2" t="s">
        <v>3987</v>
      </c>
    </row>
    <row r="3" customFormat="false" ht="15" hidden="false" customHeight="false" outlineLevel="0" collapsed="false">
      <c r="A3" s="2" t="n">
        <v>1</v>
      </c>
      <c r="B3" s="2" t="s">
        <v>68</v>
      </c>
      <c r="C3" s="2" t="s">
        <v>77</v>
      </c>
      <c r="D3" s="2" t="s">
        <v>3988</v>
      </c>
      <c r="E3" s="2" t="s">
        <v>3989</v>
      </c>
      <c r="F3" s="2" t="s">
        <v>3990</v>
      </c>
      <c r="G3" s="2"/>
      <c r="H3" s="2" t="s">
        <v>3991</v>
      </c>
    </row>
    <row r="4" customFormat="false" ht="15" hidden="false" customHeight="false" outlineLevel="0" collapsed="false">
      <c r="A4" s="2" t="n">
        <v>1</v>
      </c>
      <c r="B4" s="2" t="s">
        <v>68</v>
      </c>
      <c r="C4" s="2" t="s">
        <v>77</v>
      </c>
      <c r="D4" s="2" t="s">
        <v>3992</v>
      </c>
      <c r="E4" s="2" t="s">
        <v>3989</v>
      </c>
      <c r="F4" s="2" t="s">
        <v>3993</v>
      </c>
      <c r="G4" s="2" t="s">
        <v>3994</v>
      </c>
      <c r="H4" s="2" t="s">
        <v>3995</v>
      </c>
    </row>
    <row r="5" customFormat="false" ht="15" hidden="false" customHeight="false" outlineLevel="0" collapsed="false">
      <c r="A5" s="2" t="n">
        <v>2</v>
      </c>
      <c r="B5" s="2" t="s">
        <v>84</v>
      </c>
      <c r="C5" s="2" t="s">
        <v>92</v>
      </c>
      <c r="D5" s="2" t="s">
        <v>288</v>
      </c>
      <c r="E5" s="2" t="s">
        <v>3985</v>
      </c>
      <c r="F5" s="2" t="s">
        <v>95</v>
      </c>
      <c r="G5" s="2" t="s">
        <v>3996</v>
      </c>
      <c r="H5" s="2" t="s">
        <v>289</v>
      </c>
    </row>
    <row r="6" customFormat="false" ht="15" hidden="false" customHeight="false" outlineLevel="0" collapsed="false">
      <c r="A6" s="2" t="n">
        <v>2</v>
      </c>
      <c r="B6" s="2" t="s">
        <v>84</v>
      </c>
      <c r="C6" s="2" t="s">
        <v>92</v>
      </c>
      <c r="D6" s="2" t="s">
        <v>3997</v>
      </c>
      <c r="E6" s="2" t="s">
        <v>3985</v>
      </c>
      <c r="F6" s="2" t="s">
        <v>96</v>
      </c>
      <c r="G6" s="2" t="s">
        <v>3998</v>
      </c>
      <c r="H6" s="2" t="s">
        <v>3999</v>
      </c>
    </row>
    <row r="7" customFormat="false" ht="15" hidden="false" customHeight="false" outlineLevel="0" collapsed="false">
      <c r="A7" s="2" t="n">
        <v>2</v>
      </c>
      <c r="B7" s="2" t="s">
        <v>84</v>
      </c>
      <c r="C7" s="2" t="s">
        <v>92</v>
      </c>
      <c r="D7" s="2" t="s">
        <v>4000</v>
      </c>
      <c r="E7" s="2" t="s">
        <v>3989</v>
      </c>
      <c r="F7" s="2" t="s">
        <v>4001</v>
      </c>
      <c r="G7" s="2"/>
      <c r="H7" s="2" t="s">
        <v>4002</v>
      </c>
    </row>
    <row r="8" customFormat="false" ht="15" hidden="false" customHeight="false" outlineLevel="0" collapsed="false">
      <c r="A8" s="2" t="n">
        <v>2</v>
      </c>
      <c r="B8" s="2" t="s">
        <v>84</v>
      </c>
      <c r="C8" s="2" t="s">
        <v>92</v>
      </c>
      <c r="D8" s="2" t="s">
        <v>4003</v>
      </c>
      <c r="E8" s="2" t="s">
        <v>3989</v>
      </c>
      <c r="F8" s="2" t="s">
        <v>4004</v>
      </c>
      <c r="G8" s="2"/>
      <c r="H8" s="2" t="s">
        <v>4005</v>
      </c>
    </row>
    <row r="9" customFormat="false" ht="15" hidden="false" customHeight="false" outlineLevel="0" collapsed="false">
      <c r="A9" s="2" t="n">
        <v>2</v>
      </c>
      <c r="B9" s="2" t="s">
        <v>84</v>
      </c>
      <c r="C9" s="2" t="s">
        <v>92</v>
      </c>
      <c r="D9" s="2" t="s">
        <v>4006</v>
      </c>
      <c r="E9" s="2" t="s">
        <v>3989</v>
      </c>
      <c r="F9" s="2" t="s">
        <v>4007</v>
      </c>
      <c r="G9" s="2"/>
      <c r="H9" s="2" t="s">
        <v>4008</v>
      </c>
    </row>
    <row r="10" customFormat="false" ht="15" hidden="false" customHeight="false" outlineLevel="0" collapsed="false">
      <c r="A10" s="2" t="n">
        <v>2</v>
      </c>
      <c r="B10" s="2" t="s">
        <v>84</v>
      </c>
      <c r="C10" s="2" t="s">
        <v>92</v>
      </c>
      <c r="D10" s="2" t="s">
        <v>4009</v>
      </c>
      <c r="E10" s="2" t="s">
        <v>3989</v>
      </c>
      <c r="F10" s="2" t="s">
        <v>4010</v>
      </c>
      <c r="G10" s="2"/>
      <c r="H10" s="2" t="s">
        <v>4011</v>
      </c>
    </row>
    <row r="11" customFormat="false" ht="15" hidden="false" customHeight="false" outlineLevel="0" collapsed="false">
      <c r="A11" s="2" t="n">
        <v>2</v>
      </c>
      <c r="B11" s="2" t="s">
        <v>84</v>
      </c>
      <c r="C11" s="2" t="s">
        <v>92</v>
      </c>
      <c r="D11" s="2" t="s">
        <v>4012</v>
      </c>
      <c r="E11" s="2" t="s">
        <v>3989</v>
      </c>
      <c r="F11" s="2" t="s">
        <v>4013</v>
      </c>
      <c r="G11" s="2"/>
      <c r="H11" s="2" t="s">
        <v>4014</v>
      </c>
    </row>
    <row r="12" customFormat="false" ht="15" hidden="false" customHeight="false" outlineLevel="0" collapsed="false">
      <c r="A12" s="2" t="n">
        <v>2</v>
      </c>
      <c r="B12" s="2" t="s">
        <v>84</v>
      </c>
      <c r="C12" s="2" t="s">
        <v>92</v>
      </c>
      <c r="D12" s="2" t="s">
        <v>4015</v>
      </c>
      <c r="E12" s="2" t="s">
        <v>3989</v>
      </c>
      <c r="F12" s="2" t="s">
        <v>4016</v>
      </c>
      <c r="G12" s="2"/>
      <c r="H12" s="2" t="s">
        <v>4017</v>
      </c>
    </row>
    <row r="13" customFormat="false" ht="15" hidden="false" customHeight="false" outlineLevel="0" collapsed="false">
      <c r="A13" s="2" t="n">
        <v>2</v>
      </c>
      <c r="B13" s="2" t="s">
        <v>84</v>
      </c>
      <c r="C13" s="2" t="s">
        <v>92</v>
      </c>
      <c r="D13" s="2" t="s">
        <v>4018</v>
      </c>
      <c r="E13" s="2" t="s">
        <v>3989</v>
      </c>
      <c r="F13" s="2" t="s">
        <v>4019</v>
      </c>
      <c r="G13" s="2"/>
      <c r="H13" s="2" t="s">
        <v>4020</v>
      </c>
    </row>
    <row r="14" customFormat="false" ht="15" hidden="false" customHeight="false" outlineLevel="0" collapsed="false">
      <c r="A14" s="2" t="n">
        <v>2</v>
      </c>
      <c r="B14" s="2" t="s">
        <v>84</v>
      </c>
      <c r="C14" s="2" t="s">
        <v>92</v>
      </c>
      <c r="D14" s="2" t="s">
        <v>4021</v>
      </c>
      <c r="E14" s="2" t="s">
        <v>3989</v>
      </c>
      <c r="F14" s="2" t="s">
        <v>4022</v>
      </c>
      <c r="G14" s="2"/>
      <c r="H14" s="2" t="s">
        <v>4023</v>
      </c>
    </row>
    <row r="15" customFormat="false" ht="15" hidden="false" customHeight="false" outlineLevel="0" collapsed="false">
      <c r="A15" s="2" t="n">
        <v>2</v>
      </c>
      <c r="B15" s="2" t="s">
        <v>84</v>
      </c>
      <c r="C15" s="2" t="s">
        <v>92</v>
      </c>
      <c r="D15" s="2" t="s">
        <v>4024</v>
      </c>
      <c r="E15" s="2" t="s">
        <v>3989</v>
      </c>
      <c r="F15" s="2" t="s">
        <v>4025</v>
      </c>
      <c r="G15" s="2"/>
      <c r="H15" s="2" t="s">
        <v>4026</v>
      </c>
    </row>
    <row r="16" customFormat="false" ht="15" hidden="false" customHeight="false" outlineLevel="0" collapsed="false">
      <c r="A16" s="2" t="n">
        <v>2</v>
      </c>
      <c r="B16" s="2" t="s">
        <v>84</v>
      </c>
      <c r="C16" s="2" t="s">
        <v>92</v>
      </c>
      <c r="D16" s="2" t="s">
        <v>4027</v>
      </c>
      <c r="E16" s="2" t="s">
        <v>3989</v>
      </c>
      <c r="F16" s="2" t="s">
        <v>4028</v>
      </c>
      <c r="G16" s="2"/>
      <c r="H16" s="2" t="s">
        <v>4029</v>
      </c>
    </row>
    <row r="17" customFormat="false" ht="15" hidden="false" customHeight="false" outlineLevel="0" collapsed="false">
      <c r="A17" s="2" t="n">
        <v>2</v>
      </c>
      <c r="B17" s="2" t="s">
        <v>84</v>
      </c>
      <c r="C17" s="2" t="s">
        <v>92</v>
      </c>
      <c r="D17" s="2" t="s">
        <v>4030</v>
      </c>
      <c r="E17" s="2" t="s">
        <v>3989</v>
      </c>
      <c r="F17" s="2" t="s">
        <v>4031</v>
      </c>
      <c r="G17" s="2"/>
      <c r="H17" s="2" t="s">
        <v>4032</v>
      </c>
    </row>
    <row r="18" customFormat="false" ht="15" hidden="false" customHeight="false" outlineLevel="0" collapsed="false">
      <c r="A18" s="2" t="n">
        <v>2</v>
      </c>
      <c r="B18" s="2" t="s">
        <v>84</v>
      </c>
      <c r="C18" s="2" t="s">
        <v>92</v>
      </c>
      <c r="D18" s="2" t="s">
        <v>4033</v>
      </c>
      <c r="E18" s="2" t="s">
        <v>3989</v>
      </c>
      <c r="F18" s="2" t="s">
        <v>1020</v>
      </c>
      <c r="G18" s="2"/>
      <c r="H18" s="2" t="s">
        <v>4034</v>
      </c>
    </row>
    <row r="19" customFormat="false" ht="15" hidden="false" customHeight="false" outlineLevel="0" collapsed="false">
      <c r="A19" s="2" t="n">
        <v>2</v>
      </c>
      <c r="B19" s="2" t="s">
        <v>84</v>
      </c>
      <c r="C19" s="2" t="s">
        <v>92</v>
      </c>
      <c r="D19" s="2" t="s">
        <v>4035</v>
      </c>
      <c r="E19" s="2" t="s">
        <v>3989</v>
      </c>
      <c r="F19" s="2" t="s">
        <v>4036</v>
      </c>
      <c r="G19" s="2"/>
      <c r="H19" s="2" t="s">
        <v>4037</v>
      </c>
    </row>
    <row r="20" customFormat="false" ht="15" hidden="false" customHeight="false" outlineLevel="0" collapsed="false">
      <c r="A20" s="2" t="n">
        <v>3</v>
      </c>
      <c r="B20" s="2" t="s">
        <v>98</v>
      </c>
      <c r="C20" s="2" t="s">
        <v>105</v>
      </c>
      <c r="D20" s="2" t="s">
        <v>460</v>
      </c>
      <c r="E20" s="2" t="s">
        <v>3985</v>
      </c>
      <c r="F20" s="2" t="s">
        <v>108</v>
      </c>
      <c r="G20" s="2" t="s">
        <v>4038</v>
      </c>
      <c r="H20" s="2" t="s">
        <v>461</v>
      </c>
    </row>
    <row r="21" customFormat="false" ht="15" hidden="false" customHeight="false" outlineLevel="0" collapsed="false">
      <c r="A21" s="2" t="n">
        <v>3</v>
      </c>
      <c r="B21" s="2" t="s">
        <v>98</v>
      </c>
      <c r="C21" s="2" t="s">
        <v>105</v>
      </c>
      <c r="D21" s="2" t="s">
        <v>4039</v>
      </c>
      <c r="E21" s="2" t="s">
        <v>3989</v>
      </c>
      <c r="F21" s="2" t="s">
        <v>4040</v>
      </c>
      <c r="G21" s="2"/>
      <c r="H21" s="2" t="s">
        <v>4041</v>
      </c>
    </row>
    <row r="22" customFormat="false" ht="15" hidden="false" customHeight="false" outlineLevel="0" collapsed="false">
      <c r="A22" s="2" t="n">
        <v>4</v>
      </c>
      <c r="B22" s="2" t="s">
        <v>111</v>
      </c>
      <c r="C22" s="2" t="s">
        <v>118</v>
      </c>
      <c r="D22" s="2" t="s">
        <v>452</v>
      </c>
      <c r="E22" s="2" t="s">
        <v>3985</v>
      </c>
      <c r="F22" s="2" t="s">
        <v>108</v>
      </c>
      <c r="G22" s="2" t="s">
        <v>4042</v>
      </c>
      <c r="H22" s="2" t="s">
        <v>453</v>
      </c>
    </row>
    <row r="23" customFormat="false" ht="15" hidden="false" customHeight="false" outlineLevel="0" collapsed="false">
      <c r="A23" s="2" t="n">
        <v>4</v>
      </c>
      <c r="B23" s="2" t="s">
        <v>111</v>
      </c>
      <c r="C23" s="2" t="s">
        <v>118</v>
      </c>
      <c r="D23" s="2" t="s">
        <v>4043</v>
      </c>
      <c r="E23" s="2" t="s">
        <v>3989</v>
      </c>
      <c r="F23" s="2" t="s">
        <v>4044</v>
      </c>
      <c r="G23" s="2"/>
      <c r="H23" s="2" t="s">
        <v>4045</v>
      </c>
    </row>
    <row r="24" customFormat="false" ht="15" hidden="false" customHeight="false" outlineLevel="0" collapsed="false">
      <c r="A24" s="2" t="n">
        <v>5</v>
      </c>
      <c r="B24" s="2" t="s">
        <v>124</v>
      </c>
      <c r="C24" s="2" t="s">
        <v>130</v>
      </c>
      <c r="D24" s="2" t="s">
        <v>4046</v>
      </c>
      <c r="E24" s="2" t="s">
        <v>3985</v>
      </c>
      <c r="F24" s="2" t="s">
        <v>133</v>
      </c>
      <c r="G24" s="2" t="s">
        <v>4047</v>
      </c>
      <c r="H24" s="2" t="s">
        <v>4048</v>
      </c>
    </row>
    <row r="25" customFormat="false" ht="15" hidden="false" customHeight="false" outlineLevel="0" collapsed="false">
      <c r="A25" s="2" t="n">
        <v>5</v>
      </c>
      <c r="B25" s="2" t="s">
        <v>124</v>
      </c>
      <c r="C25" s="2" t="s">
        <v>130</v>
      </c>
      <c r="D25" s="2" t="s">
        <v>4049</v>
      </c>
      <c r="E25" s="2" t="s">
        <v>3985</v>
      </c>
      <c r="F25" s="2" t="s">
        <v>134</v>
      </c>
      <c r="G25" s="2" t="s">
        <v>4050</v>
      </c>
      <c r="H25" s="2" t="s">
        <v>4051</v>
      </c>
    </row>
    <row r="26" customFormat="false" ht="15" hidden="false" customHeight="false" outlineLevel="0" collapsed="false">
      <c r="A26" s="2" t="n">
        <v>5</v>
      </c>
      <c r="B26" s="2" t="s">
        <v>124</v>
      </c>
      <c r="C26" s="2" t="s">
        <v>130</v>
      </c>
      <c r="D26" s="2" t="s">
        <v>4052</v>
      </c>
      <c r="E26" s="2" t="s">
        <v>3989</v>
      </c>
      <c r="F26" s="2" t="s">
        <v>4053</v>
      </c>
      <c r="G26" s="2"/>
      <c r="H26" s="2" t="s">
        <v>4054</v>
      </c>
    </row>
    <row r="27" customFormat="false" ht="15" hidden="false" customHeight="false" outlineLevel="0" collapsed="false">
      <c r="A27" s="2" t="n">
        <v>5</v>
      </c>
      <c r="B27" s="2" t="s">
        <v>124</v>
      </c>
      <c r="C27" s="2" t="s">
        <v>130</v>
      </c>
      <c r="D27" s="2" t="s">
        <v>4055</v>
      </c>
      <c r="E27" s="2" t="s">
        <v>3989</v>
      </c>
      <c r="F27" s="2" t="s">
        <v>4056</v>
      </c>
      <c r="G27" s="2"/>
      <c r="H27" s="2" t="s">
        <v>4057</v>
      </c>
    </row>
    <row r="28" customFormat="false" ht="15" hidden="false" customHeight="false" outlineLevel="0" collapsed="false">
      <c r="A28" s="2" t="n">
        <v>5</v>
      </c>
      <c r="B28" s="2" t="s">
        <v>124</v>
      </c>
      <c r="C28" s="2" t="s">
        <v>130</v>
      </c>
      <c r="D28" s="2" t="s">
        <v>4058</v>
      </c>
      <c r="E28" s="2" t="s">
        <v>3989</v>
      </c>
      <c r="F28" s="2" t="s">
        <v>4059</v>
      </c>
      <c r="G28" s="2"/>
      <c r="H28" s="2" t="s">
        <v>4060</v>
      </c>
    </row>
    <row r="29" customFormat="false" ht="15" hidden="false" customHeight="false" outlineLevel="0" collapsed="false">
      <c r="A29" s="2" t="n">
        <v>5</v>
      </c>
      <c r="B29" s="2" t="s">
        <v>124</v>
      </c>
      <c r="C29" s="2" t="s">
        <v>130</v>
      </c>
      <c r="D29" s="2" t="s">
        <v>4061</v>
      </c>
      <c r="E29" s="2" t="s">
        <v>3989</v>
      </c>
      <c r="F29" s="2" t="s">
        <v>4062</v>
      </c>
      <c r="G29" s="2"/>
      <c r="H29" s="2" t="s">
        <v>4063</v>
      </c>
    </row>
    <row r="30" customFormat="false" ht="15" hidden="false" customHeight="false" outlineLevel="0" collapsed="false">
      <c r="A30" s="2" t="n">
        <v>5</v>
      </c>
      <c r="B30" s="2" t="s">
        <v>124</v>
      </c>
      <c r="C30" s="2" t="s">
        <v>130</v>
      </c>
      <c r="D30" s="2" t="s">
        <v>4064</v>
      </c>
      <c r="E30" s="2" t="s">
        <v>3989</v>
      </c>
      <c r="F30" s="2" t="s">
        <v>4065</v>
      </c>
      <c r="G30" s="2"/>
      <c r="H30" s="2" t="s">
        <v>4066</v>
      </c>
    </row>
    <row r="31" customFormat="false" ht="15" hidden="false" customHeight="false" outlineLevel="0" collapsed="false">
      <c r="A31" s="2" t="n">
        <v>5</v>
      </c>
      <c r="B31" s="2" t="s">
        <v>124</v>
      </c>
      <c r="C31" s="2" t="s">
        <v>130</v>
      </c>
      <c r="D31" s="2" t="s">
        <v>4067</v>
      </c>
      <c r="E31" s="2" t="s">
        <v>3989</v>
      </c>
      <c r="F31" s="2" t="s">
        <v>4068</v>
      </c>
      <c r="G31" s="2"/>
      <c r="H31" s="2" t="s">
        <v>4069</v>
      </c>
    </row>
    <row r="32" customFormat="false" ht="15" hidden="false" customHeight="false" outlineLevel="0" collapsed="false">
      <c r="A32" s="2" t="n">
        <v>5</v>
      </c>
      <c r="B32" s="2" t="s">
        <v>124</v>
      </c>
      <c r="C32" s="2" t="s">
        <v>130</v>
      </c>
      <c r="D32" s="2" t="s">
        <v>4070</v>
      </c>
      <c r="E32" s="2" t="s">
        <v>3989</v>
      </c>
      <c r="F32" s="2" t="s">
        <v>2616</v>
      </c>
      <c r="G32" s="2"/>
      <c r="H32" s="2" t="s">
        <v>4071</v>
      </c>
    </row>
    <row r="33" customFormat="false" ht="15" hidden="false" customHeight="false" outlineLevel="0" collapsed="false">
      <c r="A33" s="2" t="n">
        <v>5</v>
      </c>
      <c r="B33" s="2" t="s">
        <v>124</v>
      </c>
      <c r="C33" s="2" t="s">
        <v>130</v>
      </c>
      <c r="D33" s="2" t="s">
        <v>4072</v>
      </c>
      <c r="E33" s="2" t="s">
        <v>3989</v>
      </c>
      <c r="F33" s="2" t="s">
        <v>4073</v>
      </c>
      <c r="G33" s="2"/>
      <c r="H33" s="2" t="s">
        <v>4074</v>
      </c>
    </row>
    <row r="34" customFormat="false" ht="15" hidden="false" customHeight="false" outlineLevel="0" collapsed="false">
      <c r="A34" s="2" t="n">
        <v>5</v>
      </c>
      <c r="B34" s="2" t="s">
        <v>124</v>
      </c>
      <c r="C34" s="2" t="s">
        <v>130</v>
      </c>
      <c r="D34" s="2" t="s">
        <v>4075</v>
      </c>
      <c r="E34" s="2" t="s">
        <v>3989</v>
      </c>
      <c r="F34" s="2" t="s">
        <v>4076</v>
      </c>
      <c r="G34" s="2"/>
      <c r="H34" s="2" t="s">
        <v>4077</v>
      </c>
    </row>
    <row r="35" customFormat="false" ht="15" hidden="false" customHeight="false" outlineLevel="0" collapsed="false">
      <c r="A35" s="2" t="n">
        <v>5</v>
      </c>
      <c r="B35" s="2" t="s">
        <v>124</v>
      </c>
      <c r="C35" s="2" t="s">
        <v>130</v>
      </c>
      <c r="D35" s="2" t="s">
        <v>4078</v>
      </c>
      <c r="E35" s="2" t="s">
        <v>3989</v>
      </c>
      <c r="F35" s="2" t="s">
        <v>4079</v>
      </c>
      <c r="G35" s="2"/>
      <c r="H35" s="2" t="s">
        <v>4080</v>
      </c>
    </row>
    <row r="36" customFormat="false" ht="15" hidden="false" customHeight="false" outlineLevel="0" collapsed="false">
      <c r="A36" s="2" t="n">
        <v>5</v>
      </c>
      <c r="B36" s="2" t="s">
        <v>124</v>
      </c>
      <c r="C36" s="2" t="s">
        <v>130</v>
      </c>
      <c r="D36" s="2" t="s">
        <v>4081</v>
      </c>
      <c r="E36" s="2" t="s">
        <v>3989</v>
      </c>
      <c r="F36" s="2" t="s">
        <v>2276</v>
      </c>
      <c r="G36" s="2"/>
      <c r="H36" s="2" t="s">
        <v>4082</v>
      </c>
    </row>
    <row r="37" customFormat="false" ht="15" hidden="false" customHeight="false" outlineLevel="0" collapsed="false">
      <c r="A37" s="2" t="n">
        <v>5</v>
      </c>
      <c r="B37" s="2" t="s">
        <v>124</v>
      </c>
      <c r="C37" s="2" t="s">
        <v>130</v>
      </c>
      <c r="D37" s="2" t="s">
        <v>4083</v>
      </c>
      <c r="E37" s="2" t="s">
        <v>3989</v>
      </c>
      <c r="F37" s="2" t="s">
        <v>4084</v>
      </c>
      <c r="G37" s="2"/>
      <c r="H37" s="2" t="s">
        <v>4085</v>
      </c>
    </row>
    <row r="38" customFormat="false" ht="15" hidden="false" customHeight="false" outlineLevel="0" collapsed="false">
      <c r="A38" s="2" t="n">
        <v>5</v>
      </c>
      <c r="B38" s="2" t="s">
        <v>124</v>
      </c>
      <c r="C38" s="2" t="s">
        <v>130</v>
      </c>
      <c r="D38" s="2" t="s">
        <v>4086</v>
      </c>
      <c r="E38" s="2" t="s">
        <v>3989</v>
      </c>
      <c r="F38" s="2" t="s">
        <v>3203</v>
      </c>
      <c r="G38" s="2"/>
      <c r="H38" s="2" t="s">
        <v>4087</v>
      </c>
    </row>
    <row r="39" customFormat="false" ht="15" hidden="false" customHeight="false" outlineLevel="0" collapsed="false">
      <c r="A39" s="2" t="n">
        <v>5</v>
      </c>
      <c r="B39" s="2" t="s">
        <v>124</v>
      </c>
      <c r="C39" s="2" t="s">
        <v>130</v>
      </c>
      <c r="D39" s="2" t="s">
        <v>4088</v>
      </c>
      <c r="E39" s="2" t="s">
        <v>3989</v>
      </c>
      <c r="F39" s="2" t="s">
        <v>4089</v>
      </c>
      <c r="G39" s="2"/>
      <c r="H39" s="2" t="s">
        <v>4090</v>
      </c>
    </row>
    <row r="40" customFormat="false" ht="15" hidden="false" customHeight="false" outlineLevel="0" collapsed="false">
      <c r="A40" s="2" t="n">
        <v>5</v>
      </c>
      <c r="B40" s="2" t="s">
        <v>124</v>
      </c>
      <c r="C40" s="2" t="s">
        <v>130</v>
      </c>
      <c r="D40" s="2" t="s">
        <v>4091</v>
      </c>
      <c r="E40" s="2" t="s">
        <v>3989</v>
      </c>
      <c r="F40" s="2" t="s">
        <v>4089</v>
      </c>
      <c r="G40" s="2"/>
      <c r="H40" s="2" t="s">
        <v>4092</v>
      </c>
    </row>
    <row r="41" customFormat="false" ht="15" hidden="false" customHeight="false" outlineLevel="0" collapsed="false">
      <c r="A41" s="2" t="n">
        <v>5</v>
      </c>
      <c r="B41" s="2" t="s">
        <v>124</v>
      </c>
      <c r="C41" s="2" t="s">
        <v>130</v>
      </c>
      <c r="D41" s="2" t="s">
        <v>4093</v>
      </c>
      <c r="E41" s="2" t="s">
        <v>3989</v>
      </c>
      <c r="F41" s="2" t="s">
        <v>4094</v>
      </c>
      <c r="G41" s="2"/>
      <c r="H41" s="2" t="s">
        <v>4095</v>
      </c>
    </row>
    <row r="42" customFormat="false" ht="15" hidden="false" customHeight="false" outlineLevel="0" collapsed="false">
      <c r="A42" s="2" t="n">
        <v>5</v>
      </c>
      <c r="B42" s="2" t="s">
        <v>124</v>
      </c>
      <c r="C42" s="2" t="s">
        <v>130</v>
      </c>
      <c r="D42" s="2" t="s">
        <v>4096</v>
      </c>
      <c r="E42" s="2" t="s">
        <v>3989</v>
      </c>
      <c r="F42" s="2" t="s">
        <v>4097</v>
      </c>
      <c r="G42" s="2"/>
      <c r="H42" s="2" t="s">
        <v>4098</v>
      </c>
    </row>
    <row r="43" customFormat="false" ht="15" hidden="false" customHeight="false" outlineLevel="0" collapsed="false">
      <c r="A43" s="2" t="n">
        <v>5</v>
      </c>
      <c r="B43" s="2" t="s">
        <v>124</v>
      </c>
      <c r="C43" s="2" t="s">
        <v>130</v>
      </c>
      <c r="D43" s="2" t="s">
        <v>4099</v>
      </c>
      <c r="E43" s="2" t="s">
        <v>3989</v>
      </c>
      <c r="F43" s="2" t="s">
        <v>1418</v>
      </c>
      <c r="G43" s="2"/>
      <c r="H43" s="2" t="s">
        <v>4100</v>
      </c>
    </row>
    <row r="44" customFormat="false" ht="15" hidden="false" customHeight="false" outlineLevel="0" collapsed="false">
      <c r="A44" s="2" t="n">
        <v>5</v>
      </c>
      <c r="B44" s="2" t="s">
        <v>124</v>
      </c>
      <c r="C44" s="2" t="s">
        <v>130</v>
      </c>
      <c r="D44" s="2" t="s">
        <v>4101</v>
      </c>
      <c r="E44" s="2" t="s">
        <v>3989</v>
      </c>
      <c r="F44" s="2" t="s">
        <v>4102</v>
      </c>
      <c r="G44" s="2"/>
      <c r="H44" s="2" t="s">
        <v>4103</v>
      </c>
    </row>
    <row r="45" customFormat="false" ht="15" hidden="false" customHeight="false" outlineLevel="0" collapsed="false">
      <c r="A45" s="2" t="n">
        <v>5</v>
      </c>
      <c r="B45" s="2" t="s">
        <v>124</v>
      </c>
      <c r="C45" s="2" t="s">
        <v>130</v>
      </c>
      <c r="D45" s="2" t="s">
        <v>4104</v>
      </c>
      <c r="E45" s="2" t="s">
        <v>3989</v>
      </c>
      <c r="F45" s="2" t="s">
        <v>4105</v>
      </c>
      <c r="G45" s="2"/>
      <c r="H45" s="2" t="s">
        <v>4106</v>
      </c>
    </row>
    <row r="46" customFormat="false" ht="15" hidden="false" customHeight="false" outlineLevel="0" collapsed="false">
      <c r="A46" s="2" t="n">
        <v>6</v>
      </c>
      <c r="B46" s="2" t="s">
        <v>137</v>
      </c>
      <c r="C46" s="2" t="s">
        <v>143</v>
      </c>
      <c r="D46" s="2" t="s">
        <v>3997</v>
      </c>
      <c r="E46" s="2" t="s">
        <v>3985</v>
      </c>
      <c r="F46" s="2" t="s">
        <v>96</v>
      </c>
      <c r="G46" s="2" t="s">
        <v>3998</v>
      </c>
      <c r="H46" s="2" t="s">
        <v>3999</v>
      </c>
    </row>
    <row r="47" customFormat="false" ht="15" hidden="false" customHeight="false" outlineLevel="0" collapsed="false">
      <c r="A47" s="2" t="n">
        <v>6</v>
      </c>
      <c r="B47" s="2" t="s">
        <v>137</v>
      </c>
      <c r="C47" s="2" t="s">
        <v>143</v>
      </c>
      <c r="D47" s="2" t="s">
        <v>4107</v>
      </c>
      <c r="E47" s="2" t="s">
        <v>3989</v>
      </c>
      <c r="F47" s="2" t="s">
        <v>4108</v>
      </c>
      <c r="G47" s="2"/>
      <c r="H47" s="2" t="s">
        <v>4109</v>
      </c>
    </row>
    <row r="48" customFormat="false" ht="15" hidden="false" customHeight="false" outlineLevel="0" collapsed="false">
      <c r="A48" s="2" t="n">
        <v>7</v>
      </c>
      <c r="B48" s="2" t="s">
        <v>148</v>
      </c>
      <c r="C48" s="2" t="s">
        <v>155</v>
      </c>
      <c r="D48" s="2" t="s">
        <v>4110</v>
      </c>
      <c r="E48" s="2" t="s">
        <v>3985</v>
      </c>
      <c r="F48" s="2" t="s">
        <v>158</v>
      </c>
      <c r="G48" s="2" t="s">
        <v>4111</v>
      </c>
      <c r="H48" s="2" t="s">
        <v>4112</v>
      </c>
    </row>
    <row r="49" customFormat="false" ht="15" hidden="false" customHeight="false" outlineLevel="0" collapsed="false">
      <c r="A49" s="2" t="n">
        <v>7</v>
      </c>
      <c r="B49" s="2" t="s">
        <v>148</v>
      </c>
      <c r="C49" s="2" t="s">
        <v>155</v>
      </c>
      <c r="D49" s="2" t="s">
        <v>452</v>
      </c>
      <c r="E49" s="2" t="s">
        <v>3985</v>
      </c>
      <c r="F49" s="2" t="s">
        <v>108</v>
      </c>
      <c r="G49" s="2" t="s">
        <v>4042</v>
      </c>
      <c r="H49" s="2" t="s">
        <v>453</v>
      </c>
    </row>
    <row r="50" customFormat="false" ht="15" hidden="false" customHeight="false" outlineLevel="0" collapsed="false">
      <c r="A50" s="2" t="n">
        <v>7</v>
      </c>
      <c r="B50" s="2" t="s">
        <v>148</v>
      </c>
      <c r="C50" s="2" t="s">
        <v>155</v>
      </c>
      <c r="D50" s="2" t="s">
        <v>4113</v>
      </c>
      <c r="E50" s="2" t="s">
        <v>3989</v>
      </c>
      <c r="F50" s="2" t="s">
        <v>4114</v>
      </c>
      <c r="G50" s="2"/>
      <c r="H50" s="2" t="s">
        <v>4115</v>
      </c>
    </row>
    <row r="51" customFormat="false" ht="15" hidden="false" customHeight="false" outlineLevel="0" collapsed="false">
      <c r="A51" s="2" t="n">
        <v>7</v>
      </c>
      <c r="B51" s="2" t="s">
        <v>148</v>
      </c>
      <c r="C51" s="2" t="s">
        <v>155</v>
      </c>
      <c r="D51" s="2" t="s">
        <v>4116</v>
      </c>
      <c r="E51" s="2" t="s">
        <v>3989</v>
      </c>
      <c r="F51" s="2" t="s">
        <v>4114</v>
      </c>
      <c r="G51" s="2" t="s">
        <v>4117</v>
      </c>
      <c r="H51" s="2" t="s">
        <v>4118</v>
      </c>
    </row>
    <row r="52" customFormat="false" ht="15" hidden="false" customHeight="false" outlineLevel="0" collapsed="false">
      <c r="A52" s="2" t="n">
        <v>7</v>
      </c>
      <c r="B52" s="2" t="s">
        <v>148</v>
      </c>
      <c r="C52" s="2" t="s">
        <v>155</v>
      </c>
      <c r="D52" s="2" t="s">
        <v>4119</v>
      </c>
      <c r="E52" s="2" t="s">
        <v>3989</v>
      </c>
      <c r="F52" s="2" t="s">
        <v>4120</v>
      </c>
      <c r="G52" s="2"/>
      <c r="H52" s="2" t="s">
        <v>4121</v>
      </c>
    </row>
    <row r="53" customFormat="false" ht="15" hidden="false" customHeight="false" outlineLevel="0" collapsed="false">
      <c r="A53" s="2" t="n">
        <v>7</v>
      </c>
      <c r="B53" s="2" t="s">
        <v>148</v>
      </c>
      <c r="C53" s="2" t="s">
        <v>155</v>
      </c>
      <c r="D53" s="2" t="s">
        <v>4122</v>
      </c>
      <c r="E53" s="2" t="s">
        <v>3989</v>
      </c>
      <c r="F53" s="2" t="s">
        <v>4123</v>
      </c>
      <c r="G53" s="2"/>
      <c r="H53" s="2" t="s">
        <v>4124</v>
      </c>
    </row>
    <row r="54" customFormat="false" ht="15" hidden="false" customHeight="false" outlineLevel="0" collapsed="false">
      <c r="A54" s="2" t="n">
        <v>7</v>
      </c>
      <c r="B54" s="2" t="s">
        <v>148</v>
      </c>
      <c r="C54" s="2" t="s">
        <v>155</v>
      </c>
      <c r="D54" s="2" t="s">
        <v>4125</v>
      </c>
      <c r="E54" s="2" t="s">
        <v>3989</v>
      </c>
      <c r="F54" s="2" t="s">
        <v>4126</v>
      </c>
      <c r="G54" s="2"/>
      <c r="H54" s="2" t="s">
        <v>4127</v>
      </c>
    </row>
    <row r="55" customFormat="false" ht="15" hidden="false" customHeight="false" outlineLevel="0" collapsed="false">
      <c r="A55" s="2" t="n">
        <v>7</v>
      </c>
      <c r="B55" s="2" t="s">
        <v>148</v>
      </c>
      <c r="C55" s="2" t="s">
        <v>155</v>
      </c>
      <c r="D55" s="2" t="s">
        <v>4128</v>
      </c>
      <c r="E55" s="2" t="s">
        <v>3989</v>
      </c>
      <c r="F55" s="2" t="s">
        <v>4129</v>
      </c>
      <c r="G55" s="2"/>
      <c r="H55" s="2" t="s">
        <v>4130</v>
      </c>
    </row>
    <row r="56" customFormat="false" ht="15" hidden="false" customHeight="false" outlineLevel="0" collapsed="false">
      <c r="A56" s="2" t="n">
        <v>7</v>
      </c>
      <c r="B56" s="2" t="s">
        <v>148</v>
      </c>
      <c r="C56" s="2" t="s">
        <v>155</v>
      </c>
      <c r="D56" s="2" t="s">
        <v>4131</v>
      </c>
      <c r="E56" s="2" t="s">
        <v>3989</v>
      </c>
      <c r="F56" s="2" t="s">
        <v>4132</v>
      </c>
      <c r="G56" s="2"/>
      <c r="H56" s="2" t="s">
        <v>4133</v>
      </c>
    </row>
    <row r="57" customFormat="false" ht="15" hidden="false" customHeight="false" outlineLevel="0" collapsed="false">
      <c r="A57" s="2" t="n">
        <v>7</v>
      </c>
      <c r="B57" s="2" t="s">
        <v>148</v>
      </c>
      <c r="C57" s="2" t="s">
        <v>155</v>
      </c>
      <c r="D57" s="2" t="s">
        <v>4134</v>
      </c>
      <c r="E57" s="2" t="s">
        <v>3989</v>
      </c>
      <c r="F57" s="2" t="s">
        <v>4135</v>
      </c>
      <c r="G57" s="2"/>
      <c r="H57" s="2" t="s">
        <v>4136</v>
      </c>
    </row>
    <row r="58" customFormat="false" ht="15" hidden="false" customHeight="false" outlineLevel="0" collapsed="false">
      <c r="A58" s="2" t="n">
        <v>8</v>
      </c>
      <c r="B58" s="2" t="s">
        <v>162</v>
      </c>
      <c r="C58" s="2" t="s">
        <v>167</v>
      </c>
      <c r="D58" s="2" t="s">
        <v>718</v>
      </c>
      <c r="E58" s="2" t="s">
        <v>3985</v>
      </c>
      <c r="F58" s="2" t="s">
        <v>170</v>
      </c>
      <c r="G58" s="2" t="s">
        <v>4137</v>
      </c>
      <c r="H58" s="2" t="s">
        <v>719</v>
      </c>
    </row>
    <row r="59" customFormat="false" ht="15" hidden="false" customHeight="false" outlineLevel="0" collapsed="false">
      <c r="A59" s="2" t="n">
        <v>8</v>
      </c>
      <c r="B59" s="2" t="s">
        <v>162</v>
      </c>
      <c r="C59" s="2" t="s">
        <v>167</v>
      </c>
      <c r="D59" s="2" t="s">
        <v>4138</v>
      </c>
      <c r="E59" s="2" t="s">
        <v>3989</v>
      </c>
      <c r="F59" s="2" t="s">
        <v>4139</v>
      </c>
      <c r="G59" s="2"/>
      <c r="H59" s="2" t="s">
        <v>4140</v>
      </c>
    </row>
    <row r="60" customFormat="false" ht="15" hidden="false" customHeight="false" outlineLevel="0" collapsed="false">
      <c r="A60" s="2" t="n">
        <v>8</v>
      </c>
      <c r="B60" s="2" t="s">
        <v>162</v>
      </c>
      <c r="C60" s="2" t="s">
        <v>167</v>
      </c>
      <c r="D60" s="2" t="s">
        <v>4141</v>
      </c>
      <c r="E60" s="2" t="s">
        <v>3989</v>
      </c>
      <c r="F60" s="2" t="s">
        <v>1945</v>
      </c>
      <c r="G60" s="2"/>
      <c r="H60" s="2" t="s">
        <v>4142</v>
      </c>
    </row>
    <row r="61" customFormat="false" ht="15" hidden="false" customHeight="false" outlineLevel="0" collapsed="false">
      <c r="A61" s="2" t="n">
        <v>8</v>
      </c>
      <c r="B61" s="2" t="s">
        <v>162</v>
      </c>
      <c r="C61" s="2" t="s">
        <v>167</v>
      </c>
      <c r="D61" s="2" t="s">
        <v>4143</v>
      </c>
      <c r="E61" s="2" t="s">
        <v>3989</v>
      </c>
      <c r="F61" s="2" t="s">
        <v>4144</v>
      </c>
      <c r="G61" s="2"/>
      <c r="H61" s="2" t="s">
        <v>4145</v>
      </c>
    </row>
    <row r="62" customFormat="false" ht="15" hidden="false" customHeight="false" outlineLevel="0" collapsed="false">
      <c r="A62" s="2" t="n">
        <v>8</v>
      </c>
      <c r="B62" s="2" t="s">
        <v>162</v>
      </c>
      <c r="C62" s="2" t="s">
        <v>167</v>
      </c>
      <c r="D62" s="2" t="s">
        <v>4146</v>
      </c>
      <c r="E62" s="2" t="s">
        <v>3989</v>
      </c>
      <c r="F62" s="2" t="s">
        <v>4147</v>
      </c>
      <c r="G62" s="2"/>
      <c r="H62" s="2" t="s">
        <v>4148</v>
      </c>
    </row>
    <row r="63" customFormat="false" ht="15" hidden="false" customHeight="false" outlineLevel="0" collapsed="false">
      <c r="A63" s="2" t="n">
        <v>9</v>
      </c>
      <c r="B63" s="2" t="s">
        <v>174</v>
      </c>
      <c r="C63" s="2" t="s">
        <v>181</v>
      </c>
      <c r="D63" s="2" t="s">
        <v>4149</v>
      </c>
      <c r="E63" s="2" t="s">
        <v>3985</v>
      </c>
      <c r="F63" s="2" t="s">
        <v>184</v>
      </c>
      <c r="G63" s="2" t="s">
        <v>4150</v>
      </c>
      <c r="H63" s="2" t="s">
        <v>4151</v>
      </c>
    </row>
    <row r="64" customFormat="false" ht="15" hidden="false" customHeight="false" outlineLevel="0" collapsed="false">
      <c r="A64" s="2" t="n">
        <v>9</v>
      </c>
      <c r="B64" s="2" t="s">
        <v>174</v>
      </c>
      <c r="C64" s="2" t="s">
        <v>181</v>
      </c>
      <c r="D64" s="2" t="s">
        <v>4152</v>
      </c>
      <c r="E64" s="2" t="s">
        <v>3985</v>
      </c>
      <c r="F64" s="2" t="s">
        <v>185</v>
      </c>
      <c r="G64" s="2" t="s">
        <v>4153</v>
      </c>
      <c r="H64" s="2" t="s">
        <v>4154</v>
      </c>
    </row>
    <row r="65" customFormat="false" ht="15" hidden="false" customHeight="false" outlineLevel="0" collapsed="false">
      <c r="A65" s="2" t="n">
        <v>9</v>
      </c>
      <c r="B65" s="2" t="s">
        <v>174</v>
      </c>
      <c r="C65" s="2" t="s">
        <v>181</v>
      </c>
      <c r="D65" s="2" t="s">
        <v>4155</v>
      </c>
      <c r="E65" s="2" t="s">
        <v>3989</v>
      </c>
      <c r="F65" s="2" t="s">
        <v>4156</v>
      </c>
      <c r="G65" s="2"/>
      <c r="H65" s="2" t="s">
        <v>4157</v>
      </c>
    </row>
    <row r="66" customFormat="false" ht="15" hidden="false" customHeight="false" outlineLevel="0" collapsed="false">
      <c r="A66" s="2" t="n">
        <v>9</v>
      </c>
      <c r="B66" s="2" t="s">
        <v>174</v>
      </c>
      <c r="C66" s="2" t="s">
        <v>181</v>
      </c>
      <c r="D66" s="2" t="s">
        <v>4158</v>
      </c>
      <c r="E66" s="2" t="s">
        <v>3989</v>
      </c>
      <c r="F66" s="2" t="s">
        <v>4159</v>
      </c>
      <c r="G66" s="2"/>
      <c r="H66" s="2" t="s">
        <v>4160</v>
      </c>
    </row>
    <row r="67" customFormat="false" ht="15" hidden="false" customHeight="false" outlineLevel="0" collapsed="false">
      <c r="A67" s="2" t="n">
        <v>9</v>
      </c>
      <c r="B67" s="2" t="s">
        <v>174</v>
      </c>
      <c r="C67" s="2" t="s">
        <v>181</v>
      </c>
      <c r="D67" s="2" t="s">
        <v>4161</v>
      </c>
      <c r="E67" s="2" t="s">
        <v>3989</v>
      </c>
      <c r="F67" s="2" t="s">
        <v>4162</v>
      </c>
      <c r="G67" s="2"/>
      <c r="H67" s="2" t="s">
        <v>4163</v>
      </c>
    </row>
    <row r="68" customFormat="false" ht="15" hidden="false" customHeight="false" outlineLevel="0" collapsed="false">
      <c r="A68" s="2" t="n">
        <v>9</v>
      </c>
      <c r="B68" s="2" t="s">
        <v>174</v>
      </c>
      <c r="C68" s="2" t="s">
        <v>181</v>
      </c>
      <c r="D68" s="2" t="s">
        <v>4164</v>
      </c>
      <c r="E68" s="2" t="s">
        <v>3989</v>
      </c>
      <c r="F68" s="2" t="s">
        <v>3607</v>
      </c>
      <c r="G68" s="2"/>
      <c r="H68" s="2" t="s">
        <v>4165</v>
      </c>
    </row>
    <row r="69" customFormat="false" ht="15" hidden="false" customHeight="false" outlineLevel="0" collapsed="false">
      <c r="A69" s="2" t="n">
        <v>10</v>
      </c>
      <c r="B69" s="2" t="s">
        <v>189</v>
      </c>
      <c r="C69" s="2" t="s">
        <v>194</v>
      </c>
      <c r="D69" s="2" t="s">
        <v>4166</v>
      </c>
      <c r="E69" s="2" t="s">
        <v>3989</v>
      </c>
      <c r="F69" s="2" t="s">
        <v>4167</v>
      </c>
      <c r="G69" s="2"/>
      <c r="H69" s="2" t="s">
        <v>4168</v>
      </c>
    </row>
    <row r="70" customFormat="false" ht="15" hidden="false" customHeight="false" outlineLevel="0" collapsed="false">
      <c r="A70" s="2" t="n">
        <v>11</v>
      </c>
      <c r="B70" s="2" t="s">
        <v>198</v>
      </c>
      <c r="C70" s="2" t="s">
        <v>205</v>
      </c>
      <c r="D70" s="2" t="s">
        <v>4169</v>
      </c>
      <c r="E70" s="2" t="s">
        <v>3989</v>
      </c>
      <c r="F70" s="2" t="s">
        <v>4170</v>
      </c>
      <c r="G70" s="2"/>
      <c r="H70" s="2" t="s">
        <v>4171</v>
      </c>
    </row>
    <row r="71" customFormat="false" ht="15" hidden="false" customHeight="false" outlineLevel="0" collapsed="false">
      <c r="A71" s="2" t="n">
        <v>11</v>
      </c>
      <c r="B71" s="2" t="s">
        <v>198</v>
      </c>
      <c r="C71" s="2" t="s">
        <v>205</v>
      </c>
      <c r="D71" s="2" t="s">
        <v>4172</v>
      </c>
      <c r="E71" s="2" t="s">
        <v>3989</v>
      </c>
      <c r="F71" s="2" t="s">
        <v>4173</v>
      </c>
      <c r="G71" s="2"/>
      <c r="H71" s="2" t="s">
        <v>4174</v>
      </c>
    </row>
    <row r="72" customFormat="false" ht="15" hidden="false" customHeight="false" outlineLevel="0" collapsed="false">
      <c r="A72" s="2" t="n">
        <v>11</v>
      </c>
      <c r="B72" s="2" t="s">
        <v>198</v>
      </c>
      <c r="C72" s="2" t="s">
        <v>205</v>
      </c>
      <c r="D72" s="2" t="s">
        <v>4175</v>
      </c>
      <c r="E72" s="2" t="s">
        <v>3989</v>
      </c>
      <c r="F72" s="2" t="s">
        <v>4176</v>
      </c>
      <c r="G72" s="2"/>
      <c r="H72" s="2" t="s">
        <v>4177</v>
      </c>
    </row>
    <row r="73" customFormat="false" ht="15" hidden="false" customHeight="false" outlineLevel="0" collapsed="false">
      <c r="A73" s="2" t="n">
        <v>11</v>
      </c>
      <c r="B73" s="2" t="s">
        <v>198</v>
      </c>
      <c r="C73" s="2" t="s">
        <v>205</v>
      </c>
      <c r="D73" s="2" t="s">
        <v>4178</v>
      </c>
      <c r="E73" s="2" t="s">
        <v>3989</v>
      </c>
      <c r="F73" s="2" t="s">
        <v>4179</v>
      </c>
      <c r="G73" s="2"/>
      <c r="H73" s="2" t="s">
        <v>4180</v>
      </c>
    </row>
    <row r="74" customFormat="false" ht="15" hidden="false" customHeight="false" outlineLevel="0" collapsed="false">
      <c r="A74" s="2" t="n">
        <v>11</v>
      </c>
      <c r="B74" s="2" t="s">
        <v>198</v>
      </c>
      <c r="C74" s="2" t="s">
        <v>205</v>
      </c>
      <c r="D74" s="2" t="s">
        <v>4181</v>
      </c>
      <c r="E74" s="2" t="s">
        <v>3989</v>
      </c>
      <c r="F74" s="2" t="s">
        <v>4182</v>
      </c>
      <c r="G74" s="2"/>
      <c r="H74" s="2" t="s">
        <v>4183</v>
      </c>
    </row>
    <row r="75" customFormat="false" ht="15" hidden="false" customHeight="false" outlineLevel="0" collapsed="false">
      <c r="A75" s="2" t="n">
        <v>11</v>
      </c>
      <c r="B75" s="2" t="s">
        <v>198</v>
      </c>
      <c r="C75" s="2" t="s">
        <v>205</v>
      </c>
      <c r="D75" s="2" t="s">
        <v>4184</v>
      </c>
      <c r="E75" s="2" t="s">
        <v>3989</v>
      </c>
      <c r="F75" s="2" t="s">
        <v>4185</v>
      </c>
      <c r="G75" s="2"/>
      <c r="H75" s="2" t="s">
        <v>4186</v>
      </c>
    </row>
    <row r="76" customFormat="false" ht="15" hidden="false" customHeight="false" outlineLevel="0" collapsed="false">
      <c r="A76" s="2" t="n">
        <v>11</v>
      </c>
      <c r="B76" s="2" t="s">
        <v>198</v>
      </c>
      <c r="C76" s="2" t="s">
        <v>205</v>
      </c>
      <c r="D76" s="2" t="s">
        <v>4187</v>
      </c>
      <c r="E76" s="2" t="s">
        <v>3989</v>
      </c>
      <c r="F76" s="2" t="s">
        <v>4188</v>
      </c>
      <c r="G76" s="2"/>
      <c r="H76" s="2" t="s">
        <v>4189</v>
      </c>
    </row>
    <row r="77" customFormat="false" ht="15" hidden="false" customHeight="false" outlineLevel="0" collapsed="false">
      <c r="A77" s="2" t="n">
        <v>11</v>
      </c>
      <c r="B77" s="2" t="s">
        <v>198</v>
      </c>
      <c r="C77" s="2" t="s">
        <v>205</v>
      </c>
      <c r="D77" s="2" t="s">
        <v>4190</v>
      </c>
      <c r="E77" s="2" t="s">
        <v>3989</v>
      </c>
      <c r="F77" s="2" t="s">
        <v>4191</v>
      </c>
      <c r="G77" s="2"/>
      <c r="H77" s="2" t="s">
        <v>4192</v>
      </c>
    </row>
    <row r="78" customFormat="false" ht="15" hidden="false" customHeight="false" outlineLevel="0" collapsed="false">
      <c r="A78" s="2" t="n">
        <v>12</v>
      </c>
      <c r="B78" s="2" t="s">
        <v>211</v>
      </c>
      <c r="C78" s="2" t="s">
        <v>217</v>
      </c>
      <c r="D78" s="2" t="s">
        <v>4193</v>
      </c>
      <c r="E78" s="2" t="s">
        <v>3989</v>
      </c>
      <c r="F78" s="2" t="s">
        <v>4194</v>
      </c>
      <c r="G78" s="2" t="s">
        <v>4195</v>
      </c>
      <c r="H78" s="2" t="s">
        <v>4196</v>
      </c>
    </row>
    <row r="79" customFormat="false" ht="15" hidden="false" customHeight="false" outlineLevel="0" collapsed="false">
      <c r="A79" s="2" t="n">
        <v>12</v>
      </c>
      <c r="B79" s="2" t="s">
        <v>211</v>
      </c>
      <c r="C79" s="2" t="s">
        <v>217</v>
      </c>
      <c r="D79" s="2" t="s">
        <v>4197</v>
      </c>
      <c r="E79" s="2" t="s">
        <v>3989</v>
      </c>
      <c r="F79" s="2" t="s">
        <v>4198</v>
      </c>
      <c r="G79" s="2"/>
      <c r="H79" s="2" t="s">
        <v>4199</v>
      </c>
    </row>
    <row r="80" customFormat="false" ht="15" hidden="false" customHeight="false" outlineLevel="0" collapsed="false">
      <c r="A80" s="2" t="n">
        <v>12</v>
      </c>
      <c r="B80" s="2" t="s">
        <v>211</v>
      </c>
      <c r="C80" s="2" t="s">
        <v>217</v>
      </c>
      <c r="D80" s="2" t="s">
        <v>4200</v>
      </c>
      <c r="E80" s="2" t="s">
        <v>3989</v>
      </c>
      <c r="F80" s="2" t="s">
        <v>4201</v>
      </c>
      <c r="G80" s="2" t="s">
        <v>4202</v>
      </c>
      <c r="H80" s="2" t="s">
        <v>4203</v>
      </c>
    </row>
    <row r="81" customFormat="false" ht="15" hidden="false" customHeight="false" outlineLevel="0" collapsed="false">
      <c r="A81" s="2" t="n">
        <v>12</v>
      </c>
      <c r="B81" s="2" t="s">
        <v>211</v>
      </c>
      <c r="C81" s="2" t="s">
        <v>217</v>
      </c>
      <c r="D81" s="2" t="s">
        <v>4204</v>
      </c>
      <c r="E81" s="2" t="s">
        <v>3989</v>
      </c>
      <c r="F81" s="2" t="s">
        <v>1045</v>
      </c>
      <c r="G81" s="2"/>
      <c r="H81" s="2" t="s">
        <v>4205</v>
      </c>
    </row>
    <row r="82" customFormat="false" ht="15" hidden="false" customHeight="false" outlineLevel="0" collapsed="false">
      <c r="A82" s="2" t="n">
        <v>13</v>
      </c>
      <c r="B82" s="2" t="s">
        <v>221</v>
      </c>
      <c r="C82" s="2" t="s">
        <v>227</v>
      </c>
      <c r="D82" s="2" t="s">
        <v>3997</v>
      </c>
      <c r="E82" s="2" t="s">
        <v>3985</v>
      </c>
      <c r="F82" s="2" t="s">
        <v>96</v>
      </c>
      <c r="G82" s="2" t="s">
        <v>3998</v>
      </c>
      <c r="H82" s="2" t="s">
        <v>3999</v>
      </c>
    </row>
    <row r="83" customFormat="false" ht="15" hidden="false" customHeight="false" outlineLevel="0" collapsed="false">
      <c r="A83" s="2" t="n">
        <v>13</v>
      </c>
      <c r="B83" s="2" t="s">
        <v>221</v>
      </c>
      <c r="C83" s="2" t="s">
        <v>227</v>
      </c>
      <c r="D83" s="2" t="s">
        <v>4206</v>
      </c>
      <c r="E83" s="2" t="s">
        <v>3985</v>
      </c>
      <c r="F83" s="2" t="s">
        <v>230</v>
      </c>
      <c r="G83" s="2" t="s">
        <v>4207</v>
      </c>
      <c r="H83" s="2" t="s">
        <v>4208</v>
      </c>
    </row>
    <row r="84" customFormat="false" ht="15" hidden="false" customHeight="false" outlineLevel="0" collapsed="false">
      <c r="A84" s="2" t="n">
        <v>13</v>
      </c>
      <c r="B84" s="2" t="s">
        <v>221</v>
      </c>
      <c r="C84" s="2" t="s">
        <v>227</v>
      </c>
      <c r="D84" s="2" t="s">
        <v>4209</v>
      </c>
      <c r="E84" s="2" t="s">
        <v>3989</v>
      </c>
      <c r="F84" s="2" t="s">
        <v>4210</v>
      </c>
      <c r="G84" s="2"/>
      <c r="H84" s="2" t="s">
        <v>4211</v>
      </c>
    </row>
    <row r="85" customFormat="false" ht="15" hidden="false" customHeight="false" outlineLevel="0" collapsed="false">
      <c r="A85" s="2" t="n">
        <v>13</v>
      </c>
      <c r="B85" s="2" t="s">
        <v>221</v>
      </c>
      <c r="C85" s="2" t="s">
        <v>227</v>
      </c>
      <c r="D85" s="2" t="s">
        <v>4212</v>
      </c>
      <c r="E85" s="2" t="s">
        <v>3989</v>
      </c>
      <c r="F85" s="2" t="s">
        <v>4213</v>
      </c>
      <c r="G85" s="2"/>
      <c r="H85" s="2" t="s">
        <v>4214</v>
      </c>
    </row>
    <row r="86" customFormat="false" ht="15" hidden="false" customHeight="false" outlineLevel="0" collapsed="false">
      <c r="A86" s="2" t="n">
        <v>13</v>
      </c>
      <c r="B86" s="2" t="s">
        <v>221</v>
      </c>
      <c r="C86" s="2" t="s">
        <v>227</v>
      </c>
      <c r="D86" s="2" t="s">
        <v>4215</v>
      </c>
      <c r="E86" s="2" t="s">
        <v>3989</v>
      </c>
      <c r="F86" s="2" t="s">
        <v>1607</v>
      </c>
      <c r="G86" s="2"/>
      <c r="H86" s="2" t="s">
        <v>4216</v>
      </c>
    </row>
    <row r="87" customFormat="false" ht="15" hidden="false" customHeight="false" outlineLevel="0" collapsed="false">
      <c r="A87" s="2" t="n">
        <v>13</v>
      </c>
      <c r="B87" s="2" t="s">
        <v>221</v>
      </c>
      <c r="C87" s="2" t="s">
        <v>227</v>
      </c>
      <c r="D87" s="2" t="s">
        <v>4217</v>
      </c>
      <c r="E87" s="2" t="s">
        <v>3989</v>
      </c>
      <c r="F87" s="2" t="s">
        <v>4218</v>
      </c>
      <c r="G87" s="2"/>
      <c r="H87" s="2" t="s">
        <v>4219</v>
      </c>
    </row>
    <row r="88" customFormat="false" ht="15" hidden="false" customHeight="false" outlineLevel="0" collapsed="false">
      <c r="A88" s="2" t="n">
        <v>14</v>
      </c>
      <c r="B88" s="2" t="s">
        <v>234</v>
      </c>
      <c r="C88" s="2" t="s">
        <v>241</v>
      </c>
      <c r="D88" s="2" t="s">
        <v>4220</v>
      </c>
      <c r="E88" s="2" t="s">
        <v>3985</v>
      </c>
      <c r="F88" s="2" t="s">
        <v>244</v>
      </c>
      <c r="G88" s="2" t="s">
        <v>4221</v>
      </c>
      <c r="H88" s="2" t="s">
        <v>4222</v>
      </c>
    </row>
    <row r="89" customFormat="false" ht="15" hidden="false" customHeight="false" outlineLevel="0" collapsed="false">
      <c r="A89" s="2" t="n">
        <v>14</v>
      </c>
      <c r="B89" s="2" t="s">
        <v>234</v>
      </c>
      <c r="C89" s="2" t="s">
        <v>241</v>
      </c>
      <c r="D89" s="2" t="s">
        <v>4223</v>
      </c>
      <c r="E89" s="2" t="s">
        <v>3985</v>
      </c>
      <c r="F89" s="2" t="s">
        <v>4224</v>
      </c>
      <c r="G89" s="2" t="s">
        <v>4225</v>
      </c>
      <c r="H89" s="2" t="s">
        <v>4226</v>
      </c>
    </row>
    <row r="90" customFormat="false" ht="15" hidden="false" customHeight="false" outlineLevel="0" collapsed="false">
      <c r="A90" s="2" t="n">
        <v>14</v>
      </c>
      <c r="B90" s="2" t="s">
        <v>234</v>
      </c>
      <c r="C90" s="2" t="s">
        <v>241</v>
      </c>
      <c r="D90" s="2" t="s">
        <v>4227</v>
      </c>
      <c r="E90" s="2" t="s">
        <v>3985</v>
      </c>
      <c r="F90" s="2" t="s">
        <v>4228</v>
      </c>
      <c r="G90" s="2" t="s">
        <v>4229</v>
      </c>
      <c r="H90" s="2" t="s">
        <v>4230</v>
      </c>
    </row>
    <row r="91" customFormat="false" ht="15" hidden="false" customHeight="false" outlineLevel="0" collapsed="false">
      <c r="A91" s="2" t="n">
        <v>14</v>
      </c>
      <c r="B91" s="2" t="s">
        <v>234</v>
      </c>
      <c r="C91" s="2" t="s">
        <v>241</v>
      </c>
      <c r="D91" s="2" t="s">
        <v>4231</v>
      </c>
      <c r="E91" s="2" t="s">
        <v>3985</v>
      </c>
      <c r="F91" s="2" t="s">
        <v>4232</v>
      </c>
      <c r="G91" s="2" t="s">
        <v>4233</v>
      </c>
      <c r="H91" s="2" t="s">
        <v>4234</v>
      </c>
    </row>
    <row r="92" customFormat="false" ht="15" hidden="false" customHeight="false" outlineLevel="0" collapsed="false">
      <c r="A92" s="2" t="n">
        <v>14</v>
      </c>
      <c r="B92" s="2" t="s">
        <v>234</v>
      </c>
      <c r="C92" s="2" t="s">
        <v>241</v>
      </c>
      <c r="D92" s="2" t="s">
        <v>4235</v>
      </c>
      <c r="E92" s="2" t="s">
        <v>3985</v>
      </c>
      <c r="F92" s="2" t="s">
        <v>4236</v>
      </c>
      <c r="G92" s="2" t="s">
        <v>4237</v>
      </c>
      <c r="H92" s="2" t="s">
        <v>4238</v>
      </c>
    </row>
    <row r="93" customFormat="false" ht="15" hidden="false" customHeight="false" outlineLevel="0" collapsed="false">
      <c r="A93" s="2" t="n">
        <v>14</v>
      </c>
      <c r="B93" s="2" t="s">
        <v>234</v>
      </c>
      <c r="C93" s="2" t="s">
        <v>241</v>
      </c>
      <c r="D93" s="2" t="s">
        <v>4239</v>
      </c>
      <c r="E93" s="2" t="s">
        <v>3985</v>
      </c>
      <c r="F93" s="2" t="s">
        <v>4240</v>
      </c>
      <c r="G93" s="2" t="s">
        <v>4241</v>
      </c>
      <c r="H93" s="2" t="s">
        <v>4242</v>
      </c>
    </row>
    <row r="94" customFormat="false" ht="15" hidden="false" customHeight="false" outlineLevel="0" collapsed="false">
      <c r="A94" s="2" t="n">
        <v>14</v>
      </c>
      <c r="B94" s="2" t="s">
        <v>234</v>
      </c>
      <c r="C94" s="2" t="s">
        <v>241</v>
      </c>
      <c r="D94" s="2" t="s">
        <v>1481</v>
      </c>
      <c r="E94" s="2" t="s">
        <v>3985</v>
      </c>
      <c r="F94" s="2" t="s">
        <v>1474</v>
      </c>
      <c r="G94" s="2" t="s">
        <v>1482</v>
      </c>
      <c r="H94" s="2" t="s">
        <v>1483</v>
      </c>
    </row>
    <row r="95" customFormat="false" ht="15" hidden="false" customHeight="false" outlineLevel="0" collapsed="false">
      <c r="A95" s="2" t="n">
        <v>14</v>
      </c>
      <c r="B95" s="2" t="s">
        <v>234</v>
      </c>
      <c r="C95" s="2" t="s">
        <v>241</v>
      </c>
      <c r="D95" s="2" t="s">
        <v>4243</v>
      </c>
      <c r="E95" s="2" t="s">
        <v>3985</v>
      </c>
      <c r="F95" s="2" t="s">
        <v>1489</v>
      </c>
      <c r="G95" s="2" t="s">
        <v>4244</v>
      </c>
      <c r="H95" s="2" t="s">
        <v>4245</v>
      </c>
    </row>
    <row r="96" customFormat="false" ht="15" hidden="false" customHeight="false" outlineLevel="0" collapsed="false">
      <c r="A96" s="2" t="n">
        <v>14</v>
      </c>
      <c r="B96" s="2" t="s">
        <v>234</v>
      </c>
      <c r="C96" s="2" t="s">
        <v>241</v>
      </c>
      <c r="D96" s="2" t="s">
        <v>4246</v>
      </c>
      <c r="E96" s="2" t="s">
        <v>3985</v>
      </c>
      <c r="F96" s="2" t="s">
        <v>4247</v>
      </c>
      <c r="G96" s="2" t="s">
        <v>4248</v>
      </c>
      <c r="H96" s="2" t="s">
        <v>4249</v>
      </c>
    </row>
    <row r="97" customFormat="false" ht="15" hidden="false" customHeight="false" outlineLevel="0" collapsed="false">
      <c r="A97" s="2" t="n">
        <v>14</v>
      </c>
      <c r="B97" s="2" t="s">
        <v>234</v>
      </c>
      <c r="C97" s="2" t="s">
        <v>241</v>
      </c>
      <c r="D97" s="2" t="s">
        <v>4250</v>
      </c>
      <c r="E97" s="2" t="s">
        <v>3985</v>
      </c>
      <c r="F97" s="2" t="s">
        <v>4251</v>
      </c>
      <c r="G97" s="2" t="s">
        <v>4252</v>
      </c>
      <c r="H97" s="2" t="s">
        <v>4253</v>
      </c>
    </row>
    <row r="98" customFormat="false" ht="15" hidden="false" customHeight="false" outlineLevel="0" collapsed="false">
      <c r="A98" s="2" t="n">
        <v>14</v>
      </c>
      <c r="B98" s="2" t="s">
        <v>234</v>
      </c>
      <c r="C98" s="2" t="s">
        <v>241</v>
      </c>
      <c r="D98" s="2" t="s">
        <v>4254</v>
      </c>
      <c r="E98" s="2" t="s">
        <v>3985</v>
      </c>
      <c r="F98" s="2" t="s">
        <v>4255</v>
      </c>
      <c r="G98" s="2" t="s">
        <v>4256</v>
      </c>
      <c r="H98" s="2" t="s">
        <v>4257</v>
      </c>
    </row>
    <row r="99" customFormat="false" ht="15" hidden="false" customHeight="false" outlineLevel="0" collapsed="false">
      <c r="A99" s="2" t="n">
        <v>14</v>
      </c>
      <c r="B99" s="2" t="s">
        <v>234</v>
      </c>
      <c r="C99" s="2" t="s">
        <v>241</v>
      </c>
      <c r="D99" s="2" t="s">
        <v>4258</v>
      </c>
      <c r="E99" s="2" t="s">
        <v>3985</v>
      </c>
      <c r="F99" s="2" t="s">
        <v>4259</v>
      </c>
      <c r="G99" s="2" t="s">
        <v>4260</v>
      </c>
      <c r="H99" s="2" t="s">
        <v>4261</v>
      </c>
    </row>
    <row r="100" customFormat="false" ht="15" hidden="false" customHeight="false" outlineLevel="0" collapsed="false">
      <c r="A100" s="2" t="n">
        <v>14</v>
      </c>
      <c r="B100" s="2" t="s">
        <v>234</v>
      </c>
      <c r="C100" s="2" t="s">
        <v>241</v>
      </c>
      <c r="D100" s="2" t="s">
        <v>4262</v>
      </c>
      <c r="E100" s="2" t="s">
        <v>3985</v>
      </c>
      <c r="F100" s="2" t="s">
        <v>4259</v>
      </c>
      <c r="G100" s="2" t="s">
        <v>4263</v>
      </c>
      <c r="H100" s="2" t="s">
        <v>4264</v>
      </c>
    </row>
    <row r="101" customFormat="false" ht="15" hidden="false" customHeight="false" outlineLevel="0" collapsed="false">
      <c r="A101" s="2" t="n">
        <v>14</v>
      </c>
      <c r="B101" s="2" t="s">
        <v>234</v>
      </c>
      <c r="C101" s="2" t="s">
        <v>241</v>
      </c>
      <c r="D101" s="2" t="s">
        <v>4265</v>
      </c>
      <c r="E101" s="2" t="s">
        <v>3985</v>
      </c>
      <c r="F101" s="2" t="s">
        <v>1637</v>
      </c>
      <c r="G101" s="2" t="s">
        <v>4266</v>
      </c>
      <c r="H101" s="2" t="s">
        <v>4267</v>
      </c>
    </row>
    <row r="102" customFormat="false" ht="15" hidden="false" customHeight="false" outlineLevel="0" collapsed="false">
      <c r="A102" s="2" t="n">
        <v>14</v>
      </c>
      <c r="B102" s="2" t="s">
        <v>234</v>
      </c>
      <c r="C102" s="2" t="s">
        <v>241</v>
      </c>
      <c r="D102" s="2" t="s">
        <v>4268</v>
      </c>
      <c r="E102" s="2" t="s">
        <v>3985</v>
      </c>
      <c r="F102" s="2" t="s">
        <v>418</v>
      </c>
      <c r="G102" s="2" t="s">
        <v>4269</v>
      </c>
      <c r="H102" s="2" t="s">
        <v>4270</v>
      </c>
    </row>
    <row r="103" customFormat="false" ht="15" hidden="false" customHeight="false" outlineLevel="0" collapsed="false">
      <c r="A103" s="2" t="n">
        <v>14</v>
      </c>
      <c r="B103" s="2" t="s">
        <v>234</v>
      </c>
      <c r="C103" s="2" t="s">
        <v>241</v>
      </c>
      <c r="D103" s="2" t="s">
        <v>4271</v>
      </c>
      <c r="E103" s="2" t="s">
        <v>3985</v>
      </c>
      <c r="F103" s="2" t="s">
        <v>4272</v>
      </c>
      <c r="G103" s="2" t="s">
        <v>4273</v>
      </c>
      <c r="H103" s="2" t="s">
        <v>4274</v>
      </c>
    </row>
    <row r="104" customFormat="false" ht="15" hidden="false" customHeight="false" outlineLevel="0" collapsed="false">
      <c r="A104" s="2" t="n">
        <v>14</v>
      </c>
      <c r="B104" s="2" t="s">
        <v>234</v>
      </c>
      <c r="C104" s="2" t="s">
        <v>241</v>
      </c>
      <c r="D104" s="2" t="s">
        <v>4275</v>
      </c>
      <c r="E104" s="2" t="s">
        <v>3985</v>
      </c>
      <c r="F104" s="2" t="s">
        <v>1766</v>
      </c>
      <c r="G104" s="2" t="s">
        <v>4276</v>
      </c>
      <c r="H104" s="2" t="s">
        <v>4277</v>
      </c>
    </row>
    <row r="105" customFormat="false" ht="15" hidden="false" customHeight="false" outlineLevel="0" collapsed="false">
      <c r="A105" s="2" t="n">
        <v>14</v>
      </c>
      <c r="B105" s="2" t="s">
        <v>234</v>
      </c>
      <c r="C105" s="2" t="s">
        <v>241</v>
      </c>
      <c r="D105" s="2" t="s">
        <v>4278</v>
      </c>
      <c r="E105" s="2" t="s">
        <v>3985</v>
      </c>
      <c r="F105" s="2" t="s">
        <v>1797</v>
      </c>
      <c r="G105" s="2" t="s">
        <v>4279</v>
      </c>
      <c r="H105" s="2" t="s">
        <v>4280</v>
      </c>
    </row>
    <row r="106" customFormat="false" ht="15" hidden="false" customHeight="false" outlineLevel="0" collapsed="false">
      <c r="A106" s="2" t="n">
        <v>14</v>
      </c>
      <c r="B106" s="2" t="s">
        <v>234</v>
      </c>
      <c r="C106" s="2" t="s">
        <v>241</v>
      </c>
      <c r="D106" s="2" t="s">
        <v>4281</v>
      </c>
      <c r="E106" s="2" t="s">
        <v>3985</v>
      </c>
      <c r="F106" s="2" t="s">
        <v>1813</v>
      </c>
      <c r="G106" s="2" t="s">
        <v>4282</v>
      </c>
      <c r="H106" s="2" t="s">
        <v>4283</v>
      </c>
    </row>
    <row r="107" customFormat="false" ht="15" hidden="false" customHeight="false" outlineLevel="0" collapsed="false">
      <c r="A107" s="2" t="n">
        <v>14</v>
      </c>
      <c r="B107" s="2" t="s">
        <v>234</v>
      </c>
      <c r="C107" s="2" t="s">
        <v>241</v>
      </c>
      <c r="D107" s="2" t="s">
        <v>4284</v>
      </c>
      <c r="E107" s="2" t="s">
        <v>3985</v>
      </c>
      <c r="F107" s="2" t="s">
        <v>1813</v>
      </c>
      <c r="G107" s="2" t="s">
        <v>4285</v>
      </c>
      <c r="H107" s="2" t="s">
        <v>4286</v>
      </c>
    </row>
    <row r="108" customFormat="false" ht="15" hidden="false" customHeight="false" outlineLevel="0" collapsed="false">
      <c r="A108" s="2" t="n">
        <v>14</v>
      </c>
      <c r="B108" s="2" t="s">
        <v>234</v>
      </c>
      <c r="C108" s="2" t="s">
        <v>241</v>
      </c>
      <c r="D108" s="2" t="s">
        <v>4287</v>
      </c>
      <c r="E108" s="2" t="s">
        <v>3985</v>
      </c>
      <c r="F108" s="2" t="s">
        <v>1817</v>
      </c>
      <c r="G108" s="2" t="s">
        <v>4288</v>
      </c>
      <c r="H108" s="2" t="s">
        <v>4289</v>
      </c>
    </row>
    <row r="109" customFormat="false" ht="15" hidden="false" customHeight="false" outlineLevel="0" collapsed="false">
      <c r="A109" s="2" t="n">
        <v>14</v>
      </c>
      <c r="B109" s="2" t="s">
        <v>234</v>
      </c>
      <c r="C109" s="2" t="s">
        <v>241</v>
      </c>
      <c r="D109" s="2" t="s">
        <v>4290</v>
      </c>
      <c r="E109" s="2" t="s">
        <v>3985</v>
      </c>
      <c r="F109" s="2" t="s">
        <v>441</v>
      </c>
      <c r="G109" s="2" t="s">
        <v>4291</v>
      </c>
      <c r="H109" s="2" t="s">
        <v>4292</v>
      </c>
    </row>
    <row r="110" customFormat="false" ht="15" hidden="false" customHeight="false" outlineLevel="0" collapsed="false">
      <c r="A110" s="2" t="n">
        <v>14</v>
      </c>
      <c r="B110" s="2" t="s">
        <v>234</v>
      </c>
      <c r="C110" s="2" t="s">
        <v>241</v>
      </c>
      <c r="D110" s="2" t="s">
        <v>4293</v>
      </c>
      <c r="E110" s="2" t="s">
        <v>3985</v>
      </c>
      <c r="F110" s="2" t="s">
        <v>1848</v>
      </c>
      <c r="G110" s="2" t="s">
        <v>4294</v>
      </c>
      <c r="H110" s="2" t="s">
        <v>4295</v>
      </c>
    </row>
    <row r="111" customFormat="false" ht="15" hidden="false" customHeight="false" outlineLevel="0" collapsed="false">
      <c r="A111" s="2" t="n">
        <v>14</v>
      </c>
      <c r="B111" s="2" t="s">
        <v>234</v>
      </c>
      <c r="C111" s="2" t="s">
        <v>241</v>
      </c>
      <c r="D111" s="2" t="s">
        <v>4296</v>
      </c>
      <c r="E111" s="2" t="s">
        <v>3985</v>
      </c>
      <c r="F111" s="2" t="s">
        <v>1869</v>
      </c>
      <c r="G111" s="2" t="s">
        <v>4297</v>
      </c>
      <c r="H111" s="2" t="s">
        <v>4298</v>
      </c>
    </row>
    <row r="112" customFormat="false" ht="15" hidden="false" customHeight="false" outlineLevel="0" collapsed="false">
      <c r="A112" s="2" t="n">
        <v>14</v>
      </c>
      <c r="B112" s="2" t="s">
        <v>234</v>
      </c>
      <c r="C112" s="2" t="s">
        <v>241</v>
      </c>
      <c r="D112" s="2" t="s">
        <v>4299</v>
      </c>
      <c r="E112" s="2" t="s">
        <v>3985</v>
      </c>
      <c r="F112" s="2" t="s">
        <v>1877</v>
      </c>
      <c r="G112" s="2" t="s">
        <v>4300</v>
      </c>
      <c r="H112" s="2" t="s">
        <v>4301</v>
      </c>
    </row>
    <row r="113" customFormat="false" ht="15" hidden="false" customHeight="false" outlineLevel="0" collapsed="false">
      <c r="A113" s="2" t="n">
        <v>14</v>
      </c>
      <c r="B113" s="2" t="s">
        <v>234</v>
      </c>
      <c r="C113" s="2" t="s">
        <v>241</v>
      </c>
      <c r="D113" s="2" t="s">
        <v>4302</v>
      </c>
      <c r="E113" s="2" t="s">
        <v>3985</v>
      </c>
      <c r="F113" s="2" t="s">
        <v>4303</v>
      </c>
      <c r="G113" s="2" t="s">
        <v>4304</v>
      </c>
      <c r="H113" s="2" t="s">
        <v>4305</v>
      </c>
    </row>
    <row r="114" customFormat="false" ht="15" hidden="false" customHeight="false" outlineLevel="0" collapsed="false">
      <c r="A114" s="2" t="n">
        <v>14</v>
      </c>
      <c r="B114" s="2" t="s">
        <v>234</v>
      </c>
      <c r="C114" s="2" t="s">
        <v>241</v>
      </c>
      <c r="D114" s="2" t="s">
        <v>4306</v>
      </c>
      <c r="E114" s="2" t="s">
        <v>3985</v>
      </c>
      <c r="F114" s="2" t="s">
        <v>4303</v>
      </c>
      <c r="G114" s="2" t="s">
        <v>4307</v>
      </c>
      <c r="H114" s="2" t="s">
        <v>4308</v>
      </c>
    </row>
    <row r="115" customFormat="false" ht="15" hidden="false" customHeight="false" outlineLevel="0" collapsed="false">
      <c r="A115" s="2" t="n">
        <v>14</v>
      </c>
      <c r="B115" s="2" t="s">
        <v>234</v>
      </c>
      <c r="C115" s="2" t="s">
        <v>241</v>
      </c>
      <c r="D115" s="2" t="s">
        <v>4309</v>
      </c>
      <c r="E115" s="2" t="s">
        <v>3985</v>
      </c>
      <c r="F115" s="2" t="s">
        <v>4310</v>
      </c>
      <c r="G115" s="2" t="s">
        <v>4311</v>
      </c>
      <c r="H115" s="2" t="s">
        <v>4312</v>
      </c>
    </row>
    <row r="116" customFormat="false" ht="15" hidden="false" customHeight="false" outlineLevel="0" collapsed="false">
      <c r="A116" s="2" t="n">
        <v>14</v>
      </c>
      <c r="B116" s="2" t="s">
        <v>234</v>
      </c>
      <c r="C116" s="2" t="s">
        <v>241</v>
      </c>
      <c r="D116" s="2" t="s">
        <v>4313</v>
      </c>
      <c r="E116" s="2" t="s">
        <v>3985</v>
      </c>
      <c r="F116" s="2" t="s">
        <v>4314</v>
      </c>
      <c r="G116" s="2" t="s">
        <v>4315</v>
      </c>
      <c r="H116" s="2" t="s">
        <v>4316</v>
      </c>
    </row>
    <row r="117" customFormat="false" ht="15" hidden="false" customHeight="false" outlineLevel="0" collapsed="false">
      <c r="A117" s="2" t="n">
        <v>14</v>
      </c>
      <c r="B117" s="2" t="s">
        <v>234</v>
      </c>
      <c r="C117" s="2" t="s">
        <v>241</v>
      </c>
      <c r="D117" s="2" t="s">
        <v>4317</v>
      </c>
      <c r="E117" s="2" t="s">
        <v>3985</v>
      </c>
      <c r="F117" s="2" t="s">
        <v>651</v>
      </c>
      <c r="G117" s="2" t="s">
        <v>4318</v>
      </c>
      <c r="H117" s="2" t="s">
        <v>4319</v>
      </c>
    </row>
    <row r="118" customFormat="false" ht="15" hidden="false" customHeight="false" outlineLevel="0" collapsed="false">
      <c r="A118" s="2" t="n">
        <v>14</v>
      </c>
      <c r="B118" s="2" t="s">
        <v>234</v>
      </c>
      <c r="C118" s="2" t="s">
        <v>241</v>
      </c>
      <c r="D118" s="2" t="s">
        <v>4320</v>
      </c>
      <c r="E118" s="2" t="s">
        <v>3985</v>
      </c>
      <c r="F118" s="2" t="s">
        <v>2009</v>
      </c>
      <c r="G118" s="2" t="s">
        <v>4321</v>
      </c>
      <c r="H118" s="2" t="s">
        <v>4322</v>
      </c>
    </row>
    <row r="119" customFormat="false" ht="15" hidden="false" customHeight="false" outlineLevel="0" collapsed="false">
      <c r="A119" s="2" t="n">
        <v>14</v>
      </c>
      <c r="B119" s="2" t="s">
        <v>234</v>
      </c>
      <c r="C119" s="2" t="s">
        <v>241</v>
      </c>
      <c r="D119" s="2" t="s">
        <v>4323</v>
      </c>
      <c r="E119" s="2" t="s">
        <v>3985</v>
      </c>
      <c r="F119" s="2" t="s">
        <v>694</v>
      </c>
      <c r="G119" s="2" t="s">
        <v>4324</v>
      </c>
      <c r="H119" s="2" t="s">
        <v>4325</v>
      </c>
    </row>
    <row r="120" customFormat="false" ht="15" hidden="false" customHeight="false" outlineLevel="0" collapsed="false">
      <c r="A120" s="2" t="n">
        <v>14</v>
      </c>
      <c r="B120" s="2" t="s">
        <v>234</v>
      </c>
      <c r="C120" s="2" t="s">
        <v>241</v>
      </c>
      <c r="D120" s="2" t="s">
        <v>4326</v>
      </c>
      <c r="E120" s="2" t="s">
        <v>3985</v>
      </c>
      <c r="F120" s="2" t="s">
        <v>2100</v>
      </c>
      <c r="G120" s="2" t="s">
        <v>4327</v>
      </c>
      <c r="H120" s="2" t="s">
        <v>4328</v>
      </c>
    </row>
    <row r="121" customFormat="false" ht="15" hidden="false" customHeight="false" outlineLevel="0" collapsed="false">
      <c r="A121" s="2" t="n">
        <v>14</v>
      </c>
      <c r="B121" s="2" t="s">
        <v>234</v>
      </c>
      <c r="C121" s="2" t="s">
        <v>241</v>
      </c>
      <c r="D121" s="2" t="s">
        <v>991</v>
      </c>
      <c r="E121" s="2" t="s">
        <v>3985</v>
      </c>
      <c r="F121" s="2" t="s">
        <v>990</v>
      </c>
      <c r="G121" s="2" t="s">
        <v>4329</v>
      </c>
      <c r="H121" s="2" t="s">
        <v>992</v>
      </c>
    </row>
    <row r="122" customFormat="false" ht="15" hidden="false" customHeight="false" outlineLevel="0" collapsed="false">
      <c r="A122" s="2" t="n">
        <v>14</v>
      </c>
      <c r="B122" s="2" t="s">
        <v>234</v>
      </c>
      <c r="C122" s="2" t="s">
        <v>241</v>
      </c>
      <c r="D122" s="2" t="s">
        <v>4330</v>
      </c>
      <c r="E122" s="2" t="s">
        <v>3985</v>
      </c>
      <c r="F122" s="2" t="s">
        <v>245</v>
      </c>
      <c r="G122" s="2" t="s">
        <v>4331</v>
      </c>
      <c r="H122" s="2" t="s">
        <v>4332</v>
      </c>
    </row>
    <row r="123" customFormat="false" ht="15" hidden="false" customHeight="false" outlineLevel="0" collapsed="false">
      <c r="A123" s="2" t="n">
        <v>14</v>
      </c>
      <c r="B123" s="2" t="s">
        <v>234</v>
      </c>
      <c r="C123" s="2" t="s">
        <v>241</v>
      </c>
      <c r="D123" s="2" t="s">
        <v>4333</v>
      </c>
      <c r="E123" s="2" t="s">
        <v>3989</v>
      </c>
      <c r="F123" s="2" t="s">
        <v>4224</v>
      </c>
      <c r="G123" s="2"/>
      <c r="H123" s="2" t="s">
        <v>4334</v>
      </c>
    </row>
    <row r="124" customFormat="false" ht="15" hidden="false" customHeight="false" outlineLevel="0" collapsed="false">
      <c r="A124" s="2" t="n">
        <v>14</v>
      </c>
      <c r="B124" s="2" t="s">
        <v>234</v>
      </c>
      <c r="C124" s="2" t="s">
        <v>241</v>
      </c>
      <c r="D124" s="2" t="s">
        <v>4335</v>
      </c>
      <c r="E124" s="2" t="s">
        <v>3989</v>
      </c>
      <c r="F124" s="2" t="s">
        <v>4224</v>
      </c>
      <c r="G124" s="2"/>
      <c r="H124" s="2" t="s">
        <v>4336</v>
      </c>
    </row>
    <row r="125" customFormat="false" ht="15" hidden="false" customHeight="false" outlineLevel="0" collapsed="false">
      <c r="A125" s="2" t="n">
        <v>14</v>
      </c>
      <c r="B125" s="2" t="s">
        <v>234</v>
      </c>
      <c r="C125" s="2" t="s">
        <v>241</v>
      </c>
      <c r="D125" s="2" t="s">
        <v>4337</v>
      </c>
      <c r="E125" s="2" t="s">
        <v>3989</v>
      </c>
      <c r="F125" s="2" t="s">
        <v>4224</v>
      </c>
      <c r="G125" s="2"/>
      <c r="H125" s="2" t="s">
        <v>4338</v>
      </c>
    </row>
    <row r="126" customFormat="false" ht="15" hidden="false" customHeight="false" outlineLevel="0" collapsed="false">
      <c r="A126" s="2" t="n">
        <v>14</v>
      </c>
      <c r="B126" s="2" t="s">
        <v>234</v>
      </c>
      <c r="C126" s="2" t="s">
        <v>241</v>
      </c>
      <c r="D126" s="2" t="s">
        <v>4339</v>
      </c>
      <c r="E126" s="2" t="s">
        <v>3989</v>
      </c>
      <c r="F126" s="2" t="s">
        <v>4224</v>
      </c>
      <c r="G126" s="2"/>
      <c r="H126" s="2" t="s">
        <v>4340</v>
      </c>
    </row>
    <row r="127" customFormat="false" ht="15" hidden="false" customHeight="false" outlineLevel="0" collapsed="false">
      <c r="A127" s="2" t="n">
        <v>14</v>
      </c>
      <c r="B127" s="2" t="s">
        <v>234</v>
      </c>
      <c r="C127" s="2" t="s">
        <v>241</v>
      </c>
      <c r="D127" s="2" t="s">
        <v>4341</v>
      </c>
      <c r="E127" s="2" t="s">
        <v>3989</v>
      </c>
      <c r="F127" s="2" t="s">
        <v>4224</v>
      </c>
      <c r="G127" s="2"/>
      <c r="H127" s="2" t="s">
        <v>4342</v>
      </c>
    </row>
    <row r="128" customFormat="false" ht="15" hidden="false" customHeight="false" outlineLevel="0" collapsed="false">
      <c r="A128" s="2" t="n">
        <v>14</v>
      </c>
      <c r="B128" s="2" t="s">
        <v>234</v>
      </c>
      <c r="C128" s="2" t="s">
        <v>241</v>
      </c>
      <c r="D128" s="2" t="s">
        <v>4343</v>
      </c>
      <c r="E128" s="2" t="s">
        <v>3989</v>
      </c>
      <c r="F128" s="2" t="s">
        <v>4224</v>
      </c>
      <c r="G128" s="2" t="s">
        <v>4344</v>
      </c>
      <c r="H128" s="2" t="s">
        <v>4345</v>
      </c>
    </row>
    <row r="129" customFormat="false" ht="15" hidden="false" customHeight="false" outlineLevel="0" collapsed="false">
      <c r="A129" s="2" t="n">
        <v>14</v>
      </c>
      <c r="B129" s="2" t="s">
        <v>234</v>
      </c>
      <c r="C129" s="2" t="s">
        <v>241</v>
      </c>
      <c r="D129" s="2" t="s">
        <v>4346</v>
      </c>
      <c r="E129" s="2" t="s">
        <v>3989</v>
      </c>
      <c r="F129" s="2" t="s">
        <v>4347</v>
      </c>
      <c r="G129" s="2"/>
      <c r="H129" s="2" t="s">
        <v>4348</v>
      </c>
    </row>
    <row r="130" customFormat="false" ht="15" hidden="false" customHeight="false" outlineLevel="0" collapsed="false">
      <c r="A130" s="2" t="n">
        <v>14</v>
      </c>
      <c r="B130" s="2" t="s">
        <v>234</v>
      </c>
      <c r="C130" s="2" t="s">
        <v>241</v>
      </c>
      <c r="D130" s="2" t="s">
        <v>4349</v>
      </c>
      <c r="E130" s="2" t="s">
        <v>3989</v>
      </c>
      <c r="F130" s="2" t="s">
        <v>4350</v>
      </c>
      <c r="G130" s="2"/>
      <c r="H130" s="2" t="s">
        <v>4351</v>
      </c>
    </row>
    <row r="131" customFormat="false" ht="15" hidden="false" customHeight="false" outlineLevel="0" collapsed="false">
      <c r="A131" s="2" t="n">
        <v>14</v>
      </c>
      <c r="B131" s="2" t="s">
        <v>234</v>
      </c>
      <c r="C131" s="2" t="s">
        <v>241</v>
      </c>
      <c r="D131" s="2" t="s">
        <v>4352</v>
      </c>
      <c r="E131" s="2" t="s">
        <v>3989</v>
      </c>
      <c r="F131" s="2" t="s">
        <v>4350</v>
      </c>
      <c r="G131" s="2"/>
      <c r="H131" s="2" t="s">
        <v>4353</v>
      </c>
    </row>
    <row r="132" customFormat="false" ht="15" hidden="false" customHeight="false" outlineLevel="0" collapsed="false">
      <c r="A132" s="2" t="n">
        <v>14</v>
      </c>
      <c r="B132" s="2" t="s">
        <v>234</v>
      </c>
      <c r="C132" s="2" t="s">
        <v>241</v>
      </c>
      <c r="D132" s="2" t="s">
        <v>4354</v>
      </c>
      <c r="E132" s="2" t="s">
        <v>3989</v>
      </c>
      <c r="F132" s="2" t="s">
        <v>4355</v>
      </c>
      <c r="G132" s="2"/>
      <c r="H132" s="2" t="s">
        <v>4356</v>
      </c>
    </row>
    <row r="133" customFormat="false" ht="15" hidden="false" customHeight="false" outlineLevel="0" collapsed="false">
      <c r="A133" s="2" t="n">
        <v>14</v>
      </c>
      <c r="B133" s="2" t="s">
        <v>234</v>
      </c>
      <c r="C133" s="2" t="s">
        <v>241</v>
      </c>
      <c r="D133" s="2" t="s">
        <v>4357</v>
      </c>
      <c r="E133" s="2" t="s">
        <v>3989</v>
      </c>
      <c r="F133" s="2" t="s">
        <v>4355</v>
      </c>
      <c r="G133" s="2" t="s">
        <v>4358</v>
      </c>
      <c r="H133" s="2" t="s">
        <v>4359</v>
      </c>
    </row>
    <row r="134" customFormat="false" ht="15" hidden="false" customHeight="false" outlineLevel="0" collapsed="false">
      <c r="A134" s="2" t="n">
        <v>14</v>
      </c>
      <c r="B134" s="2" t="s">
        <v>234</v>
      </c>
      <c r="C134" s="2" t="s">
        <v>241</v>
      </c>
      <c r="D134" s="2" t="s">
        <v>4360</v>
      </c>
      <c r="E134" s="2" t="s">
        <v>3989</v>
      </c>
      <c r="F134" s="2" t="s">
        <v>389</v>
      </c>
      <c r="G134" s="2"/>
      <c r="H134" s="2" t="s">
        <v>4361</v>
      </c>
    </row>
    <row r="135" customFormat="false" ht="15" hidden="false" customHeight="false" outlineLevel="0" collapsed="false">
      <c r="A135" s="2" t="n">
        <v>14</v>
      </c>
      <c r="B135" s="2" t="s">
        <v>234</v>
      </c>
      <c r="C135" s="2" t="s">
        <v>241</v>
      </c>
      <c r="D135" s="2" t="s">
        <v>4362</v>
      </c>
      <c r="E135" s="2" t="s">
        <v>3989</v>
      </c>
      <c r="F135" s="2" t="s">
        <v>4363</v>
      </c>
      <c r="G135" s="2"/>
      <c r="H135" s="2" t="s">
        <v>4364</v>
      </c>
    </row>
    <row r="136" customFormat="false" ht="15" hidden="false" customHeight="false" outlineLevel="0" collapsed="false">
      <c r="A136" s="2" t="n">
        <v>14</v>
      </c>
      <c r="B136" s="2" t="s">
        <v>234</v>
      </c>
      <c r="C136" s="2" t="s">
        <v>241</v>
      </c>
      <c r="D136" s="2" t="s">
        <v>4365</v>
      </c>
      <c r="E136" s="2" t="s">
        <v>3989</v>
      </c>
      <c r="F136" s="2" t="s">
        <v>4366</v>
      </c>
      <c r="G136" s="2"/>
      <c r="H136" s="2" t="s">
        <v>4367</v>
      </c>
    </row>
    <row r="137" customFormat="false" ht="15" hidden="false" customHeight="false" outlineLevel="0" collapsed="false">
      <c r="A137" s="2" t="n">
        <v>14</v>
      </c>
      <c r="B137" s="2" t="s">
        <v>234</v>
      </c>
      <c r="C137" s="2" t="s">
        <v>241</v>
      </c>
      <c r="D137" s="2" t="s">
        <v>4368</v>
      </c>
      <c r="E137" s="2" t="s">
        <v>3989</v>
      </c>
      <c r="F137" s="2" t="s">
        <v>4366</v>
      </c>
      <c r="G137" s="2"/>
      <c r="H137" s="2" t="s">
        <v>4369</v>
      </c>
    </row>
    <row r="138" customFormat="false" ht="15" hidden="false" customHeight="false" outlineLevel="0" collapsed="false">
      <c r="A138" s="2" t="n">
        <v>14</v>
      </c>
      <c r="B138" s="2" t="s">
        <v>234</v>
      </c>
      <c r="C138" s="2" t="s">
        <v>241</v>
      </c>
      <c r="D138" s="2" t="s">
        <v>4370</v>
      </c>
      <c r="E138" s="2" t="s">
        <v>3989</v>
      </c>
      <c r="F138" s="2" t="s">
        <v>4371</v>
      </c>
      <c r="G138" s="2"/>
      <c r="H138" s="2" t="s">
        <v>4372</v>
      </c>
    </row>
    <row r="139" customFormat="false" ht="15" hidden="false" customHeight="false" outlineLevel="0" collapsed="false">
      <c r="A139" s="2" t="n">
        <v>14</v>
      </c>
      <c r="B139" s="2" t="s">
        <v>234</v>
      </c>
      <c r="C139" s="2" t="s">
        <v>241</v>
      </c>
      <c r="D139" s="2" t="s">
        <v>4373</v>
      </c>
      <c r="E139" s="2" t="s">
        <v>3989</v>
      </c>
      <c r="F139" s="2" t="s">
        <v>564</v>
      </c>
      <c r="G139" s="2"/>
      <c r="H139" s="2" t="s">
        <v>4374</v>
      </c>
    </row>
    <row r="140" customFormat="false" ht="15" hidden="false" customHeight="false" outlineLevel="0" collapsed="false">
      <c r="A140" s="2" t="n">
        <v>14</v>
      </c>
      <c r="B140" s="2" t="s">
        <v>234</v>
      </c>
      <c r="C140" s="2" t="s">
        <v>241</v>
      </c>
      <c r="D140" s="2" t="s">
        <v>4375</v>
      </c>
      <c r="E140" s="2" t="s">
        <v>3989</v>
      </c>
      <c r="F140" s="2" t="s">
        <v>4376</v>
      </c>
      <c r="G140" s="2"/>
      <c r="H140" s="2" t="s">
        <v>4377</v>
      </c>
    </row>
    <row r="141" customFormat="false" ht="15" hidden="false" customHeight="false" outlineLevel="0" collapsed="false">
      <c r="A141" s="2" t="n">
        <v>14</v>
      </c>
      <c r="B141" s="2" t="s">
        <v>234</v>
      </c>
      <c r="C141" s="2" t="s">
        <v>241</v>
      </c>
      <c r="D141" s="2" t="s">
        <v>4378</v>
      </c>
      <c r="E141" s="2" t="s">
        <v>3989</v>
      </c>
      <c r="F141" s="2" t="s">
        <v>4079</v>
      </c>
      <c r="G141" s="2"/>
      <c r="H141" s="2" t="s">
        <v>4379</v>
      </c>
    </row>
    <row r="142" customFormat="false" ht="15" hidden="false" customHeight="false" outlineLevel="0" collapsed="false">
      <c r="A142" s="2" t="n">
        <v>14</v>
      </c>
      <c r="B142" s="2" t="s">
        <v>234</v>
      </c>
      <c r="C142" s="2" t="s">
        <v>241</v>
      </c>
      <c r="D142" s="2" t="s">
        <v>4380</v>
      </c>
      <c r="E142" s="2" t="s">
        <v>3989</v>
      </c>
      <c r="F142" s="2" t="s">
        <v>4381</v>
      </c>
      <c r="G142" s="2"/>
      <c r="H142" s="2" t="s">
        <v>4382</v>
      </c>
    </row>
    <row r="143" customFormat="false" ht="15" hidden="false" customHeight="false" outlineLevel="0" collapsed="false">
      <c r="A143" s="2" t="n">
        <v>14</v>
      </c>
      <c r="B143" s="2" t="s">
        <v>234</v>
      </c>
      <c r="C143" s="2" t="s">
        <v>241</v>
      </c>
      <c r="D143" s="2" t="s">
        <v>4383</v>
      </c>
      <c r="E143" s="2" t="s">
        <v>3989</v>
      </c>
      <c r="F143" s="2" t="s">
        <v>4384</v>
      </c>
      <c r="G143" s="2"/>
      <c r="H143" s="2" t="s">
        <v>4385</v>
      </c>
    </row>
    <row r="144" customFormat="false" ht="15" hidden="false" customHeight="false" outlineLevel="0" collapsed="false">
      <c r="A144" s="2" t="n">
        <v>14</v>
      </c>
      <c r="B144" s="2" t="s">
        <v>234</v>
      </c>
      <c r="C144" s="2" t="s">
        <v>241</v>
      </c>
      <c r="D144" s="2" t="s">
        <v>4386</v>
      </c>
      <c r="E144" s="2" t="s">
        <v>3989</v>
      </c>
      <c r="F144" s="2" t="s">
        <v>2333</v>
      </c>
      <c r="G144" s="2"/>
      <c r="H144" s="2" t="s">
        <v>4387</v>
      </c>
    </row>
    <row r="145" customFormat="false" ht="15" hidden="false" customHeight="false" outlineLevel="0" collapsed="false">
      <c r="A145" s="2" t="n">
        <v>14</v>
      </c>
      <c r="B145" s="2" t="s">
        <v>234</v>
      </c>
      <c r="C145" s="2" t="s">
        <v>241</v>
      </c>
      <c r="D145" s="2" t="s">
        <v>4388</v>
      </c>
      <c r="E145" s="2" t="s">
        <v>3989</v>
      </c>
      <c r="F145" s="2" t="s">
        <v>4389</v>
      </c>
      <c r="G145" s="2"/>
      <c r="H145" s="2" t="s">
        <v>4390</v>
      </c>
    </row>
    <row r="146" customFormat="false" ht="15" hidden="false" customHeight="false" outlineLevel="0" collapsed="false">
      <c r="A146" s="2" t="n">
        <v>15</v>
      </c>
      <c r="B146" s="2" t="s">
        <v>248</v>
      </c>
      <c r="C146" s="2" t="s">
        <v>253</v>
      </c>
      <c r="D146" s="2" t="s">
        <v>4391</v>
      </c>
      <c r="E146" s="2" t="s">
        <v>3985</v>
      </c>
      <c r="F146" s="2" t="s">
        <v>256</v>
      </c>
      <c r="G146" s="2" t="s">
        <v>4392</v>
      </c>
      <c r="H146" s="2" t="s">
        <v>4393</v>
      </c>
    </row>
    <row r="147" customFormat="false" ht="15" hidden="false" customHeight="false" outlineLevel="0" collapsed="false">
      <c r="A147" s="2" t="n">
        <v>15</v>
      </c>
      <c r="B147" s="2" t="s">
        <v>248</v>
      </c>
      <c r="C147" s="2" t="s">
        <v>253</v>
      </c>
      <c r="D147" s="2" t="s">
        <v>942</v>
      </c>
      <c r="E147" s="2" t="s">
        <v>3985</v>
      </c>
      <c r="F147" s="2" t="s">
        <v>257</v>
      </c>
      <c r="G147" s="2" t="s">
        <v>4394</v>
      </c>
      <c r="H147" s="2" t="s">
        <v>943</v>
      </c>
    </row>
    <row r="148" customFormat="false" ht="15" hidden="false" customHeight="false" outlineLevel="0" collapsed="false">
      <c r="A148" s="2" t="n">
        <v>15</v>
      </c>
      <c r="B148" s="2" t="s">
        <v>248</v>
      </c>
      <c r="C148" s="2" t="s">
        <v>253</v>
      </c>
      <c r="D148" s="2" t="s">
        <v>4395</v>
      </c>
      <c r="E148" s="2" t="s">
        <v>3989</v>
      </c>
      <c r="F148" s="2" t="s">
        <v>4126</v>
      </c>
      <c r="G148" s="2" t="s">
        <v>4396</v>
      </c>
      <c r="H148" s="2" t="s">
        <v>4397</v>
      </c>
    </row>
    <row r="149" customFormat="false" ht="15" hidden="false" customHeight="false" outlineLevel="0" collapsed="false">
      <c r="A149" s="2" t="n">
        <v>15</v>
      </c>
      <c r="B149" s="2" t="s">
        <v>248</v>
      </c>
      <c r="C149" s="2" t="s">
        <v>253</v>
      </c>
      <c r="D149" s="2" t="s">
        <v>4398</v>
      </c>
      <c r="E149" s="2" t="s">
        <v>3989</v>
      </c>
      <c r="F149" s="2" t="s">
        <v>4399</v>
      </c>
      <c r="G149" s="2"/>
      <c r="H149" s="2" t="s">
        <v>4400</v>
      </c>
    </row>
    <row r="150" customFormat="false" ht="15" hidden="false" customHeight="false" outlineLevel="0" collapsed="false">
      <c r="A150" s="2" t="n">
        <v>15</v>
      </c>
      <c r="B150" s="2" t="s">
        <v>248</v>
      </c>
      <c r="C150" s="2" t="s">
        <v>253</v>
      </c>
      <c r="D150" s="2" t="s">
        <v>4401</v>
      </c>
      <c r="E150" s="2" t="s">
        <v>3989</v>
      </c>
      <c r="F150" s="2" t="s">
        <v>4402</v>
      </c>
      <c r="G150" s="2"/>
      <c r="H150" s="2" t="s">
        <v>4403</v>
      </c>
    </row>
    <row r="151" customFormat="false" ht="15" hidden="false" customHeight="false" outlineLevel="0" collapsed="false">
      <c r="A151" s="2" t="n">
        <v>16</v>
      </c>
      <c r="B151" s="2" t="s">
        <v>259</v>
      </c>
      <c r="C151" s="2" t="s">
        <v>265</v>
      </c>
      <c r="D151" s="2" t="s">
        <v>4404</v>
      </c>
      <c r="E151" s="2" t="s">
        <v>3985</v>
      </c>
      <c r="F151" s="2" t="s">
        <v>268</v>
      </c>
      <c r="G151" s="2" t="s">
        <v>4405</v>
      </c>
      <c r="H151" s="2" t="s">
        <v>4406</v>
      </c>
    </row>
    <row r="152" customFormat="false" ht="15" hidden="false" customHeight="false" outlineLevel="0" collapsed="false">
      <c r="A152" s="2" t="n">
        <v>16</v>
      </c>
      <c r="B152" s="2" t="s">
        <v>259</v>
      </c>
      <c r="C152" s="2" t="s">
        <v>265</v>
      </c>
      <c r="D152" s="2" t="s">
        <v>4407</v>
      </c>
      <c r="E152" s="2" t="s">
        <v>3985</v>
      </c>
      <c r="F152" s="2" t="s">
        <v>269</v>
      </c>
      <c r="G152" s="2" t="s">
        <v>4408</v>
      </c>
      <c r="H152" s="2" t="s">
        <v>4409</v>
      </c>
    </row>
    <row r="153" customFormat="false" ht="15" hidden="false" customHeight="false" outlineLevel="0" collapsed="false">
      <c r="A153" s="2" t="n">
        <v>16</v>
      </c>
      <c r="B153" s="2" t="s">
        <v>259</v>
      </c>
      <c r="C153" s="2" t="s">
        <v>265</v>
      </c>
      <c r="D153" s="2" t="s">
        <v>4410</v>
      </c>
      <c r="E153" s="2" t="s">
        <v>3989</v>
      </c>
      <c r="F153" s="2" t="s">
        <v>256</v>
      </c>
      <c r="G153" s="2"/>
      <c r="H153" s="2" t="s">
        <v>4411</v>
      </c>
    </row>
    <row r="154" customFormat="false" ht="15" hidden="false" customHeight="false" outlineLevel="0" collapsed="false">
      <c r="A154" s="2" t="n">
        <v>16</v>
      </c>
      <c r="B154" s="2" t="s">
        <v>259</v>
      </c>
      <c r="C154" s="2" t="s">
        <v>265</v>
      </c>
      <c r="D154" s="2" t="s">
        <v>4412</v>
      </c>
      <c r="E154" s="2" t="s">
        <v>3989</v>
      </c>
      <c r="F154" s="2" t="s">
        <v>4413</v>
      </c>
      <c r="G154" s="2"/>
      <c r="H154" s="2" t="s">
        <v>4414</v>
      </c>
    </row>
    <row r="155" customFormat="false" ht="15" hidden="false" customHeight="false" outlineLevel="0" collapsed="false">
      <c r="A155" s="2" t="n">
        <v>17</v>
      </c>
      <c r="B155" s="2" t="s">
        <v>271</v>
      </c>
      <c r="C155" s="2" t="s">
        <v>277</v>
      </c>
      <c r="D155" s="2" t="s">
        <v>2152</v>
      </c>
      <c r="E155" s="2" t="s">
        <v>3985</v>
      </c>
      <c r="F155" s="2" t="s">
        <v>280</v>
      </c>
      <c r="G155" s="2" t="s">
        <v>2154</v>
      </c>
      <c r="H155" s="2" t="s">
        <v>2155</v>
      </c>
    </row>
    <row r="156" customFormat="false" ht="15" hidden="false" customHeight="false" outlineLevel="0" collapsed="false">
      <c r="A156" s="2" t="n">
        <v>17</v>
      </c>
      <c r="B156" s="2" t="s">
        <v>271</v>
      </c>
      <c r="C156" s="2" t="s">
        <v>277</v>
      </c>
      <c r="D156" s="2" t="s">
        <v>2156</v>
      </c>
      <c r="E156" s="2" t="s">
        <v>3985</v>
      </c>
      <c r="F156" s="2" t="s">
        <v>2157</v>
      </c>
      <c r="G156" s="2" t="s">
        <v>2158</v>
      </c>
      <c r="H156" s="2" t="s">
        <v>2159</v>
      </c>
    </row>
    <row r="157" customFormat="false" ht="15" hidden="false" customHeight="false" outlineLevel="0" collapsed="false">
      <c r="A157" s="2" t="n">
        <v>17</v>
      </c>
      <c r="B157" s="2" t="s">
        <v>271</v>
      </c>
      <c r="C157" s="2" t="s">
        <v>277</v>
      </c>
      <c r="D157" s="2" t="s">
        <v>2160</v>
      </c>
      <c r="E157" s="2" t="s">
        <v>3985</v>
      </c>
      <c r="F157" s="2" t="s">
        <v>2161</v>
      </c>
      <c r="G157" s="2" t="s">
        <v>2162</v>
      </c>
      <c r="H157" s="2" t="s">
        <v>2163</v>
      </c>
    </row>
    <row r="158" customFormat="false" ht="15" hidden="false" customHeight="false" outlineLevel="0" collapsed="false">
      <c r="A158" s="2" t="n">
        <v>17</v>
      </c>
      <c r="B158" s="2" t="s">
        <v>271</v>
      </c>
      <c r="C158" s="2" t="s">
        <v>277</v>
      </c>
      <c r="D158" s="2" t="s">
        <v>2164</v>
      </c>
      <c r="E158" s="2" t="s">
        <v>3985</v>
      </c>
      <c r="F158" s="2" t="s">
        <v>2165</v>
      </c>
      <c r="G158" s="2" t="s">
        <v>2166</v>
      </c>
      <c r="H158" s="2" t="s">
        <v>2167</v>
      </c>
    </row>
    <row r="159" customFormat="false" ht="15" hidden="false" customHeight="false" outlineLevel="0" collapsed="false">
      <c r="A159" s="2" t="n">
        <v>17</v>
      </c>
      <c r="B159" s="2" t="s">
        <v>271</v>
      </c>
      <c r="C159" s="2" t="s">
        <v>277</v>
      </c>
      <c r="D159" s="2" t="s">
        <v>2168</v>
      </c>
      <c r="E159" s="2" t="s">
        <v>3985</v>
      </c>
      <c r="F159" s="2" t="s">
        <v>2169</v>
      </c>
      <c r="G159" s="2" t="s">
        <v>2170</v>
      </c>
      <c r="H159" s="2" t="s">
        <v>2171</v>
      </c>
    </row>
    <row r="160" customFormat="false" ht="15" hidden="false" customHeight="false" outlineLevel="0" collapsed="false">
      <c r="A160" s="2" t="n">
        <v>17</v>
      </c>
      <c r="B160" s="2" t="s">
        <v>271</v>
      </c>
      <c r="C160" s="2" t="s">
        <v>277</v>
      </c>
      <c r="D160" s="2" t="s">
        <v>2176</v>
      </c>
      <c r="E160" s="2" t="s">
        <v>3985</v>
      </c>
      <c r="F160" s="2" t="s">
        <v>2173</v>
      </c>
      <c r="G160" s="2" t="s">
        <v>2177</v>
      </c>
      <c r="H160" s="2" t="s">
        <v>2178</v>
      </c>
    </row>
    <row r="161" customFormat="false" ht="15" hidden="false" customHeight="false" outlineLevel="0" collapsed="false">
      <c r="A161" s="2" t="n">
        <v>17</v>
      </c>
      <c r="B161" s="2" t="s">
        <v>271</v>
      </c>
      <c r="C161" s="2" t="s">
        <v>277</v>
      </c>
      <c r="D161" s="2" t="s">
        <v>2179</v>
      </c>
      <c r="E161" s="2" t="s">
        <v>3985</v>
      </c>
      <c r="F161" s="2" t="s">
        <v>2173</v>
      </c>
      <c r="G161" s="2" t="s">
        <v>2180</v>
      </c>
      <c r="H161" s="2" t="s">
        <v>2181</v>
      </c>
    </row>
    <row r="162" customFormat="false" ht="15" hidden="false" customHeight="false" outlineLevel="0" collapsed="false">
      <c r="A162" s="2" t="n">
        <v>17</v>
      </c>
      <c r="B162" s="2" t="s">
        <v>271</v>
      </c>
      <c r="C162" s="2" t="s">
        <v>277</v>
      </c>
      <c r="D162" s="2" t="s">
        <v>2172</v>
      </c>
      <c r="E162" s="2" t="s">
        <v>3985</v>
      </c>
      <c r="F162" s="2" t="s">
        <v>2173</v>
      </c>
      <c r="G162" s="2" t="s">
        <v>2174</v>
      </c>
      <c r="H162" s="2" t="s">
        <v>2175</v>
      </c>
    </row>
    <row r="163" customFormat="false" ht="15" hidden="false" customHeight="false" outlineLevel="0" collapsed="false">
      <c r="A163" s="2" t="n">
        <v>17</v>
      </c>
      <c r="B163" s="2" t="s">
        <v>271</v>
      </c>
      <c r="C163" s="2" t="s">
        <v>277</v>
      </c>
      <c r="D163" s="2" t="s">
        <v>2182</v>
      </c>
      <c r="E163" s="2" t="s">
        <v>3985</v>
      </c>
      <c r="F163" s="2" t="s">
        <v>2183</v>
      </c>
      <c r="G163" s="2" t="s">
        <v>2184</v>
      </c>
      <c r="H163" s="2" t="s">
        <v>2185</v>
      </c>
    </row>
    <row r="164" customFormat="false" ht="15" hidden="false" customHeight="false" outlineLevel="0" collapsed="false">
      <c r="A164" s="2" t="n">
        <v>17</v>
      </c>
      <c r="B164" s="2" t="s">
        <v>271</v>
      </c>
      <c r="C164" s="2" t="s">
        <v>277</v>
      </c>
      <c r="D164" s="2" t="s">
        <v>2186</v>
      </c>
      <c r="E164" s="2" t="s">
        <v>3985</v>
      </c>
      <c r="F164" s="2" t="s">
        <v>2187</v>
      </c>
      <c r="G164" s="2" t="s">
        <v>2188</v>
      </c>
      <c r="H164" s="2" t="s">
        <v>2189</v>
      </c>
    </row>
    <row r="165" customFormat="false" ht="15" hidden="false" customHeight="false" outlineLevel="0" collapsed="false">
      <c r="A165" s="2" t="n">
        <v>17</v>
      </c>
      <c r="B165" s="2" t="s">
        <v>271</v>
      </c>
      <c r="C165" s="2" t="s">
        <v>277</v>
      </c>
      <c r="D165" s="2" t="s">
        <v>2190</v>
      </c>
      <c r="E165" s="2" t="s">
        <v>3985</v>
      </c>
      <c r="F165" s="2" t="s">
        <v>2191</v>
      </c>
      <c r="G165" s="2" t="s">
        <v>2192</v>
      </c>
      <c r="H165" s="2" t="s">
        <v>2193</v>
      </c>
    </row>
    <row r="166" customFormat="false" ht="15" hidden="false" customHeight="false" outlineLevel="0" collapsed="false">
      <c r="A166" s="2" t="n">
        <v>17</v>
      </c>
      <c r="B166" s="2" t="s">
        <v>271</v>
      </c>
      <c r="C166" s="2" t="s">
        <v>277</v>
      </c>
      <c r="D166" s="2" t="s">
        <v>2194</v>
      </c>
      <c r="E166" s="2" t="s">
        <v>3985</v>
      </c>
      <c r="F166" s="2" t="s">
        <v>2195</v>
      </c>
      <c r="G166" s="2" t="s">
        <v>2196</v>
      </c>
      <c r="H166" s="2" t="s">
        <v>2197</v>
      </c>
    </row>
    <row r="167" customFormat="false" ht="15" hidden="false" customHeight="false" outlineLevel="0" collapsed="false">
      <c r="A167" s="2" t="n">
        <v>17</v>
      </c>
      <c r="B167" s="2" t="s">
        <v>271</v>
      </c>
      <c r="C167" s="2" t="s">
        <v>277</v>
      </c>
      <c r="D167" s="2" t="s">
        <v>2198</v>
      </c>
      <c r="E167" s="2" t="s">
        <v>3985</v>
      </c>
      <c r="F167" s="2" t="s">
        <v>2199</v>
      </c>
      <c r="G167" s="2" t="s">
        <v>2200</v>
      </c>
      <c r="H167" s="2" t="s">
        <v>2201</v>
      </c>
    </row>
    <row r="168" customFormat="false" ht="15" hidden="false" customHeight="false" outlineLevel="0" collapsed="false">
      <c r="A168" s="2" t="n">
        <v>17</v>
      </c>
      <c r="B168" s="2" t="s">
        <v>271</v>
      </c>
      <c r="C168" s="2" t="s">
        <v>277</v>
      </c>
      <c r="D168" s="2" t="s">
        <v>2202</v>
      </c>
      <c r="E168" s="2" t="s">
        <v>3985</v>
      </c>
      <c r="F168" s="2" t="s">
        <v>2203</v>
      </c>
      <c r="G168" s="2" t="s">
        <v>2204</v>
      </c>
      <c r="H168" s="2" t="s">
        <v>2205</v>
      </c>
    </row>
    <row r="169" customFormat="false" ht="15" hidden="false" customHeight="false" outlineLevel="0" collapsed="false">
      <c r="A169" s="2" t="n">
        <v>17</v>
      </c>
      <c r="B169" s="2" t="s">
        <v>271</v>
      </c>
      <c r="C169" s="2" t="s">
        <v>277</v>
      </c>
      <c r="D169" s="2" t="s">
        <v>2206</v>
      </c>
      <c r="E169" s="2" t="s">
        <v>3985</v>
      </c>
      <c r="F169" s="2" t="s">
        <v>2207</v>
      </c>
      <c r="G169" s="2" t="s">
        <v>2208</v>
      </c>
      <c r="H169" s="2" t="s">
        <v>2209</v>
      </c>
    </row>
    <row r="170" customFormat="false" ht="15" hidden="false" customHeight="false" outlineLevel="0" collapsed="false">
      <c r="A170" s="2" t="n">
        <v>17</v>
      </c>
      <c r="B170" s="2" t="s">
        <v>271</v>
      </c>
      <c r="C170" s="2" t="s">
        <v>277</v>
      </c>
      <c r="D170" s="2" t="s">
        <v>2210</v>
      </c>
      <c r="E170" s="2" t="s">
        <v>3985</v>
      </c>
      <c r="F170" s="2" t="s">
        <v>2207</v>
      </c>
      <c r="G170" s="2" t="s">
        <v>2211</v>
      </c>
      <c r="H170" s="2" t="s">
        <v>2212</v>
      </c>
    </row>
    <row r="171" customFormat="false" ht="15" hidden="false" customHeight="false" outlineLevel="0" collapsed="false">
      <c r="A171" s="2" t="n">
        <v>17</v>
      </c>
      <c r="B171" s="2" t="s">
        <v>271</v>
      </c>
      <c r="C171" s="2" t="s">
        <v>277</v>
      </c>
      <c r="D171" s="2" t="s">
        <v>2213</v>
      </c>
      <c r="E171" s="2" t="s">
        <v>3985</v>
      </c>
      <c r="F171" s="2" t="s">
        <v>2214</v>
      </c>
      <c r="G171" s="2" t="s">
        <v>2215</v>
      </c>
      <c r="H171" s="2" t="s">
        <v>2216</v>
      </c>
    </row>
    <row r="172" customFormat="false" ht="15" hidden="false" customHeight="false" outlineLevel="0" collapsed="false">
      <c r="A172" s="2" t="n">
        <v>17</v>
      </c>
      <c r="B172" s="2" t="s">
        <v>271</v>
      </c>
      <c r="C172" s="2" t="s">
        <v>277</v>
      </c>
      <c r="D172" s="2" t="s">
        <v>2221</v>
      </c>
      <c r="E172" s="2" t="s">
        <v>3985</v>
      </c>
      <c r="F172" s="2" t="s">
        <v>281</v>
      </c>
      <c r="G172" s="2" t="s">
        <v>2222</v>
      </c>
      <c r="H172" s="2" t="s">
        <v>2223</v>
      </c>
    </row>
    <row r="173" customFormat="false" ht="15" hidden="false" customHeight="false" outlineLevel="0" collapsed="false">
      <c r="A173" s="2" t="n">
        <v>17</v>
      </c>
      <c r="B173" s="2" t="s">
        <v>271</v>
      </c>
      <c r="C173" s="2" t="s">
        <v>277</v>
      </c>
      <c r="D173" s="2" t="s">
        <v>4415</v>
      </c>
      <c r="E173" s="2" t="s">
        <v>3989</v>
      </c>
      <c r="F173" s="2" t="s">
        <v>4056</v>
      </c>
      <c r="G173" s="2" t="s">
        <v>4416</v>
      </c>
      <c r="H173" s="2" t="s">
        <v>4417</v>
      </c>
    </row>
    <row r="174" customFormat="false" ht="15" hidden="false" customHeight="false" outlineLevel="0" collapsed="false">
      <c r="A174" s="2" t="n">
        <v>17</v>
      </c>
      <c r="B174" s="2" t="s">
        <v>271</v>
      </c>
      <c r="C174" s="2" t="s">
        <v>277</v>
      </c>
      <c r="D174" s="2" t="s">
        <v>4418</v>
      </c>
      <c r="E174" s="2" t="s">
        <v>3989</v>
      </c>
      <c r="F174" s="2" t="s">
        <v>4419</v>
      </c>
      <c r="G174" s="2"/>
      <c r="H174" s="2" t="s">
        <v>4420</v>
      </c>
    </row>
    <row r="175" customFormat="false" ht="15" hidden="false" customHeight="false" outlineLevel="0" collapsed="false">
      <c r="A175" s="2" t="n">
        <v>17</v>
      </c>
      <c r="B175" s="2" t="s">
        <v>271</v>
      </c>
      <c r="C175" s="2" t="s">
        <v>277</v>
      </c>
      <c r="D175" s="2" t="s">
        <v>4421</v>
      </c>
      <c r="E175" s="2" t="s">
        <v>3989</v>
      </c>
      <c r="F175" s="2" t="s">
        <v>4422</v>
      </c>
      <c r="G175" s="2"/>
      <c r="H175" s="2" t="s">
        <v>4423</v>
      </c>
    </row>
    <row r="176" customFormat="false" ht="15" hidden="false" customHeight="false" outlineLevel="0" collapsed="false">
      <c r="A176" s="2" t="n">
        <v>17</v>
      </c>
      <c r="B176" s="2" t="s">
        <v>271</v>
      </c>
      <c r="C176" s="2" t="s">
        <v>277</v>
      </c>
      <c r="D176" s="2" t="s">
        <v>4424</v>
      </c>
      <c r="E176" s="2" t="s">
        <v>3989</v>
      </c>
      <c r="F176" s="2" t="s">
        <v>1359</v>
      </c>
      <c r="G176" s="2"/>
      <c r="H176" s="2" t="s">
        <v>4425</v>
      </c>
    </row>
    <row r="177" customFormat="false" ht="15" hidden="false" customHeight="false" outlineLevel="0" collapsed="false">
      <c r="A177" s="2" t="n">
        <v>17</v>
      </c>
      <c r="B177" s="2" t="s">
        <v>271</v>
      </c>
      <c r="C177" s="2" t="s">
        <v>277</v>
      </c>
      <c r="D177" s="2" t="s">
        <v>4426</v>
      </c>
      <c r="E177" s="2" t="s">
        <v>3989</v>
      </c>
      <c r="F177" s="2" t="s">
        <v>3035</v>
      </c>
      <c r="G177" s="2"/>
      <c r="H177" s="2" t="s">
        <v>4427</v>
      </c>
    </row>
    <row r="178" customFormat="false" ht="15" hidden="false" customHeight="false" outlineLevel="0" collapsed="false">
      <c r="A178" s="2" t="n">
        <v>18</v>
      </c>
      <c r="B178" s="2" t="s">
        <v>283</v>
      </c>
      <c r="C178" s="2" t="s">
        <v>288</v>
      </c>
      <c r="D178" s="2" t="s">
        <v>4428</v>
      </c>
      <c r="E178" s="2" t="s">
        <v>3985</v>
      </c>
      <c r="F178" s="2" t="s">
        <v>291</v>
      </c>
      <c r="G178" s="2" t="s">
        <v>4429</v>
      </c>
      <c r="H178" s="2" t="s">
        <v>4430</v>
      </c>
    </row>
    <row r="179" customFormat="false" ht="15" hidden="false" customHeight="false" outlineLevel="0" collapsed="false">
      <c r="A179" s="2" t="n">
        <v>18</v>
      </c>
      <c r="B179" s="2" t="s">
        <v>283</v>
      </c>
      <c r="C179" s="2" t="s">
        <v>288</v>
      </c>
      <c r="D179" s="2" t="s">
        <v>3997</v>
      </c>
      <c r="E179" s="2" t="s">
        <v>3985</v>
      </c>
      <c r="F179" s="2" t="s">
        <v>96</v>
      </c>
      <c r="G179" s="2" t="s">
        <v>3998</v>
      </c>
      <c r="H179" s="2" t="s">
        <v>3999</v>
      </c>
    </row>
    <row r="180" customFormat="false" ht="15" hidden="false" customHeight="false" outlineLevel="0" collapsed="false">
      <c r="A180" s="2" t="n">
        <v>18</v>
      </c>
      <c r="B180" s="2" t="s">
        <v>283</v>
      </c>
      <c r="C180" s="2" t="s">
        <v>288</v>
      </c>
      <c r="D180" s="2" t="s">
        <v>4431</v>
      </c>
      <c r="E180" s="2" t="s">
        <v>3985</v>
      </c>
      <c r="F180" s="2" t="s">
        <v>4432</v>
      </c>
      <c r="G180" s="2" t="s">
        <v>4433</v>
      </c>
      <c r="H180" s="2" t="s">
        <v>4434</v>
      </c>
    </row>
    <row r="181" customFormat="false" ht="15" hidden="false" customHeight="false" outlineLevel="0" collapsed="false">
      <c r="A181" s="2" t="n">
        <v>18</v>
      </c>
      <c r="B181" s="2" t="s">
        <v>283</v>
      </c>
      <c r="C181" s="2" t="s">
        <v>288</v>
      </c>
      <c r="D181" s="2" t="s">
        <v>4206</v>
      </c>
      <c r="E181" s="2" t="s">
        <v>3985</v>
      </c>
      <c r="F181" s="2" t="s">
        <v>230</v>
      </c>
      <c r="G181" s="2" t="s">
        <v>4207</v>
      </c>
      <c r="H181" s="2" t="s">
        <v>4208</v>
      </c>
    </row>
    <row r="182" customFormat="false" ht="15" hidden="false" customHeight="false" outlineLevel="0" collapsed="false">
      <c r="A182" s="2" t="n">
        <v>18</v>
      </c>
      <c r="B182" s="2" t="s">
        <v>283</v>
      </c>
      <c r="C182" s="2" t="s">
        <v>288</v>
      </c>
      <c r="D182" s="2" t="s">
        <v>4435</v>
      </c>
      <c r="E182" s="2" t="s">
        <v>3989</v>
      </c>
      <c r="F182" s="2" t="s">
        <v>4436</v>
      </c>
      <c r="G182" s="2"/>
      <c r="H182" s="2" t="s">
        <v>4437</v>
      </c>
    </row>
    <row r="183" customFormat="false" ht="15" hidden="false" customHeight="false" outlineLevel="0" collapsed="false">
      <c r="A183" s="2" t="n">
        <v>18</v>
      </c>
      <c r="B183" s="2" t="s">
        <v>283</v>
      </c>
      <c r="C183" s="2" t="s">
        <v>288</v>
      </c>
      <c r="D183" s="2" t="s">
        <v>4438</v>
      </c>
      <c r="E183" s="2" t="s">
        <v>3989</v>
      </c>
      <c r="F183" s="2" t="s">
        <v>4439</v>
      </c>
      <c r="G183" s="2"/>
      <c r="H183" s="2" t="s">
        <v>4440</v>
      </c>
    </row>
    <row r="184" customFormat="false" ht="15" hidden="false" customHeight="false" outlineLevel="0" collapsed="false">
      <c r="A184" s="2" t="n">
        <v>18</v>
      </c>
      <c r="B184" s="2" t="s">
        <v>283</v>
      </c>
      <c r="C184" s="2" t="s">
        <v>288</v>
      </c>
      <c r="D184" s="2" t="s">
        <v>4441</v>
      </c>
      <c r="E184" s="2" t="s">
        <v>3989</v>
      </c>
      <c r="F184" s="2" t="s">
        <v>4442</v>
      </c>
      <c r="G184" s="2"/>
      <c r="H184" s="2" t="s">
        <v>4443</v>
      </c>
    </row>
    <row r="185" customFormat="false" ht="15" hidden="false" customHeight="false" outlineLevel="0" collapsed="false">
      <c r="A185" s="2" t="n">
        <v>18</v>
      </c>
      <c r="B185" s="2" t="s">
        <v>283</v>
      </c>
      <c r="C185" s="2" t="s">
        <v>288</v>
      </c>
      <c r="D185" s="2" t="s">
        <v>4444</v>
      </c>
      <c r="E185" s="2" t="s">
        <v>3989</v>
      </c>
      <c r="F185" s="2" t="s">
        <v>4445</v>
      </c>
      <c r="G185" s="2"/>
      <c r="H185" s="2" t="s">
        <v>4446</v>
      </c>
    </row>
    <row r="186" customFormat="false" ht="15" hidden="false" customHeight="false" outlineLevel="0" collapsed="false">
      <c r="A186" s="2" t="n">
        <v>18</v>
      </c>
      <c r="B186" s="2" t="s">
        <v>283</v>
      </c>
      <c r="C186" s="2" t="s">
        <v>288</v>
      </c>
      <c r="D186" s="2" t="s">
        <v>4447</v>
      </c>
      <c r="E186" s="2" t="s">
        <v>3989</v>
      </c>
      <c r="F186" s="2" t="s">
        <v>4448</v>
      </c>
      <c r="G186" s="2"/>
      <c r="H186" s="2" t="s">
        <v>4449</v>
      </c>
    </row>
    <row r="187" customFormat="false" ht="15" hidden="false" customHeight="false" outlineLevel="0" collapsed="false">
      <c r="A187" s="2" t="n">
        <v>18</v>
      </c>
      <c r="B187" s="2" t="s">
        <v>283</v>
      </c>
      <c r="C187" s="2" t="s">
        <v>288</v>
      </c>
      <c r="D187" s="2" t="s">
        <v>4450</v>
      </c>
      <c r="E187" s="2" t="s">
        <v>3989</v>
      </c>
      <c r="F187" s="2" t="s">
        <v>2986</v>
      </c>
      <c r="G187" s="2"/>
      <c r="H187" s="2" t="s">
        <v>4451</v>
      </c>
    </row>
    <row r="188" customFormat="false" ht="15" hidden="false" customHeight="false" outlineLevel="0" collapsed="false">
      <c r="A188" s="2" t="n">
        <v>19</v>
      </c>
      <c r="B188" s="2" t="s">
        <v>295</v>
      </c>
      <c r="C188" s="2" t="s">
        <v>300</v>
      </c>
      <c r="D188" s="2" t="s">
        <v>4452</v>
      </c>
      <c r="E188" s="2" t="s">
        <v>3985</v>
      </c>
      <c r="F188" s="2" t="s">
        <v>303</v>
      </c>
      <c r="G188" s="2" t="s">
        <v>4453</v>
      </c>
      <c r="H188" s="2" t="s">
        <v>4454</v>
      </c>
    </row>
    <row r="189" customFormat="false" ht="15" hidden="false" customHeight="false" outlineLevel="0" collapsed="false">
      <c r="A189" s="2" t="n">
        <v>19</v>
      </c>
      <c r="B189" s="2" t="s">
        <v>295</v>
      </c>
      <c r="C189" s="2" t="s">
        <v>300</v>
      </c>
      <c r="D189" s="2" t="s">
        <v>4455</v>
      </c>
      <c r="E189" s="2" t="s">
        <v>3985</v>
      </c>
      <c r="F189" s="2" t="s">
        <v>4456</v>
      </c>
      <c r="G189" s="2" t="s">
        <v>4457</v>
      </c>
      <c r="H189" s="2" t="s">
        <v>4458</v>
      </c>
    </row>
    <row r="190" customFormat="false" ht="15" hidden="false" customHeight="false" outlineLevel="0" collapsed="false">
      <c r="A190" s="2" t="n">
        <v>19</v>
      </c>
      <c r="B190" s="2" t="s">
        <v>295</v>
      </c>
      <c r="C190" s="2" t="s">
        <v>300</v>
      </c>
      <c r="D190" s="2" t="s">
        <v>4459</v>
      </c>
      <c r="E190" s="2" t="s">
        <v>3985</v>
      </c>
      <c r="F190" s="2" t="s">
        <v>418</v>
      </c>
      <c r="G190" s="2" t="s">
        <v>4460</v>
      </c>
      <c r="H190" s="2" t="s">
        <v>4461</v>
      </c>
    </row>
    <row r="191" customFormat="false" ht="15" hidden="false" customHeight="false" outlineLevel="0" collapsed="false">
      <c r="A191" s="2" t="n">
        <v>19</v>
      </c>
      <c r="B191" s="2" t="s">
        <v>295</v>
      </c>
      <c r="C191" s="2" t="s">
        <v>300</v>
      </c>
      <c r="D191" s="2" t="s">
        <v>4462</v>
      </c>
      <c r="E191" s="2" t="s">
        <v>3985</v>
      </c>
      <c r="F191" s="2" t="s">
        <v>1720</v>
      </c>
      <c r="G191" s="2" t="s">
        <v>4463</v>
      </c>
      <c r="H191" s="2" t="s">
        <v>4464</v>
      </c>
    </row>
    <row r="192" customFormat="false" ht="15" hidden="false" customHeight="false" outlineLevel="0" collapsed="false">
      <c r="A192" s="2" t="n">
        <v>19</v>
      </c>
      <c r="B192" s="2" t="s">
        <v>295</v>
      </c>
      <c r="C192" s="2" t="s">
        <v>300</v>
      </c>
      <c r="D192" s="2" t="s">
        <v>4465</v>
      </c>
      <c r="E192" s="2" t="s">
        <v>3985</v>
      </c>
      <c r="F192" s="2" t="s">
        <v>1793</v>
      </c>
      <c r="G192" s="2" t="s">
        <v>4466</v>
      </c>
      <c r="H192" s="2" t="s">
        <v>4467</v>
      </c>
    </row>
    <row r="193" customFormat="false" ht="15" hidden="false" customHeight="false" outlineLevel="0" collapsed="false">
      <c r="A193" s="2" t="n">
        <v>19</v>
      </c>
      <c r="B193" s="2" t="s">
        <v>295</v>
      </c>
      <c r="C193" s="2" t="s">
        <v>300</v>
      </c>
      <c r="D193" s="2" t="s">
        <v>4468</v>
      </c>
      <c r="E193" s="2" t="s">
        <v>3985</v>
      </c>
      <c r="F193" s="2" t="s">
        <v>2296</v>
      </c>
      <c r="G193" s="2" t="s">
        <v>4469</v>
      </c>
      <c r="H193" s="2" t="s">
        <v>4470</v>
      </c>
    </row>
    <row r="194" customFormat="false" ht="15" hidden="false" customHeight="false" outlineLevel="0" collapsed="false">
      <c r="A194" s="2" t="n">
        <v>19</v>
      </c>
      <c r="B194" s="2" t="s">
        <v>295</v>
      </c>
      <c r="C194" s="2" t="s">
        <v>300</v>
      </c>
      <c r="D194" s="2" t="s">
        <v>4471</v>
      </c>
      <c r="E194" s="2" t="s">
        <v>3985</v>
      </c>
      <c r="F194" s="2" t="s">
        <v>1941</v>
      </c>
      <c r="G194" s="2" t="s">
        <v>4472</v>
      </c>
      <c r="H194" s="2" t="s">
        <v>4473</v>
      </c>
    </row>
    <row r="195" customFormat="false" ht="15" hidden="false" customHeight="false" outlineLevel="0" collapsed="false">
      <c r="A195" s="2" t="n">
        <v>19</v>
      </c>
      <c r="B195" s="2" t="s">
        <v>295</v>
      </c>
      <c r="C195" s="2" t="s">
        <v>300</v>
      </c>
      <c r="D195" s="2" t="s">
        <v>4474</v>
      </c>
      <c r="E195" s="2" t="s">
        <v>3985</v>
      </c>
      <c r="F195" s="2" t="s">
        <v>4475</v>
      </c>
      <c r="G195" s="2" t="s">
        <v>4476</v>
      </c>
      <c r="H195" s="2" t="s">
        <v>4477</v>
      </c>
    </row>
    <row r="196" customFormat="false" ht="15" hidden="false" customHeight="false" outlineLevel="0" collapsed="false">
      <c r="A196" s="2" t="n">
        <v>19</v>
      </c>
      <c r="B196" s="2" t="s">
        <v>295</v>
      </c>
      <c r="C196" s="2" t="s">
        <v>300</v>
      </c>
      <c r="D196" s="2" t="s">
        <v>4478</v>
      </c>
      <c r="E196" s="2" t="s">
        <v>3985</v>
      </c>
      <c r="F196" s="2" t="s">
        <v>304</v>
      </c>
      <c r="G196" s="2" t="s">
        <v>4479</v>
      </c>
      <c r="H196" s="2" t="s">
        <v>4480</v>
      </c>
    </row>
    <row r="197" customFormat="false" ht="15" hidden="false" customHeight="false" outlineLevel="0" collapsed="false">
      <c r="A197" s="2" t="n">
        <v>19</v>
      </c>
      <c r="B197" s="2" t="s">
        <v>295</v>
      </c>
      <c r="C197" s="2" t="s">
        <v>300</v>
      </c>
      <c r="D197" s="2" t="s">
        <v>4481</v>
      </c>
      <c r="E197" s="2" t="s">
        <v>3989</v>
      </c>
      <c r="F197" s="2" t="s">
        <v>4482</v>
      </c>
      <c r="G197" s="2"/>
      <c r="H197" s="2" t="s">
        <v>4483</v>
      </c>
    </row>
    <row r="198" customFormat="false" ht="15" hidden="false" customHeight="false" outlineLevel="0" collapsed="false">
      <c r="A198" s="2" t="n">
        <v>19</v>
      </c>
      <c r="B198" s="2" t="s">
        <v>295</v>
      </c>
      <c r="C198" s="2" t="s">
        <v>300</v>
      </c>
      <c r="D198" s="2" t="s">
        <v>4484</v>
      </c>
      <c r="E198" s="2" t="s">
        <v>3989</v>
      </c>
      <c r="F198" s="2" t="s">
        <v>4485</v>
      </c>
      <c r="G198" s="2"/>
      <c r="H198" s="2" t="s">
        <v>4486</v>
      </c>
    </row>
    <row r="199" customFormat="false" ht="15" hidden="false" customHeight="false" outlineLevel="0" collapsed="false">
      <c r="A199" s="2" t="n">
        <v>19</v>
      </c>
      <c r="B199" s="2" t="s">
        <v>295</v>
      </c>
      <c r="C199" s="2" t="s">
        <v>300</v>
      </c>
      <c r="D199" s="2" t="s">
        <v>4487</v>
      </c>
      <c r="E199" s="2" t="s">
        <v>3989</v>
      </c>
      <c r="F199" s="2" t="s">
        <v>1659</v>
      </c>
      <c r="G199" s="2"/>
      <c r="H199" s="2" t="s">
        <v>4488</v>
      </c>
    </row>
    <row r="200" customFormat="false" ht="15" hidden="false" customHeight="false" outlineLevel="0" collapsed="false">
      <c r="A200" s="2" t="n">
        <v>19</v>
      </c>
      <c r="B200" s="2" t="s">
        <v>295</v>
      </c>
      <c r="C200" s="2" t="s">
        <v>300</v>
      </c>
      <c r="D200" s="2" t="s">
        <v>4489</v>
      </c>
      <c r="E200" s="2" t="s">
        <v>3989</v>
      </c>
      <c r="F200" s="2" t="s">
        <v>4490</v>
      </c>
      <c r="G200" s="2"/>
      <c r="H200" s="2" t="s">
        <v>4491</v>
      </c>
    </row>
    <row r="201" customFormat="false" ht="15" hidden="false" customHeight="false" outlineLevel="0" collapsed="false">
      <c r="A201" s="2" t="n">
        <v>19</v>
      </c>
      <c r="B201" s="2" t="s">
        <v>295</v>
      </c>
      <c r="C201" s="2" t="s">
        <v>300</v>
      </c>
      <c r="D201" s="2" t="s">
        <v>4492</v>
      </c>
      <c r="E201" s="2" t="s">
        <v>3989</v>
      </c>
      <c r="F201" s="2" t="s">
        <v>4493</v>
      </c>
      <c r="G201" s="2"/>
      <c r="H201" s="2" t="s">
        <v>4494</v>
      </c>
    </row>
    <row r="202" customFormat="false" ht="15" hidden="false" customHeight="false" outlineLevel="0" collapsed="false">
      <c r="A202" s="2" t="n">
        <v>20</v>
      </c>
      <c r="B202" s="2" t="s">
        <v>308</v>
      </c>
      <c r="C202" s="2" t="s">
        <v>314</v>
      </c>
      <c r="D202" s="2" t="s">
        <v>4495</v>
      </c>
      <c r="E202" s="2" t="s">
        <v>3989</v>
      </c>
      <c r="F202" s="2" t="s">
        <v>4496</v>
      </c>
      <c r="G202" s="2"/>
      <c r="H202" s="2" t="s">
        <v>4497</v>
      </c>
    </row>
    <row r="203" customFormat="false" ht="15" hidden="false" customHeight="false" outlineLevel="0" collapsed="false">
      <c r="A203" s="2" t="n">
        <v>20</v>
      </c>
      <c r="B203" s="2" t="s">
        <v>308</v>
      </c>
      <c r="C203" s="2" t="s">
        <v>314</v>
      </c>
      <c r="D203" s="2" t="s">
        <v>4498</v>
      </c>
      <c r="E203" s="2" t="s">
        <v>3989</v>
      </c>
      <c r="F203" s="2" t="s">
        <v>4442</v>
      </c>
      <c r="G203" s="2" t="s">
        <v>4499</v>
      </c>
      <c r="H203" s="2" t="s">
        <v>4500</v>
      </c>
    </row>
    <row r="204" customFormat="false" ht="15" hidden="false" customHeight="false" outlineLevel="0" collapsed="false">
      <c r="A204" s="2" t="n">
        <v>20</v>
      </c>
      <c r="B204" s="2" t="s">
        <v>308</v>
      </c>
      <c r="C204" s="2" t="s">
        <v>314</v>
      </c>
      <c r="D204" s="2" t="s">
        <v>4501</v>
      </c>
      <c r="E204" s="2" t="s">
        <v>3989</v>
      </c>
      <c r="F204" s="2" t="s">
        <v>3394</v>
      </c>
      <c r="G204" s="2"/>
      <c r="H204" s="2" t="s">
        <v>4502</v>
      </c>
    </row>
    <row r="205" customFormat="false" ht="15" hidden="false" customHeight="false" outlineLevel="0" collapsed="false">
      <c r="A205" s="2" t="n">
        <v>21</v>
      </c>
      <c r="B205" s="2" t="s">
        <v>320</v>
      </c>
      <c r="C205" s="2" t="s">
        <v>324</v>
      </c>
      <c r="D205" s="2" t="s">
        <v>4503</v>
      </c>
      <c r="E205" s="2" t="s">
        <v>3989</v>
      </c>
      <c r="F205" s="2" t="s">
        <v>4442</v>
      </c>
      <c r="G205" s="2" t="s">
        <v>4504</v>
      </c>
      <c r="H205" s="2" t="s">
        <v>4505</v>
      </c>
    </row>
    <row r="206" customFormat="false" ht="15" hidden="false" customHeight="false" outlineLevel="0" collapsed="false">
      <c r="A206" s="2" t="n">
        <v>21</v>
      </c>
      <c r="B206" s="2" t="s">
        <v>320</v>
      </c>
      <c r="C206" s="2" t="s">
        <v>324</v>
      </c>
      <c r="D206" s="2" t="s">
        <v>4506</v>
      </c>
      <c r="E206" s="2" t="s">
        <v>3989</v>
      </c>
      <c r="F206" s="2" t="s">
        <v>4507</v>
      </c>
      <c r="G206" s="2"/>
      <c r="H206" s="2" t="s">
        <v>4508</v>
      </c>
    </row>
    <row r="207" customFormat="false" ht="15" hidden="false" customHeight="false" outlineLevel="0" collapsed="false">
      <c r="A207" s="2" t="n">
        <v>21</v>
      </c>
      <c r="B207" s="2" t="s">
        <v>320</v>
      </c>
      <c r="C207" s="2" t="s">
        <v>324</v>
      </c>
      <c r="D207" s="2" t="s">
        <v>4509</v>
      </c>
      <c r="E207" s="2" t="s">
        <v>3989</v>
      </c>
      <c r="F207" s="2" t="s">
        <v>3394</v>
      </c>
      <c r="G207" s="2"/>
      <c r="H207" s="2" t="s">
        <v>4510</v>
      </c>
    </row>
    <row r="208" customFormat="false" ht="15" hidden="false" customHeight="false" outlineLevel="0" collapsed="false">
      <c r="A208" s="2" t="n">
        <v>22</v>
      </c>
      <c r="B208" s="2" t="s">
        <v>328</v>
      </c>
      <c r="C208" s="2" t="s">
        <v>334</v>
      </c>
      <c r="D208" s="2" t="s">
        <v>727</v>
      </c>
      <c r="E208" s="2" t="s">
        <v>3985</v>
      </c>
      <c r="F208" s="2" t="s">
        <v>337</v>
      </c>
      <c r="G208" s="2" t="s">
        <v>4511</v>
      </c>
      <c r="H208" s="2" t="s">
        <v>728</v>
      </c>
    </row>
    <row r="209" customFormat="false" ht="15" hidden="false" customHeight="false" outlineLevel="0" collapsed="false">
      <c r="A209" s="2" t="n">
        <v>22</v>
      </c>
      <c r="B209" s="2" t="s">
        <v>328</v>
      </c>
      <c r="C209" s="2" t="s">
        <v>334</v>
      </c>
      <c r="D209" s="2" t="s">
        <v>4512</v>
      </c>
      <c r="E209" s="2" t="s">
        <v>3985</v>
      </c>
      <c r="F209" s="2" t="s">
        <v>257</v>
      </c>
      <c r="G209" s="2" t="s">
        <v>4513</v>
      </c>
      <c r="H209" s="2" t="s">
        <v>4514</v>
      </c>
    </row>
    <row r="210" customFormat="false" ht="15" hidden="false" customHeight="false" outlineLevel="0" collapsed="false">
      <c r="A210" s="2" t="n">
        <v>22</v>
      </c>
      <c r="B210" s="2" t="s">
        <v>328</v>
      </c>
      <c r="C210" s="2" t="s">
        <v>334</v>
      </c>
      <c r="D210" s="2" t="s">
        <v>4515</v>
      </c>
      <c r="E210" s="2" t="s">
        <v>3989</v>
      </c>
      <c r="F210" s="2" t="s">
        <v>4516</v>
      </c>
      <c r="G210" s="2"/>
      <c r="H210" s="2" t="s">
        <v>4517</v>
      </c>
    </row>
    <row r="211" customFormat="false" ht="15" hidden="false" customHeight="false" outlineLevel="0" collapsed="false">
      <c r="A211" s="2" t="n">
        <v>22</v>
      </c>
      <c r="B211" s="2" t="s">
        <v>328</v>
      </c>
      <c r="C211" s="2" t="s">
        <v>334</v>
      </c>
      <c r="D211" s="2" t="s">
        <v>4518</v>
      </c>
      <c r="E211" s="2" t="s">
        <v>3989</v>
      </c>
      <c r="F211" s="2" t="s">
        <v>4519</v>
      </c>
      <c r="G211" s="2"/>
      <c r="H211" s="2" t="s">
        <v>4520</v>
      </c>
    </row>
    <row r="212" customFormat="false" ht="15" hidden="false" customHeight="false" outlineLevel="0" collapsed="false">
      <c r="A212" s="2" t="n">
        <v>22</v>
      </c>
      <c r="B212" s="2" t="s">
        <v>328</v>
      </c>
      <c r="C212" s="2" t="s">
        <v>334</v>
      </c>
      <c r="D212" s="2" t="s">
        <v>4521</v>
      </c>
      <c r="E212" s="2" t="s">
        <v>3989</v>
      </c>
      <c r="F212" s="2" t="s">
        <v>4522</v>
      </c>
      <c r="G212" s="2"/>
      <c r="H212" s="2" t="s">
        <v>4523</v>
      </c>
    </row>
    <row r="213" customFormat="false" ht="15" hidden="false" customHeight="false" outlineLevel="0" collapsed="false">
      <c r="A213" s="2" t="n">
        <v>22</v>
      </c>
      <c r="B213" s="2" t="s">
        <v>328</v>
      </c>
      <c r="C213" s="2" t="s">
        <v>334</v>
      </c>
      <c r="D213" s="2" t="s">
        <v>4524</v>
      </c>
      <c r="E213" s="2" t="s">
        <v>3989</v>
      </c>
      <c r="F213" s="2" t="s">
        <v>4525</v>
      </c>
      <c r="G213" s="2"/>
      <c r="H213" s="2" t="s">
        <v>4526</v>
      </c>
    </row>
    <row r="214" customFormat="false" ht="15" hidden="false" customHeight="false" outlineLevel="0" collapsed="false">
      <c r="A214" s="2" t="n">
        <v>22</v>
      </c>
      <c r="B214" s="2" t="s">
        <v>328</v>
      </c>
      <c r="C214" s="2" t="s">
        <v>334</v>
      </c>
      <c r="D214" s="2" t="s">
        <v>4527</v>
      </c>
      <c r="E214" s="2" t="s">
        <v>3989</v>
      </c>
      <c r="F214" s="2" t="s">
        <v>4528</v>
      </c>
      <c r="G214" s="2"/>
      <c r="H214" s="2" t="s">
        <v>4529</v>
      </c>
    </row>
    <row r="215" customFormat="false" ht="15" hidden="false" customHeight="false" outlineLevel="0" collapsed="false">
      <c r="A215" s="2" t="n">
        <v>22</v>
      </c>
      <c r="B215" s="2" t="s">
        <v>328</v>
      </c>
      <c r="C215" s="2" t="s">
        <v>334</v>
      </c>
      <c r="D215" s="2" t="s">
        <v>4530</v>
      </c>
      <c r="E215" s="2" t="s">
        <v>3989</v>
      </c>
      <c r="F215" s="2" t="s">
        <v>4531</v>
      </c>
      <c r="G215" s="2"/>
      <c r="H215" s="2" t="s">
        <v>4532</v>
      </c>
    </row>
    <row r="216" customFormat="false" ht="15" hidden="false" customHeight="false" outlineLevel="0" collapsed="false">
      <c r="A216" s="2" t="n">
        <v>22</v>
      </c>
      <c r="B216" s="2" t="s">
        <v>328</v>
      </c>
      <c r="C216" s="2" t="s">
        <v>334</v>
      </c>
      <c r="D216" s="2" t="s">
        <v>4533</v>
      </c>
      <c r="E216" s="2" t="s">
        <v>3989</v>
      </c>
      <c r="F216" s="2" t="s">
        <v>4534</v>
      </c>
      <c r="G216" s="2"/>
      <c r="H216" s="2" t="s">
        <v>4535</v>
      </c>
    </row>
    <row r="217" customFormat="false" ht="15" hidden="false" customHeight="false" outlineLevel="0" collapsed="false">
      <c r="A217" s="2" t="n">
        <v>22</v>
      </c>
      <c r="B217" s="2" t="s">
        <v>328</v>
      </c>
      <c r="C217" s="2" t="s">
        <v>334</v>
      </c>
      <c r="D217" s="2" t="s">
        <v>4536</v>
      </c>
      <c r="E217" s="2" t="s">
        <v>3989</v>
      </c>
      <c r="F217" s="2" t="s">
        <v>4537</v>
      </c>
      <c r="G217" s="2"/>
      <c r="H217" s="2" t="s">
        <v>4538</v>
      </c>
    </row>
    <row r="218" customFormat="false" ht="15" hidden="false" customHeight="false" outlineLevel="0" collapsed="false">
      <c r="A218" s="2" t="n">
        <v>22</v>
      </c>
      <c r="B218" s="2" t="s">
        <v>328</v>
      </c>
      <c r="C218" s="2" t="s">
        <v>334</v>
      </c>
      <c r="D218" s="2" t="s">
        <v>4539</v>
      </c>
      <c r="E218" s="2" t="s">
        <v>3989</v>
      </c>
      <c r="F218" s="2" t="s">
        <v>4540</v>
      </c>
      <c r="G218" s="2"/>
      <c r="H218" s="2" t="s">
        <v>4541</v>
      </c>
    </row>
    <row r="219" customFormat="false" ht="15" hidden="false" customHeight="false" outlineLevel="0" collapsed="false">
      <c r="A219" s="2" t="n">
        <v>22</v>
      </c>
      <c r="B219" s="2" t="s">
        <v>328</v>
      </c>
      <c r="C219" s="2" t="s">
        <v>334</v>
      </c>
      <c r="D219" s="2" t="s">
        <v>4542</v>
      </c>
      <c r="E219" s="2" t="s">
        <v>3989</v>
      </c>
      <c r="F219" s="2" t="s">
        <v>4543</v>
      </c>
      <c r="G219" s="2"/>
      <c r="H219" s="2" t="s">
        <v>4544</v>
      </c>
    </row>
    <row r="220" customFormat="false" ht="15" hidden="false" customHeight="false" outlineLevel="0" collapsed="false">
      <c r="A220" s="2" t="n">
        <v>22</v>
      </c>
      <c r="B220" s="2" t="s">
        <v>328</v>
      </c>
      <c r="C220" s="2" t="s">
        <v>334</v>
      </c>
      <c r="D220" s="2" t="s">
        <v>4545</v>
      </c>
      <c r="E220" s="2" t="s">
        <v>3989</v>
      </c>
      <c r="F220" s="2" t="s">
        <v>4546</v>
      </c>
      <c r="G220" s="2"/>
      <c r="H220" s="2" t="s">
        <v>4547</v>
      </c>
    </row>
    <row r="221" customFormat="false" ht="15" hidden="false" customHeight="false" outlineLevel="0" collapsed="false">
      <c r="A221" s="2" t="n">
        <v>22</v>
      </c>
      <c r="B221" s="2" t="s">
        <v>328</v>
      </c>
      <c r="C221" s="2" t="s">
        <v>334</v>
      </c>
      <c r="D221" s="2" t="s">
        <v>4548</v>
      </c>
      <c r="E221" s="2" t="s">
        <v>3989</v>
      </c>
      <c r="F221" s="2" t="s">
        <v>4549</v>
      </c>
      <c r="G221" s="2"/>
      <c r="H221" s="2" t="s">
        <v>4550</v>
      </c>
    </row>
    <row r="222" customFormat="false" ht="15" hidden="false" customHeight="false" outlineLevel="0" collapsed="false">
      <c r="A222" s="2" t="n">
        <v>23</v>
      </c>
      <c r="B222" s="2" t="s">
        <v>341</v>
      </c>
      <c r="C222" s="2" t="s">
        <v>346</v>
      </c>
      <c r="D222" s="2" t="s">
        <v>4551</v>
      </c>
      <c r="E222" s="2" t="s">
        <v>3985</v>
      </c>
      <c r="F222" s="2" t="s">
        <v>337</v>
      </c>
      <c r="G222" s="2" t="s">
        <v>4552</v>
      </c>
      <c r="H222" s="2" t="s">
        <v>4553</v>
      </c>
    </row>
    <row r="223" customFormat="false" ht="15" hidden="false" customHeight="false" outlineLevel="0" collapsed="false">
      <c r="A223" s="2" t="n">
        <v>23</v>
      </c>
      <c r="B223" s="2" t="s">
        <v>341</v>
      </c>
      <c r="C223" s="2" t="s">
        <v>346</v>
      </c>
      <c r="D223" s="2" t="s">
        <v>4554</v>
      </c>
      <c r="E223" s="2" t="s">
        <v>3985</v>
      </c>
      <c r="F223" s="2" t="s">
        <v>349</v>
      </c>
      <c r="G223" s="2" t="s">
        <v>4555</v>
      </c>
      <c r="H223" s="2" t="s">
        <v>4556</v>
      </c>
    </row>
    <row r="224" customFormat="false" ht="15" hidden="false" customHeight="false" outlineLevel="0" collapsed="false">
      <c r="A224" s="2" t="n">
        <v>23</v>
      </c>
      <c r="B224" s="2" t="s">
        <v>341</v>
      </c>
      <c r="C224" s="2" t="s">
        <v>346</v>
      </c>
      <c r="D224" s="2" t="s">
        <v>4557</v>
      </c>
      <c r="E224" s="2" t="s">
        <v>3989</v>
      </c>
      <c r="F224" s="2" t="s">
        <v>4558</v>
      </c>
      <c r="G224" s="2"/>
      <c r="H224" s="2" t="s">
        <v>4559</v>
      </c>
    </row>
    <row r="225" customFormat="false" ht="15" hidden="false" customHeight="false" outlineLevel="0" collapsed="false">
      <c r="A225" s="2" t="n">
        <v>23</v>
      </c>
      <c r="B225" s="2" t="s">
        <v>341</v>
      </c>
      <c r="C225" s="2" t="s">
        <v>346</v>
      </c>
      <c r="D225" s="2" t="s">
        <v>4560</v>
      </c>
      <c r="E225" s="2" t="s">
        <v>3989</v>
      </c>
      <c r="F225" s="2" t="s">
        <v>4561</v>
      </c>
      <c r="G225" s="2"/>
      <c r="H225" s="2" t="s">
        <v>4562</v>
      </c>
    </row>
    <row r="226" customFormat="false" ht="15" hidden="false" customHeight="false" outlineLevel="0" collapsed="false">
      <c r="A226" s="2" t="n">
        <v>23</v>
      </c>
      <c r="B226" s="2" t="s">
        <v>341</v>
      </c>
      <c r="C226" s="2" t="s">
        <v>346</v>
      </c>
      <c r="D226" s="2" t="s">
        <v>4563</v>
      </c>
      <c r="E226" s="2" t="s">
        <v>3989</v>
      </c>
      <c r="F226" s="2" t="s">
        <v>4564</v>
      </c>
      <c r="G226" s="2"/>
      <c r="H226" s="2" t="s">
        <v>4565</v>
      </c>
    </row>
    <row r="227" customFormat="false" ht="15" hidden="false" customHeight="false" outlineLevel="0" collapsed="false">
      <c r="A227" s="2" t="n">
        <v>23</v>
      </c>
      <c r="B227" s="2" t="s">
        <v>341</v>
      </c>
      <c r="C227" s="2" t="s">
        <v>346</v>
      </c>
      <c r="D227" s="2" t="s">
        <v>4566</v>
      </c>
      <c r="E227" s="2" t="s">
        <v>3989</v>
      </c>
      <c r="F227" s="2" t="s">
        <v>4567</v>
      </c>
      <c r="G227" s="2"/>
      <c r="H227" s="2" t="s">
        <v>4568</v>
      </c>
    </row>
    <row r="228" customFormat="false" ht="15" hidden="false" customHeight="false" outlineLevel="0" collapsed="false">
      <c r="A228" s="2" t="n">
        <v>23</v>
      </c>
      <c r="B228" s="2" t="s">
        <v>341</v>
      </c>
      <c r="C228" s="2" t="s">
        <v>346</v>
      </c>
      <c r="D228" s="2" t="s">
        <v>4569</v>
      </c>
      <c r="E228" s="2" t="s">
        <v>3989</v>
      </c>
      <c r="F228" s="2" t="s">
        <v>4570</v>
      </c>
      <c r="G228" s="2" t="s">
        <v>4571</v>
      </c>
      <c r="H228" s="2" t="s">
        <v>4572</v>
      </c>
    </row>
    <row r="229" customFormat="false" ht="15" hidden="false" customHeight="false" outlineLevel="0" collapsed="false">
      <c r="A229" s="2" t="n">
        <v>23</v>
      </c>
      <c r="B229" s="2" t="s">
        <v>341</v>
      </c>
      <c r="C229" s="2" t="s">
        <v>346</v>
      </c>
      <c r="D229" s="2" t="s">
        <v>4573</v>
      </c>
      <c r="E229" s="2" t="s">
        <v>3989</v>
      </c>
      <c r="F229" s="2" t="s">
        <v>4442</v>
      </c>
      <c r="G229" s="2"/>
      <c r="H229" s="2" t="s">
        <v>4574</v>
      </c>
    </row>
    <row r="230" customFormat="false" ht="15" hidden="false" customHeight="false" outlineLevel="0" collapsed="false">
      <c r="A230" s="2" t="n">
        <v>23</v>
      </c>
      <c r="B230" s="2" t="s">
        <v>341</v>
      </c>
      <c r="C230" s="2" t="s">
        <v>346</v>
      </c>
      <c r="D230" s="2" t="s">
        <v>4575</v>
      </c>
      <c r="E230" s="2" t="s">
        <v>3989</v>
      </c>
      <c r="F230" s="2" t="s">
        <v>4576</v>
      </c>
      <c r="G230" s="2"/>
      <c r="H230" s="2" t="s">
        <v>4577</v>
      </c>
    </row>
    <row r="231" customFormat="false" ht="15" hidden="false" customHeight="false" outlineLevel="0" collapsed="false">
      <c r="A231" s="2" t="n">
        <v>23</v>
      </c>
      <c r="B231" s="2" t="s">
        <v>341</v>
      </c>
      <c r="C231" s="2" t="s">
        <v>346</v>
      </c>
      <c r="D231" s="2" t="s">
        <v>4578</v>
      </c>
      <c r="E231" s="2" t="s">
        <v>3989</v>
      </c>
      <c r="F231" s="2" t="s">
        <v>4579</v>
      </c>
      <c r="G231" s="2"/>
      <c r="H231" s="2" t="s">
        <v>4580</v>
      </c>
    </row>
    <row r="232" customFormat="false" ht="15" hidden="false" customHeight="false" outlineLevel="0" collapsed="false">
      <c r="A232" s="2" t="n">
        <v>24</v>
      </c>
      <c r="B232" s="2" t="s">
        <v>353</v>
      </c>
      <c r="C232" s="2" t="s">
        <v>358</v>
      </c>
      <c r="D232" s="2" t="s">
        <v>4581</v>
      </c>
      <c r="E232" s="2" t="s">
        <v>3985</v>
      </c>
      <c r="F232" s="2" t="s">
        <v>361</v>
      </c>
      <c r="G232" s="2" t="s">
        <v>4582</v>
      </c>
      <c r="H232" s="2" t="s">
        <v>4583</v>
      </c>
    </row>
    <row r="233" customFormat="false" ht="15" hidden="false" customHeight="false" outlineLevel="0" collapsed="false">
      <c r="A233" s="2" t="n">
        <v>24</v>
      </c>
      <c r="B233" s="2" t="s">
        <v>353</v>
      </c>
      <c r="C233" s="2" t="s">
        <v>358</v>
      </c>
      <c r="D233" s="2" t="s">
        <v>1001</v>
      </c>
      <c r="E233" s="2" t="s">
        <v>3985</v>
      </c>
      <c r="F233" s="2" t="s">
        <v>362</v>
      </c>
      <c r="G233" s="2" t="s">
        <v>4584</v>
      </c>
      <c r="H233" s="2" t="s">
        <v>1002</v>
      </c>
    </row>
    <row r="234" customFormat="false" ht="15" hidden="false" customHeight="false" outlineLevel="0" collapsed="false">
      <c r="A234" s="2" t="n">
        <v>24</v>
      </c>
      <c r="B234" s="2" t="s">
        <v>353</v>
      </c>
      <c r="C234" s="2" t="s">
        <v>358</v>
      </c>
      <c r="D234" s="2" t="s">
        <v>4585</v>
      </c>
      <c r="E234" s="2" t="s">
        <v>3989</v>
      </c>
      <c r="F234" s="2" t="s">
        <v>4586</v>
      </c>
      <c r="G234" s="2"/>
      <c r="H234" s="2" t="s">
        <v>4587</v>
      </c>
    </row>
    <row r="235" customFormat="false" ht="15" hidden="false" customHeight="false" outlineLevel="0" collapsed="false">
      <c r="A235" s="2" t="n">
        <v>24</v>
      </c>
      <c r="B235" s="2" t="s">
        <v>353</v>
      </c>
      <c r="C235" s="2" t="s">
        <v>358</v>
      </c>
      <c r="D235" s="2" t="s">
        <v>4588</v>
      </c>
      <c r="E235" s="2" t="s">
        <v>3989</v>
      </c>
      <c r="F235" s="2" t="s">
        <v>3790</v>
      </c>
      <c r="G235" s="2"/>
      <c r="H235" s="2" t="s">
        <v>4589</v>
      </c>
    </row>
    <row r="236" customFormat="false" ht="15" hidden="false" customHeight="false" outlineLevel="0" collapsed="false">
      <c r="A236" s="2" t="n">
        <v>24</v>
      </c>
      <c r="B236" s="2" t="s">
        <v>353</v>
      </c>
      <c r="C236" s="2" t="s">
        <v>358</v>
      </c>
      <c r="D236" s="2" t="s">
        <v>4590</v>
      </c>
      <c r="E236" s="2" t="s">
        <v>3989</v>
      </c>
      <c r="F236" s="2" t="s">
        <v>3871</v>
      </c>
      <c r="G236" s="2"/>
      <c r="H236" s="2" t="s">
        <v>4591</v>
      </c>
    </row>
    <row r="237" customFormat="false" ht="15" hidden="false" customHeight="false" outlineLevel="0" collapsed="false">
      <c r="A237" s="2" t="n">
        <v>25</v>
      </c>
      <c r="B237" s="2" t="s">
        <v>366</v>
      </c>
      <c r="C237" s="2" t="s">
        <v>372</v>
      </c>
      <c r="D237" s="2" t="s">
        <v>4592</v>
      </c>
      <c r="E237" s="2" t="s">
        <v>3989</v>
      </c>
      <c r="F237" s="2" t="s">
        <v>4593</v>
      </c>
      <c r="G237" s="2"/>
      <c r="H237" s="2" t="s">
        <v>4594</v>
      </c>
    </row>
    <row r="238" customFormat="false" ht="15" hidden="false" customHeight="false" outlineLevel="0" collapsed="false">
      <c r="A238" s="2" t="n">
        <v>25</v>
      </c>
      <c r="B238" s="2" t="s">
        <v>366</v>
      </c>
      <c r="C238" s="2" t="s">
        <v>372</v>
      </c>
      <c r="D238" s="2" t="s">
        <v>4595</v>
      </c>
      <c r="E238" s="2" t="s">
        <v>3989</v>
      </c>
      <c r="F238" s="2" t="s">
        <v>4596</v>
      </c>
      <c r="G238" s="2"/>
      <c r="H238" s="2" t="s">
        <v>4597</v>
      </c>
    </row>
    <row r="239" customFormat="false" ht="15" hidden="false" customHeight="false" outlineLevel="0" collapsed="false">
      <c r="A239" s="2" t="n">
        <v>26</v>
      </c>
      <c r="B239" s="2" t="s">
        <v>377</v>
      </c>
      <c r="C239" s="2" t="s">
        <v>383</v>
      </c>
      <c r="D239" s="2" t="s">
        <v>4598</v>
      </c>
      <c r="E239" s="2" t="s">
        <v>3989</v>
      </c>
      <c r="F239" s="2" t="s">
        <v>1797</v>
      </c>
      <c r="G239" s="2"/>
      <c r="H239" s="2" t="s">
        <v>4599</v>
      </c>
    </row>
    <row r="240" customFormat="false" ht="15" hidden="false" customHeight="false" outlineLevel="0" collapsed="false">
      <c r="A240" s="2" t="n">
        <v>27</v>
      </c>
      <c r="B240" s="2" t="s">
        <v>387</v>
      </c>
      <c r="C240" s="2" t="s">
        <v>393</v>
      </c>
      <c r="D240" s="2" t="s">
        <v>4600</v>
      </c>
      <c r="E240" s="2" t="s">
        <v>3989</v>
      </c>
      <c r="F240" s="2" t="s">
        <v>3306</v>
      </c>
      <c r="G240" s="2"/>
      <c r="H240" s="2" t="s">
        <v>4601</v>
      </c>
    </row>
    <row r="241" customFormat="false" ht="15" hidden="false" customHeight="false" outlineLevel="0" collapsed="false">
      <c r="A241" s="2" t="n">
        <v>27</v>
      </c>
      <c r="B241" s="2" t="s">
        <v>387</v>
      </c>
      <c r="C241" s="2" t="s">
        <v>393</v>
      </c>
      <c r="D241" s="2" t="s">
        <v>4602</v>
      </c>
      <c r="E241" s="2" t="s">
        <v>3989</v>
      </c>
      <c r="F241" s="2" t="s">
        <v>4603</v>
      </c>
      <c r="G241" s="2"/>
      <c r="H241" s="2" t="s">
        <v>4604</v>
      </c>
    </row>
    <row r="242" customFormat="false" ht="15" hidden="false" customHeight="false" outlineLevel="0" collapsed="false">
      <c r="A242" s="2" t="n">
        <v>27</v>
      </c>
      <c r="B242" s="2" t="s">
        <v>387</v>
      </c>
      <c r="C242" s="2" t="s">
        <v>393</v>
      </c>
      <c r="D242" s="2" t="s">
        <v>4605</v>
      </c>
      <c r="E242" s="2" t="s">
        <v>3989</v>
      </c>
      <c r="F242" s="2" t="s">
        <v>4606</v>
      </c>
      <c r="G242" s="2"/>
      <c r="H242" s="2" t="s">
        <v>4607</v>
      </c>
    </row>
    <row r="243" customFormat="false" ht="15" hidden="false" customHeight="false" outlineLevel="0" collapsed="false">
      <c r="A243" s="2" t="n">
        <v>27</v>
      </c>
      <c r="B243" s="2" t="s">
        <v>387</v>
      </c>
      <c r="C243" s="2" t="s">
        <v>393</v>
      </c>
      <c r="D243" s="2" t="s">
        <v>4608</v>
      </c>
      <c r="E243" s="2" t="s">
        <v>3989</v>
      </c>
      <c r="F243" s="2" t="s">
        <v>4609</v>
      </c>
      <c r="G243" s="2"/>
      <c r="H243" s="2" t="s">
        <v>4610</v>
      </c>
    </row>
    <row r="244" customFormat="false" ht="15" hidden="false" customHeight="false" outlineLevel="0" collapsed="false">
      <c r="A244" s="2" t="n">
        <v>28</v>
      </c>
      <c r="B244" s="2" t="s">
        <v>397</v>
      </c>
      <c r="C244" s="2" t="s">
        <v>399</v>
      </c>
      <c r="D244" s="2" t="s">
        <v>1027</v>
      </c>
      <c r="E244" s="2" t="s">
        <v>3985</v>
      </c>
      <c r="F244" s="2" t="s">
        <v>402</v>
      </c>
      <c r="G244" s="2" t="s">
        <v>4611</v>
      </c>
      <c r="H244" s="2" t="s">
        <v>1028</v>
      </c>
    </row>
    <row r="245" customFormat="false" ht="15" hidden="false" customHeight="false" outlineLevel="0" collapsed="false">
      <c r="A245" s="2" t="n">
        <v>28</v>
      </c>
      <c r="B245" s="2" t="s">
        <v>397</v>
      </c>
      <c r="C245" s="2" t="s">
        <v>399</v>
      </c>
      <c r="D245" s="2" t="s">
        <v>4612</v>
      </c>
      <c r="E245" s="2" t="s">
        <v>3989</v>
      </c>
      <c r="F245" s="2" t="s">
        <v>3306</v>
      </c>
      <c r="G245" s="2"/>
      <c r="H245" s="2" t="s">
        <v>4613</v>
      </c>
    </row>
    <row r="246" customFormat="false" ht="15" hidden="false" customHeight="false" outlineLevel="0" collapsed="false">
      <c r="A246" s="2" t="n">
        <v>28</v>
      </c>
      <c r="B246" s="2" t="s">
        <v>397</v>
      </c>
      <c r="C246" s="2" t="s">
        <v>399</v>
      </c>
      <c r="D246" s="2" t="s">
        <v>4614</v>
      </c>
      <c r="E246" s="2" t="s">
        <v>3989</v>
      </c>
      <c r="F246" s="2" t="s">
        <v>4615</v>
      </c>
      <c r="G246" s="2"/>
      <c r="H246" s="2" t="s">
        <v>4616</v>
      </c>
    </row>
    <row r="247" customFormat="false" ht="15" hidden="false" customHeight="false" outlineLevel="0" collapsed="false">
      <c r="A247" s="2" t="n">
        <v>28</v>
      </c>
      <c r="B247" s="2" t="s">
        <v>397</v>
      </c>
      <c r="C247" s="2" t="s">
        <v>399</v>
      </c>
      <c r="D247" s="2" t="s">
        <v>4617</v>
      </c>
      <c r="E247" s="2" t="s">
        <v>3989</v>
      </c>
      <c r="F247" s="2" t="s">
        <v>4044</v>
      </c>
      <c r="G247" s="2"/>
      <c r="H247" s="2" t="s">
        <v>4618</v>
      </c>
    </row>
    <row r="248" customFormat="false" ht="15" hidden="false" customHeight="false" outlineLevel="0" collapsed="false">
      <c r="A248" s="2" t="n">
        <v>29</v>
      </c>
      <c r="B248" s="2" t="s">
        <v>404</v>
      </c>
      <c r="C248" s="2" t="s">
        <v>410</v>
      </c>
      <c r="D248" s="2" t="s">
        <v>4619</v>
      </c>
      <c r="E248" s="2" t="s">
        <v>3985</v>
      </c>
      <c r="F248" s="2" t="s">
        <v>413</v>
      </c>
      <c r="G248" s="2" t="s">
        <v>4620</v>
      </c>
      <c r="H248" s="2" t="s">
        <v>4621</v>
      </c>
    </row>
    <row r="249" customFormat="false" ht="15" hidden="false" customHeight="false" outlineLevel="0" collapsed="false">
      <c r="A249" s="2" t="n">
        <v>29</v>
      </c>
      <c r="B249" s="2" t="s">
        <v>404</v>
      </c>
      <c r="C249" s="2" t="s">
        <v>410</v>
      </c>
      <c r="D249" s="2" t="s">
        <v>4622</v>
      </c>
      <c r="E249" s="2" t="s">
        <v>3985</v>
      </c>
      <c r="F249" s="2" t="s">
        <v>413</v>
      </c>
      <c r="G249" s="2" t="s">
        <v>4623</v>
      </c>
      <c r="H249" s="2" t="s">
        <v>4624</v>
      </c>
    </row>
    <row r="250" customFormat="false" ht="15" hidden="false" customHeight="false" outlineLevel="0" collapsed="false">
      <c r="A250" s="2" t="n">
        <v>29</v>
      </c>
      <c r="B250" s="2" t="s">
        <v>404</v>
      </c>
      <c r="C250" s="2" t="s">
        <v>410</v>
      </c>
      <c r="D250" s="2" t="s">
        <v>4625</v>
      </c>
      <c r="E250" s="2" t="s">
        <v>3985</v>
      </c>
      <c r="F250" s="2" t="s">
        <v>96</v>
      </c>
      <c r="G250" s="2" t="s">
        <v>4626</v>
      </c>
      <c r="H250" s="2" t="s">
        <v>4627</v>
      </c>
    </row>
    <row r="251" customFormat="false" ht="15" hidden="false" customHeight="false" outlineLevel="0" collapsed="false">
      <c r="A251" s="2" t="n">
        <v>29</v>
      </c>
      <c r="B251" s="2" t="s">
        <v>404</v>
      </c>
      <c r="C251" s="2" t="s">
        <v>410</v>
      </c>
      <c r="D251" s="2" t="s">
        <v>4628</v>
      </c>
      <c r="E251" s="2" t="s">
        <v>3985</v>
      </c>
      <c r="F251" s="2" t="s">
        <v>726</v>
      </c>
      <c r="G251" s="2" t="s">
        <v>4629</v>
      </c>
      <c r="H251" s="2" t="s">
        <v>4630</v>
      </c>
    </row>
    <row r="252" customFormat="false" ht="15" hidden="false" customHeight="false" outlineLevel="0" collapsed="false">
      <c r="A252" s="2" t="n">
        <v>29</v>
      </c>
      <c r="B252" s="2" t="s">
        <v>404</v>
      </c>
      <c r="C252" s="2" t="s">
        <v>410</v>
      </c>
      <c r="D252" s="2" t="s">
        <v>4631</v>
      </c>
      <c r="E252" s="2" t="s">
        <v>3985</v>
      </c>
      <c r="F252" s="2" t="s">
        <v>269</v>
      </c>
      <c r="G252" s="2" t="s">
        <v>4632</v>
      </c>
      <c r="H252" s="2" t="s">
        <v>4633</v>
      </c>
    </row>
    <row r="253" customFormat="false" ht="15" hidden="false" customHeight="false" outlineLevel="0" collapsed="false">
      <c r="A253" s="2" t="n">
        <v>29</v>
      </c>
      <c r="B253" s="2" t="s">
        <v>404</v>
      </c>
      <c r="C253" s="2" t="s">
        <v>410</v>
      </c>
      <c r="D253" s="2" t="s">
        <v>4634</v>
      </c>
      <c r="E253" s="2" t="s">
        <v>3985</v>
      </c>
      <c r="F253" s="2" t="s">
        <v>414</v>
      </c>
      <c r="G253" s="2" t="s">
        <v>4635</v>
      </c>
      <c r="H253" s="2" t="s">
        <v>4636</v>
      </c>
    </row>
    <row r="254" customFormat="false" ht="15" hidden="false" customHeight="false" outlineLevel="0" collapsed="false">
      <c r="A254" s="2" t="n">
        <v>29</v>
      </c>
      <c r="B254" s="2" t="s">
        <v>404</v>
      </c>
      <c r="C254" s="2" t="s">
        <v>410</v>
      </c>
      <c r="D254" s="2" t="s">
        <v>4637</v>
      </c>
      <c r="E254" s="2" t="s">
        <v>3989</v>
      </c>
      <c r="F254" s="2" t="s">
        <v>4638</v>
      </c>
      <c r="G254" s="2"/>
      <c r="H254" s="2" t="s">
        <v>4639</v>
      </c>
    </row>
    <row r="255" customFormat="false" ht="15" hidden="false" customHeight="false" outlineLevel="0" collapsed="false">
      <c r="A255" s="2" t="n">
        <v>29</v>
      </c>
      <c r="B255" s="2" t="s">
        <v>404</v>
      </c>
      <c r="C255" s="2" t="s">
        <v>410</v>
      </c>
      <c r="D255" s="2" t="s">
        <v>4640</v>
      </c>
      <c r="E255" s="2" t="s">
        <v>3989</v>
      </c>
      <c r="F255" s="2" t="s">
        <v>2535</v>
      </c>
      <c r="G255" s="2"/>
      <c r="H255" s="2" t="s">
        <v>4641</v>
      </c>
    </row>
    <row r="256" customFormat="false" ht="15" hidden="false" customHeight="false" outlineLevel="0" collapsed="false">
      <c r="A256" s="2" t="n">
        <v>29</v>
      </c>
      <c r="B256" s="2" t="s">
        <v>404</v>
      </c>
      <c r="C256" s="2" t="s">
        <v>410</v>
      </c>
      <c r="D256" s="2" t="s">
        <v>4642</v>
      </c>
      <c r="E256" s="2" t="s">
        <v>3989</v>
      </c>
      <c r="F256" s="2" t="s">
        <v>4643</v>
      </c>
      <c r="G256" s="2"/>
      <c r="H256" s="2" t="s">
        <v>4644</v>
      </c>
    </row>
    <row r="257" customFormat="false" ht="15" hidden="false" customHeight="false" outlineLevel="0" collapsed="false">
      <c r="A257" s="2" t="n">
        <v>30</v>
      </c>
      <c r="B257" s="2" t="s">
        <v>416</v>
      </c>
      <c r="C257" s="2" t="s">
        <v>422</v>
      </c>
      <c r="D257" s="2" t="s">
        <v>4645</v>
      </c>
      <c r="E257" s="2" t="s">
        <v>3989</v>
      </c>
      <c r="F257" s="2" t="s">
        <v>4646</v>
      </c>
      <c r="G257" s="2" t="s">
        <v>4647</v>
      </c>
      <c r="H257" s="2" t="s">
        <v>4648</v>
      </c>
    </row>
    <row r="258" customFormat="false" ht="15" hidden="false" customHeight="false" outlineLevel="0" collapsed="false">
      <c r="A258" s="2" t="n">
        <v>30</v>
      </c>
      <c r="B258" s="2" t="s">
        <v>416</v>
      </c>
      <c r="C258" s="2" t="s">
        <v>422</v>
      </c>
      <c r="D258" s="2" t="s">
        <v>4649</v>
      </c>
      <c r="E258" s="2" t="s">
        <v>3989</v>
      </c>
      <c r="F258" s="2" t="s">
        <v>4650</v>
      </c>
      <c r="G258" s="2"/>
      <c r="H258" s="2" t="s">
        <v>4651</v>
      </c>
    </row>
    <row r="259" customFormat="false" ht="15" hidden="false" customHeight="false" outlineLevel="0" collapsed="false">
      <c r="A259" s="2" t="n">
        <v>30</v>
      </c>
      <c r="B259" s="2" t="s">
        <v>416</v>
      </c>
      <c r="C259" s="2" t="s">
        <v>422</v>
      </c>
      <c r="D259" s="2" t="s">
        <v>4652</v>
      </c>
      <c r="E259" s="2" t="s">
        <v>3989</v>
      </c>
      <c r="F259" s="2" t="s">
        <v>4653</v>
      </c>
      <c r="G259" s="2"/>
      <c r="H259" s="2" t="s">
        <v>4654</v>
      </c>
    </row>
    <row r="260" customFormat="false" ht="15" hidden="false" customHeight="false" outlineLevel="0" collapsed="false">
      <c r="A260" s="2" t="n">
        <v>31</v>
      </c>
      <c r="B260" s="2" t="s">
        <v>428</v>
      </c>
      <c r="C260" s="2" t="s">
        <v>433</v>
      </c>
      <c r="D260" s="2" t="s">
        <v>422</v>
      </c>
      <c r="E260" s="2" t="s">
        <v>3985</v>
      </c>
      <c r="F260" s="2" t="s">
        <v>419</v>
      </c>
      <c r="G260" s="2" t="s">
        <v>4655</v>
      </c>
      <c r="H260" s="2" t="s">
        <v>423</v>
      </c>
    </row>
    <row r="261" customFormat="false" ht="15" hidden="false" customHeight="false" outlineLevel="0" collapsed="false">
      <c r="A261" s="2" t="n">
        <v>31</v>
      </c>
      <c r="B261" s="2" t="s">
        <v>428</v>
      </c>
      <c r="C261" s="2" t="s">
        <v>433</v>
      </c>
      <c r="D261" s="2" t="s">
        <v>399</v>
      </c>
      <c r="E261" s="2" t="s">
        <v>3985</v>
      </c>
      <c r="F261" s="2" t="s">
        <v>390</v>
      </c>
      <c r="G261" s="2" t="s">
        <v>4656</v>
      </c>
      <c r="H261" s="2" t="s">
        <v>400</v>
      </c>
    </row>
    <row r="262" customFormat="false" ht="15" hidden="false" customHeight="false" outlineLevel="0" collapsed="false">
      <c r="A262" s="2" t="n">
        <v>31</v>
      </c>
      <c r="B262" s="2" t="s">
        <v>428</v>
      </c>
      <c r="C262" s="2" t="s">
        <v>433</v>
      </c>
      <c r="D262" s="2" t="s">
        <v>393</v>
      </c>
      <c r="E262" s="2" t="s">
        <v>3985</v>
      </c>
      <c r="F262" s="2" t="s">
        <v>390</v>
      </c>
      <c r="G262" s="2" t="s">
        <v>4657</v>
      </c>
      <c r="H262" s="2" t="s">
        <v>394</v>
      </c>
    </row>
    <row r="263" customFormat="false" ht="15" hidden="false" customHeight="false" outlineLevel="0" collapsed="false">
      <c r="A263" s="2" t="n">
        <v>31</v>
      </c>
      <c r="B263" s="2" t="s">
        <v>428</v>
      </c>
      <c r="C263" s="2" t="s">
        <v>433</v>
      </c>
      <c r="D263" s="2" t="s">
        <v>873</v>
      </c>
      <c r="E263" s="2" t="s">
        <v>3985</v>
      </c>
      <c r="F263" s="2" t="s">
        <v>677</v>
      </c>
      <c r="G263" s="2" t="s">
        <v>4658</v>
      </c>
      <c r="H263" s="2" t="s">
        <v>874</v>
      </c>
    </row>
    <row r="264" customFormat="false" ht="15" hidden="false" customHeight="false" outlineLevel="0" collapsed="false">
      <c r="A264" s="2" t="n">
        <v>31</v>
      </c>
      <c r="B264" s="2" t="s">
        <v>428</v>
      </c>
      <c r="C264" s="2" t="s">
        <v>433</v>
      </c>
      <c r="D264" s="2" t="s">
        <v>1027</v>
      </c>
      <c r="E264" s="2" t="s">
        <v>3985</v>
      </c>
      <c r="F264" s="2" t="s">
        <v>402</v>
      </c>
      <c r="G264" s="2" t="s">
        <v>4611</v>
      </c>
      <c r="H264" s="2" t="s">
        <v>1028</v>
      </c>
    </row>
    <row r="265" customFormat="false" ht="15" hidden="false" customHeight="false" outlineLevel="0" collapsed="false">
      <c r="A265" s="2" t="n">
        <v>31</v>
      </c>
      <c r="B265" s="2" t="s">
        <v>428</v>
      </c>
      <c r="C265" s="2" t="s">
        <v>433</v>
      </c>
      <c r="D265" s="2" t="s">
        <v>4659</v>
      </c>
      <c r="E265" s="2" t="s">
        <v>3985</v>
      </c>
      <c r="F265" s="2" t="s">
        <v>414</v>
      </c>
      <c r="G265" s="2" t="s">
        <v>4660</v>
      </c>
      <c r="H265" s="2" t="s">
        <v>4661</v>
      </c>
    </row>
    <row r="266" customFormat="false" ht="15" hidden="false" customHeight="false" outlineLevel="0" collapsed="false">
      <c r="A266" s="2" t="n">
        <v>32</v>
      </c>
      <c r="B266" s="2" t="s">
        <v>437</v>
      </c>
      <c r="C266" s="2" t="s">
        <v>442</v>
      </c>
      <c r="D266" s="2" t="s">
        <v>727</v>
      </c>
      <c r="E266" s="2" t="s">
        <v>3985</v>
      </c>
      <c r="F266" s="2" t="s">
        <v>337</v>
      </c>
      <c r="G266" s="2" t="s">
        <v>4511</v>
      </c>
      <c r="H266" s="2" t="s">
        <v>728</v>
      </c>
    </row>
    <row r="267" customFormat="false" ht="15" hidden="false" customHeight="false" outlineLevel="0" collapsed="false">
      <c r="A267" s="2" t="n">
        <v>32</v>
      </c>
      <c r="B267" s="2" t="s">
        <v>437</v>
      </c>
      <c r="C267" s="2" t="s">
        <v>442</v>
      </c>
      <c r="D267" s="2" t="s">
        <v>4662</v>
      </c>
      <c r="E267" s="2" t="s">
        <v>3989</v>
      </c>
      <c r="F267" s="2" t="s">
        <v>4663</v>
      </c>
      <c r="G267" s="2" t="s">
        <v>4664</v>
      </c>
      <c r="H267" s="2" t="s">
        <v>4665</v>
      </c>
    </row>
    <row r="268" customFormat="false" ht="15" hidden="false" customHeight="false" outlineLevel="0" collapsed="false">
      <c r="A268" s="2" t="n">
        <v>32</v>
      </c>
      <c r="B268" s="2" t="s">
        <v>437</v>
      </c>
      <c r="C268" s="2" t="s">
        <v>442</v>
      </c>
      <c r="D268" s="2" t="s">
        <v>4666</v>
      </c>
      <c r="E268" s="2" t="s">
        <v>3989</v>
      </c>
      <c r="F268" s="2" t="s">
        <v>4576</v>
      </c>
      <c r="G268" s="2"/>
      <c r="H268" s="2" t="s">
        <v>4667</v>
      </c>
    </row>
    <row r="269" customFormat="false" ht="15" hidden="false" customHeight="false" outlineLevel="0" collapsed="false">
      <c r="A269" s="2" t="n">
        <v>32</v>
      </c>
      <c r="B269" s="2" t="s">
        <v>437</v>
      </c>
      <c r="C269" s="2" t="s">
        <v>442</v>
      </c>
      <c r="D269" s="2" t="s">
        <v>4668</v>
      </c>
      <c r="E269" s="2" t="s">
        <v>3989</v>
      </c>
      <c r="F269" s="2" t="s">
        <v>4669</v>
      </c>
      <c r="G269" s="2"/>
      <c r="H269" s="2" t="s">
        <v>4670</v>
      </c>
    </row>
    <row r="270" customFormat="false" ht="15" hidden="false" customHeight="false" outlineLevel="0" collapsed="false">
      <c r="A270" s="2" t="n">
        <v>32</v>
      </c>
      <c r="B270" s="2" t="s">
        <v>437</v>
      </c>
      <c r="C270" s="2" t="s">
        <v>442</v>
      </c>
      <c r="D270" s="2" t="s">
        <v>4671</v>
      </c>
      <c r="E270" s="2" t="s">
        <v>3989</v>
      </c>
      <c r="F270" s="2" t="s">
        <v>4672</v>
      </c>
      <c r="G270" s="2"/>
      <c r="H270" s="2" t="s">
        <v>4673</v>
      </c>
    </row>
    <row r="271" customFormat="false" ht="15" hidden="false" customHeight="false" outlineLevel="0" collapsed="false">
      <c r="A271" s="2" t="n">
        <v>32</v>
      </c>
      <c r="B271" s="2" t="s">
        <v>437</v>
      </c>
      <c r="C271" s="2" t="s">
        <v>442</v>
      </c>
      <c r="D271" s="2" t="s">
        <v>4674</v>
      </c>
      <c r="E271" s="2" t="s">
        <v>3989</v>
      </c>
      <c r="F271" s="2" t="s">
        <v>2207</v>
      </c>
      <c r="G271" s="2" t="s">
        <v>4675</v>
      </c>
      <c r="H271" s="2" t="s">
        <v>4676</v>
      </c>
    </row>
    <row r="272" customFormat="false" ht="15" hidden="false" customHeight="false" outlineLevel="0" collapsed="false">
      <c r="A272" s="2" t="n">
        <v>32</v>
      </c>
      <c r="B272" s="2" t="s">
        <v>437</v>
      </c>
      <c r="C272" s="2" t="s">
        <v>442</v>
      </c>
      <c r="D272" s="2" t="s">
        <v>4677</v>
      </c>
      <c r="E272" s="2" t="s">
        <v>3989</v>
      </c>
      <c r="F272" s="2" t="s">
        <v>4678</v>
      </c>
      <c r="G272" s="2"/>
      <c r="H272" s="2" t="s">
        <v>4679</v>
      </c>
    </row>
    <row r="273" customFormat="false" ht="15" hidden="false" customHeight="false" outlineLevel="0" collapsed="false">
      <c r="A273" s="2" t="n">
        <v>32</v>
      </c>
      <c r="B273" s="2" t="s">
        <v>437</v>
      </c>
      <c r="C273" s="2" t="s">
        <v>442</v>
      </c>
      <c r="D273" s="2" t="s">
        <v>4680</v>
      </c>
      <c r="E273" s="2" t="s">
        <v>3989</v>
      </c>
      <c r="F273" s="2" t="s">
        <v>4681</v>
      </c>
      <c r="G273" s="2"/>
      <c r="H273" s="2" t="s">
        <v>4682</v>
      </c>
    </row>
    <row r="274" customFormat="false" ht="15" hidden="false" customHeight="false" outlineLevel="0" collapsed="false">
      <c r="A274" s="2" t="n">
        <v>33</v>
      </c>
      <c r="B274" s="2" t="s">
        <v>448</v>
      </c>
      <c r="C274" s="2" t="s">
        <v>452</v>
      </c>
      <c r="D274" s="2" t="s">
        <v>4683</v>
      </c>
      <c r="E274" s="2" t="s">
        <v>3989</v>
      </c>
      <c r="F274" s="2" t="s">
        <v>391</v>
      </c>
      <c r="G274" s="2"/>
      <c r="H274" s="2" t="s">
        <v>4684</v>
      </c>
    </row>
    <row r="275" customFormat="false" ht="15" hidden="false" customHeight="false" outlineLevel="0" collapsed="false">
      <c r="A275" s="2" t="n">
        <v>33</v>
      </c>
      <c r="B275" s="2" t="s">
        <v>448</v>
      </c>
      <c r="C275" s="2" t="s">
        <v>452</v>
      </c>
      <c r="D275" s="2" t="s">
        <v>4685</v>
      </c>
      <c r="E275" s="2" t="s">
        <v>3989</v>
      </c>
      <c r="F275" s="2" t="s">
        <v>4686</v>
      </c>
      <c r="G275" s="2"/>
      <c r="H275" s="2" t="s">
        <v>4687</v>
      </c>
    </row>
    <row r="276" customFormat="false" ht="15" hidden="false" customHeight="false" outlineLevel="0" collapsed="false">
      <c r="A276" s="2" t="n">
        <v>33</v>
      </c>
      <c r="B276" s="2" t="s">
        <v>448</v>
      </c>
      <c r="C276" s="2" t="s">
        <v>452</v>
      </c>
      <c r="D276" s="2" t="s">
        <v>4688</v>
      </c>
      <c r="E276" s="2" t="s">
        <v>3989</v>
      </c>
      <c r="F276" s="2" t="s">
        <v>4376</v>
      </c>
      <c r="G276" s="2"/>
      <c r="H276" s="2" t="s">
        <v>4689</v>
      </c>
    </row>
    <row r="277" customFormat="false" ht="15" hidden="false" customHeight="false" outlineLevel="0" collapsed="false">
      <c r="A277" s="2" t="n">
        <v>34</v>
      </c>
      <c r="B277" s="2" t="s">
        <v>458</v>
      </c>
      <c r="C277" s="2" t="s">
        <v>460</v>
      </c>
      <c r="D277" s="2" t="s">
        <v>4690</v>
      </c>
      <c r="E277" s="2" t="s">
        <v>3989</v>
      </c>
      <c r="F277" s="2" t="s">
        <v>4691</v>
      </c>
      <c r="G277" s="2"/>
      <c r="H277" s="2" t="s">
        <v>4692</v>
      </c>
    </row>
    <row r="278" customFormat="false" ht="15" hidden="false" customHeight="false" outlineLevel="0" collapsed="false">
      <c r="A278" s="2" t="n">
        <v>35</v>
      </c>
      <c r="B278" s="2" t="s">
        <v>464</v>
      </c>
      <c r="C278" s="2" t="s">
        <v>469</v>
      </c>
      <c r="D278" s="2" t="s">
        <v>4693</v>
      </c>
      <c r="E278" s="2" t="s">
        <v>3989</v>
      </c>
      <c r="F278" s="2" t="s">
        <v>4694</v>
      </c>
      <c r="G278" s="2"/>
      <c r="H278" s="2" t="s">
        <v>4695</v>
      </c>
    </row>
    <row r="279" customFormat="false" ht="15" hidden="false" customHeight="false" outlineLevel="0" collapsed="false">
      <c r="A279" s="2" t="n">
        <v>35</v>
      </c>
      <c r="B279" s="2" t="s">
        <v>464</v>
      </c>
      <c r="C279" s="2" t="s">
        <v>469</v>
      </c>
      <c r="D279" s="2" t="s">
        <v>4696</v>
      </c>
      <c r="E279" s="2" t="s">
        <v>3989</v>
      </c>
      <c r="F279" s="2" t="s">
        <v>4697</v>
      </c>
      <c r="G279" s="2"/>
      <c r="H279" s="2" t="s">
        <v>4698</v>
      </c>
    </row>
    <row r="280" customFormat="false" ht="15" hidden="false" customHeight="false" outlineLevel="0" collapsed="false">
      <c r="A280" s="2" t="n">
        <v>35</v>
      </c>
      <c r="B280" s="2" t="s">
        <v>464</v>
      </c>
      <c r="C280" s="2" t="s">
        <v>469</v>
      </c>
      <c r="D280" s="2" t="s">
        <v>4699</v>
      </c>
      <c r="E280" s="2" t="s">
        <v>3989</v>
      </c>
      <c r="F280" s="2" t="s">
        <v>4700</v>
      </c>
      <c r="G280" s="2"/>
      <c r="H280" s="2" t="s">
        <v>4701</v>
      </c>
    </row>
    <row r="281" customFormat="false" ht="15" hidden="false" customHeight="false" outlineLevel="0" collapsed="false">
      <c r="A281" s="2" t="n">
        <v>36</v>
      </c>
      <c r="B281" s="2" t="s">
        <v>473</v>
      </c>
      <c r="C281" s="2" t="s">
        <v>477</v>
      </c>
      <c r="D281" s="2" t="s">
        <v>696</v>
      </c>
      <c r="E281" s="2" t="s">
        <v>3985</v>
      </c>
      <c r="F281" s="2" t="s">
        <v>480</v>
      </c>
      <c r="G281" s="2" t="s">
        <v>4702</v>
      </c>
      <c r="H281" s="2" t="s">
        <v>697</v>
      </c>
    </row>
    <row r="282" customFormat="false" ht="15" hidden="false" customHeight="false" outlineLevel="0" collapsed="false">
      <c r="A282" s="2" t="n">
        <v>36</v>
      </c>
      <c r="B282" s="2" t="s">
        <v>473</v>
      </c>
      <c r="C282" s="2" t="s">
        <v>477</v>
      </c>
      <c r="D282" s="2" t="s">
        <v>1010</v>
      </c>
      <c r="E282" s="2" t="s">
        <v>3985</v>
      </c>
      <c r="F282" s="2" t="s">
        <v>257</v>
      </c>
      <c r="G282" s="2" t="s">
        <v>4703</v>
      </c>
      <c r="H282" s="2" t="s">
        <v>1011</v>
      </c>
    </row>
    <row r="283" customFormat="false" ht="15" hidden="false" customHeight="false" outlineLevel="0" collapsed="false">
      <c r="A283" s="2" t="n">
        <v>36</v>
      </c>
      <c r="B283" s="2" t="s">
        <v>473</v>
      </c>
      <c r="C283" s="2" t="s">
        <v>477</v>
      </c>
      <c r="D283" s="2" t="s">
        <v>1185</v>
      </c>
      <c r="E283" s="2" t="s">
        <v>3985</v>
      </c>
      <c r="F283" s="2" t="s">
        <v>257</v>
      </c>
      <c r="G283" s="2" t="s">
        <v>4704</v>
      </c>
      <c r="H283" s="2" t="s">
        <v>1186</v>
      </c>
    </row>
    <row r="284" customFormat="false" ht="15" hidden="false" customHeight="false" outlineLevel="0" collapsed="false">
      <c r="A284" s="2" t="n">
        <v>36</v>
      </c>
      <c r="B284" s="2" t="s">
        <v>473</v>
      </c>
      <c r="C284" s="2" t="s">
        <v>477</v>
      </c>
      <c r="D284" s="2" t="s">
        <v>1017</v>
      </c>
      <c r="E284" s="2" t="s">
        <v>3985</v>
      </c>
      <c r="F284" s="2" t="s">
        <v>402</v>
      </c>
      <c r="G284" s="2" t="s">
        <v>4705</v>
      </c>
      <c r="H284" s="2" t="s">
        <v>1018</v>
      </c>
    </row>
    <row r="285" customFormat="false" ht="15" hidden="false" customHeight="false" outlineLevel="0" collapsed="false">
      <c r="A285" s="2" t="n">
        <v>36</v>
      </c>
      <c r="B285" s="2" t="s">
        <v>473</v>
      </c>
      <c r="C285" s="2" t="s">
        <v>477</v>
      </c>
      <c r="D285" s="2" t="s">
        <v>4659</v>
      </c>
      <c r="E285" s="2" t="s">
        <v>3985</v>
      </c>
      <c r="F285" s="2" t="s">
        <v>414</v>
      </c>
      <c r="G285" s="2" t="s">
        <v>4660</v>
      </c>
      <c r="H285" s="2" t="s">
        <v>4661</v>
      </c>
    </row>
    <row r="286" customFormat="false" ht="15" hidden="false" customHeight="false" outlineLevel="0" collapsed="false">
      <c r="A286" s="2" t="n">
        <v>36</v>
      </c>
      <c r="B286" s="2" t="s">
        <v>473</v>
      </c>
      <c r="C286" s="2" t="s">
        <v>477</v>
      </c>
      <c r="D286" s="2" t="s">
        <v>4706</v>
      </c>
      <c r="E286" s="2" t="s">
        <v>3985</v>
      </c>
      <c r="F286" s="2" t="s">
        <v>481</v>
      </c>
      <c r="G286" s="2" t="s">
        <v>4707</v>
      </c>
      <c r="H286" s="2" t="s">
        <v>4708</v>
      </c>
    </row>
    <row r="287" customFormat="false" ht="15" hidden="false" customHeight="false" outlineLevel="0" collapsed="false">
      <c r="A287" s="2" t="n">
        <v>36</v>
      </c>
      <c r="B287" s="2" t="s">
        <v>473</v>
      </c>
      <c r="C287" s="2" t="s">
        <v>477</v>
      </c>
      <c r="D287" s="2" t="s">
        <v>4709</v>
      </c>
      <c r="E287" s="2" t="s">
        <v>3989</v>
      </c>
      <c r="F287" s="2" t="s">
        <v>4710</v>
      </c>
      <c r="G287" s="2"/>
      <c r="H287" s="2" t="s">
        <v>4711</v>
      </c>
    </row>
    <row r="288" customFormat="false" ht="15" hidden="false" customHeight="false" outlineLevel="0" collapsed="false">
      <c r="A288" s="2" t="n">
        <v>36</v>
      </c>
      <c r="B288" s="2" t="s">
        <v>473</v>
      </c>
      <c r="C288" s="2" t="s">
        <v>477</v>
      </c>
      <c r="D288" s="2" t="s">
        <v>4712</v>
      </c>
      <c r="E288" s="2" t="s">
        <v>3989</v>
      </c>
      <c r="F288" s="2" t="s">
        <v>3281</v>
      </c>
      <c r="G288" s="2"/>
      <c r="H288" s="2" t="s">
        <v>4713</v>
      </c>
    </row>
    <row r="289" customFormat="false" ht="15" hidden="false" customHeight="false" outlineLevel="0" collapsed="false">
      <c r="A289" s="2" t="n">
        <v>37</v>
      </c>
      <c r="B289" s="2" t="s">
        <v>483</v>
      </c>
      <c r="C289" s="2" t="s">
        <v>488</v>
      </c>
      <c r="D289" s="2" t="s">
        <v>4714</v>
      </c>
      <c r="E289" s="2" t="s">
        <v>3985</v>
      </c>
      <c r="F289" s="2" t="s">
        <v>414</v>
      </c>
      <c r="G289" s="2" t="s">
        <v>4715</v>
      </c>
      <c r="H289" s="2" t="s">
        <v>4716</v>
      </c>
    </row>
    <row r="290" customFormat="false" ht="15" hidden="false" customHeight="false" outlineLevel="0" collapsed="false">
      <c r="A290" s="2" t="n">
        <v>37</v>
      </c>
      <c r="B290" s="2" t="s">
        <v>483</v>
      </c>
      <c r="C290" s="2" t="s">
        <v>488</v>
      </c>
      <c r="D290" s="2" t="s">
        <v>4717</v>
      </c>
      <c r="E290" s="2" t="s">
        <v>3989</v>
      </c>
      <c r="F290" s="2" t="s">
        <v>4718</v>
      </c>
      <c r="G290" s="2"/>
      <c r="H290" s="2" t="s">
        <v>4719</v>
      </c>
    </row>
    <row r="291" customFormat="false" ht="15" hidden="false" customHeight="false" outlineLevel="0" collapsed="false">
      <c r="A291" s="2" t="n">
        <v>37</v>
      </c>
      <c r="B291" s="2" t="s">
        <v>483</v>
      </c>
      <c r="C291" s="2" t="s">
        <v>488</v>
      </c>
      <c r="D291" s="2" t="s">
        <v>4720</v>
      </c>
      <c r="E291" s="2" t="s">
        <v>3989</v>
      </c>
      <c r="F291" s="2" t="s">
        <v>4721</v>
      </c>
      <c r="G291" s="2"/>
      <c r="H291" s="2" t="s">
        <v>4722</v>
      </c>
    </row>
    <row r="292" customFormat="false" ht="15" hidden="false" customHeight="false" outlineLevel="0" collapsed="false">
      <c r="A292" s="2" t="n">
        <v>37</v>
      </c>
      <c r="B292" s="2" t="s">
        <v>483</v>
      </c>
      <c r="C292" s="2" t="s">
        <v>488</v>
      </c>
      <c r="D292" s="2" t="s">
        <v>4723</v>
      </c>
      <c r="E292" s="2" t="s">
        <v>3989</v>
      </c>
      <c r="F292" s="2" t="s">
        <v>4724</v>
      </c>
      <c r="G292" s="2"/>
      <c r="H292" s="2" t="s">
        <v>4725</v>
      </c>
    </row>
    <row r="293" customFormat="false" ht="15" hidden="false" customHeight="false" outlineLevel="0" collapsed="false">
      <c r="A293" s="2" t="n">
        <v>37</v>
      </c>
      <c r="B293" s="2" t="s">
        <v>483</v>
      </c>
      <c r="C293" s="2" t="s">
        <v>488</v>
      </c>
      <c r="D293" s="2" t="s">
        <v>4726</v>
      </c>
      <c r="E293" s="2" t="s">
        <v>3989</v>
      </c>
      <c r="F293" s="2" t="s">
        <v>1459</v>
      </c>
      <c r="G293" s="2"/>
      <c r="H293" s="2" t="s">
        <v>4727</v>
      </c>
    </row>
    <row r="294" customFormat="false" ht="15" hidden="false" customHeight="false" outlineLevel="0" collapsed="false">
      <c r="A294" s="2" t="n">
        <v>37</v>
      </c>
      <c r="B294" s="2" t="s">
        <v>483</v>
      </c>
      <c r="C294" s="2" t="s">
        <v>488</v>
      </c>
      <c r="D294" s="2" t="s">
        <v>4728</v>
      </c>
      <c r="E294" s="2" t="s">
        <v>3989</v>
      </c>
      <c r="F294" s="2" t="s">
        <v>4729</v>
      </c>
      <c r="G294" s="2"/>
      <c r="H294" s="2" t="s">
        <v>4730</v>
      </c>
    </row>
    <row r="295" customFormat="false" ht="15" hidden="false" customHeight="false" outlineLevel="0" collapsed="false">
      <c r="A295" s="2" t="n">
        <v>37</v>
      </c>
      <c r="B295" s="2" t="s">
        <v>483</v>
      </c>
      <c r="C295" s="2" t="s">
        <v>488</v>
      </c>
      <c r="D295" s="2" t="s">
        <v>4731</v>
      </c>
      <c r="E295" s="2" t="s">
        <v>3989</v>
      </c>
      <c r="F295" s="2" t="s">
        <v>4732</v>
      </c>
      <c r="G295" s="2"/>
      <c r="H295" s="2" t="s">
        <v>4733</v>
      </c>
    </row>
    <row r="296" customFormat="false" ht="15" hidden="false" customHeight="false" outlineLevel="0" collapsed="false">
      <c r="A296" s="2" t="n">
        <v>37</v>
      </c>
      <c r="B296" s="2" t="s">
        <v>483</v>
      </c>
      <c r="C296" s="2" t="s">
        <v>488</v>
      </c>
      <c r="D296" s="2" t="s">
        <v>4734</v>
      </c>
      <c r="E296" s="2" t="s">
        <v>3989</v>
      </c>
      <c r="F296" s="2" t="s">
        <v>4735</v>
      </c>
      <c r="G296" s="2"/>
      <c r="H296" s="2" t="s">
        <v>4736</v>
      </c>
    </row>
    <row r="297" customFormat="false" ht="15" hidden="false" customHeight="false" outlineLevel="0" collapsed="false">
      <c r="A297" s="2" t="n">
        <v>39</v>
      </c>
      <c r="B297" s="2" t="s">
        <v>499</v>
      </c>
      <c r="C297" s="2" t="s">
        <v>504</v>
      </c>
      <c r="D297" s="2" t="s">
        <v>2623</v>
      </c>
      <c r="E297" s="2" t="s">
        <v>3985</v>
      </c>
      <c r="F297" s="2" t="s">
        <v>507</v>
      </c>
      <c r="G297" s="2" t="s">
        <v>2624</v>
      </c>
      <c r="H297" s="2" t="s">
        <v>2625</v>
      </c>
    </row>
    <row r="298" customFormat="false" ht="15" hidden="false" customHeight="false" outlineLevel="0" collapsed="false">
      <c r="A298" s="2" t="n">
        <v>39</v>
      </c>
      <c r="B298" s="2" t="s">
        <v>499</v>
      </c>
      <c r="C298" s="2" t="s">
        <v>504</v>
      </c>
      <c r="D298" s="2" t="s">
        <v>2626</v>
      </c>
      <c r="E298" s="2" t="s">
        <v>3985</v>
      </c>
      <c r="F298" s="2" t="s">
        <v>508</v>
      </c>
      <c r="G298" s="2" t="s">
        <v>2627</v>
      </c>
      <c r="H298" s="2" t="s">
        <v>2628</v>
      </c>
    </row>
    <row r="299" customFormat="false" ht="15" hidden="false" customHeight="false" outlineLevel="0" collapsed="false">
      <c r="A299" s="2" t="n">
        <v>39</v>
      </c>
      <c r="B299" s="2" t="s">
        <v>499</v>
      </c>
      <c r="C299" s="2" t="s">
        <v>504</v>
      </c>
      <c r="D299" s="2" t="s">
        <v>4737</v>
      </c>
      <c r="E299" s="2" t="s">
        <v>3989</v>
      </c>
      <c r="F299" s="2" t="s">
        <v>4019</v>
      </c>
      <c r="G299" s="2"/>
      <c r="H299" s="2" t="s">
        <v>4738</v>
      </c>
    </row>
    <row r="300" customFormat="false" ht="15" hidden="false" customHeight="false" outlineLevel="0" collapsed="false">
      <c r="A300" s="2" t="n">
        <v>41</v>
      </c>
      <c r="B300" s="2" t="s">
        <v>519</v>
      </c>
      <c r="C300" s="2" t="s">
        <v>524</v>
      </c>
      <c r="D300" s="2" t="s">
        <v>4739</v>
      </c>
      <c r="E300" s="2" t="s">
        <v>3985</v>
      </c>
      <c r="F300" s="2" t="s">
        <v>527</v>
      </c>
      <c r="G300" s="2" t="s">
        <v>4740</v>
      </c>
      <c r="H300" s="2" t="s">
        <v>4741</v>
      </c>
    </row>
    <row r="301" customFormat="false" ht="15" hidden="false" customHeight="false" outlineLevel="0" collapsed="false">
      <c r="A301" s="2" t="n">
        <v>41</v>
      </c>
      <c r="B301" s="2" t="s">
        <v>519</v>
      </c>
      <c r="C301" s="2" t="s">
        <v>524</v>
      </c>
      <c r="D301" s="2" t="s">
        <v>1010</v>
      </c>
      <c r="E301" s="2" t="s">
        <v>3985</v>
      </c>
      <c r="F301" s="2" t="s">
        <v>257</v>
      </c>
      <c r="G301" s="2" t="s">
        <v>4703</v>
      </c>
      <c r="H301" s="2" t="s">
        <v>1011</v>
      </c>
    </row>
    <row r="302" customFormat="false" ht="15" hidden="false" customHeight="false" outlineLevel="0" collapsed="false">
      <c r="A302" s="2" t="n">
        <v>41</v>
      </c>
      <c r="B302" s="2" t="s">
        <v>519</v>
      </c>
      <c r="C302" s="2" t="s">
        <v>524</v>
      </c>
      <c r="D302" s="2" t="s">
        <v>933</v>
      </c>
      <c r="E302" s="2" t="s">
        <v>3985</v>
      </c>
      <c r="F302" s="2" t="s">
        <v>134</v>
      </c>
      <c r="G302" s="2" t="s">
        <v>4742</v>
      </c>
      <c r="H302" s="2" t="s">
        <v>934</v>
      </c>
    </row>
    <row r="303" customFormat="false" ht="15" hidden="false" customHeight="false" outlineLevel="0" collapsed="false">
      <c r="A303" s="2" t="n">
        <v>41</v>
      </c>
      <c r="B303" s="2" t="s">
        <v>519</v>
      </c>
      <c r="C303" s="2" t="s">
        <v>524</v>
      </c>
      <c r="D303" s="2" t="s">
        <v>4743</v>
      </c>
      <c r="E303" s="2" t="s">
        <v>3985</v>
      </c>
      <c r="F303" s="2" t="s">
        <v>414</v>
      </c>
      <c r="G303" s="2" t="s">
        <v>4744</v>
      </c>
      <c r="H303" s="2" t="s">
        <v>4745</v>
      </c>
    </row>
    <row r="304" customFormat="false" ht="15" hidden="false" customHeight="false" outlineLevel="0" collapsed="false">
      <c r="A304" s="2" t="n">
        <v>41</v>
      </c>
      <c r="B304" s="2" t="s">
        <v>519</v>
      </c>
      <c r="C304" s="2" t="s">
        <v>524</v>
      </c>
      <c r="D304" s="2" t="s">
        <v>4746</v>
      </c>
      <c r="E304" s="2" t="s">
        <v>3985</v>
      </c>
      <c r="F304" s="2" t="s">
        <v>414</v>
      </c>
      <c r="G304" s="2" t="s">
        <v>4747</v>
      </c>
      <c r="H304" s="2" t="s">
        <v>4748</v>
      </c>
    </row>
    <row r="305" customFormat="false" ht="15" hidden="false" customHeight="false" outlineLevel="0" collapsed="false">
      <c r="A305" s="2" t="n">
        <v>41</v>
      </c>
      <c r="B305" s="2" t="s">
        <v>519</v>
      </c>
      <c r="C305" s="2" t="s">
        <v>524</v>
      </c>
      <c r="D305" s="2" t="s">
        <v>4749</v>
      </c>
      <c r="E305" s="2" t="s">
        <v>3985</v>
      </c>
      <c r="F305" s="2" t="s">
        <v>528</v>
      </c>
      <c r="G305" s="2" t="s">
        <v>4750</v>
      </c>
      <c r="H305" s="2" t="s">
        <v>4751</v>
      </c>
    </row>
    <row r="306" customFormat="false" ht="15" hidden="false" customHeight="false" outlineLevel="0" collapsed="false">
      <c r="A306" s="2" t="n">
        <v>41</v>
      </c>
      <c r="B306" s="2" t="s">
        <v>519</v>
      </c>
      <c r="C306" s="2" t="s">
        <v>524</v>
      </c>
      <c r="D306" s="2" t="s">
        <v>4752</v>
      </c>
      <c r="E306" s="2" t="s">
        <v>3989</v>
      </c>
      <c r="F306" s="2" t="s">
        <v>4753</v>
      </c>
      <c r="G306" s="2"/>
      <c r="H306" s="2" t="s">
        <v>4754</v>
      </c>
    </row>
    <row r="307" customFormat="false" ht="15" hidden="false" customHeight="false" outlineLevel="0" collapsed="false">
      <c r="A307" s="2" t="n">
        <v>41</v>
      </c>
      <c r="B307" s="2" t="s">
        <v>519</v>
      </c>
      <c r="C307" s="2" t="s">
        <v>524</v>
      </c>
      <c r="D307" s="2" t="s">
        <v>4755</v>
      </c>
      <c r="E307" s="2" t="s">
        <v>3989</v>
      </c>
      <c r="F307" s="2" t="s">
        <v>4756</v>
      </c>
      <c r="G307" s="2"/>
      <c r="H307" s="2" t="s">
        <v>4757</v>
      </c>
    </row>
    <row r="308" customFormat="false" ht="15" hidden="false" customHeight="false" outlineLevel="0" collapsed="false">
      <c r="A308" s="2" t="n">
        <v>41</v>
      </c>
      <c r="B308" s="2" t="s">
        <v>519</v>
      </c>
      <c r="C308" s="2" t="s">
        <v>524</v>
      </c>
      <c r="D308" s="2" t="s">
        <v>4758</v>
      </c>
      <c r="E308" s="2" t="s">
        <v>3989</v>
      </c>
      <c r="F308" s="2" t="s">
        <v>4759</v>
      </c>
      <c r="G308" s="2"/>
      <c r="H308" s="2" t="s">
        <v>4760</v>
      </c>
    </row>
    <row r="309" customFormat="false" ht="15" hidden="false" customHeight="false" outlineLevel="0" collapsed="false">
      <c r="A309" s="2" t="n">
        <v>41</v>
      </c>
      <c r="B309" s="2" t="s">
        <v>519</v>
      </c>
      <c r="C309" s="2" t="s">
        <v>524</v>
      </c>
      <c r="D309" s="2" t="s">
        <v>4761</v>
      </c>
      <c r="E309" s="2" t="s">
        <v>3989</v>
      </c>
      <c r="F309" s="2" t="s">
        <v>4762</v>
      </c>
      <c r="G309" s="2"/>
      <c r="H309" s="2" t="s">
        <v>4763</v>
      </c>
    </row>
    <row r="310" customFormat="false" ht="15" hidden="false" customHeight="false" outlineLevel="0" collapsed="false">
      <c r="A310" s="2" t="n">
        <v>41</v>
      </c>
      <c r="B310" s="2" t="s">
        <v>519</v>
      </c>
      <c r="C310" s="2" t="s">
        <v>524</v>
      </c>
      <c r="D310" s="2" t="s">
        <v>4764</v>
      </c>
      <c r="E310" s="2" t="s">
        <v>3989</v>
      </c>
      <c r="F310" s="2" t="s">
        <v>1451</v>
      </c>
      <c r="G310" s="2"/>
      <c r="H310" s="2" t="s">
        <v>4765</v>
      </c>
    </row>
    <row r="311" customFormat="false" ht="15" hidden="false" customHeight="false" outlineLevel="0" collapsed="false">
      <c r="A311" s="2" t="n">
        <v>41</v>
      </c>
      <c r="B311" s="2" t="s">
        <v>519</v>
      </c>
      <c r="C311" s="2" t="s">
        <v>524</v>
      </c>
      <c r="D311" s="2" t="s">
        <v>4766</v>
      </c>
      <c r="E311" s="2" t="s">
        <v>3989</v>
      </c>
      <c r="F311" s="2" t="s">
        <v>1949</v>
      </c>
      <c r="G311" s="2"/>
      <c r="H311" s="2" t="s">
        <v>4767</v>
      </c>
    </row>
    <row r="312" customFormat="false" ht="15" hidden="false" customHeight="false" outlineLevel="0" collapsed="false">
      <c r="A312" s="2" t="n">
        <v>41</v>
      </c>
      <c r="B312" s="2" t="s">
        <v>519</v>
      </c>
      <c r="C312" s="2" t="s">
        <v>524</v>
      </c>
      <c r="D312" s="2" t="s">
        <v>4768</v>
      </c>
      <c r="E312" s="2" t="s">
        <v>3989</v>
      </c>
      <c r="F312" s="2" t="s">
        <v>844</v>
      </c>
      <c r="G312" s="2"/>
      <c r="H312" s="2" t="s">
        <v>4769</v>
      </c>
    </row>
    <row r="313" customFormat="false" ht="15" hidden="false" customHeight="false" outlineLevel="0" collapsed="false">
      <c r="A313" s="2" t="n">
        <v>41</v>
      </c>
      <c r="B313" s="2" t="s">
        <v>519</v>
      </c>
      <c r="C313" s="2" t="s">
        <v>524</v>
      </c>
      <c r="D313" s="2" t="s">
        <v>4770</v>
      </c>
      <c r="E313" s="2" t="s">
        <v>3989</v>
      </c>
      <c r="F313" s="2" t="s">
        <v>663</v>
      </c>
      <c r="G313" s="2"/>
      <c r="H313" s="2" t="s">
        <v>4771</v>
      </c>
    </row>
    <row r="314" customFormat="false" ht="15" hidden="false" customHeight="false" outlineLevel="0" collapsed="false">
      <c r="A314" s="2" t="n">
        <v>41</v>
      </c>
      <c r="B314" s="2" t="s">
        <v>519</v>
      </c>
      <c r="C314" s="2" t="s">
        <v>524</v>
      </c>
      <c r="D314" s="2" t="s">
        <v>4772</v>
      </c>
      <c r="E314" s="2" t="s">
        <v>3989</v>
      </c>
      <c r="F314" s="2" t="s">
        <v>4773</v>
      </c>
      <c r="G314" s="2"/>
      <c r="H314" s="2" t="s">
        <v>4774</v>
      </c>
    </row>
    <row r="315" customFormat="false" ht="15" hidden="false" customHeight="false" outlineLevel="0" collapsed="false">
      <c r="A315" s="2" t="n">
        <v>41</v>
      </c>
      <c r="B315" s="2" t="s">
        <v>519</v>
      </c>
      <c r="C315" s="2" t="s">
        <v>524</v>
      </c>
      <c r="D315" s="2" t="s">
        <v>4775</v>
      </c>
      <c r="E315" s="2" t="s">
        <v>3989</v>
      </c>
      <c r="F315" s="2" t="s">
        <v>769</v>
      </c>
      <c r="G315" s="2"/>
      <c r="H315" s="2" t="s">
        <v>4776</v>
      </c>
    </row>
    <row r="316" customFormat="false" ht="15" hidden="false" customHeight="false" outlineLevel="0" collapsed="false">
      <c r="A316" s="2" t="n">
        <v>41</v>
      </c>
      <c r="B316" s="2" t="s">
        <v>519</v>
      </c>
      <c r="C316" s="2" t="s">
        <v>524</v>
      </c>
      <c r="D316" s="2" t="s">
        <v>4777</v>
      </c>
      <c r="E316" s="2" t="s">
        <v>3989</v>
      </c>
      <c r="F316" s="2" t="s">
        <v>4778</v>
      </c>
      <c r="G316" s="2"/>
      <c r="H316" s="2" t="s">
        <v>4779</v>
      </c>
    </row>
    <row r="317" customFormat="false" ht="15" hidden="false" customHeight="false" outlineLevel="0" collapsed="false">
      <c r="A317" s="2" t="n">
        <v>41</v>
      </c>
      <c r="B317" s="2" t="s">
        <v>519</v>
      </c>
      <c r="C317" s="2" t="s">
        <v>524</v>
      </c>
      <c r="D317" s="2" t="s">
        <v>4780</v>
      </c>
      <c r="E317" s="2" t="s">
        <v>3989</v>
      </c>
      <c r="F317" s="2" t="s">
        <v>3144</v>
      </c>
      <c r="G317" s="2"/>
      <c r="H317" s="2" t="s">
        <v>4781</v>
      </c>
    </row>
    <row r="318" customFormat="false" ht="15" hidden="false" customHeight="false" outlineLevel="0" collapsed="false">
      <c r="A318" s="2" t="n">
        <v>42</v>
      </c>
      <c r="B318" s="2" t="s">
        <v>530</v>
      </c>
      <c r="C318" s="2" t="s">
        <v>535</v>
      </c>
      <c r="D318" s="2" t="s">
        <v>4782</v>
      </c>
      <c r="E318" s="2" t="s">
        <v>3989</v>
      </c>
      <c r="F318" s="2" t="s">
        <v>4783</v>
      </c>
      <c r="G318" s="2"/>
      <c r="H318" s="2" t="s">
        <v>4784</v>
      </c>
    </row>
    <row r="319" customFormat="false" ht="15" hidden="false" customHeight="false" outlineLevel="0" collapsed="false">
      <c r="A319" s="2" t="n">
        <v>42</v>
      </c>
      <c r="B319" s="2" t="s">
        <v>530</v>
      </c>
      <c r="C319" s="2" t="s">
        <v>535</v>
      </c>
      <c r="D319" s="2" t="s">
        <v>4785</v>
      </c>
      <c r="E319" s="2" t="s">
        <v>3989</v>
      </c>
      <c r="F319" s="2" t="s">
        <v>4786</v>
      </c>
      <c r="G319" s="2" t="s">
        <v>4787</v>
      </c>
      <c r="H319" s="2" t="s">
        <v>4788</v>
      </c>
    </row>
    <row r="320" customFormat="false" ht="15" hidden="false" customHeight="false" outlineLevel="0" collapsed="false">
      <c r="A320" s="2" t="n">
        <v>44</v>
      </c>
      <c r="B320" s="2" t="s">
        <v>549</v>
      </c>
      <c r="C320" s="2" t="s">
        <v>554</v>
      </c>
      <c r="D320" s="2" t="s">
        <v>4789</v>
      </c>
      <c r="E320" s="2" t="s">
        <v>3989</v>
      </c>
      <c r="F320" s="2" t="s">
        <v>4790</v>
      </c>
      <c r="G320" s="2"/>
      <c r="H320" s="2" t="s">
        <v>4791</v>
      </c>
    </row>
    <row r="321" customFormat="false" ht="15" hidden="false" customHeight="false" outlineLevel="0" collapsed="false">
      <c r="A321" s="2" t="n">
        <v>44</v>
      </c>
      <c r="B321" s="2" t="s">
        <v>549</v>
      </c>
      <c r="C321" s="2" t="s">
        <v>554</v>
      </c>
      <c r="D321" s="2" t="s">
        <v>4792</v>
      </c>
      <c r="E321" s="2" t="s">
        <v>3989</v>
      </c>
      <c r="F321" s="2" t="s">
        <v>3490</v>
      </c>
      <c r="G321" s="2"/>
      <c r="H321" s="2" t="s">
        <v>4793</v>
      </c>
    </row>
    <row r="322" customFormat="false" ht="15" hidden="false" customHeight="false" outlineLevel="0" collapsed="false">
      <c r="A322" s="2" t="n">
        <v>45</v>
      </c>
      <c r="B322" s="2" t="s">
        <v>560</v>
      </c>
      <c r="C322" s="2" t="s">
        <v>567</v>
      </c>
      <c r="D322" s="2" t="s">
        <v>856</v>
      </c>
      <c r="E322" s="2" t="s">
        <v>3985</v>
      </c>
      <c r="F322" s="2" t="s">
        <v>570</v>
      </c>
      <c r="G322" s="2" t="s">
        <v>4794</v>
      </c>
      <c r="H322" s="2" t="s">
        <v>857</v>
      </c>
    </row>
    <row r="323" customFormat="false" ht="15" hidden="false" customHeight="false" outlineLevel="0" collapsed="false">
      <c r="A323" s="2" t="n">
        <v>45</v>
      </c>
      <c r="B323" s="2" t="s">
        <v>560</v>
      </c>
      <c r="C323" s="2" t="s">
        <v>567</v>
      </c>
      <c r="D323" s="2" t="s">
        <v>1037</v>
      </c>
      <c r="E323" s="2" t="s">
        <v>3985</v>
      </c>
      <c r="F323" s="2" t="s">
        <v>414</v>
      </c>
      <c r="G323" s="2" t="s">
        <v>4795</v>
      </c>
      <c r="H323" s="2" t="s">
        <v>1038</v>
      </c>
    </row>
    <row r="324" customFormat="false" ht="15" hidden="false" customHeight="false" outlineLevel="0" collapsed="false">
      <c r="A324" s="2" t="n">
        <v>45</v>
      </c>
      <c r="B324" s="2" t="s">
        <v>560</v>
      </c>
      <c r="C324" s="2" t="s">
        <v>567</v>
      </c>
      <c r="D324" s="2" t="s">
        <v>4796</v>
      </c>
      <c r="E324" s="2" t="s">
        <v>3985</v>
      </c>
      <c r="F324" s="2" t="s">
        <v>571</v>
      </c>
      <c r="G324" s="2" t="s">
        <v>4797</v>
      </c>
      <c r="H324" s="2" t="s">
        <v>4798</v>
      </c>
    </row>
    <row r="325" customFormat="false" ht="15" hidden="false" customHeight="false" outlineLevel="0" collapsed="false">
      <c r="A325" s="2" t="n">
        <v>45</v>
      </c>
      <c r="B325" s="2" t="s">
        <v>560</v>
      </c>
      <c r="C325" s="2" t="s">
        <v>567</v>
      </c>
      <c r="D325" s="2" t="s">
        <v>4799</v>
      </c>
      <c r="E325" s="2" t="s">
        <v>3989</v>
      </c>
      <c r="F325" s="2" t="s">
        <v>4800</v>
      </c>
      <c r="G325" s="2"/>
      <c r="H325" s="2" t="s">
        <v>4801</v>
      </c>
    </row>
    <row r="326" customFormat="false" ht="15" hidden="false" customHeight="false" outlineLevel="0" collapsed="false">
      <c r="A326" s="2" t="n">
        <v>46</v>
      </c>
      <c r="B326" s="2" t="s">
        <v>573</v>
      </c>
      <c r="C326" s="2" t="s">
        <v>578</v>
      </c>
      <c r="D326" s="2" t="s">
        <v>1054</v>
      </c>
      <c r="E326" s="2" t="s">
        <v>3985</v>
      </c>
      <c r="F326" s="2" t="s">
        <v>581</v>
      </c>
      <c r="G326" s="2" t="s">
        <v>4802</v>
      </c>
      <c r="H326" s="2" t="s">
        <v>1055</v>
      </c>
    </row>
    <row r="327" customFormat="false" ht="15" hidden="false" customHeight="false" outlineLevel="0" collapsed="false">
      <c r="A327" s="2" t="n">
        <v>46</v>
      </c>
      <c r="B327" s="2" t="s">
        <v>573</v>
      </c>
      <c r="C327" s="2" t="s">
        <v>578</v>
      </c>
      <c r="D327" s="2" t="s">
        <v>4803</v>
      </c>
      <c r="E327" s="2" t="s">
        <v>3985</v>
      </c>
      <c r="F327" s="2" t="s">
        <v>4804</v>
      </c>
      <c r="G327" s="2" t="s">
        <v>4805</v>
      </c>
      <c r="H327" s="2" t="s">
        <v>4806</v>
      </c>
    </row>
    <row r="328" customFormat="false" ht="15" hidden="false" customHeight="false" outlineLevel="0" collapsed="false">
      <c r="A328" s="2" t="n">
        <v>46</v>
      </c>
      <c r="B328" s="2" t="s">
        <v>573</v>
      </c>
      <c r="C328" s="2" t="s">
        <v>578</v>
      </c>
      <c r="D328" s="2" t="s">
        <v>4807</v>
      </c>
      <c r="E328" s="2" t="s">
        <v>3985</v>
      </c>
      <c r="F328" s="2" t="s">
        <v>582</v>
      </c>
      <c r="G328" s="2" t="s">
        <v>4808</v>
      </c>
      <c r="H328" s="2" t="s">
        <v>4809</v>
      </c>
    </row>
    <row r="329" customFormat="false" ht="15" hidden="false" customHeight="false" outlineLevel="0" collapsed="false">
      <c r="A329" s="2" t="n">
        <v>46</v>
      </c>
      <c r="B329" s="2" t="s">
        <v>573</v>
      </c>
      <c r="C329" s="2" t="s">
        <v>578</v>
      </c>
      <c r="D329" s="2" t="s">
        <v>4810</v>
      </c>
      <c r="E329" s="2" t="s">
        <v>3989</v>
      </c>
      <c r="F329" s="2" t="s">
        <v>4811</v>
      </c>
      <c r="G329" s="2"/>
      <c r="H329" s="2" t="s">
        <v>4812</v>
      </c>
    </row>
    <row r="330" customFormat="false" ht="15" hidden="false" customHeight="false" outlineLevel="0" collapsed="false">
      <c r="A330" s="2" t="n">
        <v>46</v>
      </c>
      <c r="B330" s="2" t="s">
        <v>573</v>
      </c>
      <c r="C330" s="2" t="s">
        <v>578</v>
      </c>
      <c r="D330" s="2" t="s">
        <v>4813</v>
      </c>
      <c r="E330" s="2" t="s">
        <v>3989</v>
      </c>
      <c r="F330" s="2" t="s">
        <v>4814</v>
      </c>
      <c r="G330" s="2"/>
      <c r="H330" s="2" t="s">
        <v>4815</v>
      </c>
    </row>
    <row r="331" customFormat="false" ht="15" hidden="false" customHeight="false" outlineLevel="0" collapsed="false">
      <c r="A331" s="2" t="n">
        <v>47</v>
      </c>
      <c r="B331" s="2" t="s">
        <v>584</v>
      </c>
      <c r="C331" s="2" t="s">
        <v>588</v>
      </c>
      <c r="D331" s="2" t="s">
        <v>4816</v>
      </c>
      <c r="E331" s="2" t="s">
        <v>3985</v>
      </c>
      <c r="F331" s="2" t="s">
        <v>402</v>
      </c>
      <c r="G331" s="2" t="s">
        <v>4817</v>
      </c>
      <c r="H331" s="2" t="s">
        <v>4818</v>
      </c>
    </row>
    <row r="332" customFormat="false" ht="15" hidden="false" customHeight="false" outlineLevel="0" collapsed="false">
      <c r="A332" s="2" t="n">
        <v>47</v>
      </c>
      <c r="B332" s="2" t="s">
        <v>584</v>
      </c>
      <c r="C332" s="2" t="s">
        <v>588</v>
      </c>
      <c r="D332" s="2" t="s">
        <v>4807</v>
      </c>
      <c r="E332" s="2" t="s">
        <v>3985</v>
      </c>
      <c r="F332" s="2" t="s">
        <v>582</v>
      </c>
      <c r="G332" s="2" t="s">
        <v>4808</v>
      </c>
      <c r="H332" s="2" t="s">
        <v>4809</v>
      </c>
    </row>
    <row r="333" customFormat="false" ht="15" hidden="false" customHeight="false" outlineLevel="0" collapsed="false">
      <c r="A333" s="2" t="n">
        <v>47</v>
      </c>
      <c r="B333" s="2" t="s">
        <v>584</v>
      </c>
      <c r="C333" s="2" t="s">
        <v>588</v>
      </c>
      <c r="D333" s="2" t="s">
        <v>4796</v>
      </c>
      <c r="E333" s="2" t="s">
        <v>3985</v>
      </c>
      <c r="F333" s="2" t="s">
        <v>571</v>
      </c>
      <c r="G333" s="2" t="s">
        <v>4797</v>
      </c>
      <c r="H333" s="2" t="s">
        <v>4798</v>
      </c>
    </row>
    <row r="334" customFormat="false" ht="15" hidden="false" customHeight="false" outlineLevel="0" collapsed="false">
      <c r="A334" s="2" t="n">
        <v>47</v>
      </c>
      <c r="B334" s="2" t="s">
        <v>584</v>
      </c>
      <c r="C334" s="2" t="s">
        <v>588</v>
      </c>
      <c r="D334" s="2" t="s">
        <v>4819</v>
      </c>
      <c r="E334" s="2" t="s">
        <v>3989</v>
      </c>
      <c r="F334" s="2" t="s">
        <v>4376</v>
      </c>
      <c r="G334" s="2"/>
      <c r="H334" s="2" t="s">
        <v>4820</v>
      </c>
    </row>
    <row r="335" customFormat="false" ht="15" hidden="false" customHeight="false" outlineLevel="0" collapsed="false">
      <c r="A335" s="2" t="n">
        <v>47</v>
      </c>
      <c r="B335" s="2" t="s">
        <v>584</v>
      </c>
      <c r="C335" s="2" t="s">
        <v>588</v>
      </c>
      <c r="D335" s="2" t="s">
        <v>4821</v>
      </c>
      <c r="E335" s="2" t="s">
        <v>3989</v>
      </c>
      <c r="F335" s="2" t="s">
        <v>664</v>
      </c>
      <c r="G335" s="2"/>
      <c r="H335" s="2" t="s">
        <v>4822</v>
      </c>
    </row>
    <row r="336" customFormat="false" ht="15" hidden="false" customHeight="false" outlineLevel="0" collapsed="false">
      <c r="A336" s="2" t="n">
        <v>48</v>
      </c>
      <c r="B336" s="2" t="s">
        <v>592</v>
      </c>
      <c r="C336" s="2" t="s">
        <v>596</v>
      </c>
      <c r="D336" s="2" t="s">
        <v>1054</v>
      </c>
      <c r="E336" s="2" t="s">
        <v>3985</v>
      </c>
      <c r="F336" s="2" t="s">
        <v>581</v>
      </c>
      <c r="G336" s="2" t="s">
        <v>4802</v>
      </c>
      <c r="H336" s="2" t="s">
        <v>1055</v>
      </c>
    </row>
    <row r="337" customFormat="false" ht="15" hidden="false" customHeight="false" outlineLevel="0" collapsed="false">
      <c r="A337" s="2" t="n">
        <v>48</v>
      </c>
      <c r="B337" s="2" t="s">
        <v>592</v>
      </c>
      <c r="C337" s="2" t="s">
        <v>596</v>
      </c>
      <c r="D337" s="2" t="s">
        <v>4807</v>
      </c>
      <c r="E337" s="2" t="s">
        <v>3985</v>
      </c>
      <c r="F337" s="2" t="s">
        <v>582</v>
      </c>
      <c r="G337" s="2" t="s">
        <v>4808</v>
      </c>
      <c r="H337" s="2" t="s">
        <v>4809</v>
      </c>
    </row>
    <row r="338" customFormat="false" ht="15" hidden="false" customHeight="false" outlineLevel="0" collapsed="false">
      <c r="A338" s="2" t="n">
        <v>48</v>
      </c>
      <c r="B338" s="2" t="s">
        <v>592</v>
      </c>
      <c r="C338" s="2" t="s">
        <v>596</v>
      </c>
      <c r="D338" s="2" t="s">
        <v>4796</v>
      </c>
      <c r="E338" s="2" t="s">
        <v>3985</v>
      </c>
      <c r="F338" s="2" t="s">
        <v>571</v>
      </c>
      <c r="G338" s="2" t="s">
        <v>4797</v>
      </c>
      <c r="H338" s="2" t="s">
        <v>4798</v>
      </c>
    </row>
    <row r="339" customFormat="false" ht="15" hidden="false" customHeight="false" outlineLevel="0" collapsed="false">
      <c r="A339" s="2" t="n">
        <v>48</v>
      </c>
      <c r="B339" s="2" t="s">
        <v>592</v>
      </c>
      <c r="C339" s="2" t="s">
        <v>596</v>
      </c>
      <c r="D339" s="2" t="s">
        <v>4823</v>
      </c>
      <c r="E339" s="2" t="s">
        <v>3989</v>
      </c>
      <c r="F339" s="2" t="s">
        <v>1949</v>
      </c>
      <c r="G339" s="2"/>
      <c r="H339" s="2" t="s">
        <v>4824</v>
      </c>
    </row>
    <row r="340" customFormat="false" ht="15" hidden="false" customHeight="false" outlineLevel="0" collapsed="false">
      <c r="A340" s="2" t="n">
        <v>48</v>
      </c>
      <c r="B340" s="2" t="s">
        <v>592</v>
      </c>
      <c r="C340" s="2" t="s">
        <v>596</v>
      </c>
      <c r="D340" s="2" t="s">
        <v>4825</v>
      </c>
      <c r="E340" s="2" t="s">
        <v>3989</v>
      </c>
      <c r="F340" s="2" t="s">
        <v>4826</v>
      </c>
      <c r="G340" s="2"/>
      <c r="H340" s="2" t="s">
        <v>4827</v>
      </c>
    </row>
    <row r="341" customFormat="false" ht="15" hidden="false" customHeight="false" outlineLevel="0" collapsed="false">
      <c r="A341" s="2" t="n">
        <v>48</v>
      </c>
      <c r="B341" s="2" t="s">
        <v>592</v>
      </c>
      <c r="C341" s="2" t="s">
        <v>596</v>
      </c>
      <c r="D341" s="2" t="s">
        <v>4828</v>
      </c>
      <c r="E341" s="2" t="s">
        <v>3989</v>
      </c>
      <c r="F341" s="2" t="s">
        <v>4829</v>
      </c>
      <c r="G341" s="2"/>
      <c r="H341" s="2" t="s">
        <v>4830</v>
      </c>
    </row>
    <row r="342" customFormat="false" ht="15" hidden="false" customHeight="false" outlineLevel="0" collapsed="false">
      <c r="A342" s="2" t="n">
        <v>48</v>
      </c>
      <c r="B342" s="2" t="s">
        <v>592</v>
      </c>
      <c r="C342" s="2" t="s">
        <v>596</v>
      </c>
      <c r="D342" s="2" t="s">
        <v>4831</v>
      </c>
      <c r="E342" s="2" t="s">
        <v>3989</v>
      </c>
      <c r="F342" s="2" t="s">
        <v>4800</v>
      </c>
      <c r="G342" s="2"/>
      <c r="H342" s="2" t="s">
        <v>4832</v>
      </c>
    </row>
    <row r="343" customFormat="false" ht="15" hidden="false" customHeight="false" outlineLevel="0" collapsed="false">
      <c r="A343" s="2" t="n">
        <v>48</v>
      </c>
      <c r="B343" s="2" t="s">
        <v>592</v>
      </c>
      <c r="C343" s="2" t="s">
        <v>596</v>
      </c>
      <c r="D343" s="2" t="s">
        <v>4833</v>
      </c>
      <c r="E343" s="2" t="s">
        <v>3989</v>
      </c>
      <c r="F343" s="2" t="s">
        <v>4834</v>
      </c>
      <c r="G343" s="2"/>
      <c r="H343" s="2" t="s">
        <v>4835</v>
      </c>
    </row>
    <row r="344" customFormat="false" ht="15" hidden="false" customHeight="false" outlineLevel="0" collapsed="false">
      <c r="A344" s="2" t="n">
        <v>49</v>
      </c>
      <c r="B344" s="2" t="s">
        <v>602</v>
      </c>
      <c r="C344" s="2" t="s">
        <v>605</v>
      </c>
      <c r="D344" s="2" t="s">
        <v>4836</v>
      </c>
      <c r="E344" s="2" t="s">
        <v>3989</v>
      </c>
      <c r="F344" s="2" t="s">
        <v>1359</v>
      </c>
      <c r="G344" s="2"/>
      <c r="H344" s="2" t="s">
        <v>4837</v>
      </c>
    </row>
    <row r="345" customFormat="false" ht="15" hidden="false" customHeight="false" outlineLevel="0" collapsed="false">
      <c r="A345" s="2" t="n">
        <v>49</v>
      </c>
      <c r="B345" s="2" t="s">
        <v>602</v>
      </c>
      <c r="C345" s="2" t="s">
        <v>605</v>
      </c>
      <c r="D345" s="2" t="s">
        <v>4838</v>
      </c>
      <c r="E345" s="2" t="s">
        <v>3989</v>
      </c>
      <c r="F345" s="2" t="s">
        <v>2638</v>
      </c>
      <c r="G345" s="2"/>
      <c r="H345" s="2" t="s">
        <v>4839</v>
      </c>
    </row>
    <row r="346" customFormat="false" ht="15" hidden="false" customHeight="false" outlineLevel="0" collapsed="false">
      <c r="A346" s="2" t="n">
        <v>49</v>
      </c>
      <c r="B346" s="2" t="s">
        <v>602</v>
      </c>
      <c r="C346" s="2" t="s">
        <v>605</v>
      </c>
      <c r="D346" s="2" t="s">
        <v>4840</v>
      </c>
      <c r="E346" s="2" t="s">
        <v>3989</v>
      </c>
      <c r="F346" s="2" t="s">
        <v>4800</v>
      </c>
      <c r="G346" s="2"/>
      <c r="H346" s="2" t="s">
        <v>4841</v>
      </c>
    </row>
    <row r="347" customFormat="false" ht="15" hidden="false" customHeight="false" outlineLevel="0" collapsed="false">
      <c r="A347" s="2" t="n">
        <v>51</v>
      </c>
      <c r="B347" s="2" t="s">
        <v>618</v>
      </c>
      <c r="C347" s="2" t="s">
        <v>622</v>
      </c>
      <c r="D347" s="2" t="s">
        <v>4842</v>
      </c>
      <c r="E347" s="2" t="s">
        <v>3989</v>
      </c>
      <c r="F347" s="2" t="s">
        <v>4843</v>
      </c>
      <c r="G347" s="2"/>
      <c r="H347" s="2" t="s">
        <v>4844</v>
      </c>
    </row>
    <row r="348" customFormat="false" ht="15" hidden="false" customHeight="false" outlineLevel="0" collapsed="false">
      <c r="A348" s="2" t="n">
        <v>51</v>
      </c>
      <c r="B348" s="2" t="s">
        <v>618</v>
      </c>
      <c r="C348" s="2" t="s">
        <v>622</v>
      </c>
      <c r="D348" s="2" t="s">
        <v>4845</v>
      </c>
      <c r="E348" s="2" t="s">
        <v>3989</v>
      </c>
      <c r="F348" s="2" t="s">
        <v>4846</v>
      </c>
      <c r="G348" s="2"/>
      <c r="H348" s="2" t="s">
        <v>4847</v>
      </c>
    </row>
    <row r="349" customFormat="false" ht="15" hidden="false" customHeight="false" outlineLevel="0" collapsed="false">
      <c r="A349" s="2" t="n">
        <v>51</v>
      </c>
      <c r="B349" s="2" t="s">
        <v>618</v>
      </c>
      <c r="C349" s="2" t="s">
        <v>622</v>
      </c>
      <c r="D349" s="2" t="s">
        <v>4848</v>
      </c>
      <c r="E349" s="2" t="s">
        <v>3989</v>
      </c>
      <c r="F349" s="2" t="s">
        <v>4678</v>
      </c>
      <c r="G349" s="2"/>
      <c r="H349" s="2" t="s">
        <v>4849</v>
      </c>
    </row>
    <row r="350" customFormat="false" ht="15" hidden="false" customHeight="false" outlineLevel="0" collapsed="false">
      <c r="A350" s="2" t="n">
        <v>52</v>
      </c>
      <c r="B350" s="2" t="s">
        <v>626</v>
      </c>
      <c r="C350" s="2" t="s">
        <v>632</v>
      </c>
      <c r="D350" s="2" t="s">
        <v>4850</v>
      </c>
      <c r="E350" s="2" t="s">
        <v>3985</v>
      </c>
      <c r="F350" s="2" t="s">
        <v>635</v>
      </c>
      <c r="G350" s="2" t="s">
        <v>4851</v>
      </c>
      <c r="H350" s="2" t="s">
        <v>4852</v>
      </c>
    </row>
    <row r="351" customFormat="false" ht="15" hidden="false" customHeight="false" outlineLevel="0" collapsed="false">
      <c r="A351" s="2" t="n">
        <v>52</v>
      </c>
      <c r="B351" s="2" t="s">
        <v>626</v>
      </c>
      <c r="C351" s="2" t="s">
        <v>632</v>
      </c>
      <c r="D351" s="2" t="s">
        <v>1054</v>
      </c>
      <c r="E351" s="2" t="s">
        <v>3985</v>
      </c>
      <c r="F351" s="2" t="s">
        <v>581</v>
      </c>
      <c r="G351" s="2" t="s">
        <v>4802</v>
      </c>
      <c r="H351" s="2" t="s">
        <v>1055</v>
      </c>
    </row>
    <row r="352" customFormat="false" ht="15" hidden="false" customHeight="false" outlineLevel="0" collapsed="false">
      <c r="A352" s="2" t="n">
        <v>52</v>
      </c>
      <c r="B352" s="2" t="s">
        <v>626</v>
      </c>
      <c r="C352" s="2" t="s">
        <v>632</v>
      </c>
      <c r="D352" s="2" t="s">
        <v>4853</v>
      </c>
      <c r="E352" s="2" t="s">
        <v>3989</v>
      </c>
      <c r="F352" s="2" t="s">
        <v>735</v>
      </c>
      <c r="G352" s="2"/>
      <c r="H352" s="2" t="s">
        <v>4854</v>
      </c>
    </row>
    <row r="353" customFormat="false" ht="15" hidden="false" customHeight="false" outlineLevel="0" collapsed="false">
      <c r="A353" s="2" t="n">
        <v>52</v>
      </c>
      <c r="B353" s="2" t="s">
        <v>626</v>
      </c>
      <c r="C353" s="2" t="s">
        <v>632</v>
      </c>
      <c r="D353" s="2" t="s">
        <v>4855</v>
      </c>
      <c r="E353" s="2" t="s">
        <v>3989</v>
      </c>
      <c r="F353" s="2" t="s">
        <v>1451</v>
      </c>
      <c r="G353" s="2"/>
      <c r="H353" s="2" t="s">
        <v>4856</v>
      </c>
    </row>
    <row r="354" customFormat="false" ht="15" hidden="false" customHeight="false" outlineLevel="0" collapsed="false">
      <c r="A354" s="2" t="n">
        <v>52</v>
      </c>
      <c r="B354" s="2" t="s">
        <v>626</v>
      </c>
      <c r="C354" s="2" t="s">
        <v>632</v>
      </c>
      <c r="D354" s="2" t="s">
        <v>4857</v>
      </c>
      <c r="E354" s="2" t="s">
        <v>3989</v>
      </c>
      <c r="F354" s="2" t="s">
        <v>1945</v>
      </c>
      <c r="G354" s="2"/>
      <c r="H354" s="2" t="s">
        <v>4858</v>
      </c>
    </row>
    <row r="355" customFormat="false" ht="15" hidden="false" customHeight="false" outlineLevel="0" collapsed="false">
      <c r="A355" s="2" t="n">
        <v>52</v>
      </c>
      <c r="B355" s="2" t="s">
        <v>626</v>
      </c>
      <c r="C355" s="2" t="s">
        <v>632</v>
      </c>
      <c r="D355" s="2" t="s">
        <v>4859</v>
      </c>
      <c r="E355" s="2" t="s">
        <v>3989</v>
      </c>
      <c r="F355" s="2" t="s">
        <v>4829</v>
      </c>
      <c r="G355" s="2" t="s">
        <v>4860</v>
      </c>
      <c r="H355" s="2" t="s">
        <v>4861</v>
      </c>
    </row>
    <row r="356" customFormat="false" ht="15" hidden="false" customHeight="false" outlineLevel="0" collapsed="false">
      <c r="A356" s="2" t="n">
        <v>52</v>
      </c>
      <c r="B356" s="2" t="s">
        <v>626</v>
      </c>
      <c r="C356" s="2" t="s">
        <v>632</v>
      </c>
      <c r="D356" s="2" t="s">
        <v>4862</v>
      </c>
      <c r="E356" s="2" t="s">
        <v>3989</v>
      </c>
      <c r="F356" s="2" t="s">
        <v>4863</v>
      </c>
      <c r="G356" s="2"/>
      <c r="H356" s="2" t="s">
        <v>4864</v>
      </c>
    </row>
    <row r="357" customFormat="false" ht="15" hidden="false" customHeight="false" outlineLevel="0" collapsed="false">
      <c r="A357" s="2" t="n">
        <v>52</v>
      </c>
      <c r="B357" s="2" t="s">
        <v>626</v>
      </c>
      <c r="C357" s="2" t="s">
        <v>632</v>
      </c>
      <c r="D357" s="2" t="s">
        <v>4865</v>
      </c>
      <c r="E357" s="2" t="s">
        <v>3989</v>
      </c>
      <c r="F357" s="2" t="s">
        <v>663</v>
      </c>
      <c r="G357" s="2"/>
      <c r="H357" s="2" t="s">
        <v>4866</v>
      </c>
    </row>
    <row r="358" customFormat="false" ht="15" hidden="false" customHeight="false" outlineLevel="0" collapsed="false">
      <c r="A358" s="2" t="n">
        <v>52</v>
      </c>
      <c r="B358" s="2" t="s">
        <v>626</v>
      </c>
      <c r="C358" s="2" t="s">
        <v>632</v>
      </c>
      <c r="D358" s="2" t="s">
        <v>4867</v>
      </c>
      <c r="E358" s="2" t="s">
        <v>3989</v>
      </c>
      <c r="F358" s="2" t="s">
        <v>2260</v>
      </c>
      <c r="G358" s="2"/>
      <c r="H358" s="2" t="s">
        <v>4868</v>
      </c>
    </row>
    <row r="359" customFormat="false" ht="15" hidden="false" customHeight="false" outlineLevel="0" collapsed="false">
      <c r="A359" s="2" t="n">
        <v>52</v>
      </c>
      <c r="B359" s="2" t="s">
        <v>626</v>
      </c>
      <c r="C359" s="2" t="s">
        <v>632</v>
      </c>
      <c r="D359" s="2" t="s">
        <v>4869</v>
      </c>
      <c r="E359" s="2" t="s">
        <v>3989</v>
      </c>
      <c r="F359" s="2" t="s">
        <v>4025</v>
      </c>
      <c r="G359" s="2" t="s">
        <v>4870</v>
      </c>
      <c r="H359" s="2" t="s">
        <v>4871</v>
      </c>
    </row>
    <row r="360" customFormat="false" ht="15" hidden="false" customHeight="false" outlineLevel="0" collapsed="false">
      <c r="A360" s="2" t="n">
        <v>52</v>
      </c>
      <c r="B360" s="2" t="s">
        <v>626</v>
      </c>
      <c r="C360" s="2" t="s">
        <v>632</v>
      </c>
      <c r="D360" s="2" t="s">
        <v>4872</v>
      </c>
      <c r="E360" s="2" t="s">
        <v>3989</v>
      </c>
      <c r="F360" s="2" t="s">
        <v>2612</v>
      </c>
      <c r="G360" s="2"/>
      <c r="H360" s="2" t="s">
        <v>4873</v>
      </c>
    </row>
    <row r="361" customFormat="false" ht="15" hidden="false" customHeight="false" outlineLevel="0" collapsed="false">
      <c r="A361" s="2" t="n">
        <v>53</v>
      </c>
      <c r="B361" s="2" t="s">
        <v>639</v>
      </c>
      <c r="C361" s="2" t="s">
        <v>644</v>
      </c>
      <c r="D361" s="2" t="s">
        <v>4874</v>
      </c>
      <c r="E361" s="2" t="s">
        <v>3985</v>
      </c>
      <c r="F361" s="2" t="s">
        <v>362</v>
      </c>
      <c r="G361" s="2" t="s">
        <v>4875</v>
      </c>
      <c r="H361" s="2" t="s">
        <v>4876</v>
      </c>
    </row>
    <row r="362" customFormat="false" ht="15" hidden="false" customHeight="false" outlineLevel="0" collapsed="false">
      <c r="A362" s="2" t="n">
        <v>54</v>
      </c>
      <c r="B362" s="2" t="s">
        <v>648</v>
      </c>
      <c r="C362" s="2" t="s">
        <v>654</v>
      </c>
      <c r="D362" s="2" t="s">
        <v>4877</v>
      </c>
      <c r="E362" s="2" t="s">
        <v>3985</v>
      </c>
      <c r="F362" s="2" t="s">
        <v>657</v>
      </c>
      <c r="G362" s="2" t="s">
        <v>4878</v>
      </c>
      <c r="H362" s="2" t="s">
        <v>4879</v>
      </c>
    </row>
    <row r="363" customFormat="false" ht="15" hidden="false" customHeight="false" outlineLevel="0" collapsed="false">
      <c r="A363" s="2" t="n">
        <v>54</v>
      </c>
      <c r="B363" s="2" t="s">
        <v>648</v>
      </c>
      <c r="C363" s="2" t="s">
        <v>654</v>
      </c>
      <c r="D363" s="2" t="s">
        <v>4880</v>
      </c>
      <c r="E363" s="2" t="s">
        <v>3985</v>
      </c>
      <c r="F363" s="2" t="s">
        <v>658</v>
      </c>
      <c r="G363" s="2" t="s">
        <v>4881</v>
      </c>
      <c r="H363" s="2" t="s">
        <v>4882</v>
      </c>
    </row>
    <row r="364" customFormat="false" ht="15" hidden="false" customHeight="false" outlineLevel="0" collapsed="false">
      <c r="A364" s="2" t="n">
        <v>54</v>
      </c>
      <c r="B364" s="2" t="s">
        <v>648</v>
      </c>
      <c r="C364" s="2" t="s">
        <v>654</v>
      </c>
      <c r="D364" s="2" t="s">
        <v>4883</v>
      </c>
      <c r="E364" s="2" t="s">
        <v>3989</v>
      </c>
      <c r="F364" s="2" t="s">
        <v>4884</v>
      </c>
      <c r="G364" s="2" t="s">
        <v>4885</v>
      </c>
      <c r="H364" s="2" t="s">
        <v>4886</v>
      </c>
    </row>
    <row r="365" customFormat="false" ht="15" hidden="false" customHeight="false" outlineLevel="0" collapsed="false">
      <c r="A365" s="2" t="n">
        <v>54</v>
      </c>
      <c r="B365" s="2" t="s">
        <v>648</v>
      </c>
      <c r="C365" s="2" t="s">
        <v>654</v>
      </c>
      <c r="D365" s="2" t="s">
        <v>4887</v>
      </c>
      <c r="E365" s="2" t="s">
        <v>3989</v>
      </c>
      <c r="F365" s="2" t="s">
        <v>950</v>
      </c>
      <c r="G365" s="2"/>
      <c r="H365" s="2" t="s">
        <v>4888</v>
      </c>
    </row>
    <row r="366" customFormat="false" ht="15" hidden="false" customHeight="false" outlineLevel="0" collapsed="false">
      <c r="A366" s="2" t="n">
        <v>55</v>
      </c>
      <c r="B366" s="2" t="s">
        <v>660</v>
      </c>
      <c r="C366" s="2" t="s">
        <v>665</v>
      </c>
      <c r="D366" s="2" t="s">
        <v>4889</v>
      </c>
      <c r="E366" s="2" t="s">
        <v>3989</v>
      </c>
      <c r="F366" s="2" t="s">
        <v>4890</v>
      </c>
      <c r="G366" s="2"/>
      <c r="H366" s="2" t="s">
        <v>4891</v>
      </c>
    </row>
    <row r="367" customFormat="false" ht="15" hidden="false" customHeight="false" outlineLevel="0" collapsed="false">
      <c r="A367" s="2" t="n">
        <v>56</v>
      </c>
      <c r="B367" s="2" t="s">
        <v>669</v>
      </c>
      <c r="C367" s="2" t="s">
        <v>674</v>
      </c>
      <c r="D367" s="2" t="s">
        <v>4892</v>
      </c>
      <c r="E367" s="2" t="s">
        <v>3985</v>
      </c>
      <c r="F367" s="2" t="s">
        <v>677</v>
      </c>
      <c r="G367" s="2" t="s">
        <v>4893</v>
      </c>
      <c r="H367" s="2" t="s">
        <v>4894</v>
      </c>
    </row>
    <row r="368" customFormat="false" ht="15" hidden="false" customHeight="false" outlineLevel="0" collapsed="false">
      <c r="A368" s="2" t="n">
        <v>56</v>
      </c>
      <c r="B368" s="2" t="s">
        <v>669</v>
      </c>
      <c r="C368" s="2" t="s">
        <v>674</v>
      </c>
      <c r="D368" s="2" t="s">
        <v>4895</v>
      </c>
      <c r="E368" s="2" t="s">
        <v>3989</v>
      </c>
      <c r="F368" s="2" t="s">
        <v>4896</v>
      </c>
      <c r="G368" s="2"/>
      <c r="H368" s="2" t="s">
        <v>4897</v>
      </c>
    </row>
    <row r="369" customFormat="false" ht="15" hidden="false" customHeight="false" outlineLevel="0" collapsed="false">
      <c r="A369" s="2" t="n">
        <v>56</v>
      </c>
      <c r="B369" s="2" t="s">
        <v>669</v>
      </c>
      <c r="C369" s="2" t="s">
        <v>674</v>
      </c>
      <c r="D369" s="2" t="s">
        <v>4898</v>
      </c>
      <c r="E369" s="2" t="s">
        <v>3989</v>
      </c>
      <c r="F369" s="2" t="s">
        <v>4028</v>
      </c>
      <c r="G369" s="2"/>
      <c r="H369" s="2" t="s">
        <v>4899</v>
      </c>
    </row>
    <row r="370" customFormat="false" ht="15" hidden="false" customHeight="false" outlineLevel="0" collapsed="false">
      <c r="A370" s="2" t="n">
        <v>56</v>
      </c>
      <c r="B370" s="2" t="s">
        <v>669</v>
      </c>
      <c r="C370" s="2" t="s">
        <v>674</v>
      </c>
      <c r="D370" s="2" t="s">
        <v>4900</v>
      </c>
      <c r="E370" s="2" t="s">
        <v>3989</v>
      </c>
      <c r="F370" s="2" t="s">
        <v>4901</v>
      </c>
      <c r="G370" s="2" t="s">
        <v>4902</v>
      </c>
      <c r="H370" s="2" t="s">
        <v>4903</v>
      </c>
    </row>
    <row r="371" customFormat="false" ht="15" hidden="false" customHeight="false" outlineLevel="0" collapsed="false">
      <c r="A371" s="2" t="n">
        <v>56</v>
      </c>
      <c r="B371" s="2" t="s">
        <v>669</v>
      </c>
      <c r="C371" s="2" t="s">
        <v>674</v>
      </c>
      <c r="D371" s="2" t="s">
        <v>4904</v>
      </c>
      <c r="E371" s="2" t="s">
        <v>3989</v>
      </c>
      <c r="F371" s="2" t="s">
        <v>3698</v>
      </c>
      <c r="G371" s="2"/>
      <c r="H371" s="2" t="s">
        <v>4905</v>
      </c>
    </row>
    <row r="372" customFormat="false" ht="15" hidden="false" customHeight="false" outlineLevel="0" collapsed="false">
      <c r="A372" s="2" t="n">
        <v>56</v>
      </c>
      <c r="B372" s="2" t="s">
        <v>669</v>
      </c>
      <c r="C372" s="2" t="s">
        <v>674</v>
      </c>
      <c r="D372" s="2" t="s">
        <v>4906</v>
      </c>
      <c r="E372" s="2" t="s">
        <v>3989</v>
      </c>
      <c r="F372" s="2" t="s">
        <v>3712</v>
      </c>
      <c r="G372" s="2"/>
      <c r="H372" s="2" t="s">
        <v>4907</v>
      </c>
    </row>
    <row r="373" customFormat="false" ht="15" hidden="false" customHeight="false" outlineLevel="0" collapsed="false">
      <c r="A373" s="2" t="n">
        <v>56</v>
      </c>
      <c r="B373" s="2" t="s">
        <v>669</v>
      </c>
      <c r="C373" s="2" t="s">
        <v>674</v>
      </c>
      <c r="D373" s="2" t="s">
        <v>4908</v>
      </c>
      <c r="E373" s="2" t="s">
        <v>3989</v>
      </c>
      <c r="F373" s="2" t="s">
        <v>2959</v>
      </c>
      <c r="G373" s="2"/>
      <c r="H373" s="2" t="s">
        <v>4909</v>
      </c>
    </row>
    <row r="374" customFormat="false" ht="15" hidden="false" customHeight="false" outlineLevel="0" collapsed="false">
      <c r="A374" s="2" t="n">
        <v>57</v>
      </c>
      <c r="B374" s="2" t="s">
        <v>681</v>
      </c>
      <c r="C374" s="2" t="s">
        <v>685</v>
      </c>
      <c r="D374" s="2" t="s">
        <v>4910</v>
      </c>
      <c r="E374" s="2" t="s">
        <v>3989</v>
      </c>
      <c r="F374" s="2" t="s">
        <v>4884</v>
      </c>
      <c r="G374" s="2"/>
      <c r="H374" s="2" t="s">
        <v>4911</v>
      </c>
    </row>
    <row r="375" customFormat="false" ht="15" hidden="false" customHeight="false" outlineLevel="0" collapsed="false">
      <c r="A375" s="2" t="n">
        <v>57</v>
      </c>
      <c r="B375" s="2" t="s">
        <v>681</v>
      </c>
      <c r="C375" s="2" t="s">
        <v>685</v>
      </c>
      <c r="D375" s="2" t="s">
        <v>4912</v>
      </c>
      <c r="E375" s="2" t="s">
        <v>3989</v>
      </c>
      <c r="F375" s="2" t="s">
        <v>673</v>
      </c>
      <c r="G375" s="2"/>
      <c r="H375" s="2" t="s">
        <v>4913</v>
      </c>
    </row>
    <row r="376" customFormat="false" ht="15" hidden="false" customHeight="false" outlineLevel="0" collapsed="false">
      <c r="A376" s="2" t="n">
        <v>57</v>
      </c>
      <c r="B376" s="2" t="s">
        <v>681</v>
      </c>
      <c r="C376" s="2" t="s">
        <v>685</v>
      </c>
      <c r="D376" s="2" t="s">
        <v>4914</v>
      </c>
      <c r="E376" s="2" t="s">
        <v>3989</v>
      </c>
      <c r="F376" s="2" t="s">
        <v>4915</v>
      </c>
      <c r="G376" s="2"/>
      <c r="H376" s="2" t="s">
        <v>4916</v>
      </c>
    </row>
    <row r="377" customFormat="false" ht="15" hidden="false" customHeight="false" outlineLevel="0" collapsed="false">
      <c r="A377" s="2" t="n">
        <v>57</v>
      </c>
      <c r="B377" s="2" t="s">
        <v>681</v>
      </c>
      <c r="C377" s="2" t="s">
        <v>685</v>
      </c>
      <c r="D377" s="2" t="s">
        <v>4917</v>
      </c>
      <c r="E377" s="2" t="s">
        <v>3989</v>
      </c>
      <c r="F377" s="2" t="s">
        <v>4918</v>
      </c>
      <c r="G377" s="2"/>
      <c r="H377" s="2" t="s">
        <v>4919</v>
      </c>
    </row>
    <row r="378" customFormat="false" ht="15" hidden="false" customHeight="false" outlineLevel="0" collapsed="false">
      <c r="A378" s="2" t="n">
        <v>57</v>
      </c>
      <c r="B378" s="2" t="s">
        <v>681</v>
      </c>
      <c r="C378" s="2" t="s">
        <v>685</v>
      </c>
      <c r="D378" s="2" t="s">
        <v>4920</v>
      </c>
      <c r="E378" s="2" t="s">
        <v>3989</v>
      </c>
      <c r="F378" s="2" t="s">
        <v>414</v>
      </c>
      <c r="G378" s="2"/>
      <c r="H378" s="2" t="s">
        <v>4921</v>
      </c>
    </row>
    <row r="379" customFormat="false" ht="15" hidden="false" customHeight="false" outlineLevel="0" collapsed="false">
      <c r="A379" s="2" t="n">
        <v>57</v>
      </c>
      <c r="B379" s="2" t="s">
        <v>681</v>
      </c>
      <c r="C379" s="2" t="s">
        <v>685</v>
      </c>
      <c r="D379" s="2" t="s">
        <v>4922</v>
      </c>
      <c r="E379" s="2" t="s">
        <v>3989</v>
      </c>
      <c r="F379" s="2" t="s">
        <v>3723</v>
      </c>
      <c r="G379" s="2"/>
      <c r="H379" s="2" t="s">
        <v>4923</v>
      </c>
    </row>
    <row r="380" customFormat="false" ht="15" hidden="false" customHeight="false" outlineLevel="0" collapsed="false">
      <c r="A380" s="2" t="n">
        <v>57</v>
      </c>
      <c r="B380" s="2" t="s">
        <v>681</v>
      </c>
      <c r="C380" s="2" t="s">
        <v>685</v>
      </c>
      <c r="D380" s="2" t="s">
        <v>4924</v>
      </c>
      <c r="E380" s="2" t="s">
        <v>3989</v>
      </c>
      <c r="F380" s="2" t="s">
        <v>4925</v>
      </c>
      <c r="G380" s="2"/>
      <c r="H380" s="2" t="s">
        <v>4926</v>
      </c>
    </row>
    <row r="381" customFormat="false" ht="15" hidden="false" customHeight="false" outlineLevel="0" collapsed="false">
      <c r="A381" s="2" t="n">
        <v>57</v>
      </c>
      <c r="B381" s="2" t="s">
        <v>681</v>
      </c>
      <c r="C381" s="2" t="s">
        <v>685</v>
      </c>
      <c r="D381" s="2" t="s">
        <v>4927</v>
      </c>
      <c r="E381" s="2" t="s">
        <v>3989</v>
      </c>
      <c r="F381" s="2" t="s">
        <v>4928</v>
      </c>
      <c r="G381" s="2"/>
      <c r="H381" s="2" t="s">
        <v>4929</v>
      </c>
    </row>
    <row r="382" customFormat="false" ht="15" hidden="false" customHeight="false" outlineLevel="0" collapsed="false">
      <c r="A382" s="2" t="n">
        <v>57</v>
      </c>
      <c r="B382" s="2" t="s">
        <v>681</v>
      </c>
      <c r="C382" s="2" t="s">
        <v>685</v>
      </c>
      <c r="D382" s="2" t="s">
        <v>4930</v>
      </c>
      <c r="E382" s="2" t="s">
        <v>3989</v>
      </c>
      <c r="F382" s="2" t="s">
        <v>3028</v>
      </c>
      <c r="G382" s="2"/>
      <c r="H382" s="2" t="s">
        <v>4931</v>
      </c>
    </row>
    <row r="383" customFormat="false" ht="15" hidden="false" customHeight="false" outlineLevel="0" collapsed="false">
      <c r="A383" s="2" t="n">
        <v>58</v>
      </c>
      <c r="B383" s="2" t="s">
        <v>691</v>
      </c>
      <c r="C383" s="2" t="s">
        <v>696</v>
      </c>
      <c r="D383" s="2" t="s">
        <v>4932</v>
      </c>
      <c r="E383" s="2" t="s">
        <v>3989</v>
      </c>
      <c r="F383" s="2" t="s">
        <v>3546</v>
      </c>
      <c r="G383" s="2"/>
      <c r="H383" s="2" t="s">
        <v>4933</v>
      </c>
    </row>
    <row r="384" customFormat="false" ht="15" hidden="false" customHeight="false" outlineLevel="0" collapsed="false">
      <c r="A384" s="2" t="n">
        <v>58</v>
      </c>
      <c r="B384" s="2" t="s">
        <v>691</v>
      </c>
      <c r="C384" s="2" t="s">
        <v>696</v>
      </c>
      <c r="D384" s="2" t="s">
        <v>4934</v>
      </c>
      <c r="E384" s="2" t="s">
        <v>3989</v>
      </c>
      <c r="F384" s="2" t="s">
        <v>4381</v>
      </c>
      <c r="G384" s="2"/>
      <c r="H384" s="2" t="s">
        <v>4935</v>
      </c>
    </row>
    <row r="385" customFormat="false" ht="15" hidden="false" customHeight="false" outlineLevel="0" collapsed="false">
      <c r="A385" s="2" t="n">
        <v>58</v>
      </c>
      <c r="B385" s="2" t="s">
        <v>691</v>
      </c>
      <c r="C385" s="2" t="s">
        <v>696</v>
      </c>
      <c r="D385" s="2" t="s">
        <v>4936</v>
      </c>
      <c r="E385" s="2" t="s">
        <v>3989</v>
      </c>
      <c r="F385" s="2" t="s">
        <v>4937</v>
      </c>
      <c r="G385" s="2"/>
      <c r="H385" s="2" t="s">
        <v>4938</v>
      </c>
    </row>
    <row r="386" customFormat="false" ht="15" hidden="false" customHeight="false" outlineLevel="0" collapsed="false">
      <c r="A386" s="2" t="n">
        <v>58</v>
      </c>
      <c r="B386" s="2" t="s">
        <v>691</v>
      </c>
      <c r="C386" s="2" t="s">
        <v>696</v>
      </c>
      <c r="D386" s="2" t="s">
        <v>4939</v>
      </c>
      <c r="E386" s="2" t="s">
        <v>3989</v>
      </c>
      <c r="F386" s="2" t="s">
        <v>2064</v>
      </c>
      <c r="G386" s="2"/>
      <c r="H386" s="2" t="s">
        <v>4940</v>
      </c>
    </row>
    <row r="387" customFormat="false" ht="15" hidden="false" customHeight="false" outlineLevel="0" collapsed="false">
      <c r="A387" s="2" t="n">
        <v>58</v>
      </c>
      <c r="B387" s="2" t="s">
        <v>691</v>
      </c>
      <c r="C387" s="2" t="s">
        <v>696</v>
      </c>
      <c r="D387" s="2" t="s">
        <v>4941</v>
      </c>
      <c r="E387" s="2" t="s">
        <v>3989</v>
      </c>
      <c r="F387" s="2" t="s">
        <v>1398</v>
      </c>
      <c r="G387" s="2"/>
      <c r="H387" s="2" t="s">
        <v>4942</v>
      </c>
    </row>
    <row r="388" customFormat="false" ht="15" hidden="false" customHeight="false" outlineLevel="0" collapsed="false">
      <c r="A388" s="2" t="n">
        <v>58</v>
      </c>
      <c r="B388" s="2" t="s">
        <v>691</v>
      </c>
      <c r="C388" s="2" t="s">
        <v>696</v>
      </c>
      <c r="D388" s="2" t="s">
        <v>4943</v>
      </c>
      <c r="E388" s="2" t="s">
        <v>3989</v>
      </c>
      <c r="F388" s="2" t="s">
        <v>3801</v>
      </c>
      <c r="G388" s="2"/>
      <c r="H388" s="2" t="s">
        <v>4944</v>
      </c>
    </row>
    <row r="389" customFormat="false" ht="15" hidden="false" customHeight="false" outlineLevel="0" collapsed="false">
      <c r="A389" s="2" t="n">
        <v>59</v>
      </c>
      <c r="B389" s="2" t="s">
        <v>702</v>
      </c>
      <c r="C389" s="2" t="s">
        <v>708</v>
      </c>
      <c r="D389" s="2" t="s">
        <v>4945</v>
      </c>
      <c r="E389" s="2" t="s">
        <v>3989</v>
      </c>
      <c r="F389" s="2" t="s">
        <v>4884</v>
      </c>
      <c r="G389" s="2"/>
      <c r="H389" s="2" t="s">
        <v>4946</v>
      </c>
    </row>
    <row r="390" customFormat="false" ht="15" hidden="false" customHeight="false" outlineLevel="0" collapsed="false">
      <c r="A390" s="2" t="n">
        <v>59</v>
      </c>
      <c r="B390" s="2" t="s">
        <v>702</v>
      </c>
      <c r="C390" s="2" t="s">
        <v>708</v>
      </c>
      <c r="D390" s="2" t="s">
        <v>4947</v>
      </c>
      <c r="E390" s="2" t="s">
        <v>3989</v>
      </c>
      <c r="F390" s="2" t="s">
        <v>4948</v>
      </c>
      <c r="G390" s="2" t="s">
        <v>4949</v>
      </c>
      <c r="H390" s="2" t="s">
        <v>4950</v>
      </c>
    </row>
    <row r="391" customFormat="false" ht="15" hidden="false" customHeight="false" outlineLevel="0" collapsed="false">
      <c r="A391" s="2" t="n">
        <v>59</v>
      </c>
      <c r="B391" s="2" t="s">
        <v>702</v>
      </c>
      <c r="C391" s="2" t="s">
        <v>708</v>
      </c>
      <c r="D391" s="2" t="s">
        <v>4951</v>
      </c>
      <c r="E391" s="2" t="s">
        <v>3989</v>
      </c>
      <c r="F391" s="2" t="s">
        <v>3893</v>
      </c>
      <c r="G391" s="2"/>
      <c r="H391" s="2" t="s">
        <v>4952</v>
      </c>
    </row>
    <row r="392" customFormat="false" ht="15" hidden="false" customHeight="false" outlineLevel="0" collapsed="false">
      <c r="A392" s="2" t="n">
        <v>60</v>
      </c>
      <c r="B392" s="2" t="s">
        <v>714</v>
      </c>
      <c r="C392" s="2" t="s">
        <v>718</v>
      </c>
      <c r="D392" s="2" t="s">
        <v>4953</v>
      </c>
      <c r="E392" s="2" t="s">
        <v>3989</v>
      </c>
      <c r="F392" s="2" t="s">
        <v>4954</v>
      </c>
      <c r="G392" s="2"/>
      <c r="H392" s="2" t="s">
        <v>4955</v>
      </c>
    </row>
    <row r="393" customFormat="false" ht="15" hidden="false" customHeight="false" outlineLevel="0" collapsed="false">
      <c r="A393" s="2" t="n">
        <v>60</v>
      </c>
      <c r="B393" s="2" t="s">
        <v>714</v>
      </c>
      <c r="C393" s="2" t="s">
        <v>718</v>
      </c>
      <c r="D393" s="2" t="s">
        <v>4956</v>
      </c>
      <c r="E393" s="2" t="s">
        <v>3989</v>
      </c>
      <c r="F393" s="2" t="s">
        <v>4957</v>
      </c>
      <c r="G393" s="2"/>
      <c r="H393" s="2" t="s">
        <v>4958</v>
      </c>
    </row>
    <row r="394" customFormat="false" ht="15" hidden="false" customHeight="false" outlineLevel="0" collapsed="false">
      <c r="A394" s="2" t="n">
        <v>60</v>
      </c>
      <c r="B394" s="2" t="s">
        <v>714</v>
      </c>
      <c r="C394" s="2" t="s">
        <v>718</v>
      </c>
      <c r="D394" s="2" t="s">
        <v>4959</v>
      </c>
      <c r="E394" s="2" t="s">
        <v>3989</v>
      </c>
      <c r="F394" s="2" t="s">
        <v>673</v>
      </c>
      <c r="G394" s="2"/>
      <c r="H394" s="2" t="s">
        <v>4960</v>
      </c>
    </row>
    <row r="395" customFormat="false" ht="15" hidden="false" customHeight="false" outlineLevel="0" collapsed="false">
      <c r="A395" s="2" t="n">
        <v>60</v>
      </c>
      <c r="B395" s="2" t="s">
        <v>714</v>
      </c>
      <c r="C395" s="2" t="s">
        <v>718</v>
      </c>
      <c r="D395" s="2" t="s">
        <v>4961</v>
      </c>
      <c r="E395" s="2" t="s">
        <v>3989</v>
      </c>
      <c r="F395" s="2" t="s">
        <v>4962</v>
      </c>
      <c r="G395" s="2"/>
      <c r="H395" s="2" t="s">
        <v>4963</v>
      </c>
    </row>
    <row r="396" customFormat="false" ht="15" hidden="false" customHeight="false" outlineLevel="0" collapsed="false">
      <c r="A396" s="2" t="n">
        <v>60</v>
      </c>
      <c r="B396" s="2" t="s">
        <v>714</v>
      </c>
      <c r="C396" s="2" t="s">
        <v>718</v>
      </c>
      <c r="D396" s="2" t="s">
        <v>4964</v>
      </c>
      <c r="E396" s="2" t="s">
        <v>3989</v>
      </c>
      <c r="F396" s="2" t="s">
        <v>4965</v>
      </c>
      <c r="G396" s="2"/>
      <c r="H396" s="2" t="s">
        <v>4966</v>
      </c>
    </row>
    <row r="397" customFormat="false" ht="15" hidden="false" customHeight="false" outlineLevel="0" collapsed="false">
      <c r="A397" s="2" t="n">
        <v>60</v>
      </c>
      <c r="B397" s="2" t="s">
        <v>714</v>
      </c>
      <c r="C397" s="2" t="s">
        <v>718</v>
      </c>
      <c r="D397" s="2" t="s">
        <v>4967</v>
      </c>
      <c r="E397" s="2" t="s">
        <v>3989</v>
      </c>
      <c r="F397" s="2" t="s">
        <v>4191</v>
      </c>
      <c r="G397" s="2"/>
      <c r="H397" s="2" t="s">
        <v>4968</v>
      </c>
    </row>
    <row r="398" customFormat="false" ht="15" hidden="false" customHeight="false" outlineLevel="0" collapsed="false">
      <c r="A398" s="2" t="n">
        <v>60</v>
      </c>
      <c r="B398" s="2" t="s">
        <v>714</v>
      </c>
      <c r="C398" s="2" t="s">
        <v>718</v>
      </c>
      <c r="D398" s="2" t="s">
        <v>4969</v>
      </c>
      <c r="E398" s="2" t="s">
        <v>3989</v>
      </c>
      <c r="F398" s="2" t="s">
        <v>4970</v>
      </c>
      <c r="G398" s="2"/>
      <c r="H398" s="2" t="s">
        <v>4971</v>
      </c>
    </row>
    <row r="399" customFormat="false" ht="15" hidden="false" customHeight="false" outlineLevel="0" collapsed="false">
      <c r="A399" s="2" t="n">
        <v>60</v>
      </c>
      <c r="B399" s="2" t="s">
        <v>714</v>
      </c>
      <c r="C399" s="2" t="s">
        <v>718</v>
      </c>
      <c r="D399" s="2" t="s">
        <v>4972</v>
      </c>
      <c r="E399" s="2" t="s">
        <v>3989</v>
      </c>
      <c r="F399" s="2" t="s">
        <v>3140</v>
      </c>
      <c r="G399" s="2"/>
      <c r="H399" s="2" t="s">
        <v>4973</v>
      </c>
    </row>
    <row r="400" customFormat="false" ht="15" hidden="false" customHeight="false" outlineLevel="0" collapsed="false">
      <c r="A400" s="2" t="n">
        <v>60</v>
      </c>
      <c r="B400" s="2" t="s">
        <v>714</v>
      </c>
      <c r="C400" s="2" t="s">
        <v>718</v>
      </c>
      <c r="D400" s="2" t="s">
        <v>4974</v>
      </c>
      <c r="E400" s="2" t="s">
        <v>3989</v>
      </c>
      <c r="F400" s="2" t="s">
        <v>4975</v>
      </c>
      <c r="G400" s="2"/>
      <c r="H400" s="2" t="s">
        <v>4976</v>
      </c>
    </row>
    <row r="401" customFormat="false" ht="15" hidden="false" customHeight="false" outlineLevel="0" collapsed="false">
      <c r="A401" s="2" t="n">
        <v>60</v>
      </c>
      <c r="B401" s="2" t="s">
        <v>714</v>
      </c>
      <c r="C401" s="2" t="s">
        <v>718</v>
      </c>
      <c r="D401" s="2" t="s">
        <v>4977</v>
      </c>
      <c r="E401" s="2" t="s">
        <v>3989</v>
      </c>
      <c r="F401" s="2" t="s">
        <v>4978</v>
      </c>
      <c r="G401" s="2"/>
      <c r="H401" s="2" t="s">
        <v>4979</v>
      </c>
    </row>
    <row r="402" customFormat="false" ht="15" hidden="false" customHeight="false" outlineLevel="0" collapsed="false">
      <c r="A402" s="2" t="n">
        <v>61</v>
      </c>
      <c r="B402" s="2" t="s">
        <v>724</v>
      </c>
      <c r="C402" s="2" t="s">
        <v>727</v>
      </c>
      <c r="D402" s="2" t="s">
        <v>4980</v>
      </c>
      <c r="E402" s="2" t="s">
        <v>3989</v>
      </c>
      <c r="F402" s="2" t="s">
        <v>1043</v>
      </c>
      <c r="G402" s="2"/>
      <c r="H402" s="2" t="s">
        <v>4981</v>
      </c>
    </row>
    <row r="403" customFormat="false" ht="15" hidden="false" customHeight="false" outlineLevel="0" collapsed="false">
      <c r="A403" s="2" t="n">
        <v>61</v>
      </c>
      <c r="B403" s="2" t="s">
        <v>724</v>
      </c>
      <c r="C403" s="2" t="s">
        <v>727</v>
      </c>
      <c r="D403" s="2" t="s">
        <v>4982</v>
      </c>
      <c r="E403" s="2" t="s">
        <v>3989</v>
      </c>
      <c r="F403" s="2" t="s">
        <v>4896</v>
      </c>
      <c r="G403" s="2"/>
      <c r="H403" s="2" t="s">
        <v>4983</v>
      </c>
    </row>
    <row r="404" customFormat="false" ht="15" hidden="false" customHeight="false" outlineLevel="0" collapsed="false">
      <c r="A404" s="2" t="n">
        <v>61</v>
      </c>
      <c r="B404" s="2" t="s">
        <v>724</v>
      </c>
      <c r="C404" s="2" t="s">
        <v>727</v>
      </c>
      <c r="D404" s="2" t="s">
        <v>4984</v>
      </c>
      <c r="E404" s="2" t="s">
        <v>3989</v>
      </c>
      <c r="F404" s="2" t="s">
        <v>4188</v>
      </c>
      <c r="G404" s="2"/>
      <c r="H404" s="2" t="s">
        <v>4985</v>
      </c>
    </row>
    <row r="405" customFormat="false" ht="15" hidden="false" customHeight="false" outlineLevel="0" collapsed="false">
      <c r="A405" s="2" t="n">
        <v>61</v>
      </c>
      <c r="B405" s="2" t="s">
        <v>724</v>
      </c>
      <c r="C405" s="2" t="s">
        <v>727</v>
      </c>
      <c r="D405" s="2" t="s">
        <v>4986</v>
      </c>
      <c r="E405" s="2" t="s">
        <v>3989</v>
      </c>
      <c r="F405" s="2" t="s">
        <v>871</v>
      </c>
      <c r="G405" s="2" t="s">
        <v>4987</v>
      </c>
      <c r="H405" s="2" t="s">
        <v>4988</v>
      </c>
    </row>
    <row r="406" customFormat="false" ht="15" hidden="false" customHeight="false" outlineLevel="0" collapsed="false">
      <c r="A406" s="2" t="n">
        <v>61</v>
      </c>
      <c r="B406" s="2" t="s">
        <v>724</v>
      </c>
      <c r="C406" s="2" t="s">
        <v>727</v>
      </c>
      <c r="D406" s="2" t="s">
        <v>4989</v>
      </c>
      <c r="E406" s="2" t="s">
        <v>3989</v>
      </c>
      <c r="F406" s="2" t="s">
        <v>4990</v>
      </c>
      <c r="G406" s="2"/>
      <c r="H406" s="2" t="s">
        <v>4991</v>
      </c>
    </row>
    <row r="407" customFormat="false" ht="15" hidden="false" customHeight="false" outlineLevel="0" collapsed="false">
      <c r="A407" s="2" t="n">
        <v>61</v>
      </c>
      <c r="B407" s="2" t="s">
        <v>724</v>
      </c>
      <c r="C407" s="2" t="s">
        <v>727</v>
      </c>
      <c r="D407" s="2" t="s">
        <v>4992</v>
      </c>
      <c r="E407" s="2" t="s">
        <v>3989</v>
      </c>
      <c r="F407" s="2" t="s">
        <v>4729</v>
      </c>
      <c r="G407" s="2"/>
      <c r="H407" s="2" t="s">
        <v>4993</v>
      </c>
    </row>
    <row r="408" customFormat="false" ht="15" hidden="false" customHeight="false" outlineLevel="0" collapsed="false">
      <c r="A408" s="2" t="n">
        <v>61</v>
      </c>
      <c r="B408" s="2" t="s">
        <v>724</v>
      </c>
      <c r="C408" s="2" t="s">
        <v>727</v>
      </c>
      <c r="D408" s="2" t="s">
        <v>4994</v>
      </c>
      <c r="E408" s="2" t="s">
        <v>3989</v>
      </c>
      <c r="F408" s="2" t="s">
        <v>4995</v>
      </c>
      <c r="G408" s="2"/>
      <c r="H408" s="2" t="s">
        <v>4996</v>
      </c>
    </row>
    <row r="409" customFormat="false" ht="15" hidden="false" customHeight="false" outlineLevel="0" collapsed="false">
      <c r="A409" s="2" t="n">
        <v>61</v>
      </c>
      <c r="B409" s="2" t="s">
        <v>724</v>
      </c>
      <c r="C409" s="2" t="s">
        <v>727</v>
      </c>
      <c r="D409" s="2" t="s">
        <v>4997</v>
      </c>
      <c r="E409" s="2" t="s">
        <v>3989</v>
      </c>
      <c r="F409" s="2" t="s">
        <v>4998</v>
      </c>
      <c r="G409" s="2"/>
      <c r="H409" s="2" t="s">
        <v>4999</v>
      </c>
    </row>
    <row r="410" customFormat="false" ht="15" hidden="false" customHeight="false" outlineLevel="0" collapsed="false">
      <c r="A410" s="2" t="n">
        <v>61</v>
      </c>
      <c r="B410" s="2" t="s">
        <v>724</v>
      </c>
      <c r="C410" s="2" t="s">
        <v>727</v>
      </c>
      <c r="D410" s="2" t="s">
        <v>5000</v>
      </c>
      <c r="E410" s="2" t="s">
        <v>3989</v>
      </c>
      <c r="F410" s="2" t="s">
        <v>5001</v>
      </c>
      <c r="G410" s="2"/>
      <c r="H410" s="2" t="s">
        <v>5002</v>
      </c>
    </row>
    <row r="411" customFormat="false" ht="15" hidden="false" customHeight="false" outlineLevel="0" collapsed="false">
      <c r="A411" s="2" t="n">
        <v>62</v>
      </c>
      <c r="B411" s="2" t="s">
        <v>733</v>
      </c>
      <c r="C411" s="2" t="s">
        <v>738</v>
      </c>
      <c r="D411" s="2" t="s">
        <v>5003</v>
      </c>
      <c r="E411" s="2" t="s">
        <v>3985</v>
      </c>
      <c r="F411" s="2" t="s">
        <v>741</v>
      </c>
      <c r="G411" s="2" t="s">
        <v>5004</v>
      </c>
      <c r="H411" s="2" t="s">
        <v>5005</v>
      </c>
    </row>
    <row r="412" customFormat="false" ht="15" hidden="false" customHeight="false" outlineLevel="0" collapsed="false">
      <c r="A412" s="2" t="n">
        <v>62</v>
      </c>
      <c r="B412" s="2" t="s">
        <v>733</v>
      </c>
      <c r="C412" s="2" t="s">
        <v>738</v>
      </c>
      <c r="D412" s="2" t="s">
        <v>5006</v>
      </c>
      <c r="E412" s="2" t="s">
        <v>3989</v>
      </c>
      <c r="F412" s="2" t="s">
        <v>5007</v>
      </c>
      <c r="G412" s="2"/>
      <c r="H412" s="2" t="s">
        <v>5008</v>
      </c>
    </row>
    <row r="413" customFormat="false" ht="15" hidden="false" customHeight="false" outlineLevel="0" collapsed="false">
      <c r="A413" s="2" t="n">
        <v>63</v>
      </c>
      <c r="B413" s="2" t="s">
        <v>743</v>
      </c>
      <c r="C413" s="2" t="s">
        <v>749</v>
      </c>
      <c r="D413" s="2" t="s">
        <v>5009</v>
      </c>
      <c r="E413" s="2" t="s">
        <v>3989</v>
      </c>
      <c r="F413" s="2" t="s">
        <v>5010</v>
      </c>
      <c r="G413" s="2"/>
      <c r="H413" s="2" t="s">
        <v>5011</v>
      </c>
    </row>
    <row r="414" customFormat="false" ht="15" hidden="false" customHeight="false" outlineLevel="0" collapsed="false">
      <c r="A414" s="2" t="n">
        <v>63</v>
      </c>
      <c r="B414" s="2" t="s">
        <v>743</v>
      </c>
      <c r="C414" s="2" t="s">
        <v>749</v>
      </c>
      <c r="D414" s="2" t="s">
        <v>5012</v>
      </c>
      <c r="E414" s="2" t="s">
        <v>3989</v>
      </c>
      <c r="F414" s="2" t="s">
        <v>967</v>
      </c>
      <c r="G414" s="2"/>
      <c r="H414" s="2" t="s">
        <v>5013</v>
      </c>
    </row>
    <row r="415" customFormat="false" ht="15" hidden="false" customHeight="false" outlineLevel="0" collapsed="false">
      <c r="A415" s="2" t="n">
        <v>64</v>
      </c>
      <c r="B415" s="2" t="s">
        <v>755</v>
      </c>
      <c r="C415" s="2" t="s">
        <v>760</v>
      </c>
      <c r="D415" s="2" t="s">
        <v>5014</v>
      </c>
      <c r="E415" s="2" t="s">
        <v>3985</v>
      </c>
      <c r="F415" s="2" t="s">
        <v>528</v>
      </c>
      <c r="G415" s="2" t="s">
        <v>5015</v>
      </c>
      <c r="H415" s="2" t="s">
        <v>5016</v>
      </c>
    </row>
    <row r="416" customFormat="false" ht="15" hidden="false" customHeight="false" outlineLevel="0" collapsed="false">
      <c r="A416" s="2" t="n">
        <v>64</v>
      </c>
      <c r="B416" s="2" t="s">
        <v>755</v>
      </c>
      <c r="C416" s="2" t="s">
        <v>760</v>
      </c>
      <c r="D416" s="2" t="s">
        <v>5017</v>
      </c>
      <c r="E416" s="2" t="s">
        <v>3989</v>
      </c>
      <c r="F416" s="2" t="s">
        <v>3786</v>
      </c>
      <c r="G416" s="2"/>
      <c r="H416" s="2" t="s">
        <v>5018</v>
      </c>
    </row>
    <row r="417" customFormat="false" ht="15" hidden="false" customHeight="false" outlineLevel="0" collapsed="false">
      <c r="A417" s="2" t="n">
        <v>64</v>
      </c>
      <c r="B417" s="2" t="s">
        <v>755</v>
      </c>
      <c r="C417" s="2" t="s">
        <v>760</v>
      </c>
      <c r="D417" s="2" t="s">
        <v>5019</v>
      </c>
      <c r="E417" s="2" t="s">
        <v>3989</v>
      </c>
      <c r="F417" s="2" t="s">
        <v>571</v>
      </c>
      <c r="G417" s="2"/>
      <c r="H417" s="2" t="s">
        <v>5020</v>
      </c>
    </row>
    <row r="418" customFormat="false" ht="15" hidden="false" customHeight="false" outlineLevel="0" collapsed="false">
      <c r="A418" s="2" t="n">
        <v>64</v>
      </c>
      <c r="B418" s="2" t="s">
        <v>755</v>
      </c>
      <c r="C418" s="2" t="s">
        <v>760</v>
      </c>
      <c r="D418" s="2" t="s">
        <v>5021</v>
      </c>
      <c r="E418" s="2" t="s">
        <v>3989</v>
      </c>
      <c r="F418" s="2" t="s">
        <v>5022</v>
      </c>
      <c r="G418" s="2"/>
      <c r="H418" s="2" t="s">
        <v>5023</v>
      </c>
    </row>
    <row r="419" customFormat="false" ht="15" hidden="false" customHeight="false" outlineLevel="0" collapsed="false">
      <c r="A419" s="2" t="n">
        <v>64</v>
      </c>
      <c r="B419" s="2" t="s">
        <v>755</v>
      </c>
      <c r="C419" s="2" t="s">
        <v>760</v>
      </c>
      <c r="D419" s="2" t="s">
        <v>5024</v>
      </c>
      <c r="E419" s="2" t="s">
        <v>3989</v>
      </c>
      <c r="F419" s="2" t="s">
        <v>2755</v>
      </c>
      <c r="G419" s="2"/>
      <c r="H419" s="2" t="s">
        <v>5025</v>
      </c>
    </row>
    <row r="420" customFormat="false" ht="15" hidden="false" customHeight="false" outlineLevel="0" collapsed="false">
      <c r="A420" s="2" t="n">
        <v>65</v>
      </c>
      <c r="B420" s="2" t="s">
        <v>766</v>
      </c>
      <c r="C420" s="2" t="s">
        <v>770</v>
      </c>
      <c r="D420" s="2" t="s">
        <v>5026</v>
      </c>
      <c r="E420" s="2" t="s">
        <v>3985</v>
      </c>
      <c r="F420" s="2" t="s">
        <v>773</v>
      </c>
      <c r="G420" s="2" t="s">
        <v>5027</v>
      </c>
      <c r="H420" s="2" t="s">
        <v>5028</v>
      </c>
    </row>
    <row r="421" customFormat="false" ht="15" hidden="false" customHeight="false" outlineLevel="0" collapsed="false">
      <c r="A421" s="2" t="n">
        <v>65</v>
      </c>
      <c r="B421" s="2" t="s">
        <v>766</v>
      </c>
      <c r="C421" s="2" t="s">
        <v>770</v>
      </c>
      <c r="D421" s="2" t="s">
        <v>5014</v>
      </c>
      <c r="E421" s="2" t="s">
        <v>3985</v>
      </c>
      <c r="F421" s="2" t="s">
        <v>528</v>
      </c>
      <c r="G421" s="2" t="s">
        <v>5015</v>
      </c>
      <c r="H421" s="2" t="s">
        <v>5016</v>
      </c>
    </row>
    <row r="422" customFormat="false" ht="15" hidden="false" customHeight="false" outlineLevel="0" collapsed="false">
      <c r="A422" s="2" t="n">
        <v>65</v>
      </c>
      <c r="B422" s="2" t="s">
        <v>766</v>
      </c>
      <c r="C422" s="2" t="s">
        <v>770</v>
      </c>
      <c r="D422" s="2" t="s">
        <v>5029</v>
      </c>
      <c r="E422" s="2" t="s">
        <v>3989</v>
      </c>
      <c r="F422" s="2" t="s">
        <v>1080</v>
      </c>
      <c r="G422" s="2" t="s">
        <v>5030</v>
      </c>
      <c r="H422" s="2" t="s">
        <v>5031</v>
      </c>
    </row>
    <row r="423" customFormat="false" ht="15" hidden="false" customHeight="false" outlineLevel="0" collapsed="false">
      <c r="A423" s="2" t="n">
        <v>65</v>
      </c>
      <c r="B423" s="2" t="s">
        <v>766</v>
      </c>
      <c r="C423" s="2" t="s">
        <v>770</v>
      </c>
      <c r="D423" s="2" t="s">
        <v>5032</v>
      </c>
      <c r="E423" s="2" t="s">
        <v>3989</v>
      </c>
      <c r="F423" s="2" t="s">
        <v>918</v>
      </c>
      <c r="G423" s="2"/>
      <c r="H423" s="2" t="s">
        <v>5033</v>
      </c>
    </row>
    <row r="424" customFormat="false" ht="15" hidden="false" customHeight="false" outlineLevel="0" collapsed="false">
      <c r="A424" s="2" t="n">
        <v>65</v>
      </c>
      <c r="B424" s="2" t="s">
        <v>766</v>
      </c>
      <c r="C424" s="2" t="s">
        <v>770</v>
      </c>
      <c r="D424" s="2" t="s">
        <v>5034</v>
      </c>
      <c r="E424" s="2" t="s">
        <v>3989</v>
      </c>
      <c r="F424" s="2" t="s">
        <v>5035</v>
      </c>
      <c r="G424" s="2"/>
      <c r="H424" s="2" t="s">
        <v>5036</v>
      </c>
    </row>
    <row r="425" customFormat="false" ht="15" hidden="false" customHeight="false" outlineLevel="0" collapsed="false">
      <c r="A425" s="2" t="n">
        <v>66</v>
      </c>
      <c r="B425" s="2" t="s">
        <v>775</v>
      </c>
      <c r="C425" s="2" t="s">
        <v>780</v>
      </c>
      <c r="D425" s="2" t="s">
        <v>5037</v>
      </c>
      <c r="E425" s="2" t="s">
        <v>3989</v>
      </c>
      <c r="F425" s="2" t="s">
        <v>5038</v>
      </c>
      <c r="G425" s="2"/>
      <c r="H425" s="2" t="s">
        <v>5039</v>
      </c>
    </row>
    <row r="426" customFormat="false" ht="15" hidden="false" customHeight="false" outlineLevel="0" collapsed="false">
      <c r="A426" s="2" t="n">
        <v>66</v>
      </c>
      <c r="B426" s="2" t="s">
        <v>775</v>
      </c>
      <c r="C426" s="2" t="s">
        <v>780</v>
      </c>
      <c r="D426" s="2" t="s">
        <v>5040</v>
      </c>
      <c r="E426" s="2" t="s">
        <v>3989</v>
      </c>
      <c r="F426" s="2" t="s">
        <v>5041</v>
      </c>
      <c r="G426" s="2" t="s">
        <v>5042</v>
      </c>
      <c r="H426" s="2" t="s">
        <v>5043</v>
      </c>
    </row>
    <row r="427" customFormat="false" ht="15" hidden="false" customHeight="false" outlineLevel="0" collapsed="false">
      <c r="A427" s="2" t="n">
        <v>67</v>
      </c>
      <c r="B427" s="2" t="s">
        <v>784</v>
      </c>
      <c r="C427" s="2" t="s">
        <v>790</v>
      </c>
      <c r="D427" s="2" t="s">
        <v>5026</v>
      </c>
      <c r="E427" s="2" t="s">
        <v>3985</v>
      </c>
      <c r="F427" s="2" t="s">
        <v>773</v>
      </c>
      <c r="G427" s="2" t="s">
        <v>5027</v>
      </c>
      <c r="H427" s="2" t="s">
        <v>5028</v>
      </c>
    </row>
    <row r="428" customFormat="false" ht="15" hidden="false" customHeight="false" outlineLevel="0" collapsed="false">
      <c r="A428" s="2" t="n">
        <v>67</v>
      </c>
      <c r="B428" s="2" t="s">
        <v>784</v>
      </c>
      <c r="C428" s="2" t="s">
        <v>790</v>
      </c>
      <c r="D428" s="2" t="s">
        <v>5044</v>
      </c>
      <c r="E428" s="2" t="s">
        <v>3989</v>
      </c>
      <c r="F428" s="2" t="s">
        <v>5045</v>
      </c>
      <c r="G428" s="2"/>
      <c r="H428" s="2" t="s">
        <v>5046</v>
      </c>
    </row>
    <row r="429" customFormat="false" ht="15" hidden="false" customHeight="false" outlineLevel="0" collapsed="false">
      <c r="A429" s="2" t="n">
        <v>67</v>
      </c>
      <c r="B429" s="2" t="s">
        <v>784</v>
      </c>
      <c r="C429" s="2" t="s">
        <v>790</v>
      </c>
      <c r="D429" s="2" t="s">
        <v>5047</v>
      </c>
      <c r="E429" s="2" t="s">
        <v>3989</v>
      </c>
      <c r="F429" s="2" t="s">
        <v>5048</v>
      </c>
      <c r="G429" s="2"/>
      <c r="H429" s="2" t="s">
        <v>5049</v>
      </c>
    </row>
    <row r="430" customFormat="false" ht="15" hidden="false" customHeight="false" outlineLevel="0" collapsed="false">
      <c r="A430" s="2" t="n">
        <v>67</v>
      </c>
      <c r="B430" s="2" t="s">
        <v>784</v>
      </c>
      <c r="C430" s="2" t="s">
        <v>790</v>
      </c>
      <c r="D430" s="2" t="s">
        <v>5050</v>
      </c>
      <c r="E430" s="2" t="s">
        <v>3989</v>
      </c>
      <c r="F430" s="2" t="s">
        <v>5051</v>
      </c>
      <c r="G430" s="2"/>
      <c r="H430" s="2" t="s">
        <v>5052</v>
      </c>
    </row>
    <row r="431" customFormat="false" ht="15" hidden="false" customHeight="false" outlineLevel="0" collapsed="false">
      <c r="A431" s="2" t="n">
        <v>67</v>
      </c>
      <c r="B431" s="2" t="s">
        <v>784</v>
      </c>
      <c r="C431" s="2" t="s">
        <v>790</v>
      </c>
      <c r="D431" s="2" t="s">
        <v>5053</v>
      </c>
      <c r="E431" s="2" t="s">
        <v>3989</v>
      </c>
      <c r="F431" s="2" t="s">
        <v>5054</v>
      </c>
      <c r="G431" s="2"/>
      <c r="H431" s="2" t="s">
        <v>5055</v>
      </c>
    </row>
    <row r="432" customFormat="false" ht="15" hidden="false" customHeight="false" outlineLevel="0" collapsed="false">
      <c r="A432" s="2" t="n">
        <v>68</v>
      </c>
      <c r="B432" s="2" t="s">
        <v>794</v>
      </c>
      <c r="C432" s="2" t="s">
        <v>800</v>
      </c>
      <c r="D432" s="2" t="s">
        <v>5056</v>
      </c>
      <c r="E432" s="2" t="s">
        <v>3989</v>
      </c>
      <c r="F432" s="2" t="s">
        <v>5057</v>
      </c>
      <c r="G432" s="2"/>
      <c r="H432" s="2" t="s">
        <v>5058</v>
      </c>
    </row>
    <row r="433" customFormat="false" ht="15" hidden="false" customHeight="false" outlineLevel="0" collapsed="false">
      <c r="A433" s="2" t="n">
        <v>68</v>
      </c>
      <c r="B433" s="2" t="s">
        <v>794</v>
      </c>
      <c r="C433" s="2" t="s">
        <v>800</v>
      </c>
      <c r="D433" s="2" t="s">
        <v>5059</v>
      </c>
      <c r="E433" s="2" t="s">
        <v>3989</v>
      </c>
      <c r="F433" s="2" t="s">
        <v>5060</v>
      </c>
      <c r="G433" s="2"/>
      <c r="H433" s="2" t="s">
        <v>5061</v>
      </c>
    </row>
    <row r="434" customFormat="false" ht="15" hidden="false" customHeight="false" outlineLevel="0" collapsed="false">
      <c r="A434" s="2" t="n">
        <v>68</v>
      </c>
      <c r="B434" s="2" t="s">
        <v>794</v>
      </c>
      <c r="C434" s="2" t="s">
        <v>800</v>
      </c>
      <c r="D434" s="2" t="s">
        <v>5062</v>
      </c>
      <c r="E434" s="2" t="s">
        <v>3989</v>
      </c>
      <c r="F434" s="2" t="s">
        <v>5063</v>
      </c>
      <c r="G434" s="2"/>
      <c r="H434" s="2" t="s">
        <v>5064</v>
      </c>
    </row>
    <row r="435" customFormat="false" ht="15" hidden="false" customHeight="false" outlineLevel="0" collapsed="false">
      <c r="A435" s="2" t="n">
        <v>68</v>
      </c>
      <c r="B435" s="2" t="s">
        <v>794</v>
      </c>
      <c r="C435" s="2" t="s">
        <v>800</v>
      </c>
      <c r="D435" s="2" t="s">
        <v>5065</v>
      </c>
      <c r="E435" s="2" t="s">
        <v>3989</v>
      </c>
      <c r="F435" s="2" t="s">
        <v>5066</v>
      </c>
      <c r="G435" s="2"/>
      <c r="H435" s="2" t="s">
        <v>5067</v>
      </c>
    </row>
    <row r="436" customFormat="false" ht="15" hidden="false" customHeight="false" outlineLevel="0" collapsed="false">
      <c r="A436" s="2" t="n">
        <v>69</v>
      </c>
      <c r="B436" s="2" t="s">
        <v>806</v>
      </c>
      <c r="C436" s="2" t="s">
        <v>812</v>
      </c>
      <c r="D436" s="2" t="s">
        <v>5068</v>
      </c>
      <c r="E436" s="2" t="s">
        <v>3985</v>
      </c>
      <c r="F436" s="2" t="s">
        <v>815</v>
      </c>
      <c r="G436" s="2" t="s">
        <v>5069</v>
      </c>
      <c r="H436" s="2" t="s">
        <v>5070</v>
      </c>
    </row>
    <row r="437" customFormat="false" ht="15" hidden="false" customHeight="false" outlineLevel="0" collapsed="false">
      <c r="A437" s="2" t="n">
        <v>69</v>
      </c>
      <c r="B437" s="2" t="s">
        <v>806</v>
      </c>
      <c r="C437" s="2" t="s">
        <v>812</v>
      </c>
      <c r="D437" s="2" t="s">
        <v>5071</v>
      </c>
      <c r="E437" s="2" t="s">
        <v>3989</v>
      </c>
      <c r="F437" s="2" t="s">
        <v>5072</v>
      </c>
      <c r="G437" s="2"/>
      <c r="H437" s="2" t="s">
        <v>5073</v>
      </c>
    </row>
    <row r="438" customFormat="false" ht="15" hidden="false" customHeight="false" outlineLevel="0" collapsed="false">
      <c r="A438" s="2" t="n">
        <v>71</v>
      </c>
      <c r="B438" s="2" t="s">
        <v>824</v>
      </c>
      <c r="C438" s="2" t="s">
        <v>829</v>
      </c>
      <c r="D438" s="2" t="s">
        <v>5074</v>
      </c>
      <c r="E438" s="2" t="s">
        <v>3989</v>
      </c>
      <c r="F438" s="2" t="s">
        <v>3053</v>
      </c>
      <c r="G438" s="2"/>
      <c r="H438" s="2" t="s">
        <v>5075</v>
      </c>
    </row>
    <row r="439" customFormat="false" ht="15" hidden="false" customHeight="false" outlineLevel="0" collapsed="false">
      <c r="A439" s="2" t="n">
        <v>72</v>
      </c>
      <c r="B439" s="2" t="s">
        <v>833</v>
      </c>
      <c r="C439" s="2" t="s">
        <v>838</v>
      </c>
      <c r="D439" s="2" t="s">
        <v>5076</v>
      </c>
      <c r="E439" s="2" t="s">
        <v>3989</v>
      </c>
      <c r="F439" s="2" t="s">
        <v>5077</v>
      </c>
      <c r="G439" s="2" t="s">
        <v>5078</v>
      </c>
      <c r="H439" s="2" t="s">
        <v>5079</v>
      </c>
    </row>
    <row r="440" customFormat="false" ht="15" hidden="false" customHeight="false" outlineLevel="0" collapsed="false">
      <c r="A440" s="2" t="n">
        <v>72</v>
      </c>
      <c r="B440" s="2" t="s">
        <v>833</v>
      </c>
      <c r="C440" s="2" t="s">
        <v>838</v>
      </c>
      <c r="D440" s="2" t="s">
        <v>5080</v>
      </c>
      <c r="E440" s="2" t="s">
        <v>3989</v>
      </c>
      <c r="F440" s="2" t="s">
        <v>5081</v>
      </c>
      <c r="G440" s="2"/>
      <c r="H440" s="2" t="s">
        <v>5082</v>
      </c>
    </row>
    <row r="441" customFormat="false" ht="15" hidden="false" customHeight="false" outlineLevel="0" collapsed="false">
      <c r="A441" s="2" t="n">
        <v>73</v>
      </c>
      <c r="B441" s="2" t="s">
        <v>842</v>
      </c>
      <c r="C441" s="2" t="s">
        <v>847</v>
      </c>
      <c r="D441" s="2" t="s">
        <v>5083</v>
      </c>
      <c r="E441" s="2" t="s">
        <v>3989</v>
      </c>
      <c r="F441" s="2" t="s">
        <v>5084</v>
      </c>
      <c r="G441" s="2" t="s">
        <v>5085</v>
      </c>
      <c r="H441" s="2" t="s">
        <v>5086</v>
      </c>
    </row>
    <row r="442" customFormat="false" ht="15" hidden="false" customHeight="false" outlineLevel="0" collapsed="false">
      <c r="A442" s="2" t="n">
        <v>76</v>
      </c>
      <c r="B442" s="2" t="s">
        <v>868</v>
      </c>
      <c r="C442" s="2" t="s">
        <v>873</v>
      </c>
      <c r="D442" s="2" t="s">
        <v>5087</v>
      </c>
      <c r="E442" s="2" t="s">
        <v>3989</v>
      </c>
      <c r="F442" s="2" t="s">
        <v>4697</v>
      </c>
      <c r="G442" s="2" t="s">
        <v>5088</v>
      </c>
      <c r="H442" s="2" t="s">
        <v>5089</v>
      </c>
    </row>
    <row r="443" customFormat="false" ht="15" hidden="false" customHeight="false" outlineLevel="0" collapsed="false">
      <c r="A443" s="2" t="n">
        <v>76</v>
      </c>
      <c r="B443" s="2" t="s">
        <v>868</v>
      </c>
      <c r="C443" s="2" t="s">
        <v>873</v>
      </c>
      <c r="D443" s="2" t="s">
        <v>5090</v>
      </c>
      <c r="E443" s="2" t="s">
        <v>3989</v>
      </c>
      <c r="F443" s="2" t="s">
        <v>1398</v>
      </c>
      <c r="G443" s="2"/>
      <c r="H443" s="2" t="s">
        <v>5091</v>
      </c>
    </row>
    <row r="444" customFormat="false" ht="15" hidden="false" customHeight="false" outlineLevel="0" collapsed="false">
      <c r="A444" s="2" t="n">
        <v>76</v>
      </c>
      <c r="B444" s="2" t="s">
        <v>868</v>
      </c>
      <c r="C444" s="2" t="s">
        <v>873</v>
      </c>
      <c r="D444" s="2" t="s">
        <v>5092</v>
      </c>
      <c r="E444" s="2" t="s">
        <v>3989</v>
      </c>
      <c r="F444" s="2" t="s">
        <v>5093</v>
      </c>
      <c r="G444" s="2"/>
      <c r="H444" s="2" t="s">
        <v>5094</v>
      </c>
    </row>
    <row r="445" customFormat="false" ht="15" hidden="false" customHeight="false" outlineLevel="0" collapsed="false">
      <c r="A445" s="2" t="n">
        <v>76</v>
      </c>
      <c r="B445" s="2" t="s">
        <v>868</v>
      </c>
      <c r="C445" s="2" t="s">
        <v>873</v>
      </c>
      <c r="D445" s="2" t="s">
        <v>5095</v>
      </c>
      <c r="E445" s="2" t="s">
        <v>3989</v>
      </c>
      <c r="F445" s="2" t="s">
        <v>2218</v>
      </c>
      <c r="G445" s="2"/>
      <c r="H445" s="2" t="s">
        <v>5096</v>
      </c>
    </row>
    <row r="446" customFormat="false" ht="15" hidden="false" customHeight="false" outlineLevel="0" collapsed="false">
      <c r="A446" s="2" t="n">
        <v>76</v>
      </c>
      <c r="B446" s="2" t="s">
        <v>868</v>
      </c>
      <c r="C446" s="2" t="s">
        <v>873</v>
      </c>
      <c r="D446" s="2" t="s">
        <v>5097</v>
      </c>
      <c r="E446" s="2" t="s">
        <v>3989</v>
      </c>
      <c r="F446" s="2" t="s">
        <v>5098</v>
      </c>
      <c r="G446" s="2"/>
      <c r="H446" s="2" t="s">
        <v>5099</v>
      </c>
    </row>
    <row r="447" customFormat="false" ht="15" hidden="false" customHeight="false" outlineLevel="0" collapsed="false">
      <c r="A447" s="2" t="n">
        <v>76</v>
      </c>
      <c r="B447" s="2" t="s">
        <v>868</v>
      </c>
      <c r="C447" s="2" t="s">
        <v>873</v>
      </c>
      <c r="D447" s="2" t="s">
        <v>5100</v>
      </c>
      <c r="E447" s="2" t="s">
        <v>3989</v>
      </c>
      <c r="F447" s="2" t="s">
        <v>5101</v>
      </c>
      <c r="G447" s="2"/>
      <c r="H447" s="2" t="s">
        <v>5102</v>
      </c>
    </row>
    <row r="448" customFormat="false" ht="15" hidden="false" customHeight="false" outlineLevel="0" collapsed="false">
      <c r="A448" s="2" t="n">
        <v>78</v>
      </c>
      <c r="B448" s="2" t="s">
        <v>887</v>
      </c>
      <c r="C448" s="2" t="s">
        <v>892</v>
      </c>
      <c r="D448" s="2" t="s">
        <v>5103</v>
      </c>
      <c r="E448" s="2" t="s">
        <v>3989</v>
      </c>
      <c r="F448" s="2" t="s">
        <v>5104</v>
      </c>
      <c r="G448" s="2"/>
      <c r="H448" s="2" t="s">
        <v>5105</v>
      </c>
    </row>
    <row r="449" customFormat="false" ht="15" hidden="false" customHeight="false" outlineLevel="0" collapsed="false">
      <c r="A449" s="2" t="n">
        <v>78</v>
      </c>
      <c r="B449" s="2" t="s">
        <v>887</v>
      </c>
      <c r="C449" s="2" t="s">
        <v>892</v>
      </c>
      <c r="D449" s="2" t="s">
        <v>5106</v>
      </c>
      <c r="E449" s="2" t="s">
        <v>3989</v>
      </c>
      <c r="F449" s="2" t="s">
        <v>5107</v>
      </c>
      <c r="G449" s="2"/>
      <c r="H449" s="2" t="s">
        <v>5108</v>
      </c>
    </row>
    <row r="450" customFormat="false" ht="15" hidden="false" customHeight="false" outlineLevel="0" collapsed="false">
      <c r="A450" s="2" t="n">
        <v>80</v>
      </c>
      <c r="B450" s="2" t="s">
        <v>904</v>
      </c>
      <c r="C450" s="2" t="s">
        <v>909</v>
      </c>
      <c r="D450" s="2" t="s">
        <v>5109</v>
      </c>
      <c r="E450" s="2" t="s">
        <v>3989</v>
      </c>
      <c r="F450" s="2" t="s">
        <v>5110</v>
      </c>
      <c r="G450" s="2" t="s">
        <v>5111</v>
      </c>
      <c r="H450" s="2" t="s">
        <v>5112</v>
      </c>
    </row>
    <row r="451" customFormat="false" ht="15" hidden="false" customHeight="false" outlineLevel="0" collapsed="false">
      <c r="A451" s="2" t="n">
        <v>80</v>
      </c>
      <c r="B451" s="2" t="s">
        <v>904</v>
      </c>
      <c r="C451" s="2" t="s">
        <v>909</v>
      </c>
      <c r="D451" s="2" t="s">
        <v>5113</v>
      </c>
      <c r="E451" s="2" t="s">
        <v>3989</v>
      </c>
      <c r="F451" s="2" t="s">
        <v>5114</v>
      </c>
      <c r="G451" s="2" t="s">
        <v>5111</v>
      </c>
      <c r="H451" s="2" t="s">
        <v>5115</v>
      </c>
    </row>
    <row r="452" customFormat="false" ht="15" hidden="false" customHeight="false" outlineLevel="0" collapsed="false">
      <c r="A452" s="2" t="n">
        <v>80</v>
      </c>
      <c r="B452" s="2" t="s">
        <v>904</v>
      </c>
      <c r="C452" s="2" t="s">
        <v>909</v>
      </c>
      <c r="D452" s="2" t="s">
        <v>5116</v>
      </c>
      <c r="E452" s="2" t="s">
        <v>3989</v>
      </c>
      <c r="F452" s="2" t="s">
        <v>5117</v>
      </c>
      <c r="G452" s="2"/>
      <c r="H452" s="2" t="s">
        <v>5118</v>
      </c>
    </row>
    <row r="453" customFormat="false" ht="15" hidden="false" customHeight="false" outlineLevel="0" collapsed="false">
      <c r="A453" s="2" t="n">
        <v>80</v>
      </c>
      <c r="B453" s="2" t="s">
        <v>904</v>
      </c>
      <c r="C453" s="2" t="s">
        <v>909</v>
      </c>
      <c r="D453" s="2" t="s">
        <v>5119</v>
      </c>
      <c r="E453" s="2" t="s">
        <v>3989</v>
      </c>
      <c r="F453" s="2" t="s">
        <v>4097</v>
      </c>
      <c r="G453" s="2"/>
      <c r="H453" s="2" t="s">
        <v>5120</v>
      </c>
    </row>
    <row r="454" customFormat="false" ht="15" hidden="false" customHeight="false" outlineLevel="0" collapsed="false">
      <c r="A454" s="2" t="n">
        <v>81</v>
      </c>
      <c r="B454" s="2" t="s">
        <v>913</v>
      </c>
      <c r="C454" s="2" t="s">
        <v>919</v>
      </c>
      <c r="D454" s="2" t="s">
        <v>5121</v>
      </c>
      <c r="E454" s="2" t="s">
        <v>3989</v>
      </c>
      <c r="F454" s="2" t="s">
        <v>5122</v>
      </c>
      <c r="G454" s="2"/>
      <c r="H454" s="2" t="s">
        <v>5123</v>
      </c>
    </row>
    <row r="455" customFormat="false" ht="15" hidden="false" customHeight="false" outlineLevel="0" collapsed="false">
      <c r="A455" s="2" t="n">
        <v>81</v>
      </c>
      <c r="B455" s="2" t="s">
        <v>913</v>
      </c>
      <c r="C455" s="2" t="s">
        <v>919</v>
      </c>
      <c r="D455" s="2" t="s">
        <v>5124</v>
      </c>
      <c r="E455" s="2" t="s">
        <v>3989</v>
      </c>
      <c r="F455" s="2" t="s">
        <v>5054</v>
      </c>
      <c r="G455" s="2"/>
      <c r="H455" s="2" t="s">
        <v>5125</v>
      </c>
    </row>
    <row r="456" customFormat="false" ht="15" hidden="false" customHeight="false" outlineLevel="0" collapsed="false">
      <c r="A456" s="2" t="n">
        <v>81</v>
      </c>
      <c r="B456" s="2" t="s">
        <v>913</v>
      </c>
      <c r="C456" s="2" t="s">
        <v>919</v>
      </c>
      <c r="D456" s="2" t="s">
        <v>5126</v>
      </c>
      <c r="E456" s="2" t="s">
        <v>3989</v>
      </c>
      <c r="F456" s="2" t="s">
        <v>5127</v>
      </c>
      <c r="G456" s="2"/>
      <c r="H456" s="2" t="s">
        <v>5128</v>
      </c>
    </row>
    <row r="457" customFormat="false" ht="15" hidden="false" customHeight="false" outlineLevel="0" collapsed="false">
      <c r="A457" s="2" t="n">
        <v>83</v>
      </c>
      <c r="B457" s="2" t="s">
        <v>928</v>
      </c>
      <c r="C457" s="2" t="s">
        <v>933</v>
      </c>
      <c r="D457" s="2" t="s">
        <v>919</v>
      </c>
      <c r="E457" s="2" t="s">
        <v>3985</v>
      </c>
      <c r="F457" s="2" t="s">
        <v>916</v>
      </c>
      <c r="G457" s="2" t="s">
        <v>5129</v>
      </c>
      <c r="H457" s="2" t="s">
        <v>920</v>
      </c>
    </row>
    <row r="458" customFormat="false" ht="15" hidden="false" customHeight="false" outlineLevel="0" collapsed="false">
      <c r="A458" s="2" t="n">
        <v>83</v>
      </c>
      <c r="B458" s="2" t="s">
        <v>928</v>
      </c>
      <c r="C458" s="2" t="s">
        <v>933</v>
      </c>
      <c r="D458" s="2" t="s">
        <v>5130</v>
      </c>
      <c r="E458" s="2" t="s">
        <v>3989</v>
      </c>
      <c r="F458" s="2" t="s">
        <v>5131</v>
      </c>
      <c r="G458" s="2" t="s">
        <v>5132</v>
      </c>
      <c r="H458" s="2" t="s">
        <v>5133</v>
      </c>
    </row>
    <row r="459" customFormat="false" ht="15" hidden="false" customHeight="false" outlineLevel="0" collapsed="false">
      <c r="A459" s="2" t="n">
        <v>83</v>
      </c>
      <c r="B459" s="2" t="s">
        <v>928</v>
      </c>
      <c r="C459" s="2" t="s">
        <v>933</v>
      </c>
      <c r="D459" s="2" t="s">
        <v>5134</v>
      </c>
      <c r="E459" s="2" t="s">
        <v>3989</v>
      </c>
      <c r="F459" s="2" t="s">
        <v>5135</v>
      </c>
      <c r="G459" s="2" t="s">
        <v>5136</v>
      </c>
      <c r="H459" s="2" t="s">
        <v>5137</v>
      </c>
    </row>
    <row r="460" customFormat="false" ht="15" hidden="false" customHeight="false" outlineLevel="0" collapsed="false">
      <c r="A460" s="2" t="n">
        <v>83</v>
      </c>
      <c r="B460" s="2" t="s">
        <v>928</v>
      </c>
      <c r="C460" s="2" t="s">
        <v>933</v>
      </c>
      <c r="D460" s="2" t="s">
        <v>5138</v>
      </c>
      <c r="E460" s="2" t="s">
        <v>3989</v>
      </c>
      <c r="F460" s="2" t="s">
        <v>5139</v>
      </c>
      <c r="G460" s="2"/>
      <c r="H460" s="2" t="s">
        <v>5140</v>
      </c>
    </row>
    <row r="461" customFormat="false" ht="15" hidden="false" customHeight="false" outlineLevel="0" collapsed="false">
      <c r="A461" s="2" t="n">
        <v>83</v>
      </c>
      <c r="B461" s="2" t="s">
        <v>928</v>
      </c>
      <c r="C461" s="2" t="s">
        <v>933</v>
      </c>
      <c r="D461" s="2" t="s">
        <v>5141</v>
      </c>
      <c r="E461" s="2" t="s">
        <v>3989</v>
      </c>
      <c r="F461" s="2" t="s">
        <v>3790</v>
      </c>
      <c r="G461" s="2" t="s">
        <v>5136</v>
      </c>
      <c r="H461" s="2" t="s">
        <v>5142</v>
      </c>
    </row>
    <row r="462" customFormat="false" ht="15" hidden="false" customHeight="false" outlineLevel="0" collapsed="false">
      <c r="A462" s="2" t="n">
        <v>83</v>
      </c>
      <c r="B462" s="2" t="s">
        <v>928</v>
      </c>
      <c r="C462" s="2" t="s">
        <v>933</v>
      </c>
      <c r="D462" s="2" t="s">
        <v>5143</v>
      </c>
      <c r="E462" s="2" t="s">
        <v>3989</v>
      </c>
      <c r="F462" s="2" t="s">
        <v>5144</v>
      </c>
      <c r="G462" s="2"/>
      <c r="H462" s="2" t="s">
        <v>5145</v>
      </c>
    </row>
    <row r="463" customFormat="false" ht="15" hidden="false" customHeight="false" outlineLevel="0" collapsed="false">
      <c r="A463" s="2" t="n">
        <v>83</v>
      </c>
      <c r="B463" s="2" t="s">
        <v>928</v>
      </c>
      <c r="C463" s="2" t="s">
        <v>933</v>
      </c>
      <c r="D463" s="2" t="s">
        <v>5146</v>
      </c>
      <c r="E463" s="2" t="s">
        <v>3989</v>
      </c>
      <c r="F463" s="2" t="s">
        <v>5147</v>
      </c>
      <c r="G463" s="2"/>
      <c r="H463" s="2" t="s">
        <v>5148</v>
      </c>
    </row>
    <row r="464" customFormat="false" ht="15" hidden="false" customHeight="false" outlineLevel="0" collapsed="false">
      <c r="A464" s="2" t="n">
        <v>83</v>
      </c>
      <c r="B464" s="2" t="s">
        <v>928</v>
      </c>
      <c r="C464" s="2" t="s">
        <v>933</v>
      </c>
      <c r="D464" s="2" t="s">
        <v>5149</v>
      </c>
      <c r="E464" s="2" t="s">
        <v>3989</v>
      </c>
      <c r="F464" s="2" t="s">
        <v>5150</v>
      </c>
      <c r="G464" s="2"/>
      <c r="H464" s="2" t="s">
        <v>5151</v>
      </c>
    </row>
    <row r="465" customFormat="false" ht="15" hidden="false" customHeight="false" outlineLevel="0" collapsed="false">
      <c r="A465" s="2" t="n">
        <v>83</v>
      </c>
      <c r="B465" s="2" t="s">
        <v>928</v>
      </c>
      <c r="C465" s="2" t="s">
        <v>933</v>
      </c>
      <c r="D465" s="2" t="s">
        <v>5152</v>
      </c>
      <c r="E465" s="2" t="s">
        <v>3989</v>
      </c>
      <c r="F465" s="2" t="s">
        <v>5153</v>
      </c>
      <c r="G465" s="2"/>
      <c r="H465" s="2" t="s">
        <v>5154</v>
      </c>
    </row>
    <row r="466" customFormat="false" ht="15" hidden="false" customHeight="false" outlineLevel="0" collapsed="false">
      <c r="A466" s="2" t="n">
        <v>84</v>
      </c>
      <c r="B466" s="2" t="s">
        <v>937</v>
      </c>
      <c r="C466" s="2" t="s">
        <v>942</v>
      </c>
      <c r="D466" s="2" t="s">
        <v>5155</v>
      </c>
      <c r="E466" s="2" t="s">
        <v>3989</v>
      </c>
      <c r="F466" s="2" t="s">
        <v>5156</v>
      </c>
      <c r="G466" s="2"/>
      <c r="H466" s="2" t="s">
        <v>5157</v>
      </c>
    </row>
    <row r="467" customFormat="false" ht="15" hidden="false" customHeight="false" outlineLevel="0" collapsed="false">
      <c r="A467" s="2" t="n">
        <v>84</v>
      </c>
      <c r="B467" s="2" t="s">
        <v>937</v>
      </c>
      <c r="C467" s="2" t="s">
        <v>942</v>
      </c>
      <c r="D467" s="2" t="s">
        <v>5158</v>
      </c>
      <c r="E467" s="2" t="s">
        <v>3989</v>
      </c>
      <c r="F467" s="2" t="s">
        <v>2978</v>
      </c>
      <c r="G467" s="2"/>
      <c r="H467" s="2" t="s">
        <v>5159</v>
      </c>
    </row>
    <row r="468" customFormat="false" ht="15" hidden="false" customHeight="false" outlineLevel="0" collapsed="false">
      <c r="A468" s="2" t="n">
        <v>84</v>
      </c>
      <c r="B468" s="2" t="s">
        <v>937</v>
      </c>
      <c r="C468" s="2" t="s">
        <v>942</v>
      </c>
      <c r="D468" s="2" t="s">
        <v>5160</v>
      </c>
      <c r="E468" s="2" t="s">
        <v>3989</v>
      </c>
      <c r="F468" s="2" t="s">
        <v>1035</v>
      </c>
      <c r="G468" s="2"/>
      <c r="H468" s="2" t="s">
        <v>5161</v>
      </c>
    </row>
    <row r="469" customFormat="false" ht="15" hidden="false" customHeight="false" outlineLevel="0" collapsed="false">
      <c r="A469" s="2" t="n">
        <v>84</v>
      </c>
      <c r="B469" s="2" t="s">
        <v>937</v>
      </c>
      <c r="C469" s="2" t="s">
        <v>942</v>
      </c>
      <c r="D469" s="2" t="s">
        <v>5162</v>
      </c>
      <c r="E469" s="2" t="s">
        <v>3989</v>
      </c>
      <c r="F469" s="2" t="s">
        <v>5098</v>
      </c>
      <c r="G469" s="2"/>
      <c r="H469" s="2" t="s">
        <v>5163</v>
      </c>
    </row>
    <row r="470" customFormat="false" ht="15" hidden="false" customHeight="false" outlineLevel="0" collapsed="false">
      <c r="A470" s="2" t="n">
        <v>85</v>
      </c>
      <c r="B470" s="2" t="s">
        <v>946</v>
      </c>
      <c r="C470" s="2" t="s">
        <v>951</v>
      </c>
      <c r="D470" s="2" t="s">
        <v>5164</v>
      </c>
      <c r="E470" s="2" t="s">
        <v>3989</v>
      </c>
      <c r="F470" s="2" t="s">
        <v>4084</v>
      </c>
      <c r="G470" s="2"/>
      <c r="H470" s="2" t="s">
        <v>5165</v>
      </c>
    </row>
    <row r="471" customFormat="false" ht="15" hidden="false" customHeight="false" outlineLevel="0" collapsed="false">
      <c r="A471" s="2" t="n">
        <v>85</v>
      </c>
      <c r="B471" s="2" t="s">
        <v>946</v>
      </c>
      <c r="C471" s="2" t="s">
        <v>951</v>
      </c>
      <c r="D471" s="2" t="s">
        <v>5166</v>
      </c>
      <c r="E471" s="2" t="s">
        <v>3989</v>
      </c>
      <c r="F471" s="2" t="s">
        <v>5122</v>
      </c>
      <c r="G471" s="2"/>
      <c r="H471" s="2" t="s">
        <v>5167</v>
      </c>
    </row>
    <row r="472" customFormat="false" ht="15" hidden="false" customHeight="false" outlineLevel="0" collapsed="false">
      <c r="A472" s="2" t="n">
        <v>86</v>
      </c>
      <c r="B472" s="2" t="s">
        <v>955</v>
      </c>
      <c r="C472" s="2" t="s">
        <v>960</v>
      </c>
      <c r="D472" s="2" t="s">
        <v>5168</v>
      </c>
      <c r="E472" s="2" t="s">
        <v>3989</v>
      </c>
      <c r="F472" s="2" t="s">
        <v>5169</v>
      </c>
      <c r="G472" s="2" t="s">
        <v>5170</v>
      </c>
      <c r="H472" s="2" t="s">
        <v>5171</v>
      </c>
    </row>
    <row r="473" customFormat="false" ht="15" hidden="false" customHeight="false" outlineLevel="0" collapsed="false">
      <c r="A473" s="2" t="n">
        <v>86</v>
      </c>
      <c r="B473" s="2" t="s">
        <v>955</v>
      </c>
      <c r="C473" s="2" t="s">
        <v>960</v>
      </c>
      <c r="D473" s="2" t="s">
        <v>5172</v>
      </c>
      <c r="E473" s="2" t="s">
        <v>3989</v>
      </c>
      <c r="F473" s="2" t="s">
        <v>5173</v>
      </c>
      <c r="G473" s="2"/>
      <c r="H473" s="2" t="s">
        <v>5174</v>
      </c>
    </row>
    <row r="474" customFormat="false" ht="15" hidden="false" customHeight="false" outlineLevel="0" collapsed="false">
      <c r="A474" s="2" t="n">
        <v>87</v>
      </c>
      <c r="B474" s="2" t="s">
        <v>964</v>
      </c>
      <c r="C474" s="2" t="s">
        <v>5175</v>
      </c>
      <c r="D474" s="2" t="s">
        <v>5176</v>
      </c>
      <c r="E474" s="2" t="s">
        <v>3989</v>
      </c>
      <c r="F474" s="2" t="s">
        <v>3057</v>
      </c>
      <c r="G474" s="2"/>
      <c r="H474" s="2" t="s">
        <v>5177</v>
      </c>
    </row>
    <row r="475" customFormat="false" ht="15" hidden="false" customHeight="false" outlineLevel="0" collapsed="false">
      <c r="A475" s="2" t="n">
        <v>87</v>
      </c>
      <c r="B475" s="2" t="s">
        <v>964</v>
      </c>
      <c r="C475" s="2" t="s">
        <v>5178</v>
      </c>
      <c r="D475" s="2" t="s">
        <v>5179</v>
      </c>
      <c r="E475" s="2" t="s">
        <v>3989</v>
      </c>
      <c r="F475" s="2" t="s">
        <v>5180</v>
      </c>
      <c r="G475" s="2"/>
      <c r="H475" s="2" t="s">
        <v>5181</v>
      </c>
    </row>
    <row r="476" customFormat="false" ht="15" hidden="false" customHeight="false" outlineLevel="0" collapsed="false">
      <c r="A476" s="2" t="n">
        <v>89</v>
      </c>
      <c r="B476" s="2" t="s">
        <v>980</v>
      </c>
      <c r="C476" s="2" t="s">
        <v>983</v>
      </c>
      <c r="D476" s="2" t="s">
        <v>5182</v>
      </c>
      <c r="E476" s="2" t="s">
        <v>3989</v>
      </c>
      <c r="F476" s="2" t="s">
        <v>4804</v>
      </c>
      <c r="G476" s="2"/>
      <c r="H476" s="2" t="s">
        <v>5183</v>
      </c>
    </row>
    <row r="477" customFormat="false" ht="15" hidden="false" customHeight="false" outlineLevel="0" collapsed="false">
      <c r="A477" s="2" t="n">
        <v>89</v>
      </c>
      <c r="B477" s="2" t="s">
        <v>980</v>
      </c>
      <c r="C477" s="2" t="s">
        <v>983</v>
      </c>
      <c r="D477" s="2" t="s">
        <v>5184</v>
      </c>
      <c r="E477" s="2" t="s">
        <v>3989</v>
      </c>
      <c r="F477" s="2" t="s">
        <v>5185</v>
      </c>
      <c r="G477" s="2"/>
      <c r="H477" s="2" t="s">
        <v>5186</v>
      </c>
    </row>
    <row r="478" customFormat="false" ht="15" hidden="false" customHeight="false" outlineLevel="0" collapsed="false">
      <c r="A478" s="2" t="n">
        <v>90</v>
      </c>
      <c r="B478" s="2" t="s">
        <v>987</v>
      </c>
      <c r="C478" s="2" t="s">
        <v>991</v>
      </c>
      <c r="D478" s="2" t="s">
        <v>5187</v>
      </c>
      <c r="E478" s="2" t="s">
        <v>3989</v>
      </c>
      <c r="F478" s="2" t="s">
        <v>5188</v>
      </c>
      <c r="G478" s="2"/>
      <c r="H478" s="2" t="s">
        <v>5189</v>
      </c>
    </row>
    <row r="479" customFormat="false" ht="15" hidden="false" customHeight="false" outlineLevel="0" collapsed="false">
      <c r="A479" s="2" t="n">
        <v>91</v>
      </c>
      <c r="B479" s="2" t="s">
        <v>996</v>
      </c>
      <c r="C479" s="2" t="s">
        <v>1001</v>
      </c>
      <c r="D479" s="2" t="s">
        <v>5190</v>
      </c>
      <c r="E479" s="2" t="s">
        <v>3989</v>
      </c>
      <c r="F479" s="2" t="s">
        <v>883</v>
      </c>
      <c r="G479" s="2" t="s">
        <v>5191</v>
      </c>
      <c r="H479" s="2" t="s">
        <v>5192</v>
      </c>
    </row>
    <row r="480" customFormat="false" ht="15" hidden="false" customHeight="false" outlineLevel="0" collapsed="false">
      <c r="A480" s="2" t="n">
        <v>91</v>
      </c>
      <c r="B480" s="2" t="s">
        <v>996</v>
      </c>
      <c r="C480" s="2" t="s">
        <v>1001</v>
      </c>
      <c r="D480" s="2" t="s">
        <v>5193</v>
      </c>
      <c r="E480" s="2" t="s">
        <v>3989</v>
      </c>
      <c r="F480" s="2" t="s">
        <v>5194</v>
      </c>
      <c r="G480" s="2"/>
      <c r="H480" s="2" t="s">
        <v>5195</v>
      </c>
    </row>
    <row r="481" customFormat="false" ht="15" hidden="false" customHeight="false" outlineLevel="0" collapsed="false">
      <c r="A481" s="2" t="n">
        <v>91</v>
      </c>
      <c r="B481" s="2" t="s">
        <v>996</v>
      </c>
      <c r="C481" s="2" t="s">
        <v>1001</v>
      </c>
      <c r="D481" s="2" t="s">
        <v>5196</v>
      </c>
      <c r="E481" s="2" t="s">
        <v>3989</v>
      </c>
      <c r="F481" s="2" t="s">
        <v>4102</v>
      </c>
      <c r="G481" s="2"/>
      <c r="H481" s="2" t="s">
        <v>5197</v>
      </c>
    </row>
    <row r="482" customFormat="false" ht="15" hidden="false" customHeight="false" outlineLevel="0" collapsed="false">
      <c r="A482" s="2" t="n">
        <v>92</v>
      </c>
      <c r="B482" s="2" t="s">
        <v>1005</v>
      </c>
      <c r="C482" s="2" t="s">
        <v>1010</v>
      </c>
      <c r="D482" s="2" t="s">
        <v>5198</v>
      </c>
      <c r="E482" s="2" t="s">
        <v>3989</v>
      </c>
      <c r="F482" s="2" t="s">
        <v>5199</v>
      </c>
      <c r="G482" s="2" t="s">
        <v>5200</v>
      </c>
      <c r="H482" s="2" t="s">
        <v>5201</v>
      </c>
    </row>
    <row r="483" customFormat="false" ht="15" hidden="false" customHeight="false" outlineLevel="0" collapsed="false">
      <c r="A483" s="2" t="n">
        <v>92</v>
      </c>
      <c r="B483" s="2" t="s">
        <v>1005</v>
      </c>
      <c r="C483" s="2" t="s">
        <v>1010</v>
      </c>
      <c r="D483" s="2" t="s">
        <v>5202</v>
      </c>
      <c r="E483" s="2" t="s">
        <v>3989</v>
      </c>
      <c r="F483" s="2" t="s">
        <v>2791</v>
      </c>
      <c r="G483" s="2" t="s">
        <v>5200</v>
      </c>
      <c r="H483" s="2" t="s">
        <v>5203</v>
      </c>
    </row>
    <row r="484" customFormat="false" ht="15" hidden="false" customHeight="false" outlineLevel="0" collapsed="false">
      <c r="A484" s="2" t="n">
        <v>92</v>
      </c>
      <c r="B484" s="2" t="s">
        <v>1005</v>
      </c>
      <c r="C484" s="2" t="s">
        <v>1010</v>
      </c>
      <c r="D484" s="2" t="s">
        <v>5204</v>
      </c>
      <c r="E484" s="2" t="s">
        <v>3989</v>
      </c>
      <c r="F484" s="2" t="s">
        <v>5205</v>
      </c>
      <c r="G484" s="2"/>
      <c r="H484" s="2" t="s">
        <v>5206</v>
      </c>
    </row>
    <row r="485" customFormat="false" ht="15" hidden="false" customHeight="false" outlineLevel="0" collapsed="false">
      <c r="A485" s="2" t="n">
        <v>92</v>
      </c>
      <c r="B485" s="2" t="s">
        <v>1005</v>
      </c>
      <c r="C485" s="2" t="s">
        <v>1010</v>
      </c>
      <c r="D485" s="2" t="s">
        <v>5207</v>
      </c>
      <c r="E485" s="2" t="s">
        <v>3989</v>
      </c>
      <c r="F485" s="2" t="s">
        <v>5208</v>
      </c>
      <c r="G485" s="2"/>
      <c r="H485" s="2" t="s">
        <v>5209</v>
      </c>
    </row>
    <row r="486" customFormat="false" ht="15" hidden="false" customHeight="false" outlineLevel="0" collapsed="false">
      <c r="A486" s="2" t="n">
        <v>92</v>
      </c>
      <c r="B486" s="2" t="s">
        <v>1005</v>
      </c>
      <c r="C486" s="2" t="s">
        <v>1010</v>
      </c>
      <c r="D486" s="2" t="s">
        <v>5210</v>
      </c>
      <c r="E486" s="2" t="s">
        <v>3989</v>
      </c>
      <c r="F486" s="2" t="s">
        <v>3140</v>
      </c>
      <c r="G486" s="2"/>
      <c r="H486" s="2" t="s">
        <v>5211</v>
      </c>
    </row>
    <row r="487" customFormat="false" ht="15" hidden="false" customHeight="false" outlineLevel="0" collapsed="false">
      <c r="A487" s="2" t="n">
        <v>93</v>
      </c>
      <c r="B487" s="2" t="s">
        <v>1014</v>
      </c>
      <c r="C487" s="2" t="s">
        <v>1017</v>
      </c>
      <c r="D487" s="2" t="s">
        <v>3168</v>
      </c>
      <c r="E487" s="2" t="s">
        <v>3985</v>
      </c>
      <c r="F487" s="2" t="s">
        <v>1020</v>
      </c>
      <c r="G487" s="2" t="s">
        <v>3169</v>
      </c>
      <c r="H487" s="2" t="s">
        <v>3170</v>
      </c>
    </row>
    <row r="488" customFormat="false" ht="15" hidden="false" customHeight="false" outlineLevel="0" collapsed="false">
      <c r="A488" s="2" t="n">
        <v>93</v>
      </c>
      <c r="B488" s="2" t="s">
        <v>1014</v>
      </c>
      <c r="C488" s="2" t="s">
        <v>1017</v>
      </c>
      <c r="D488" s="2" t="s">
        <v>5212</v>
      </c>
      <c r="E488" s="2" t="s">
        <v>3989</v>
      </c>
      <c r="F488" s="2" t="s">
        <v>4384</v>
      </c>
      <c r="G488" s="2" t="s">
        <v>5213</v>
      </c>
      <c r="H488" s="2" t="s">
        <v>5214</v>
      </c>
    </row>
    <row r="489" customFormat="false" ht="15" hidden="false" customHeight="false" outlineLevel="0" collapsed="false">
      <c r="A489" s="2" t="n">
        <v>93</v>
      </c>
      <c r="B489" s="2" t="s">
        <v>1014</v>
      </c>
      <c r="C489" s="2" t="s">
        <v>1017</v>
      </c>
      <c r="D489" s="2" t="s">
        <v>5215</v>
      </c>
      <c r="E489" s="2" t="s">
        <v>3989</v>
      </c>
      <c r="F489" s="2" t="s">
        <v>2448</v>
      </c>
      <c r="G489" s="2"/>
      <c r="H489" s="2" t="s">
        <v>5216</v>
      </c>
    </row>
    <row r="490" customFormat="false" ht="15" hidden="false" customHeight="false" outlineLevel="0" collapsed="false">
      <c r="A490" s="2" t="n">
        <v>93</v>
      </c>
      <c r="B490" s="2" t="s">
        <v>1014</v>
      </c>
      <c r="C490" s="2" t="s">
        <v>1017</v>
      </c>
      <c r="D490" s="2" t="s">
        <v>5217</v>
      </c>
      <c r="E490" s="2" t="s">
        <v>3989</v>
      </c>
      <c r="F490" s="2" t="s">
        <v>5218</v>
      </c>
      <c r="G490" s="2"/>
      <c r="H490" s="2" t="s">
        <v>5219</v>
      </c>
    </row>
    <row r="491" customFormat="false" ht="15" hidden="false" customHeight="false" outlineLevel="0" collapsed="false">
      <c r="A491" s="2" t="n">
        <v>93</v>
      </c>
      <c r="B491" s="2" t="s">
        <v>1014</v>
      </c>
      <c r="C491" s="2" t="s">
        <v>1017</v>
      </c>
      <c r="D491" s="2" t="s">
        <v>5220</v>
      </c>
      <c r="E491" s="2" t="s">
        <v>3989</v>
      </c>
      <c r="F491" s="2" t="s">
        <v>3871</v>
      </c>
      <c r="G491" s="2"/>
      <c r="H491" s="2" t="s">
        <v>5221</v>
      </c>
    </row>
    <row r="492" customFormat="false" ht="15" hidden="false" customHeight="false" outlineLevel="0" collapsed="false">
      <c r="A492" s="2" t="n">
        <v>94</v>
      </c>
      <c r="B492" s="2" t="s">
        <v>1022</v>
      </c>
      <c r="C492" s="2" t="s">
        <v>1027</v>
      </c>
      <c r="D492" s="2" t="s">
        <v>3187</v>
      </c>
      <c r="E492" s="2" t="s">
        <v>3985</v>
      </c>
      <c r="F492" s="2" t="s">
        <v>1030</v>
      </c>
      <c r="G492" s="2" t="s">
        <v>3189</v>
      </c>
      <c r="H492" s="2" t="s">
        <v>3190</v>
      </c>
    </row>
    <row r="493" customFormat="false" ht="15" hidden="false" customHeight="false" outlineLevel="0" collapsed="false">
      <c r="A493" s="2" t="n">
        <v>94</v>
      </c>
      <c r="B493" s="2" t="s">
        <v>1022</v>
      </c>
      <c r="C493" s="2" t="s">
        <v>1027</v>
      </c>
      <c r="D493" s="2" t="s">
        <v>5222</v>
      </c>
      <c r="E493" s="2" t="s">
        <v>3989</v>
      </c>
      <c r="F493" s="2" t="s">
        <v>4697</v>
      </c>
      <c r="G493" s="2" t="s">
        <v>5223</v>
      </c>
      <c r="H493" s="2" t="s">
        <v>5224</v>
      </c>
    </row>
    <row r="494" customFormat="false" ht="15" hidden="false" customHeight="false" outlineLevel="0" collapsed="false">
      <c r="A494" s="2" t="n">
        <v>94</v>
      </c>
      <c r="B494" s="2" t="s">
        <v>1022</v>
      </c>
      <c r="C494" s="2" t="s">
        <v>1027</v>
      </c>
      <c r="D494" s="2" t="s">
        <v>5225</v>
      </c>
      <c r="E494" s="2" t="s">
        <v>3989</v>
      </c>
      <c r="F494" s="2" t="s">
        <v>5226</v>
      </c>
      <c r="G494" s="2"/>
      <c r="H494" s="2" t="s">
        <v>5227</v>
      </c>
    </row>
    <row r="495" customFormat="false" ht="15" hidden="false" customHeight="false" outlineLevel="0" collapsed="false">
      <c r="A495" s="2" t="n">
        <v>94</v>
      </c>
      <c r="B495" s="2" t="s">
        <v>1022</v>
      </c>
      <c r="C495" s="2" t="s">
        <v>1027</v>
      </c>
      <c r="D495" s="2" t="s">
        <v>5228</v>
      </c>
      <c r="E495" s="2" t="s">
        <v>3989</v>
      </c>
      <c r="F495" s="2" t="s">
        <v>5229</v>
      </c>
      <c r="G495" s="2" t="s">
        <v>5223</v>
      </c>
      <c r="H495" s="2" t="s">
        <v>5230</v>
      </c>
    </row>
    <row r="496" customFormat="false" ht="15" hidden="false" customHeight="false" outlineLevel="0" collapsed="false">
      <c r="A496" s="2" t="n">
        <v>95</v>
      </c>
      <c r="B496" s="2" t="s">
        <v>1032</v>
      </c>
      <c r="C496" s="2" t="s">
        <v>1037</v>
      </c>
      <c r="D496" s="2" t="s">
        <v>5231</v>
      </c>
      <c r="E496" s="2" t="s">
        <v>3989</v>
      </c>
      <c r="F496" s="2" t="s">
        <v>5194</v>
      </c>
      <c r="G496" s="2" t="s">
        <v>5232</v>
      </c>
      <c r="H496" s="2" t="s">
        <v>5233</v>
      </c>
    </row>
    <row r="497" customFormat="false" ht="15" hidden="false" customHeight="false" outlineLevel="0" collapsed="false">
      <c r="A497" s="2" t="n">
        <v>95</v>
      </c>
      <c r="B497" s="2" t="s">
        <v>1032</v>
      </c>
      <c r="C497" s="2" t="s">
        <v>1037</v>
      </c>
      <c r="D497" s="2" t="s">
        <v>5234</v>
      </c>
      <c r="E497" s="2" t="s">
        <v>3989</v>
      </c>
      <c r="F497" s="2" t="s">
        <v>5235</v>
      </c>
      <c r="G497" s="2"/>
      <c r="H497" s="2" t="s">
        <v>5236</v>
      </c>
    </row>
    <row r="498" customFormat="false" ht="15" hidden="false" customHeight="false" outlineLevel="0" collapsed="false">
      <c r="A498" s="2" t="n">
        <v>95</v>
      </c>
      <c r="B498" s="2" t="s">
        <v>1032</v>
      </c>
      <c r="C498" s="2" t="s">
        <v>1037</v>
      </c>
      <c r="D498" s="2" t="s">
        <v>5237</v>
      </c>
      <c r="E498" s="2" t="s">
        <v>3989</v>
      </c>
      <c r="F498" s="2" t="s">
        <v>5001</v>
      </c>
      <c r="G498" s="2" t="s">
        <v>5232</v>
      </c>
      <c r="H498" s="2" t="s">
        <v>5238</v>
      </c>
    </row>
    <row r="499" customFormat="false" ht="15" hidden="false" customHeight="false" outlineLevel="0" collapsed="false">
      <c r="A499" s="2" t="n">
        <v>97</v>
      </c>
      <c r="B499" s="2" t="s">
        <v>1050</v>
      </c>
      <c r="C499" s="2" t="s">
        <v>1054</v>
      </c>
      <c r="D499" s="2" t="s">
        <v>4796</v>
      </c>
      <c r="E499" s="2" t="s">
        <v>3985</v>
      </c>
      <c r="F499" s="2" t="s">
        <v>571</v>
      </c>
      <c r="G499" s="2" t="s">
        <v>4797</v>
      </c>
      <c r="H499" s="2" t="s">
        <v>4798</v>
      </c>
    </row>
    <row r="500" customFormat="false" ht="15" hidden="false" customHeight="false" outlineLevel="0" collapsed="false">
      <c r="A500" s="2" t="n">
        <v>97</v>
      </c>
      <c r="B500" s="2" t="s">
        <v>1050</v>
      </c>
      <c r="C500" s="2" t="s">
        <v>1054</v>
      </c>
      <c r="D500" s="2" t="s">
        <v>5239</v>
      </c>
      <c r="E500" s="2" t="s">
        <v>3989</v>
      </c>
      <c r="F500" s="2" t="s">
        <v>3645</v>
      </c>
      <c r="G500" s="2"/>
      <c r="H500" s="2" t="s">
        <v>5240</v>
      </c>
    </row>
    <row r="501" customFormat="false" ht="15" hidden="false" customHeight="false" outlineLevel="0" collapsed="false">
      <c r="A501" s="2" t="n">
        <v>97</v>
      </c>
      <c r="B501" s="2" t="s">
        <v>1050</v>
      </c>
      <c r="C501" s="2" t="s">
        <v>1054</v>
      </c>
      <c r="D501" s="2" t="s">
        <v>5241</v>
      </c>
      <c r="E501" s="2" t="s">
        <v>3989</v>
      </c>
      <c r="F501" s="2" t="s">
        <v>5242</v>
      </c>
      <c r="G501" s="2"/>
      <c r="H501" s="2" t="s">
        <v>5243</v>
      </c>
    </row>
    <row r="502" customFormat="false" ht="15" hidden="false" customHeight="false" outlineLevel="0" collapsed="false">
      <c r="A502" s="2" t="n">
        <v>103</v>
      </c>
      <c r="B502" s="2" t="s">
        <v>1088</v>
      </c>
      <c r="C502" s="2" t="s">
        <v>1090</v>
      </c>
      <c r="D502" s="2" t="s">
        <v>5244</v>
      </c>
      <c r="E502" s="2" t="s">
        <v>3989</v>
      </c>
      <c r="F502" s="2" t="s">
        <v>1418</v>
      </c>
      <c r="G502" s="2"/>
      <c r="H502" s="2" t="s">
        <v>5245</v>
      </c>
    </row>
    <row r="503" customFormat="false" ht="15" hidden="false" customHeight="false" outlineLevel="0" collapsed="false">
      <c r="A503" s="2" t="n">
        <v>103</v>
      </c>
      <c r="B503" s="2" t="s">
        <v>1088</v>
      </c>
      <c r="C503" s="2" t="s">
        <v>1090</v>
      </c>
      <c r="D503" s="2" t="s">
        <v>5246</v>
      </c>
      <c r="E503" s="2" t="s">
        <v>3989</v>
      </c>
      <c r="F503" s="2" t="s">
        <v>5247</v>
      </c>
      <c r="G503" s="2"/>
      <c r="H503" s="2" t="s">
        <v>5248</v>
      </c>
    </row>
    <row r="504" customFormat="false" ht="15" hidden="false" customHeight="false" outlineLevel="0" collapsed="false">
      <c r="A504" s="2" t="n">
        <v>108</v>
      </c>
      <c r="B504" s="2" t="s">
        <v>1116</v>
      </c>
      <c r="C504" s="2" t="s">
        <v>1121</v>
      </c>
      <c r="D504" s="2" t="s">
        <v>5249</v>
      </c>
      <c r="E504" s="2" t="s">
        <v>3985</v>
      </c>
      <c r="F504" s="2" t="s">
        <v>1124</v>
      </c>
      <c r="G504" s="2" t="s">
        <v>5250</v>
      </c>
      <c r="H504" s="2" t="s">
        <v>5251</v>
      </c>
    </row>
    <row r="505" customFormat="false" ht="15" hidden="false" customHeight="false" outlineLevel="0" collapsed="false">
      <c r="A505" s="2" t="n">
        <v>108</v>
      </c>
      <c r="B505" s="2" t="s">
        <v>1116</v>
      </c>
      <c r="C505" s="2" t="s">
        <v>1121</v>
      </c>
      <c r="D505" s="2" t="s">
        <v>5252</v>
      </c>
      <c r="E505" s="2" t="s">
        <v>3985</v>
      </c>
      <c r="F505" s="2" t="s">
        <v>5253</v>
      </c>
      <c r="G505" s="2" t="s">
        <v>5254</v>
      </c>
      <c r="H505" s="2" t="s">
        <v>5255</v>
      </c>
    </row>
    <row r="506" customFormat="false" ht="15" hidden="false" customHeight="false" outlineLevel="0" collapsed="false">
      <c r="A506" s="2" t="n">
        <v>108</v>
      </c>
      <c r="B506" s="2" t="s">
        <v>1116</v>
      </c>
      <c r="C506" s="2" t="s">
        <v>1121</v>
      </c>
      <c r="D506" s="2" t="s">
        <v>5256</v>
      </c>
      <c r="E506" s="2" t="s">
        <v>3985</v>
      </c>
      <c r="F506" s="2" t="s">
        <v>1131</v>
      </c>
      <c r="G506" s="2" t="s">
        <v>5257</v>
      </c>
      <c r="H506" s="2" t="s">
        <v>5258</v>
      </c>
    </row>
    <row r="507" customFormat="false" ht="15" hidden="false" customHeight="false" outlineLevel="0" collapsed="false">
      <c r="A507" s="2" t="n">
        <v>108</v>
      </c>
      <c r="B507" s="2" t="s">
        <v>1116</v>
      </c>
      <c r="C507" s="2" t="s">
        <v>1121</v>
      </c>
      <c r="D507" s="2" t="s">
        <v>5259</v>
      </c>
      <c r="E507" s="2" t="s">
        <v>3985</v>
      </c>
      <c r="F507" s="2" t="s">
        <v>1131</v>
      </c>
      <c r="G507" s="2" t="s">
        <v>5260</v>
      </c>
      <c r="H507" s="2" t="s">
        <v>5261</v>
      </c>
    </row>
    <row r="508" customFormat="false" ht="15" hidden="false" customHeight="false" outlineLevel="0" collapsed="false">
      <c r="A508" s="2" t="n">
        <v>108</v>
      </c>
      <c r="B508" s="2" t="s">
        <v>1116</v>
      </c>
      <c r="C508" s="2" t="s">
        <v>1121</v>
      </c>
      <c r="D508" s="2" t="s">
        <v>5262</v>
      </c>
      <c r="E508" s="2" t="s">
        <v>3985</v>
      </c>
      <c r="F508" s="2" t="s">
        <v>1131</v>
      </c>
      <c r="G508" s="2" t="s">
        <v>5263</v>
      </c>
      <c r="H508" s="2" t="s">
        <v>5264</v>
      </c>
    </row>
    <row r="509" customFormat="false" ht="15" hidden="false" customHeight="false" outlineLevel="0" collapsed="false">
      <c r="A509" s="2" t="n">
        <v>108</v>
      </c>
      <c r="B509" s="2" t="s">
        <v>1116</v>
      </c>
      <c r="C509" s="2" t="s">
        <v>1121</v>
      </c>
      <c r="D509" s="2" t="s">
        <v>5265</v>
      </c>
      <c r="E509" s="2" t="s">
        <v>3985</v>
      </c>
      <c r="F509" s="2" t="s">
        <v>1131</v>
      </c>
      <c r="G509" s="2" t="s">
        <v>5266</v>
      </c>
      <c r="H509" s="2" t="s">
        <v>5267</v>
      </c>
    </row>
    <row r="510" customFormat="false" ht="15" hidden="false" customHeight="false" outlineLevel="0" collapsed="false">
      <c r="A510" s="2" t="n">
        <v>108</v>
      </c>
      <c r="B510" s="2" t="s">
        <v>1116</v>
      </c>
      <c r="C510" s="2" t="s">
        <v>1121</v>
      </c>
      <c r="D510" s="2" t="s">
        <v>5268</v>
      </c>
      <c r="E510" s="2" t="s">
        <v>3985</v>
      </c>
      <c r="F510" s="2" t="s">
        <v>1131</v>
      </c>
      <c r="G510" s="2" t="s">
        <v>5269</v>
      </c>
      <c r="H510" s="2" t="s">
        <v>5270</v>
      </c>
    </row>
    <row r="511" customFormat="false" ht="15" hidden="false" customHeight="false" outlineLevel="0" collapsed="false">
      <c r="A511" s="2" t="n">
        <v>108</v>
      </c>
      <c r="B511" s="2" t="s">
        <v>1116</v>
      </c>
      <c r="C511" s="2" t="s">
        <v>1121</v>
      </c>
      <c r="D511" s="2" t="s">
        <v>5271</v>
      </c>
      <c r="E511" s="2" t="s">
        <v>3985</v>
      </c>
      <c r="F511" s="2" t="s">
        <v>1131</v>
      </c>
      <c r="G511" s="2" t="s">
        <v>5272</v>
      </c>
      <c r="H511" s="2" t="s">
        <v>5273</v>
      </c>
    </row>
    <row r="512" customFormat="false" ht="15" hidden="false" customHeight="false" outlineLevel="0" collapsed="false">
      <c r="A512" s="2" t="n">
        <v>108</v>
      </c>
      <c r="B512" s="2" t="s">
        <v>1116</v>
      </c>
      <c r="C512" s="2" t="s">
        <v>1121</v>
      </c>
      <c r="D512" s="2" t="s">
        <v>5274</v>
      </c>
      <c r="E512" s="2" t="s">
        <v>3985</v>
      </c>
      <c r="F512" s="2" t="s">
        <v>5275</v>
      </c>
      <c r="G512" s="2" t="s">
        <v>5276</v>
      </c>
      <c r="H512" s="2" t="s">
        <v>5277</v>
      </c>
    </row>
    <row r="513" customFormat="false" ht="15" hidden="false" customHeight="false" outlineLevel="0" collapsed="false">
      <c r="A513" s="2" t="n">
        <v>108</v>
      </c>
      <c r="B513" s="2" t="s">
        <v>1116</v>
      </c>
      <c r="C513" s="2" t="s">
        <v>1121</v>
      </c>
      <c r="D513" s="2" t="s">
        <v>5278</v>
      </c>
      <c r="E513" s="2" t="s">
        <v>3985</v>
      </c>
      <c r="F513" s="2" t="s">
        <v>5279</v>
      </c>
      <c r="G513" s="2" t="s">
        <v>5280</v>
      </c>
      <c r="H513" s="2" t="s">
        <v>5281</v>
      </c>
    </row>
    <row r="514" customFormat="false" ht="15" hidden="false" customHeight="false" outlineLevel="0" collapsed="false">
      <c r="A514" s="2" t="n">
        <v>108</v>
      </c>
      <c r="B514" s="2" t="s">
        <v>1116</v>
      </c>
      <c r="C514" s="2" t="s">
        <v>1121</v>
      </c>
      <c r="D514" s="2" t="s">
        <v>5282</v>
      </c>
      <c r="E514" s="2" t="s">
        <v>3985</v>
      </c>
      <c r="F514" s="2" t="s">
        <v>337</v>
      </c>
      <c r="G514" s="2" t="s">
        <v>5283</v>
      </c>
      <c r="H514" s="2" t="s">
        <v>5284</v>
      </c>
    </row>
    <row r="515" customFormat="false" ht="15" hidden="false" customHeight="false" outlineLevel="0" collapsed="false">
      <c r="A515" s="2" t="n">
        <v>108</v>
      </c>
      <c r="B515" s="2" t="s">
        <v>1116</v>
      </c>
      <c r="C515" s="2" t="s">
        <v>1121</v>
      </c>
      <c r="D515" s="2" t="s">
        <v>790</v>
      </c>
      <c r="E515" s="2" t="s">
        <v>3985</v>
      </c>
      <c r="F515" s="2" t="s">
        <v>787</v>
      </c>
      <c r="G515" s="2" t="s">
        <v>5285</v>
      </c>
      <c r="H515" s="2" t="s">
        <v>791</v>
      </c>
    </row>
    <row r="516" customFormat="false" ht="15" hidden="false" customHeight="false" outlineLevel="0" collapsed="false">
      <c r="A516" s="2" t="n">
        <v>108</v>
      </c>
      <c r="B516" s="2" t="s">
        <v>1116</v>
      </c>
      <c r="C516" s="2" t="s">
        <v>1121</v>
      </c>
      <c r="D516" s="2" t="s">
        <v>5286</v>
      </c>
      <c r="E516" s="2" t="s">
        <v>3989</v>
      </c>
      <c r="F516" s="2" t="s">
        <v>5287</v>
      </c>
      <c r="G516" s="2"/>
      <c r="H516" s="2" t="s">
        <v>5288</v>
      </c>
    </row>
    <row r="517" customFormat="false" ht="15" hidden="false" customHeight="false" outlineLevel="0" collapsed="false">
      <c r="A517" s="2" t="n">
        <v>109</v>
      </c>
      <c r="B517" s="2" t="s">
        <v>1128</v>
      </c>
      <c r="C517" s="2" t="s">
        <v>1134</v>
      </c>
      <c r="D517" s="2" t="s">
        <v>5289</v>
      </c>
      <c r="E517" s="2" t="s">
        <v>3985</v>
      </c>
      <c r="F517" s="2" t="s">
        <v>1137</v>
      </c>
      <c r="G517" s="2" t="s">
        <v>5290</v>
      </c>
      <c r="H517" s="2" t="s">
        <v>5291</v>
      </c>
    </row>
    <row r="518" customFormat="false" ht="15" hidden="false" customHeight="false" outlineLevel="0" collapsed="false">
      <c r="A518" s="2" t="n">
        <v>109</v>
      </c>
      <c r="B518" s="2" t="s">
        <v>1128</v>
      </c>
      <c r="C518" s="2" t="s">
        <v>1134</v>
      </c>
      <c r="D518" s="2" t="s">
        <v>5292</v>
      </c>
      <c r="E518" s="2" t="s">
        <v>3985</v>
      </c>
      <c r="F518" s="2" t="s">
        <v>773</v>
      </c>
      <c r="G518" s="2" t="s">
        <v>5293</v>
      </c>
      <c r="H518" s="2" t="s">
        <v>5294</v>
      </c>
    </row>
    <row r="519" customFormat="false" ht="15" hidden="false" customHeight="false" outlineLevel="0" collapsed="false">
      <c r="A519" s="2" t="n">
        <v>109</v>
      </c>
      <c r="B519" s="2" t="s">
        <v>1128</v>
      </c>
      <c r="C519" s="2" t="s">
        <v>1134</v>
      </c>
      <c r="D519" s="2" t="s">
        <v>5295</v>
      </c>
      <c r="E519" s="2" t="s">
        <v>3989</v>
      </c>
      <c r="F519" s="2" t="s">
        <v>5296</v>
      </c>
      <c r="G519" s="2"/>
      <c r="H519" s="2" t="s">
        <v>5297</v>
      </c>
    </row>
    <row r="520" customFormat="false" ht="15" hidden="false" customHeight="false" outlineLevel="0" collapsed="false">
      <c r="A520" s="2" t="n">
        <v>109</v>
      </c>
      <c r="B520" s="2" t="s">
        <v>1128</v>
      </c>
      <c r="C520" s="2" t="s">
        <v>1134</v>
      </c>
      <c r="D520" s="2" t="s">
        <v>5298</v>
      </c>
      <c r="E520" s="2" t="s">
        <v>3989</v>
      </c>
      <c r="F520" s="2" t="s">
        <v>5299</v>
      </c>
      <c r="G520" s="2"/>
      <c r="H520" s="2" t="s">
        <v>5300</v>
      </c>
    </row>
    <row r="521" customFormat="false" ht="15" hidden="false" customHeight="false" outlineLevel="0" collapsed="false">
      <c r="A521" s="2" t="n">
        <v>110</v>
      </c>
      <c r="B521" s="2" t="s">
        <v>1139</v>
      </c>
      <c r="C521" s="2" t="s">
        <v>1145</v>
      </c>
      <c r="D521" s="2" t="s">
        <v>5289</v>
      </c>
      <c r="E521" s="2" t="s">
        <v>3985</v>
      </c>
      <c r="F521" s="2" t="s">
        <v>1137</v>
      </c>
      <c r="G521" s="2" t="s">
        <v>5290</v>
      </c>
      <c r="H521" s="2" t="s">
        <v>5291</v>
      </c>
    </row>
    <row r="522" customFormat="false" ht="15" hidden="false" customHeight="false" outlineLevel="0" collapsed="false">
      <c r="A522" s="2" t="n">
        <v>110</v>
      </c>
      <c r="B522" s="2" t="s">
        <v>1139</v>
      </c>
      <c r="C522" s="2" t="s">
        <v>1145</v>
      </c>
      <c r="D522" s="2" t="s">
        <v>5301</v>
      </c>
      <c r="E522" s="2" t="s">
        <v>3985</v>
      </c>
      <c r="F522" s="2" t="s">
        <v>1380</v>
      </c>
      <c r="G522" s="2" t="s">
        <v>5302</v>
      </c>
      <c r="H522" s="2" t="s">
        <v>5303</v>
      </c>
    </row>
    <row r="523" customFormat="false" ht="15" hidden="false" customHeight="false" outlineLevel="0" collapsed="false">
      <c r="A523" s="2" t="n">
        <v>110</v>
      </c>
      <c r="B523" s="2" t="s">
        <v>1139</v>
      </c>
      <c r="C523" s="2" t="s">
        <v>1145</v>
      </c>
      <c r="D523" s="2" t="s">
        <v>3907</v>
      </c>
      <c r="E523" s="2" t="s">
        <v>3985</v>
      </c>
      <c r="F523" s="2" t="s">
        <v>3908</v>
      </c>
      <c r="G523" s="2" t="s">
        <v>3909</v>
      </c>
      <c r="H523" s="2" t="s">
        <v>3910</v>
      </c>
    </row>
    <row r="524" customFormat="false" ht="15" hidden="false" customHeight="false" outlineLevel="0" collapsed="false">
      <c r="A524" s="2" t="n">
        <v>110</v>
      </c>
      <c r="B524" s="2" t="s">
        <v>1139</v>
      </c>
      <c r="C524" s="2" t="s">
        <v>1145</v>
      </c>
      <c r="D524" s="2" t="s">
        <v>5292</v>
      </c>
      <c r="E524" s="2" t="s">
        <v>3985</v>
      </c>
      <c r="F524" s="2" t="s">
        <v>773</v>
      </c>
      <c r="G524" s="2" t="s">
        <v>5293</v>
      </c>
      <c r="H524" s="2" t="s">
        <v>5294</v>
      </c>
    </row>
    <row r="525" customFormat="false" ht="15" hidden="false" customHeight="false" outlineLevel="0" collapsed="false">
      <c r="A525" s="2" t="n">
        <v>110</v>
      </c>
      <c r="B525" s="2" t="s">
        <v>1139</v>
      </c>
      <c r="C525" s="2" t="s">
        <v>1145</v>
      </c>
      <c r="D525" s="2" t="s">
        <v>5304</v>
      </c>
      <c r="E525" s="2" t="s">
        <v>3985</v>
      </c>
      <c r="F525" s="2" t="s">
        <v>134</v>
      </c>
      <c r="G525" s="2" t="s">
        <v>5305</v>
      </c>
      <c r="H525" s="2" t="s">
        <v>5306</v>
      </c>
    </row>
    <row r="526" customFormat="false" ht="15" hidden="false" customHeight="false" outlineLevel="0" collapsed="false">
      <c r="A526" s="2" t="n">
        <v>110</v>
      </c>
      <c r="B526" s="2" t="s">
        <v>1139</v>
      </c>
      <c r="C526" s="2" t="s">
        <v>1145</v>
      </c>
      <c r="D526" s="2" t="s">
        <v>5307</v>
      </c>
      <c r="E526" s="2" t="s">
        <v>3989</v>
      </c>
      <c r="F526" s="2" t="s">
        <v>5308</v>
      </c>
      <c r="G526" s="2"/>
      <c r="H526" s="2" t="s">
        <v>5309</v>
      </c>
    </row>
    <row r="527" customFormat="false" ht="15" hidden="false" customHeight="false" outlineLevel="0" collapsed="false">
      <c r="A527" s="2" t="n">
        <v>110</v>
      </c>
      <c r="B527" s="2" t="s">
        <v>1139</v>
      </c>
      <c r="C527" s="2" t="s">
        <v>1145</v>
      </c>
      <c r="D527" s="2" t="s">
        <v>5310</v>
      </c>
      <c r="E527" s="2" t="s">
        <v>3989</v>
      </c>
      <c r="F527" s="2" t="s">
        <v>5311</v>
      </c>
      <c r="G527" s="2"/>
      <c r="H527" s="2" t="s">
        <v>5312</v>
      </c>
    </row>
    <row r="528" customFormat="false" ht="15" hidden="false" customHeight="false" outlineLevel="0" collapsed="false">
      <c r="A528" s="2" t="n">
        <v>110</v>
      </c>
      <c r="B528" s="2" t="s">
        <v>1139</v>
      </c>
      <c r="C528" s="2" t="s">
        <v>1145</v>
      </c>
      <c r="D528" s="2" t="s">
        <v>5313</v>
      </c>
      <c r="E528" s="2" t="s">
        <v>3989</v>
      </c>
      <c r="F528" s="2" t="s">
        <v>5084</v>
      </c>
      <c r="G528" s="2"/>
      <c r="H528" s="2" t="s">
        <v>5314</v>
      </c>
    </row>
    <row r="529" customFormat="false" ht="15" hidden="false" customHeight="false" outlineLevel="0" collapsed="false">
      <c r="A529" s="2" t="n">
        <v>111</v>
      </c>
      <c r="B529" s="2" t="s">
        <v>1149</v>
      </c>
      <c r="C529" s="2" t="s">
        <v>1154</v>
      </c>
      <c r="D529" s="2" t="s">
        <v>5315</v>
      </c>
      <c r="E529" s="2" t="s">
        <v>3989</v>
      </c>
      <c r="F529" s="2" t="s">
        <v>5316</v>
      </c>
      <c r="G529" s="2"/>
      <c r="H529" s="2" t="s">
        <v>5317</v>
      </c>
    </row>
    <row r="530" customFormat="false" ht="15" hidden="false" customHeight="false" outlineLevel="0" collapsed="false">
      <c r="A530" s="2" t="n">
        <v>111</v>
      </c>
      <c r="B530" s="2" t="s">
        <v>1149</v>
      </c>
      <c r="C530" s="2" t="s">
        <v>1154</v>
      </c>
      <c r="D530" s="2" t="s">
        <v>5318</v>
      </c>
      <c r="E530" s="2" t="s">
        <v>3989</v>
      </c>
      <c r="F530" s="2" t="s">
        <v>5319</v>
      </c>
      <c r="G530" s="2"/>
      <c r="H530" s="2" t="s">
        <v>5320</v>
      </c>
    </row>
    <row r="531" customFormat="false" ht="15" hidden="false" customHeight="false" outlineLevel="0" collapsed="false">
      <c r="A531" s="2" t="n">
        <v>112</v>
      </c>
      <c r="B531" s="2" t="s">
        <v>1158</v>
      </c>
      <c r="C531" s="2" t="s">
        <v>1160</v>
      </c>
      <c r="D531" s="2" t="s">
        <v>5321</v>
      </c>
      <c r="E531" s="2" t="s">
        <v>3989</v>
      </c>
      <c r="F531" s="2" t="s">
        <v>5322</v>
      </c>
      <c r="G531" s="2" t="s">
        <v>5323</v>
      </c>
      <c r="H531" s="2" t="s">
        <v>5324</v>
      </c>
    </row>
    <row r="532" customFormat="false" ht="15" hidden="false" customHeight="false" outlineLevel="0" collapsed="false">
      <c r="A532" s="2" t="n">
        <v>112</v>
      </c>
      <c r="B532" s="2" t="s">
        <v>1158</v>
      </c>
      <c r="C532" s="2" t="s">
        <v>1160</v>
      </c>
      <c r="D532" s="2" t="s">
        <v>5325</v>
      </c>
      <c r="E532" s="2" t="s">
        <v>3989</v>
      </c>
      <c r="F532" s="2" t="s">
        <v>5326</v>
      </c>
      <c r="G532" s="2"/>
      <c r="H532" s="2" t="s">
        <v>5327</v>
      </c>
    </row>
    <row r="533" customFormat="false" ht="15" hidden="false" customHeight="false" outlineLevel="0" collapsed="false">
      <c r="A533" s="2" t="n">
        <v>113</v>
      </c>
      <c r="B533" s="2" t="s">
        <v>1166</v>
      </c>
      <c r="C533" s="2" t="s">
        <v>1171</v>
      </c>
      <c r="D533" s="2" t="s">
        <v>5328</v>
      </c>
      <c r="E533" s="2" t="s">
        <v>3989</v>
      </c>
      <c r="F533" s="2" t="s">
        <v>4759</v>
      </c>
      <c r="G533" s="2"/>
      <c r="H533" s="2" t="s">
        <v>5329</v>
      </c>
    </row>
    <row r="534" customFormat="false" ht="15" hidden="false" customHeight="false" outlineLevel="0" collapsed="false">
      <c r="A534" s="2" t="n">
        <v>114</v>
      </c>
      <c r="B534" s="2" t="s">
        <v>1175</v>
      </c>
      <c r="C534" s="2" t="s">
        <v>1177</v>
      </c>
      <c r="D534" s="2" t="s">
        <v>5330</v>
      </c>
      <c r="E534" s="2" t="s">
        <v>3985</v>
      </c>
      <c r="F534" s="2" t="s">
        <v>586</v>
      </c>
      <c r="G534" s="2" t="s">
        <v>5331</v>
      </c>
      <c r="H534" s="2" t="s">
        <v>5332</v>
      </c>
    </row>
    <row r="535" customFormat="false" ht="15" hidden="false" customHeight="false" outlineLevel="0" collapsed="false">
      <c r="A535" s="2" t="n">
        <v>114</v>
      </c>
      <c r="B535" s="2" t="s">
        <v>1175</v>
      </c>
      <c r="C535" s="2" t="s">
        <v>1177</v>
      </c>
      <c r="D535" s="2" t="s">
        <v>5333</v>
      </c>
      <c r="E535" s="2" t="s">
        <v>3985</v>
      </c>
      <c r="F535" s="2" t="s">
        <v>586</v>
      </c>
      <c r="G535" s="2" t="s">
        <v>5334</v>
      </c>
      <c r="H535" s="2" t="s">
        <v>5335</v>
      </c>
    </row>
    <row r="536" customFormat="false" ht="15" hidden="false" customHeight="false" outlineLevel="0" collapsed="false">
      <c r="A536" s="2" t="n">
        <v>114</v>
      </c>
      <c r="B536" s="2" t="s">
        <v>1175</v>
      </c>
      <c r="C536" s="2" t="s">
        <v>1177</v>
      </c>
      <c r="D536" s="2" t="s">
        <v>5336</v>
      </c>
      <c r="E536" s="2" t="s">
        <v>3985</v>
      </c>
      <c r="F536" s="2" t="s">
        <v>349</v>
      </c>
      <c r="G536" s="2" t="s">
        <v>5337</v>
      </c>
      <c r="H536" s="2" t="s">
        <v>5338</v>
      </c>
    </row>
    <row r="537" customFormat="false" ht="15" hidden="false" customHeight="false" outlineLevel="0" collapsed="false">
      <c r="A537" s="2" t="n">
        <v>114</v>
      </c>
      <c r="B537" s="2" t="s">
        <v>1175</v>
      </c>
      <c r="C537" s="2" t="s">
        <v>1177</v>
      </c>
      <c r="D537" s="2" t="s">
        <v>5339</v>
      </c>
      <c r="E537" s="2" t="s">
        <v>3985</v>
      </c>
      <c r="F537" s="2" t="s">
        <v>882</v>
      </c>
      <c r="G537" s="2" t="s">
        <v>5340</v>
      </c>
      <c r="H537" s="2" t="s">
        <v>5341</v>
      </c>
    </row>
    <row r="538" customFormat="false" ht="15" hidden="false" customHeight="false" outlineLevel="0" collapsed="false">
      <c r="A538" s="2" t="n">
        <v>114</v>
      </c>
      <c r="B538" s="2" t="s">
        <v>1175</v>
      </c>
      <c r="C538" s="2" t="s">
        <v>1177</v>
      </c>
      <c r="D538" s="2" t="s">
        <v>5342</v>
      </c>
      <c r="E538" s="2" t="s">
        <v>3985</v>
      </c>
      <c r="F538" s="2" t="s">
        <v>414</v>
      </c>
      <c r="G538" s="2" t="s">
        <v>5343</v>
      </c>
      <c r="H538" s="2" t="s">
        <v>5344</v>
      </c>
    </row>
    <row r="539" customFormat="false" ht="15" hidden="false" customHeight="false" outlineLevel="0" collapsed="false">
      <c r="A539" s="2" t="n">
        <v>114</v>
      </c>
      <c r="B539" s="2" t="s">
        <v>1175</v>
      </c>
      <c r="C539" s="2" t="s">
        <v>1177</v>
      </c>
      <c r="D539" s="2" t="s">
        <v>5345</v>
      </c>
      <c r="E539" s="2" t="s">
        <v>3989</v>
      </c>
      <c r="F539" s="2" t="s">
        <v>5346</v>
      </c>
      <c r="G539" s="2" t="s">
        <v>5347</v>
      </c>
      <c r="H539" s="2" t="s">
        <v>5348</v>
      </c>
    </row>
    <row r="540" customFormat="false" ht="15" hidden="false" customHeight="false" outlineLevel="0" collapsed="false">
      <c r="A540" s="2" t="n">
        <v>114</v>
      </c>
      <c r="B540" s="2" t="s">
        <v>1175</v>
      </c>
      <c r="C540" s="2" t="s">
        <v>1177</v>
      </c>
      <c r="D540" s="2" t="s">
        <v>5349</v>
      </c>
      <c r="E540" s="2" t="s">
        <v>3989</v>
      </c>
      <c r="F540" s="2" t="s">
        <v>5350</v>
      </c>
      <c r="G540" s="2"/>
      <c r="H540" s="2" t="s">
        <v>5351</v>
      </c>
    </row>
    <row r="541" customFormat="false" ht="15" hidden="false" customHeight="false" outlineLevel="0" collapsed="false">
      <c r="A541" s="2" t="n">
        <v>114</v>
      </c>
      <c r="B541" s="2" t="s">
        <v>1175</v>
      </c>
      <c r="C541" s="2" t="s">
        <v>1177</v>
      </c>
      <c r="D541" s="2" t="s">
        <v>5352</v>
      </c>
      <c r="E541" s="2" t="s">
        <v>3989</v>
      </c>
      <c r="F541" s="2" t="s">
        <v>630</v>
      </c>
      <c r="G541" s="2"/>
      <c r="H541" s="2" t="s">
        <v>5353</v>
      </c>
    </row>
    <row r="542" customFormat="false" ht="15" hidden="false" customHeight="false" outlineLevel="0" collapsed="false">
      <c r="A542" s="2" t="n">
        <v>114</v>
      </c>
      <c r="B542" s="2" t="s">
        <v>1175</v>
      </c>
      <c r="C542" s="2" t="s">
        <v>1177</v>
      </c>
      <c r="D542" s="2" t="s">
        <v>5354</v>
      </c>
      <c r="E542" s="2" t="s">
        <v>3989</v>
      </c>
      <c r="F542" s="2" t="s">
        <v>1043</v>
      </c>
      <c r="G542" s="2"/>
      <c r="H542" s="2" t="s">
        <v>5355</v>
      </c>
    </row>
    <row r="543" customFormat="false" ht="15" hidden="false" customHeight="false" outlineLevel="0" collapsed="false">
      <c r="A543" s="2" t="n">
        <v>114</v>
      </c>
      <c r="B543" s="2" t="s">
        <v>1175</v>
      </c>
      <c r="C543" s="2" t="s">
        <v>1177</v>
      </c>
      <c r="D543" s="2" t="s">
        <v>5356</v>
      </c>
      <c r="E543" s="2" t="s">
        <v>3989</v>
      </c>
      <c r="F543" s="2" t="s">
        <v>5117</v>
      </c>
      <c r="G543" s="2" t="s">
        <v>5357</v>
      </c>
      <c r="H543" s="2" t="s">
        <v>5358</v>
      </c>
    </row>
    <row r="544" customFormat="false" ht="15" hidden="false" customHeight="false" outlineLevel="0" collapsed="false">
      <c r="A544" s="2" t="n">
        <v>115</v>
      </c>
      <c r="B544" s="2" t="s">
        <v>1181</v>
      </c>
      <c r="C544" s="2" t="s">
        <v>1185</v>
      </c>
      <c r="D544" s="2" t="s">
        <v>5359</v>
      </c>
      <c r="E544" s="2" t="s">
        <v>3989</v>
      </c>
      <c r="F544" s="2" t="s">
        <v>5360</v>
      </c>
      <c r="G544" s="2" t="s">
        <v>5361</v>
      </c>
      <c r="H544" s="2" t="s">
        <v>5362</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1189</v>
      </c>
      <c r="B1" s="1" t="s">
        <v>1190</v>
      </c>
      <c r="C1" s="1" t="s">
        <v>1191</v>
      </c>
      <c r="D1" s="1" t="s">
        <v>5363</v>
      </c>
      <c r="E1" s="1" t="s">
        <v>1195</v>
      </c>
      <c r="F1" s="1" t="s">
        <v>1196</v>
      </c>
      <c r="G1" s="1" t="s">
        <v>14</v>
      </c>
      <c r="H1" s="1" t="s">
        <v>67</v>
      </c>
    </row>
    <row r="2" customFormat="false" ht="15" hidden="false" customHeight="false" outlineLevel="0" collapsed="false">
      <c r="A2" s="2" t="n">
        <v>64</v>
      </c>
      <c r="B2" s="2" t="s">
        <v>755</v>
      </c>
      <c r="C2" s="2" t="s">
        <v>760</v>
      </c>
      <c r="D2" s="2" t="s">
        <v>5364</v>
      </c>
      <c r="E2" s="2" t="s">
        <v>1036</v>
      </c>
      <c r="F2" s="2" t="s">
        <v>5365</v>
      </c>
      <c r="G2" s="2" t="s">
        <v>5366</v>
      </c>
      <c r="H2" s="2" t="s">
        <v>5367</v>
      </c>
    </row>
    <row r="3" customFormat="false" ht="15" hidden="false" customHeight="false" outlineLevel="0" collapsed="false">
      <c r="A3" s="2" t="n">
        <v>64</v>
      </c>
      <c r="B3" s="2" t="s">
        <v>755</v>
      </c>
      <c r="C3" s="2" t="s">
        <v>760</v>
      </c>
      <c r="D3" s="2" t="s">
        <v>5368</v>
      </c>
      <c r="E3" s="2" t="s">
        <v>4783</v>
      </c>
      <c r="F3" s="2" t="s">
        <v>5369</v>
      </c>
      <c r="G3" s="2" t="s">
        <v>5370</v>
      </c>
      <c r="H3" s="2" t="s">
        <v>5367</v>
      </c>
    </row>
    <row r="4" customFormat="false" ht="15" hidden="false" customHeight="false" outlineLevel="0" collapsed="false">
      <c r="A4" s="2" t="n">
        <v>64</v>
      </c>
      <c r="B4" s="2" t="s">
        <v>755</v>
      </c>
      <c r="C4" s="2" t="s">
        <v>760</v>
      </c>
      <c r="D4" s="2"/>
      <c r="E4" s="2" t="s">
        <v>245</v>
      </c>
      <c r="F4" s="2" t="s">
        <v>5371</v>
      </c>
      <c r="G4" s="2" t="s">
        <v>5372</v>
      </c>
      <c r="H4" s="2" t="s">
        <v>5373</v>
      </c>
    </row>
    <row r="5" customFormat="false" ht="15" hidden="false" customHeight="false" outlineLevel="0" collapsed="false">
      <c r="A5" s="2" t="n">
        <v>58</v>
      </c>
      <c r="B5" s="2" t="s">
        <v>691</v>
      </c>
      <c r="C5" s="2" t="s">
        <v>696</v>
      </c>
      <c r="D5" s="2"/>
      <c r="E5" s="2" t="s">
        <v>2776</v>
      </c>
      <c r="F5" s="2" t="s">
        <v>5374</v>
      </c>
      <c r="G5" s="2" t="s">
        <v>5375</v>
      </c>
      <c r="H5" s="2" t="s">
        <v>5376</v>
      </c>
    </row>
    <row r="6" customFormat="false" ht="15" hidden="false" customHeight="false" outlineLevel="0" collapsed="false">
      <c r="A6" s="2" t="n">
        <v>83</v>
      </c>
      <c r="B6" s="2" t="s">
        <v>928</v>
      </c>
      <c r="C6" s="2" t="s">
        <v>933</v>
      </c>
      <c r="D6" s="2"/>
      <c r="E6" s="2" t="s">
        <v>5377</v>
      </c>
      <c r="F6" s="2" t="s">
        <v>5378</v>
      </c>
      <c r="G6" s="2" t="s">
        <v>5379</v>
      </c>
      <c r="H6" s="2" t="s">
        <v>5380</v>
      </c>
    </row>
    <row r="7" customFormat="false" ht="15" hidden="false" customHeight="false" outlineLevel="0" collapsed="false">
      <c r="A7" s="2" t="n">
        <v>83</v>
      </c>
      <c r="B7" s="2" t="s">
        <v>928</v>
      </c>
      <c r="C7" s="2" t="s">
        <v>933</v>
      </c>
      <c r="D7" s="2" t="s">
        <v>5381</v>
      </c>
      <c r="E7" s="2" t="s">
        <v>5382</v>
      </c>
      <c r="F7" s="2" t="s">
        <v>5383</v>
      </c>
      <c r="G7" s="2" t="s">
        <v>5384</v>
      </c>
      <c r="H7" s="2" t="s">
        <v>5385</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1189</v>
      </c>
      <c r="B1" s="1" t="s">
        <v>1190</v>
      </c>
      <c r="C1" s="1" t="s">
        <v>1191</v>
      </c>
      <c r="D1" s="1" t="s">
        <v>5386</v>
      </c>
      <c r="E1" s="1" t="s">
        <v>1196</v>
      </c>
      <c r="F1" s="1" t="s">
        <v>1195</v>
      </c>
      <c r="G1" s="1" t="s">
        <v>5387</v>
      </c>
      <c r="H1" s="1" t="s">
        <v>5388</v>
      </c>
      <c r="I1" s="1" t="s">
        <v>15</v>
      </c>
      <c r="J1" s="1" t="s">
        <v>5389</v>
      </c>
      <c r="K1" s="1" t="s">
        <v>23</v>
      </c>
      <c r="L1" s="1" t="s">
        <v>24</v>
      </c>
      <c r="M1" s="1" t="s">
        <v>25</v>
      </c>
      <c r="N1" s="1" t="s">
        <v>26</v>
      </c>
      <c r="O1" s="1" t="s">
        <v>27</v>
      </c>
      <c r="P1" s="1" t="s">
        <v>28</v>
      </c>
      <c r="Q1" s="1" t="s">
        <v>29</v>
      </c>
      <c r="R1" s="1" t="s">
        <v>30</v>
      </c>
      <c r="S1" s="1" t="s">
        <v>31</v>
      </c>
      <c r="T1" s="1" t="s">
        <v>32</v>
      </c>
      <c r="U1" s="1" t="s">
        <v>5390</v>
      </c>
      <c r="V1" s="1" t="s">
        <v>67</v>
      </c>
    </row>
    <row r="2" customFormat="false" ht="15" hidden="false" customHeight="false" outlineLevel="0" collapsed="false">
      <c r="A2" s="2" t="n">
        <v>9</v>
      </c>
      <c r="B2" s="2" t="s">
        <v>174</v>
      </c>
      <c r="C2" s="2" t="s">
        <v>181</v>
      </c>
      <c r="D2" s="2" t="s">
        <v>5391</v>
      </c>
      <c r="E2" s="2" t="s">
        <v>5392</v>
      </c>
      <c r="F2" s="2" t="s">
        <v>5393</v>
      </c>
      <c r="G2" s="2" t="s">
        <v>5394</v>
      </c>
      <c r="H2" s="2" t="s">
        <v>5395</v>
      </c>
      <c r="I2" s="2" t="n">
        <v>15</v>
      </c>
      <c r="J2" s="2" t="n">
        <v>6414</v>
      </c>
      <c r="K2" s="2" t="n">
        <v>12</v>
      </c>
      <c r="L2" s="2" t="n">
        <v>6</v>
      </c>
      <c r="M2" s="2" t="n">
        <v>6</v>
      </c>
      <c r="N2" s="2" t="n">
        <v>0</v>
      </c>
      <c r="O2" s="2" t="n">
        <v>0</v>
      </c>
      <c r="P2" s="2" t="n">
        <v>0</v>
      </c>
      <c r="Q2" s="2" t="n">
        <v>8</v>
      </c>
      <c r="R2" s="2" t="n">
        <v>0</v>
      </c>
      <c r="S2" s="2" t="n">
        <v>1</v>
      </c>
      <c r="T2" s="2" t="n">
        <v>3</v>
      </c>
      <c r="U2" s="2" t="n">
        <v>12</v>
      </c>
      <c r="V2" s="2" t="s">
        <v>5396</v>
      </c>
    </row>
    <row r="3" customFormat="false" ht="15" hidden="false" customHeight="false" outlineLevel="0" collapsed="false">
      <c r="A3" s="2" t="n">
        <v>20</v>
      </c>
      <c r="B3" s="2" t="s">
        <v>308</v>
      </c>
      <c r="C3" s="2" t="s">
        <v>314</v>
      </c>
      <c r="D3" s="2" t="s">
        <v>5391</v>
      </c>
      <c r="E3" s="2" t="s">
        <v>5397</v>
      </c>
      <c r="F3" s="2" t="s">
        <v>1793</v>
      </c>
      <c r="G3" s="2" t="s">
        <v>5394</v>
      </c>
      <c r="H3" s="2" t="s">
        <v>5398</v>
      </c>
      <c r="I3" s="2"/>
      <c r="J3" s="2"/>
      <c r="K3" s="2"/>
      <c r="L3" s="2"/>
      <c r="M3" s="2"/>
      <c r="N3" s="2"/>
      <c r="O3" s="2"/>
      <c r="P3" s="2"/>
      <c r="Q3" s="2"/>
      <c r="R3" s="2"/>
      <c r="S3" s="2"/>
      <c r="T3" s="2"/>
      <c r="U3" s="2"/>
      <c r="V3" s="2" t="s">
        <v>5399</v>
      </c>
    </row>
    <row r="4" customFormat="false" ht="15" hidden="false" customHeight="false" outlineLevel="0" collapsed="false">
      <c r="A4" s="2" t="n">
        <v>20</v>
      </c>
      <c r="B4" s="2" t="s">
        <v>308</v>
      </c>
      <c r="C4" s="2" t="s">
        <v>314</v>
      </c>
      <c r="D4" s="2" t="s">
        <v>5391</v>
      </c>
      <c r="E4" s="2" t="s">
        <v>5400</v>
      </c>
      <c r="F4" s="2" t="s">
        <v>1793</v>
      </c>
      <c r="G4" s="2" t="s">
        <v>5394</v>
      </c>
      <c r="H4" s="2" t="s">
        <v>5401</v>
      </c>
      <c r="I4" s="2"/>
      <c r="J4" s="2"/>
      <c r="K4" s="2"/>
      <c r="L4" s="2"/>
      <c r="M4" s="2"/>
      <c r="N4" s="2"/>
      <c r="O4" s="2"/>
      <c r="P4" s="2"/>
      <c r="Q4" s="2"/>
      <c r="R4" s="2"/>
      <c r="S4" s="2"/>
      <c r="T4" s="2"/>
      <c r="U4" s="2"/>
      <c r="V4" s="2" t="s">
        <v>5402</v>
      </c>
    </row>
    <row r="5" customFormat="false" ht="15" hidden="false" customHeight="false" outlineLevel="0" collapsed="false">
      <c r="A5" s="2" t="n">
        <v>20</v>
      </c>
      <c r="B5" s="2" t="s">
        <v>308</v>
      </c>
      <c r="C5" s="2" t="s">
        <v>314</v>
      </c>
      <c r="D5" s="2" t="s">
        <v>5391</v>
      </c>
      <c r="E5" s="2" t="s">
        <v>5403</v>
      </c>
      <c r="F5" s="2" t="s">
        <v>1793</v>
      </c>
      <c r="G5" s="2" t="s">
        <v>5394</v>
      </c>
      <c r="H5" s="2" t="s">
        <v>5404</v>
      </c>
      <c r="I5" s="2"/>
      <c r="J5" s="2"/>
      <c r="K5" s="2"/>
      <c r="L5" s="2"/>
      <c r="M5" s="2"/>
      <c r="N5" s="2"/>
      <c r="O5" s="2"/>
      <c r="P5" s="2"/>
      <c r="Q5" s="2"/>
      <c r="R5" s="2"/>
      <c r="S5" s="2"/>
      <c r="T5" s="2"/>
      <c r="U5" s="2"/>
      <c r="V5" s="2" t="s">
        <v>5399</v>
      </c>
    </row>
    <row r="6" customFormat="false" ht="15" hidden="false" customHeight="false" outlineLevel="0" collapsed="false">
      <c r="A6" s="2" t="n">
        <v>20</v>
      </c>
      <c r="B6" s="2" t="s">
        <v>308</v>
      </c>
      <c r="C6" s="2" t="s">
        <v>314</v>
      </c>
      <c r="D6" s="2" t="s">
        <v>5391</v>
      </c>
      <c r="E6" s="2" t="s">
        <v>5405</v>
      </c>
      <c r="F6" s="2" t="s">
        <v>1793</v>
      </c>
      <c r="G6" s="2" t="s">
        <v>5394</v>
      </c>
      <c r="H6" s="2" t="s">
        <v>5406</v>
      </c>
      <c r="I6" s="2" t="n">
        <v>17</v>
      </c>
      <c r="J6" s="2" t="n">
        <v>8771</v>
      </c>
      <c r="K6" s="2" t="n">
        <v>62</v>
      </c>
      <c r="L6" s="2" t="n">
        <v>42</v>
      </c>
      <c r="M6" s="2" t="n">
        <v>5</v>
      </c>
      <c r="N6" s="2" t="n">
        <v>8</v>
      </c>
      <c r="O6" s="2" t="n">
        <v>7</v>
      </c>
      <c r="P6" s="2" t="n">
        <v>0</v>
      </c>
      <c r="Q6" s="2" t="n">
        <v>21</v>
      </c>
      <c r="R6" s="2" t="n">
        <v>0</v>
      </c>
      <c r="S6" s="2" t="n">
        <v>1</v>
      </c>
      <c r="T6" s="2" t="n">
        <v>40</v>
      </c>
      <c r="U6" s="2" t="n">
        <v>24</v>
      </c>
      <c r="V6" s="2" t="s">
        <v>5396</v>
      </c>
    </row>
    <row r="7" customFormat="false" ht="15" hidden="false" customHeight="false" outlineLevel="0" collapsed="false">
      <c r="A7" s="2" t="n">
        <v>20</v>
      </c>
      <c r="B7" s="2" t="s">
        <v>308</v>
      </c>
      <c r="C7" s="2" t="s">
        <v>314</v>
      </c>
      <c r="D7" s="2" t="s">
        <v>5391</v>
      </c>
      <c r="E7" s="2" t="s">
        <v>5407</v>
      </c>
      <c r="F7" s="2" t="s">
        <v>1793</v>
      </c>
      <c r="G7" s="2" t="s">
        <v>5394</v>
      </c>
      <c r="H7" s="2" t="s">
        <v>5408</v>
      </c>
      <c r="I7" s="2"/>
      <c r="J7" s="2"/>
      <c r="K7" s="2"/>
      <c r="L7" s="2"/>
      <c r="M7" s="2"/>
      <c r="N7" s="2"/>
      <c r="O7" s="2"/>
      <c r="P7" s="2"/>
      <c r="Q7" s="2"/>
      <c r="R7" s="2"/>
      <c r="S7" s="2"/>
      <c r="T7" s="2"/>
      <c r="U7" s="2"/>
      <c r="V7" s="2" t="s">
        <v>5399</v>
      </c>
    </row>
    <row r="8" customFormat="false" ht="15" hidden="false" customHeight="false" outlineLevel="0" collapsed="false">
      <c r="A8" s="2" t="n">
        <v>20</v>
      </c>
      <c r="B8" s="2" t="s">
        <v>308</v>
      </c>
      <c r="C8" s="2" t="s">
        <v>314</v>
      </c>
      <c r="D8" s="2" t="s">
        <v>5391</v>
      </c>
      <c r="E8" s="2" t="s">
        <v>5409</v>
      </c>
      <c r="F8" s="2" t="s">
        <v>1793</v>
      </c>
      <c r="G8" s="2" t="s">
        <v>5394</v>
      </c>
      <c r="H8" s="2" t="s">
        <v>5410</v>
      </c>
      <c r="I8" s="2"/>
      <c r="J8" s="2"/>
      <c r="K8" s="2"/>
      <c r="L8" s="2"/>
      <c r="M8" s="2"/>
      <c r="N8" s="2"/>
      <c r="O8" s="2"/>
      <c r="P8" s="2"/>
      <c r="Q8" s="2"/>
      <c r="R8" s="2"/>
      <c r="S8" s="2"/>
      <c r="T8" s="2"/>
      <c r="U8" s="2"/>
      <c r="V8" s="2" t="s">
        <v>5399</v>
      </c>
    </row>
    <row r="9" customFormat="false" ht="15" hidden="false" customHeight="false" outlineLevel="0" collapsed="false">
      <c r="A9" s="2" t="n">
        <v>20</v>
      </c>
      <c r="B9" s="2" t="s">
        <v>308</v>
      </c>
      <c r="C9" s="2" t="s">
        <v>314</v>
      </c>
      <c r="D9" s="2" t="s">
        <v>5391</v>
      </c>
      <c r="E9" s="2" t="s">
        <v>5411</v>
      </c>
      <c r="F9" s="2" t="s">
        <v>1793</v>
      </c>
      <c r="G9" s="2" t="s">
        <v>5394</v>
      </c>
      <c r="H9" s="2" t="s">
        <v>5412</v>
      </c>
      <c r="I9" s="2"/>
      <c r="J9" s="2"/>
      <c r="K9" s="2"/>
      <c r="L9" s="2"/>
      <c r="M9" s="2"/>
      <c r="N9" s="2"/>
      <c r="O9" s="2"/>
      <c r="P9" s="2"/>
      <c r="Q9" s="2"/>
      <c r="R9" s="2"/>
      <c r="S9" s="2"/>
      <c r="T9" s="2"/>
      <c r="U9" s="2"/>
      <c r="V9" s="2" t="s">
        <v>5413</v>
      </c>
    </row>
    <row r="10" customFormat="false" ht="15" hidden="false" customHeight="false" outlineLevel="0" collapsed="false">
      <c r="A10" s="2" t="n">
        <v>20</v>
      </c>
      <c r="B10" s="2" t="s">
        <v>308</v>
      </c>
      <c r="C10" s="2" t="s">
        <v>314</v>
      </c>
      <c r="D10" s="2" t="s">
        <v>5391</v>
      </c>
      <c r="E10" s="2" t="s">
        <v>5414</v>
      </c>
      <c r="F10" s="2" t="s">
        <v>1793</v>
      </c>
      <c r="G10" s="2" t="s">
        <v>5394</v>
      </c>
      <c r="H10" s="2" t="s">
        <v>5415</v>
      </c>
      <c r="I10" s="2"/>
      <c r="J10" s="2"/>
      <c r="K10" s="2"/>
      <c r="L10" s="2"/>
      <c r="M10" s="2"/>
      <c r="N10" s="2"/>
      <c r="O10" s="2"/>
      <c r="P10" s="2"/>
      <c r="Q10" s="2"/>
      <c r="R10" s="2"/>
      <c r="S10" s="2"/>
      <c r="T10" s="2"/>
      <c r="U10" s="2"/>
      <c r="V10" s="2" t="s">
        <v>5413</v>
      </c>
    </row>
    <row r="11" customFormat="false" ht="15" hidden="false" customHeight="false" outlineLevel="0" collapsed="false">
      <c r="A11" s="2" t="n">
        <v>20</v>
      </c>
      <c r="B11" s="2" t="s">
        <v>308</v>
      </c>
      <c r="C11" s="2" t="s">
        <v>314</v>
      </c>
      <c r="D11" s="2" t="s">
        <v>5391</v>
      </c>
      <c r="E11" s="2" t="s">
        <v>5416</v>
      </c>
      <c r="F11" s="2" t="s">
        <v>5417</v>
      </c>
      <c r="G11" s="2" t="s">
        <v>5394</v>
      </c>
      <c r="H11" s="2" t="s">
        <v>5418</v>
      </c>
      <c r="I11" s="2" t="n">
        <v>22</v>
      </c>
      <c r="J11" s="2" t="n">
        <v>8074</v>
      </c>
      <c r="K11" s="2" t="n">
        <v>73</v>
      </c>
      <c r="L11" s="2" t="n">
        <v>54</v>
      </c>
      <c r="M11" s="2" t="n">
        <v>1</v>
      </c>
      <c r="N11" s="2" t="n">
        <v>1</v>
      </c>
      <c r="O11" s="2" t="n">
        <v>15</v>
      </c>
      <c r="P11" s="2" t="n">
        <v>2</v>
      </c>
      <c r="Q11" s="2" t="n">
        <v>13</v>
      </c>
      <c r="R11" s="2" t="n">
        <v>8</v>
      </c>
      <c r="S11" s="2" t="n">
        <v>1</v>
      </c>
      <c r="T11" s="2" t="n">
        <v>51</v>
      </c>
      <c r="U11" s="2" t="n">
        <v>39</v>
      </c>
      <c r="V11" s="2" t="s">
        <v>5396</v>
      </c>
    </row>
    <row r="12" customFormat="false" ht="15" hidden="false" customHeight="false" outlineLevel="0" collapsed="false">
      <c r="A12" s="2" t="n">
        <v>20</v>
      </c>
      <c r="B12" s="2" t="s">
        <v>308</v>
      </c>
      <c r="C12" s="2" t="s">
        <v>314</v>
      </c>
      <c r="D12" s="2" t="s">
        <v>5391</v>
      </c>
      <c r="E12" s="2" t="s">
        <v>5419</v>
      </c>
      <c r="F12" s="2" t="s">
        <v>3265</v>
      </c>
      <c r="G12" s="2" t="s">
        <v>5394</v>
      </c>
      <c r="H12" s="2" t="s">
        <v>5420</v>
      </c>
      <c r="I12" s="2" t="n">
        <v>29</v>
      </c>
      <c r="J12" s="2" t="n">
        <v>9788</v>
      </c>
      <c r="K12" s="2" t="n">
        <v>49</v>
      </c>
      <c r="L12" s="2" t="n">
        <v>41</v>
      </c>
      <c r="M12" s="2" t="n">
        <v>1</v>
      </c>
      <c r="N12" s="2" t="n">
        <v>0</v>
      </c>
      <c r="O12" s="2" t="n">
        <v>7</v>
      </c>
      <c r="P12" s="2" t="n">
        <v>0</v>
      </c>
      <c r="Q12" s="2" t="n">
        <v>0</v>
      </c>
      <c r="R12" s="2" t="n">
        <v>7</v>
      </c>
      <c r="S12" s="2" t="n">
        <v>10</v>
      </c>
      <c r="T12" s="2" t="n">
        <v>32</v>
      </c>
      <c r="U12" s="2" t="n">
        <v>38</v>
      </c>
      <c r="V12" s="2" t="s">
        <v>5396</v>
      </c>
    </row>
    <row r="13" customFormat="false" ht="15" hidden="false" customHeight="false" outlineLevel="0" collapsed="false">
      <c r="A13" s="2" t="n">
        <v>20</v>
      </c>
      <c r="B13" s="2" t="s">
        <v>308</v>
      </c>
      <c r="C13" s="2" t="s">
        <v>314</v>
      </c>
      <c r="D13" s="2" t="s">
        <v>5391</v>
      </c>
      <c r="E13" s="2" t="s">
        <v>5421</v>
      </c>
      <c r="F13" s="2" t="s">
        <v>3265</v>
      </c>
      <c r="G13" s="2" t="s">
        <v>5394</v>
      </c>
      <c r="H13" s="2" t="s">
        <v>5422</v>
      </c>
      <c r="I13" s="2" t="n">
        <v>30</v>
      </c>
      <c r="J13" s="2" t="n">
        <v>11742</v>
      </c>
      <c r="K13" s="2" t="n">
        <v>37</v>
      </c>
      <c r="L13" s="2" t="n">
        <v>27</v>
      </c>
      <c r="M13" s="2" t="n">
        <v>1</v>
      </c>
      <c r="N13" s="2" t="n">
        <v>0</v>
      </c>
      <c r="O13" s="2" t="n">
        <v>8</v>
      </c>
      <c r="P13" s="2" t="n">
        <v>1</v>
      </c>
      <c r="Q13" s="2" t="n">
        <v>6</v>
      </c>
      <c r="R13" s="2" t="n">
        <v>4</v>
      </c>
      <c r="S13" s="2" t="n">
        <v>3</v>
      </c>
      <c r="T13" s="2" t="n">
        <v>24</v>
      </c>
      <c r="U13" s="2" t="n">
        <v>60</v>
      </c>
      <c r="V13" s="2" t="s">
        <v>5396</v>
      </c>
    </row>
    <row r="14" customFormat="false" ht="15" hidden="false" customHeight="false" outlineLevel="0" collapsed="false">
      <c r="A14" s="2" t="n">
        <v>20</v>
      </c>
      <c r="B14" s="2" t="s">
        <v>308</v>
      </c>
      <c r="C14" s="2" t="s">
        <v>314</v>
      </c>
      <c r="D14" s="2" t="s">
        <v>5391</v>
      </c>
      <c r="E14" s="2" t="s">
        <v>5423</v>
      </c>
      <c r="F14" s="2" t="s">
        <v>3269</v>
      </c>
      <c r="G14" s="2" t="s">
        <v>5394</v>
      </c>
      <c r="H14" s="2" t="s">
        <v>5424</v>
      </c>
      <c r="I14" s="2" t="n">
        <v>7</v>
      </c>
      <c r="J14" s="2" t="n">
        <v>2058</v>
      </c>
      <c r="K14" s="2" t="n">
        <v>5</v>
      </c>
      <c r="L14" s="2" t="n">
        <v>2</v>
      </c>
      <c r="M14" s="2" t="n">
        <v>0</v>
      </c>
      <c r="N14" s="2" t="n">
        <v>0</v>
      </c>
      <c r="O14" s="2" t="n">
        <v>3</v>
      </c>
      <c r="P14" s="2" t="n">
        <v>0</v>
      </c>
      <c r="Q14" s="2" t="n">
        <v>0</v>
      </c>
      <c r="R14" s="2" t="n">
        <v>0</v>
      </c>
      <c r="S14" s="2" t="n">
        <v>2</v>
      </c>
      <c r="T14" s="2" t="n">
        <v>3</v>
      </c>
      <c r="U14" s="2" t="n">
        <v>1</v>
      </c>
      <c r="V14" s="2" t="s">
        <v>5396</v>
      </c>
    </row>
    <row r="15" customFormat="false" ht="15" hidden="false" customHeight="false" outlineLevel="0" collapsed="false">
      <c r="A15" s="2" t="n">
        <v>20</v>
      </c>
      <c r="B15" s="2" t="s">
        <v>308</v>
      </c>
      <c r="C15" s="2" t="s">
        <v>314</v>
      </c>
      <c r="D15" s="2" t="s">
        <v>5391</v>
      </c>
      <c r="E15" s="2" t="s">
        <v>5425</v>
      </c>
      <c r="F15" s="2" t="s">
        <v>5426</v>
      </c>
      <c r="G15" s="2" t="s">
        <v>5394</v>
      </c>
      <c r="H15" s="2" t="s">
        <v>5427</v>
      </c>
      <c r="I15" s="2" t="n">
        <v>16</v>
      </c>
      <c r="J15" s="2" t="n">
        <v>7481</v>
      </c>
      <c r="K15" s="2" t="n">
        <v>32</v>
      </c>
      <c r="L15" s="2" t="n">
        <v>26</v>
      </c>
      <c r="M15" s="2" t="n">
        <v>3</v>
      </c>
      <c r="N15" s="2" t="n">
        <v>1</v>
      </c>
      <c r="O15" s="2" t="n">
        <v>2</v>
      </c>
      <c r="P15" s="2" t="n">
        <v>0</v>
      </c>
      <c r="Q15" s="2" t="n">
        <v>18</v>
      </c>
      <c r="R15" s="2" t="n">
        <v>0</v>
      </c>
      <c r="S15" s="2" t="n">
        <v>2</v>
      </c>
      <c r="T15" s="2" t="n">
        <v>12</v>
      </c>
      <c r="U15" s="2" t="n">
        <v>12</v>
      </c>
      <c r="V15" s="2" t="s">
        <v>5396</v>
      </c>
    </row>
    <row r="16" customFormat="false" ht="15" hidden="false" customHeight="false" outlineLevel="0" collapsed="false">
      <c r="A16" s="2" t="n">
        <v>20</v>
      </c>
      <c r="B16" s="2" t="s">
        <v>308</v>
      </c>
      <c r="C16" s="2" t="s">
        <v>314</v>
      </c>
      <c r="D16" s="2" t="s">
        <v>5391</v>
      </c>
      <c r="E16" s="2" t="s">
        <v>5428</v>
      </c>
      <c r="F16" s="2" t="s">
        <v>5429</v>
      </c>
      <c r="G16" s="2" t="s">
        <v>5394</v>
      </c>
      <c r="H16" s="2" t="s">
        <v>5430</v>
      </c>
      <c r="I16" s="2" t="n">
        <v>28</v>
      </c>
      <c r="J16" s="2" t="n">
        <v>15268</v>
      </c>
      <c r="K16" s="2" t="n">
        <v>62</v>
      </c>
      <c r="L16" s="2" t="n">
        <v>46</v>
      </c>
      <c r="M16" s="2" t="n">
        <v>2</v>
      </c>
      <c r="N16" s="2" t="n">
        <v>1</v>
      </c>
      <c r="O16" s="2" t="n">
        <v>13</v>
      </c>
      <c r="P16" s="2" t="n">
        <v>0</v>
      </c>
      <c r="Q16" s="2" t="n">
        <v>30</v>
      </c>
      <c r="R16" s="2" t="n">
        <v>5</v>
      </c>
      <c r="S16" s="2" t="n">
        <v>12</v>
      </c>
      <c r="T16" s="2" t="n">
        <v>15</v>
      </c>
      <c r="U16" s="2" t="n">
        <v>30</v>
      </c>
      <c r="V16" s="2" t="s">
        <v>5396</v>
      </c>
    </row>
    <row r="17" customFormat="false" ht="15" hidden="false" customHeight="false" outlineLevel="0" collapsed="false">
      <c r="A17" s="2" t="n">
        <v>20</v>
      </c>
      <c r="B17" s="2" t="s">
        <v>308</v>
      </c>
      <c r="C17" s="2" t="s">
        <v>314</v>
      </c>
      <c r="D17" s="2" t="s">
        <v>5391</v>
      </c>
      <c r="E17" s="2" t="s">
        <v>5431</v>
      </c>
      <c r="F17" s="2" t="s">
        <v>5432</v>
      </c>
      <c r="G17" s="2" t="s">
        <v>5394</v>
      </c>
      <c r="H17" s="2" t="s">
        <v>5433</v>
      </c>
      <c r="I17" s="2" t="n">
        <v>33</v>
      </c>
      <c r="J17" s="2" t="n">
        <v>13426</v>
      </c>
      <c r="K17" s="2" t="n">
        <v>90</v>
      </c>
      <c r="L17" s="2" t="n">
        <v>63</v>
      </c>
      <c r="M17" s="2" t="n">
        <v>8</v>
      </c>
      <c r="N17" s="2" t="n">
        <v>1</v>
      </c>
      <c r="O17" s="2" t="n">
        <v>17</v>
      </c>
      <c r="P17" s="2" t="n">
        <v>1</v>
      </c>
      <c r="Q17" s="2" t="n">
        <v>51</v>
      </c>
      <c r="R17" s="2" t="n">
        <v>4</v>
      </c>
      <c r="S17" s="2" t="n">
        <v>0</v>
      </c>
      <c r="T17" s="2" t="n">
        <v>35</v>
      </c>
      <c r="U17" s="2" t="n">
        <v>65</v>
      </c>
      <c r="V17" s="2" t="s">
        <v>5396</v>
      </c>
    </row>
    <row r="18" customFormat="false" ht="15" hidden="false" customHeight="false" outlineLevel="0" collapsed="false">
      <c r="A18" s="2" t="n">
        <v>20</v>
      </c>
      <c r="B18" s="2" t="s">
        <v>308</v>
      </c>
      <c r="C18" s="2" t="s">
        <v>314</v>
      </c>
      <c r="D18" s="2" t="s">
        <v>5391</v>
      </c>
      <c r="E18" s="2" t="s">
        <v>5434</v>
      </c>
      <c r="F18" s="2" t="s">
        <v>3344</v>
      </c>
      <c r="G18" s="2" t="s">
        <v>5394</v>
      </c>
      <c r="H18" s="2" t="s">
        <v>5435</v>
      </c>
      <c r="I18" s="2" t="n">
        <v>19</v>
      </c>
      <c r="J18" s="2" t="n">
        <v>7048</v>
      </c>
      <c r="K18" s="2" t="n">
        <v>106</v>
      </c>
      <c r="L18" s="2" t="n">
        <v>83</v>
      </c>
      <c r="M18" s="2" t="n">
        <v>21</v>
      </c>
      <c r="N18" s="2" t="n">
        <v>1</v>
      </c>
      <c r="O18" s="2" t="n">
        <v>1</v>
      </c>
      <c r="P18" s="2" t="n">
        <v>0</v>
      </c>
      <c r="Q18" s="2" t="n">
        <v>13</v>
      </c>
      <c r="R18" s="2" t="n">
        <v>6</v>
      </c>
      <c r="S18" s="2" t="n">
        <v>4</v>
      </c>
      <c r="T18" s="2" t="n">
        <v>83</v>
      </c>
      <c r="U18" s="2" t="n">
        <v>67</v>
      </c>
      <c r="V18" s="2" t="s">
        <v>5396</v>
      </c>
    </row>
    <row r="19" customFormat="false" ht="15" hidden="false" customHeight="false" outlineLevel="0" collapsed="false">
      <c r="A19" s="2" t="n">
        <v>20</v>
      </c>
      <c r="B19" s="2" t="s">
        <v>308</v>
      </c>
      <c r="C19" s="2" t="s">
        <v>314</v>
      </c>
      <c r="D19" s="2" t="s">
        <v>5391</v>
      </c>
      <c r="E19" s="2" t="s">
        <v>5436</v>
      </c>
      <c r="F19" s="2" t="s">
        <v>3344</v>
      </c>
      <c r="G19" s="2" t="s">
        <v>5394</v>
      </c>
      <c r="H19" s="2" t="s">
        <v>5437</v>
      </c>
      <c r="I19" s="2" t="n">
        <v>14</v>
      </c>
      <c r="J19" s="2" t="n">
        <v>6108</v>
      </c>
      <c r="K19" s="2" t="n">
        <v>53</v>
      </c>
      <c r="L19" s="2" t="n">
        <v>50</v>
      </c>
      <c r="M19" s="2" t="n">
        <v>2</v>
      </c>
      <c r="N19" s="2" t="n">
        <v>0</v>
      </c>
      <c r="O19" s="2" t="n">
        <v>0</v>
      </c>
      <c r="P19" s="2" t="n">
        <v>1</v>
      </c>
      <c r="Q19" s="2" t="n">
        <v>16</v>
      </c>
      <c r="R19" s="2" t="n">
        <v>1</v>
      </c>
      <c r="S19" s="2" t="n">
        <v>1</v>
      </c>
      <c r="T19" s="2" t="n">
        <v>35</v>
      </c>
      <c r="U19" s="2" t="n">
        <v>18</v>
      </c>
      <c r="V19" s="2" t="s">
        <v>5396</v>
      </c>
    </row>
    <row r="20" customFormat="false" ht="15" hidden="false" customHeight="false" outlineLevel="0" collapsed="false">
      <c r="A20" s="2" t="n">
        <v>20</v>
      </c>
      <c r="B20" s="2" t="s">
        <v>308</v>
      </c>
      <c r="C20" s="2" t="s">
        <v>314</v>
      </c>
      <c r="D20" s="2" t="s">
        <v>5391</v>
      </c>
      <c r="E20" s="2" t="s">
        <v>5438</v>
      </c>
      <c r="F20" s="2" t="s">
        <v>5439</v>
      </c>
      <c r="G20" s="2" t="s">
        <v>5394</v>
      </c>
      <c r="H20" s="2" t="s">
        <v>5440</v>
      </c>
      <c r="I20" s="2" t="n">
        <v>33</v>
      </c>
      <c r="J20" s="2" t="n">
        <v>17814</v>
      </c>
      <c r="K20" s="2" t="n">
        <v>105</v>
      </c>
      <c r="L20" s="2" t="n">
        <v>83</v>
      </c>
      <c r="M20" s="2" t="n">
        <v>8</v>
      </c>
      <c r="N20" s="2" t="n">
        <v>0</v>
      </c>
      <c r="O20" s="2" t="n">
        <v>14</v>
      </c>
      <c r="P20" s="2" t="n">
        <v>0</v>
      </c>
      <c r="Q20" s="2" t="n">
        <v>53</v>
      </c>
      <c r="R20" s="2" t="n">
        <v>3</v>
      </c>
      <c r="S20" s="2" t="n">
        <v>2</v>
      </c>
      <c r="T20" s="2" t="n">
        <v>47</v>
      </c>
      <c r="U20" s="2" t="n">
        <v>65</v>
      </c>
      <c r="V20" s="2" t="s">
        <v>5396</v>
      </c>
    </row>
    <row r="21" customFormat="false" ht="15" hidden="false" customHeight="false" outlineLevel="0" collapsed="false">
      <c r="A21" s="2" t="n">
        <v>20</v>
      </c>
      <c r="B21" s="2" t="s">
        <v>308</v>
      </c>
      <c r="C21" s="2" t="s">
        <v>314</v>
      </c>
      <c r="D21" s="2" t="s">
        <v>5391</v>
      </c>
      <c r="E21" s="2" t="s">
        <v>5441</v>
      </c>
      <c r="F21" s="2" t="s">
        <v>2132</v>
      </c>
      <c r="G21" s="2" t="s">
        <v>5394</v>
      </c>
      <c r="H21" s="2" t="s">
        <v>5442</v>
      </c>
      <c r="I21" s="2" t="n">
        <v>16</v>
      </c>
      <c r="J21" s="2" t="n">
        <v>7977</v>
      </c>
      <c r="K21" s="2" t="n">
        <v>48</v>
      </c>
      <c r="L21" s="2" t="n">
        <v>43</v>
      </c>
      <c r="M21" s="2" t="n">
        <v>1</v>
      </c>
      <c r="N21" s="2" t="n">
        <v>0</v>
      </c>
      <c r="O21" s="2" t="n">
        <v>4</v>
      </c>
      <c r="P21" s="2" t="n">
        <v>0</v>
      </c>
      <c r="Q21" s="2" t="n">
        <v>21</v>
      </c>
      <c r="R21" s="2" t="n">
        <v>11</v>
      </c>
      <c r="S21" s="2" t="n">
        <v>0</v>
      </c>
      <c r="T21" s="2" t="n">
        <v>16</v>
      </c>
      <c r="U21" s="2" t="n">
        <v>18</v>
      </c>
      <c r="V21" s="2" t="s">
        <v>5396</v>
      </c>
    </row>
    <row r="22" customFormat="false" ht="15" hidden="false" customHeight="false" outlineLevel="0" collapsed="false">
      <c r="A22" s="2" t="n">
        <v>20</v>
      </c>
      <c r="B22" s="2" t="s">
        <v>308</v>
      </c>
      <c r="C22" s="2" t="s">
        <v>314</v>
      </c>
      <c r="D22" s="2" t="s">
        <v>5391</v>
      </c>
      <c r="E22" s="2" t="s">
        <v>5443</v>
      </c>
      <c r="F22" s="2" t="s">
        <v>5444</v>
      </c>
      <c r="G22" s="2" t="s">
        <v>5394</v>
      </c>
      <c r="H22" s="2" t="s">
        <v>5445</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5396</v>
      </c>
    </row>
    <row r="23" customFormat="false" ht="15" hidden="false" customHeight="false" outlineLevel="0" collapsed="false">
      <c r="A23" s="2" t="n">
        <v>20</v>
      </c>
      <c r="B23" s="2" t="s">
        <v>308</v>
      </c>
      <c r="C23" s="2" t="s">
        <v>314</v>
      </c>
      <c r="D23" s="2" t="s">
        <v>5391</v>
      </c>
      <c r="E23" s="2" t="s">
        <v>5446</v>
      </c>
      <c r="F23" s="2" t="s">
        <v>5447</v>
      </c>
      <c r="G23" s="2" t="s">
        <v>5394</v>
      </c>
      <c r="H23" s="2" t="s">
        <v>5448</v>
      </c>
      <c r="I23" s="2" t="n">
        <v>15</v>
      </c>
      <c r="J23" s="2" t="n">
        <v>6789</v>
      </c>
      <c r="K23" s="2" t="n">
        <v>50</v>
      </c>
      <c r="L23" s="2" t="n">
        <v>43</v>
      </c>
      <c r="M23" s="2" t="n">
        <v>2</v>
      </c>
      <c r="N23" s="2" t="n">
        <v>3</v>
      </c>
      <c r="O23" s="2" t="n">
        <v>2</v>
      </c>
      <c r="P23" s="2" t="n">
        <v>0</v>
      </c>
      <c r="Q23" s="2" t="n">
        <v>5</v>
      </c>
      <c r="R23" s="2" t="n">
        <v>12</v>
      </c>
      <c r="S23" s="2" t="n">
        <v>1</v>
      </c>
      <c r="T23" s="2" t="n">
        <v>32</v>
      </c>
      <c r="U23" s="2" t="n">
        <v>20</v>
      </c>
      <c r="V23" s="2" t="s">
        <v>5396</v>
      </c>
    </row>
    <row r="24" customFormat="false" ht="15" hidden="false" customHeight="false" outlineLevel="0" collapsed="false">
      <c r="A24" s="2" t="n">
        <v>20</v>
      </c>
      <c r="B24" s="2" t="s">
        <v>308</v>
      </c>
      <c r="C24" s="2" t="s">
        <v>314</v>
      </c>
      <c r="D24" s="2" t="s">
        <v>5391</v>
      </c>
      <c r="E24" s="2" t="s">
        <v>5449</v>
      </c>
      <c r="F24" s="2" t="s">
        <v>704</v>
      </c>
      <c r="G24" s="2" t="s">
        <v>5394</v>
      </c>
      <c r="H24" s="2" t="s">
        <v>5450</v>
      </c>
      <c r="I24" s="2" t="n">
        <v>19</v>
      </c>
      <c r="J24" s="2" t="n">
        <v>8213</v>
      </c>
      <c r="K24" s="2" t="n">
        <v>69</v>
      </c>
      <c r="L24" s="2" t="n">
        <v>61</v>
      </c>
      <c r="M24" s="2" t="n">
        <v>2</v>
      </c>
      <c r="N24" s="2" t="n">
        <v>2</v>
      </c>
      <c r="O24" s="2" t="n">
        <v>4</v>
      </c>
      <c r="P24" s="2" t="n">
        <v>0</v>
      </c>
      <c r="Q24" s="2" t="n">
        <v>19</v>
      </c>
      <c r="R24" s="2" t="n">
        <v>8</v>
      </c>
      <c r="S24" s="2" t="n">
        <v>5</v>
      </c>
      <c r="T24" s="2" t="n">
        <v>37</v>
      </c>
      <c r="U24" s="2" t="n">
        <v>65</v>
      </c>
      <c r="V24" s="2" t="s">
        <v>5396</v>
      </c>
    </row>
    <row r="25" customFormat="false" ht="15" hidden="false" customHeight="false" outlineLevel="0" collapsed="false">
      <c r="A25" s="2" t="n">
        <v>20</v>
      </c>
      <c r="B25" s="2" t="s">
        <v>308</v>
      </c>
      <c r="C25" s="2" t="s">
        <v>314</v>
      </c>
      <c r="D25" s="2" t="s">
        <v>5391</v>
      </c>
      <c r="E25" s="2" t="s">
        <v>5451</v>
      </c>
      <c r="F25" s="2" t="s">
        <v>5452</v>
      </c>
      <c r="G25" s="2" t="s">
        <v>5394</v>
      </c>
      <c r="H25" s="2" t="s">
        <v>5453</v>
      </c>
      <c r="I25" s="2" t="n">
        <v>12</v>
      </c>
      <c r="J25" s="2" t="n">
        <v>5898</v>
      </c>
      <c r="K25" s="2" t="n">
        <v>16</v>
      </c>
      <c r="L25" s="2" t="n">
        <v>13</v>
      </c>
      <c r="M25" s="2" t="n">
        <v>0</v>
      </c>
      <c r="N25" s="2" t="n">
        <v>1</v>
      </c>
      <c r="O25" s="2" t="n">
        <v>2</v>
      </c>
      <c r="P25" s="2" t="n">
        <v>0</v>
      </c>
      <c r="Q25" s="2" t="n">
        <v>0</v>
      </c>
      <c r="R25" s="2" t="n">
        <v>1</v>
      </c>
      <c r="S25" s="2" t="n">
        <v>2</v>
      </c>
      <c r="T25" s="2" t="n">
        <v>13</v>
      </c>
      <c r="U25" s="2" t="n">
        <v>36</v>
      </c>
      <c r="V25" s="2" t="s">
        <v>5396</v>
      </c>
    </row>
    <row r="26" customFormat="false" ht="15" hidden="false" customHeight="false" outlineLevel="0" collapsed="false">
      <c r="A26" s="2" t="n">
        <v>20</v>
      </c>
      <c r="B26" s="2" t="s">
        <v>308</v>
      </c>
      <c r="C26" s="2" t="s">
        <v>314</v>
      </c>
      <c r="D26" s="2" t="s">
        <v>5391</v>
      </c>
      <c r="E26" s="2" t="s">
        <v>5454</v>
      </c>
      <c r="F26" s="2" t="s">
        <v>5452</v>
      </c>
      <c r="G26" s="2" t="s">
        <v>5394</v>
      </c>
      <c r="H26" s="2" t="s">
        <v>5455</v>
      </c>
      <c r="I26" s="2" t="n">
        <v>36</v>
      </c>
      <c r="J26" s="2" t="n">
        <v>16880</v>
      </c>
      <c r="K26" s="2" t="n">
        <v>83</v>
      </c>
      <c r="L26" s="2" t="n">
        <v>58</v>
      </c>
      <c r="M26" s="2" t="n">
        <v>12</v>
      </c>
      <c r="N26" s="2" t="n">
        <v>3</v>
      </c>
      <c r="O26" s="2" t="n">
        <v>10</v>
      </c>
      <c r="P26" s="2" t="n">
        <v>0</v>
      </c>
      <c r="Q26" s="2" t="n">
        <v>35</v>
      </c>
      <c r="R26" s="2" t="n">
        <v>3</v>
      </c>
      <c r="S26" s="2" t="n">
        <v>2</v>
      </c>
      <c r="T26" s="2" t="n">
        <v>43</v>
      </c>
      <c r="U26" s="2" t="n">
        <v>64</v>
      </c>
      <c r="V26" s="2" t="s">
        <v>5396</v>
      </c>
    </row>
    <row r="27" customFormat="false" ht="15" hidden="false" customHeight="false" outlineLevel="0" collapsed="false">
      <c r="A27" s="2" t="n">
        <v>20</v>
      </c>
      <c r="B27" s="2" t="s">
        <v>308</v>
      </c>
      <c r="C27" s="2" t="s">
        <v>314</v>
      </c>
      <c r="D27" s="2" t="s">
        <v>5391</v>
      </c>
      <c r="E27" s="2" t="s">
        <v>5456</v>
      </c>
      <c r="F27" s="2" t="s">
        <v>5457</v>
      </c>
      <c r="G27" s="2" t="s">
        <v>5394</v>
      </c>
      <c r="H27" s="2" t="s">
        <v>5458</v>
      </c>
      <c r="I27" s="2" t="n">
        <v>40</v>
      </c>
      <c r="J27" s="2" t="n">
        <v>23164</v>
      </c>
      <c r="K27" s="2" t="n">
        <v>88</v>
      </c>
      <c r="L27" s="2" t="n">
        <v>73</v>
      </c>
      <c r="M27" s="2" t="n">
        <v>5</v>
      </c>
      <c r="N27" s="2" t="n">
        <v>1</v>
      </c>
      <c r="O27" s="2" t="n">
        <v>9</v>
      </c>
      <c r="P27" s="2" t="n">
        <v>0</v>
      </c>
      <c r="Q27" s="2" t="n">
        <v>49</v>
      </c>
      <c r="R27" s="2" t="n">
        <v>0</v>
      </c>
      <c r="S27" s="2" t="n">
        <v>4</v>
      </c>
      <c r="T27" s="2" t="n">
        <v>35</v>
      </c>
      <c r="U27" s="2" t="n">
        <v>64</v>
      </c>
      <c r="V27" s="2" t="s">
        <v>5396</v>
      </c>
    </row>
    <row r="28" customFormat="false" ht="15" hidden="false" customHeight="false" outlineLevel="0" collapsed="false">
      <c r="A28" s="2" t="n">
        <v>20</v>
      </c>
      <c r="B28" s="2" t="s">
        <v>308</v>
      </c>
      <c r="C28" s="2" t="s">
        <v>314</v>
      </c>
      <c r="D28" s="2" t="s">
        <v>5391</v>
      </c>
      <c r="E28" s="2" t="s">
        <v>5459</v>
      </c>
      <c r="F28" s="2" t="s">
        <v>5460</v>
      </c>
      <c r="G28" s="2" t="s">
        <v>5394</v>
      </c>
      <c r="H28" s="2" t="s">
        <v>5461</v>
      </c>
      <c r="I28" s="2" t="n">
        <v>4</v>
      </c>
      <c r="J28" s="2" t="n">
        <v>1850</v>
      </c>
      <c r="K28" s="2" t="n">
        <v>10</v>
      </c>
      <c r="L28" s="2" t="n">
        <v>10</v>
      </c>
      <c r="M28" s="2" t="n">
        <v>0</v>
      </c>
      <c r="N28" s="2" t="n">
        <v>0</v>
      </c>
      <c r="O28" s="2" t="n">
        <v>0</v>
      </c>
      <c r="P28" s="2" t="n">
        <v>0</v>
      </c>
      <c r="Q28" s="2" t="n">
        <v>6</v>
      </c>
      <c r="R28" s="2" t="n">
        <v>0</v>
      </c>
      <c r="S28" s="2" t="n">
        <v>0</v>
      </c>
      <c r="T28" s="2" t="n">
        <v>4</v>
      </c>
      <c r="U28" s="2" t="n">
        <v>6</v>
      </c>
      <c r="V28" s="2" t="s">
        <v>5396</v>
      </c>
    </row>
    <row r="29" customFormat="false" ht="15" hidden="false" customHeight="false" outlineLevel="0" collapsed="false">
      <c r="A29" s="2" t="n">
        <v>20</v>
      </c>
      <c r="B29" s="2" t="s">
        <v>308</v>
      </c>
      <c r="C29" s="2" t="s">
        <v>314</v>
      </c>
      <c r="D29" s="2" t="s">
        <v>5391</v>
      </c>
      <c r="E29" s="2" t="s">
        <v>5462</v>
      </c>
      <c r="F29" s="2" t="s">
        <v>2531</v>
      </c>
      <c r="G29" s="2" t="s">
        <v>5394</v>
      </c>
      <c r="H29" s="2" t="s">
        <v>5463</v>
      </c>
      <c r="I29" s="2" t="n">
        <v>48</v>
      </c>
      <c r="J29" s="2" t="n">
        <v>22552</v>
      </c>
      <c r="K29" s="2" t="n">
        <v>114</v>
      </c>
      <c r="L29" s="2" t="n">
        <v>76</v>
      </c>
      <c r="M29" s="2" t="n">
        <v>17</v>
      </c>
      <c r="N29" s="2" t="n">
        <v>6</v>
      </c>
      <c r="O29" s="2" t="n">
        <v>15</v>
      </c>
      <c r="P29" s="2" t="n">
        <v>0</v>
      </c>
      <c r="Q29" s="2" t="n">
        <v>28</v>
      </c>
      <c r="R29" s="2" t="n">
        <v>6</v>
      </c>
      <c r="S29" s="2" t="n">
        <v>5</v>
      </c>
      <c r="T29" s="2" t="n">
        <v>75</v>
      </c>
      <c r="U29" s="2" t="n">
        <v>57</v>
      </c>
      <c r="V29" s="2" t="s">
        <v>5396</v>
      </c>
    </row>
    <row r="30" customFormat="false" ht="15" hidden="false" customHeight="false" outlineLevel="0" collapsed="false">
      <c r="A30" s="2" t="n">
        <v>20</v>
      </c>
      <c r="B30" s="2" t="s">
        <v>308</v>
      </c>
      <c r="C30" s="2" t="s">
        <v>314</v>
      </c>
      <c r="D30" s="2" t="s">
        <v>5391</v>
      </c>
      <c r="E30" s="2" t="s">
        <v>5464</v>
      </c>
      <c r="F30" s="2" t="s">
        <v>586</v>
      </c>
      <c r="G30" s="2" t="s">
        <v>5394</v>
      </c>
      <c r="H30" s="2" t="s">
        <v>5465</v>
      </c>
      <c r="I30" s="2" t="n">
        <v>39</v>
      </c>
      <c r="J30" s="2" t="n">
        <v>18626</v>
      </c>
      <c r="K30" s="2" t="n">
        <v>34</v>
      </c>
      <c r="L30" s="2" t="n">
        <v>23</v>
      </c>
      <c r="M30" s="2" t="n">
        <v>2</v>
      </c>
      <c r="N30" s="2" t="n">
        <v>0</v>
      </c>
      <c r="O30" s="2" t="n">
        <v>9</v>
      </c>
      <c r="P30" s="2" t="n">
        <v>0</v>
      </c>
      <c r="Q30" s="2" t="n">
        <v>21</v>
      </c>
      <c r="R30" s="2" t="n">
        <v>1</v>
      </c>
      <c r="S30" s="2" t="n">
        <v>0</v>
      </c>
      <c r="T30" s="2" t="n">
        <v>12</v>
      </c>
      <c r="U30" s="2" t="n">
        <v>156</v>
      </c>
      <c r="V30" s="2" t="s">
        <v>5396</v>
      </c>
    </row>
    <row r="31" customFormat="false" ht="15" hidden="false" customHeight="false" outlineLevel="0" collapsed="false">
      <c r="A31" s="2" t="n">
        <v>20</v>
      </c>
      <c r="B31" s="2" t="s">
        <v>308</v>
      </c>
      <c r="C31" s="2" t="s">
        <v>314</v>
      </c>
      <c r="D31" s="2" t="s">
        <v>5391</v>
      </c>
      <c r="E31" s="2" t="s">
        <v>5466</v>
      </c>
      <c r="F31" s="2" t="s">
        <v>586</v>
      </c>
      <c r="G31" s="2" t="s">
        <v>5394</v>
      </c>
      <c r="H31" s="2" t="s">
        <v>5467</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5396</v>
      </c>
    </row>
    <row r="32" customFormat="false" ht="15" hidden="false" customHeight="false" outlineLevel="0" collapsed="false">
      <c r="A32" s="2" t="n">
        <v>20</v>
      </c>
      <c r="B32" s="2" t="s">
        <v>308</v>
      </c>
      <c r="C32" s="2" t="s">
        <v>314</v>
      </c>
      <c r="D32" s="2" t="s">
        <v>5391</v>
      </c>
      <c r="E32" s="2" t="s">
        <v>5468</v>
      </c>
      <c r="F32" s="2" t="s">
        <v>5469</v>
      </c>
      <c r="G32" s="2" t="s">
        <v>5394</v>
      </c>
      <c r="H32" s="2" t="s">
        <v>5470</v>
      </c>
      <c r="I32" s="2" t="n">
        <v>20</v>
      </c>
      <c r="J32" s="2" t="n">
        <v>8902</v>
      </c>
      <c r="K32" s="2" t="n">
        <v>40</v>
      </c>
      <c r="L32" s="2" t="n">
        <v>31</v>
      </c>
      <c r="M32" s="2" t="n">
        <v>4</v>
      </c>
      <c r="N32" s="2" t="n">
        <v>1</v>
      </c>
      <c r="O32" s="2" t="n">
        <v>3</v>
      </c>
      <c r="P32" s="2" t="n">
        <v>1</v>
      </c>
      <c r="Q32" s="2" t="n">
        <v>6</v>
      </c>
      <c r="R32" s="2" t="n">
        <v>5</v>
      </c>
      <c r="S32" s="2" t="n">
        <v>2</v>
      </c>
      <c r="T32" s="2" t="n">
        <v>27</v>
      </c>
      <c r="U32" s="2" t="n">
        <v>51</v>
      </c>
      <c r="V32" s="2" t="s">
        <v>5396</v>
      </c>
    </row>
    <row r="33" customFormat="false" ht="15" hidden="false" customHeight="false" outlineLevel="0" collapsed="false">
      <c r="A33" s="2" t="n">
        <v>20</v>
      </c>
      <c r="B33" s="2" t="s">
        <v>308</v>
      </c>
      <c r="C33" s="2" t="s">
        <v>314</v>
      </c>
      <c r="D33" s="2" t="s">
        <v>5391</v>
      </c>
      <c r="E33" s="2" t="s">
        <v>5471</v>
      </c>
      <c r="F33" s="2" t="s">
        <v>5472</v>
      </c>
      <c r="G33" s="2" t="s">
        <v>5394</v>
      </c>
      <c r="H33" s="2" t="s">
        <v>5473</v>
      </c>
      <c r="I33" s="2" t="n">
        <v>32</v>
      </c>
      <c r="J33" s="2" t="n">
        <v>15633</v>
      </c>
      <c r="K33" s="2" t="n">
        <v>27</v>
      </c>
      <c r="L33" s="2" t="n">
        <v>13</v>
      </c>
      <c r="M33" s="2" t="n">
        <v>4</v>
      </c>
      <c r="N33" s="2" t="n">
        <v>0</v>
      </c>
      <c r="O33" s="2" t="n">
        <v>10</v>
      </c>
      <c r="P33" s="2" t="n">
        <v>0</v>
      </c>
      <c r="Q33" s="2" t="n">
        <v>11</v>
      </c>
      <c r="R33" s="2" t="n">
        <v>0</v>
      </c>
      <c r="S33" s="2" t="n">
        <v>0</v>
      </c>
      <c r="T33" s="2" t="n">
        <v>16</v>
      </c>
      <c r="U33" s="2" t="n">
        <v>91</v>
      </c>
      <c r="V33" s="2" t="s">
        <v>5396</v>
      </c>
    </row>
    <row r="34" customFormat="false" ht="15" hidden="false" customHeight="false" outlineLevel="0" collapsed="false">
      <c r="A34" s="2" t="n">
        <v>20</v>
      </c>
      <c r="B34" s="2" t="s">
        <v>308</v>
      </c>
      <c r="C34" s="2" t="s">
        <v>314</v>
      </c>
      <c r="D34" s="2" t="s">
        <v>5391</v>
      </c>
      <c r="E34" s="2" t="s">
        <v>5474</v>
      </c>
      <c r="F34" s="2" t="s">
        <v>5475</v>
      </c>
      <c r="G34" s="2" t="s">
        <v>5394</v>
      </c>
      <c r="H34" s="2" t="s">
        <v>5476</v>
      </c>
      <c r="I34" s="2" t="n">
        <v>16</v>
      </c>
      <c r="J34" s="2" t="n">
        <v>6325</v>
      </c>
      <c r="K34" s="2" t="n">
        <v>21</v>
      </c>
      <c r="L34" s="2" t="n">
        <v>15</v>
      </c>
      <c r="M34" s="2" t="n">
        <v>0</v>
      </c>
      <c r="N34" s="2" t="n">
        <v>2</v>
      </c>
      <c r="O34" s="2" t="n">
        <v>4</v>
      </c>
      <c r="P34" s="2" t="n">
        <v>0</v>
      </c>
      <c r="Q34" s="2" t="n">
        <v>9</v>
      </c>
      <c r="R34" s="2" t="n">
        <v>0</v>
      </c>
      <c r="S34" s="2" t="n">
        <v>0</v>
      </c>
      <c r="T34" s="2" t="n">
        <v>12</v>
      </c>
      <c r="U34" s="2" t="n">
        <v>20</v>
      </c>
      <c r="V34" s="2" t="s">
        <v>5396</v>
      </c>
    </row>
    <row r="35" customFormat="false" ht="15" hidden="false" customHeight="false" outlineLevel="0" collapsed="false">
      <c r="A35" s="2" t="n">
        <v>20</v>
      </c>
      <c r="B35" s="2" t="s">
        <v>308</v>
      </c>
      <c r="C35" s="2" t="s">
        <v>314</v>
      </c>
      <c r="D35" s="2" t="s">
        <v>5391</v>
      </c>
      <c r="E35" s="2" t="s">
        <v>5477</v>
      </c>
      <c r="F35" s="2" t="s">
        <v>5478</v>
      </c>
      <c r="G35" s="2" t="s">
        <v>5394</v>
      </c>
      <c r="H35" s="2" t="s">
        <v>5479</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5396</v>
      </c>
    </row>
    <row r="36" customFormat="false" ht="15" hidden="false" customHeight="false" outlineLevel="0" collapsed="false">
      <c r="A36" s="2" t="n">
        <v>20</v>
      </c>
      <c r="B36" s="2" t="s">
        <v>308</v>
      </c>
      <c r="C36" s="2" t="s">
        <v>314</v>
      </c>
      <c r="D36" s="2" t="s">
        <v>5391</v>
      </c>
      <c r="E36" s="2" t="s">
        <v>5480</v>
      </c>
      <c r="F36" s="2" t="s">
        <v>5481</v>
      </c>
      <c r="G36" s="2" t="s">
        <v>5394</v>
      </c>
      <c r="H36" s="2" t="s">
        <v>5482</v>
      </c>
      <c r="I36" s="2" t="n">
        <v>22</v>
      </c>
      <c r="J36" s="2" t="n">
        <v>9131</v>
      </c>
      <c r="K36" s="2" t="n">
        <v>35</v>
      </c>
      <c r="L36" s="2" t="n">
        <v>25</v>
      </c>
      <c r="M36" s="2" t="n">
        <v>5</v>
      </c>
      <c r="N36" s="2" t="n">
        <v>2</v>
      </c>
      <c r="O36" s="2" t="n">
        <v>3</v>
      </c>
      <c r="P36" s="2" t="n">
        <v>0</v>
      </c>
      <c r="Q36" s="2" t="n">
        <v>3</v>
      </c>
      <c r="R36" s="2" t="n">
        <v>10</v>
      </c>
      <c r="S36" s="2" t="n">
        <v>0</v>
      </c>
      <c r="T36" s="2" t="n">
        <v>22</v>
      </c>
      <c r="U36" s="2" t="n">
        <v>49</v>
      </c>
      <c r="V36" s="2" t="s">
        <v>5396</v>
      </c>
    </row>
    <row r="37" customFormat="false" ht="15" hidden="false" customHeight="false" outlineLevel="0" collapsed="false">
      <c r="A37" s="2" t="n">
        <v>20</v>
      </c>
      <c r="B37" s="2" t="s">
        <v>308</v>
      </c>
      <c r="C37" s="2" t="s">
        <v>314</v>
      </c>
      <c r="D37" s="2" t="s">
        <v>5391</v>
      </c>
      <c r="E37" s="2" t="s">
        <v>5483</v>
      </c>
      <c r="F37" s="2" t="s">
        <v>5484</v>
      </c>
      <c r="G37" s="2" t="s">
        <v>5394</v>
      </c>
      <c r="H37" s="2" t="s">
        <v>5485</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5396</v>
      </c>
    </row>
    <row r="38" customFormat="false" ht="15" hidden="false" customHeight="false" outlineLevel="0" collapsed="false">
      <c r="A38" s="2" t="n">
        <v>20</v>
      </c>
      <c r="B38" s="2" t="s">
        <v>308</v>
      </c>
      <c r="C38" s="2" t="s">
        <v>314</v>
      </c>
      <c r="D38" s="2" t="s">
        <v>5391</v>
      </c>
      <c r="E38" s="2" t="s">
        <v>5486</v>
      </c>
      <c r="F38" s="2" t="s">
        <v>5484</v>
      </c>
      <c r="G38" s="2" t="s">
        <v>5394</v>
      </c>
      <c r="H38" s="2" t="s">
        <v>5487</v>
      </c>
      <c r="I38" s="2" t="n">
        <v>24</v>
      </c>
      <c r="J38" s="2" t="n">
        <v>9889</v>
      </c>
      <c r="K38" s="2" t="n">
        <v>31</v>
      </c>
      <c r="L38" s="2" t="n">
        <v>20</v>
      </c>
      <c r="M38" s="2" t="n">
        <v>4</v>
      </c>
      <c r="N38" s="2" t="n">
        <v>3</v>
      </c>
      <c r="O38" s="2" t="n">
        <v>4</v>
      </c>
      <c r="P38" s="2" t="n">
        <v>0</v>
      </c>
      <c r="Q38" s="2" t="n">
        <v>20</v>
      </c>
      <c r="R38" s="2" t="n">
        <v>1</v>
      </c>
      <c r="S38" s="2" t="n">
        <v>0</v>
      </c>
      <c r="T38" s="2" t="n">
        <v>10</v>
      </c>
      <c r="U38" s="2" t="n">
        <v>20</v>
      </c>
      <c r="V38" s="2" t="s">
        <v>5396</v>
      </c>
    </row>
    <row r="39" customFormat="false" ht="15" hidden="false" customHeight="false" outlineLevel="0" collapsed="false">
      <c r="A39" s="2" t="n">
        <v>20</v>
      </c>
      <c r="B39" s="2" t="s">
        <v>308</v>
      </c>
      <c r="C39" s="2" t="s">
        <v>314</v>
      </c>
      <c r="D39" s="2" t="s">
        <v>5391</v>
      </c>
      <c r="E39" s="2" t="s">
        <v>5488</v>
      </c>
      <c r="F39" s="2" t="s">
        <v>5484</v>
      </c>
      <c r="G39" s="2" t="s">
        <v>5394</v>
      </c>
      <c r="H39" s="2" t="s">
        <v>5489</v>
      </c>
      <c r="I39" s="2" t="n">
        <v>19</v>
      </c>
      <c r="J39" s="2" t="n">
        <v>7834</v>
      </c>
      <c r="K39" s="2" t="n">
        <v>58</v>
      </c>
      <c r="L39" s="2" t="n">
        <v>50</v>
      </c>
      <c r="M39" s="2" t="n">
        <v>3</v>
      </c>
      <c r="N39" s="2" t="n">
        <v>1</v>
      </c>
      <c r="O39" s="2" t="n">
        <v>2</v>
      </c>
      <c r="P39" s="2" t="n">
        <v>2</v>
      </c>
      <c r="Q39" s="2" t="n">
        <v>12</v>
      </c>
      <c r="R39" s="2" t="n">
        <v>2</v>
      </c>
      <c r="S39" s="2" t="n">
        <v>0</v>
      </c>
      <c r="T39" s="2" t="n">
        <v>44</v>
      </c>
      <c r="U39" s="2" t="n">
        <v>26</v>
      </c>
      <c r="V39" s="2" t="s">
        <v>5396</v>
      </c>
    </row>
    <row r="40" customFormat="false" ht="15" hidden="false" customHeight="false" outlineLevel="0" collapsed="false">
      <c r="A40" s="2" t="n">
        <v>20</v>
      </c>
      <c r="B40" s="2" t="s">
        <v>308</v>
      </c>
      <c r="C40" s="2" t="s">
        <v>314</v>
      </c>
      <c r="D40" s="2" t="s">
        <v>5391</v>
      </c>
      <c r="E40" s="2" t="s">
        <v>5490</v>
      </c>
      <c r="F40" s="2" t="s">
        <v>3571</v>
      </c>
      <c r="G40" s="2" t="s">
        <v>5394</v>
      </c>
      <c r="H40" s="2" t="s">
        <v>5491</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5396</v>
      </c>
    </row>
    <row r="41" customFormat="false" ht="15" hidden="false" customHeight="false" outlineLevel="0" collapsed="false">
      <c r="A41" s="2" t="n">
        <v>20</v>
      </c>
      <c r="B41" s="2" t="s">
        <v>308</v>
      </c>
      <c r="C41" s="2" t="s">
        <v>314</v>
      </c>
      <c r="D41" s="2" t="s">
        <v>5391</v>
      </c>
      <c r="E41" s="2" t="s">
        <v>5492</v>
      </c>
      <c r="F41" s="2" t="s">
        <v>5493</v>
      </c>
      <c r="G41" s="2" t="s">
        <v>5394</v>
      </c>
      <c r="H41" s="2" t="s">
        <v>5494</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5396</v>
      </c>
    </row>
    <row r="42" customFormat="false" ht="15" hidden="false" customHeight="false" outlineLevel="0" collapsed="false">
      <c r="A42" s="2" t="n">
        <v>20</v>
      </c>
      <c r="B42" s="2" t="s">
        <v>308</v>
      </c>
      <c r="C42" s="2" t="s">
        <v>314</v>
      </c>
      <c r="D42" s="2" t="s">
        <v>5391</v>
      </c>
      <c r="E42" s="2" t="s">
        <v>5495</v>
      </c>
      <c r="F42" s="2" t="s">
        <v>5493</v>
      </c>
      <c r="G42" s="2" t="s">
        <v>5394</v>
      </c>
      <c r="H42" s="2" t="s">
        <v>5496</v>
      </c>
      <c r="I42" s="2" t="n">
        <v>14</v>
      </c>
      <c r="J42" s="2" t="n">
        <v>5423</v>
      </c>
      <c r="K42" s="2" t="n">
        <v>15</v>
      </c>
      <c r="L42" s="2" t="n">
        <v>13</v>
      </c>
      <c r="M42" s="2" t="n">
        <v>0</v>
      </c>
      <c r="N42" s="2" t="n">
        <v>1</v>
      </c>
      <c r="O42" s="2" t="n">
        <v>1</v>
      </c>
      <c r="P42" s="2" t="n">
        <v>0</v>
      </c>
      <c r="Q42" s="2" t="n">
        <v>7</v>
      </c>
      <c r="R42" s="2" t="n">
        <v>5</v>
      </c>
      <c r="S42" s="2" t="n">
        <v>0</v>
      </c>
      <c r="T42" s="2" t="n">
        <v>3</v>
      </c>
      <c r="U42" s="2" t="n">
        <v>14</v>
      </c>
      <c r="V42" s="2" t="s">
        <v>5396</v>
      </c>
    </row>
    <row r="43" customFormat="false" ht="15" hidden="false" customHeight="false" outlineLevel="0" collapsed="false">
      <c r="A43" s="2" t="n">
        <v>20</v>
      </c>
      <c r="B43" s="2" t="s">
        <v>308</v>
      </c>
      <c r="C43" s="2" t="s">
        <v>314</v>
      </c>
      <c r="D43" s="2" t="s">
        <v>5391</v>
      </c>
      <c r="E43" s="2" t="s">
        <v>5497</v>
      </c>
      <c r="F43" s="2" t="s">
        <v>4381</v>
      </c>
      <c r="G43" s="2" t="s">
        <v>5394</v>
      </c>
      <c r="H43" s="2" t="s">
        <v>5498</v>
      </c>
      <c r="I43" s="2" t="n">
        <v>52</v>
      </c>
      <c r="J43" s="2" t="n">
        <v>26374</v>
      </c>
      <c r="K43" s="2" t="n">
        <v>104</v>
      </c>
      <c r="L43" s="2" t="n">
        <v>77</v>
      </c>
      <c r="M43" s="2" t="n">
        <v>11</v>
      </c>
      <c r="N43" s="2" t="n">
        <v>9</v>
      </c>
      <c r="O43" s="2" t="n">
        <v>7</v>
      </c>
      <c r="P43" s="2" t="n">
        <v>0</v>
      </c>
      <c r="Q43" s="2" t="n">
        <v>35</v>
      </c>
      <c r="R43" s="2" t="n">
        <v>12</v>
      </c>
      <c r="S43" s="2" t="n">
        <v>2</v>
      </c>
      <c r="T43" s="2" t="n">
        <v>55</v>
      </c>
      <c r="U43" s="2" t="n">
        <v>88</v>
      </c>
      <c r="V43" s="2" t="s">
        <v>5396</v>
      </c>
    </row>
    <row r="44" customFormat="false" ht="15" hidden="false" customHeight="false" outlineLevel="0" collapsed="false">
      <c r="A44" s="2" t="n">
        <v>20</v>
      </c>
      <c r="B44" s="2" t="s">
        <v>308</v>
      </c>
      <c r="C44" s="2" t="s">
        <v>314</v>
      </c>
      <c r="D44" s="2" t="s">
        <v>5391</v>
      </c>
      <c r="E44" s="2" t="s">
        <v>5499</v>
      </c>
      <c r="F44" s="2" t="s">
        <v>5500</v>
      </c>
      <c r="G44" s="2" t="s">
        <v>5394</v>
      </c>
      <c r="H44" s="2" t="s">
        <v>5501</v>
      </c>
      <c r="I44" s="2" t="n">
        <v>31</v>
      </c>
      <c r="J44" s="2" t="n">
        <v>16483</v>
      </c>
      <c r="K44" s="2" t="n">
        <v>117</v>
      </c>
      <c r="L44" s="2" t="n">
        <v>98</v>
      </c>
      <c r="M44" s="2" t="n">
        <v>4</v>
      </c>
      <c r="N44" s="2" t="n">
        <v>0</v>
      </c>
      <c r="O44" s="2" t="n">
        <v>15</v>
      </c>
      <c r="P44" s="2" t="n">
        <v>0</v>
      </c>
      <c r="Q44" s="2" t="n">
        <v>7</v>
      </c>
      <c r="R44" s="2" t="n">
        <v>14</v>
      </c>
      <c r="S44" s="2" t="n">
        <v>51</v>
      </c>
      <c r="T44" s="2" t="n">
        <v>45</v>
      </c>
      <c r="U44" s="2" t="n">
        <v>49</v>
      </c>
      <c r="V44" s="2" t="s">
        <v>5396</v>
      </c>
    </row>
    <row r="45" customFormat="false" ht="15" hidden="false" customHeight="false" outlineLevel="0" collapsed="false">
      <c r="A45" s="2" t="n">
        <v>20</v>
      </c>
      <c r="B45" s="2" t="s">
        <v>308</v>
      </c>
      <c r="C45" s="2" t="s">
        <v>314</v>
      </c>
      <c r="D45" s="2" t="s">
        <v>5391</v>
      </c>
      <c r="E45" s="2" t="s">
        <v>5502</v>
      </c>
      <c r="F45" s="2" t="s">
        <v>5500</v>
      </c>
      <c r="G45" s="2" t="s">
        <v>5394</v>
      </c>
      <c r="H45" s="2" t="s">
        <v>5503</v>
      </c>
      <c r="I45" s="2" t="n">
        <v>48</v>
      </c>
      <c r="J45" s="2" t="n">
        <v>22922</v>
      </c>
      <c r="K45" s="2" t="n">
        <v>91</v>
      </c>
      <c r="L45" s="2" t="n">
        <v>58</v>
      </c>
      <c r="M45" s="2" t="n">
        <v>18</v>
      </c>
      <c r="N45" s="2" t="n">
        <v>1</v>
      </c>
      <c r="O45" s="2" t="n">
        <v>13</v>
      </c>
      <c r="P45" s="2" t="n">
        <v>1</v>
      </c>
      <c r="Q45" s="2" t="n">
        <v>16</v>
      </c>
      <c r="R45" s="2" t="n">
        <v>27</v>
      </c>
      <c r="S45" s="2" t="n">
        <v>4</v>
      </c>
      <c r="T45" s="2" t="n">
        <v>44</v>
      </c>
      <c r="U45" s="2" t="n">
        <v>55</v>
      </c>
      <c r="V45" s="2" t="s">
        <v>5396</v>
      </c>
    </row>
    <row r="46" customFormat="false" ht="15" hidden="false" customHeight="false" outlineLevel="0" collapsed="false">
      <c r="A46" s="2" t="n">
        <v>20</v>
      </c>
      <c r="B46" s="2" t="s">
        <v>308</v>
      </c>
      <c r="C46" s="2" t="s">
        <v>314</v>
      </c>
      <c r="D46" s="2" t="s">
        <v>5391</v>
      </c>
      <c r="E46" s="2" t="s">
        <v>5504</v>
      </c>
      <c r="F46" s="2" t="s">
        <v>1052</v>
      </c>
      <c r="G46" s="2" t="s">
        <v>5394</v>
      </c>
      <c r="H46" s="2" t="s">
        <v>5505</v>
      </c>
      <c r="I46" s="2" t="n">
        <v>54</v>
      </c>
      <c r="J46" s="2" t="n">
        <v>12581</v>
      </c>
      <c r="K46" s="2" t="n">
        <v>73</v>
      </c>
      <c r="L46" s="2" t="n">
        <v>55</v>
      </c>
      <c r="M46" s="2" t="n">
        <v>4</v>
      </c>
      <c r="N46" s="2" t="n">
        <v>4</v>
      </c>
      <c r="O46" s="2" t="n">
        <v>10</v>
      </c>
      <c r="P46" s="2" t="n">
        <v>0</v>
      </c>
      <c r="Q46" s="2" t="n">
        <v>16</v>
      </c>
      <c r="R46" s="2" t="n">
        <v>0</v>
      </c>
      <c r="S46" s="2" t="n">
        <v>4</v>
      </c>
      <c r="T46" s="2" t="n">
        <v>53</v>
      </c>
      <c r="U46" s="2" t="n">
        <v>112</v>
      </c>
      <c r="V46" s="2" t="s">
        <v>5396</v>
      </c>
    </row>
    <row r="47" customFormat="false" ht="15" hidden="false" customHeight="false" outlineLevel="0" collapsed="false">
      <c r="A47" s="2" t="n">
        <v>20</v>
      </c>
      <c r="B47" s="2" t="s">
        <v>308</v>
      </c>
      <c r="C47" s="2" t="s">
        <v>314</v>
      </c>
      <c r="D47" s="2" t="s">
        <v>5391</v>
      </c>
      <c r="E47" s="2" t="s">
        <v>5506</v>
      </c>
      <c r="F47" s="2" t="s">
        <v>2919</v>
      </c>
      <c r="G47" s="2" t="s">
        <v>5394</v>
      </c>
      <c r="H47" s="2" t="s">
        <v>5507</v>
      </c>
      <c r="I47" s="2" t="n">
        <v>21</v>
      </c>
      <c r="J47" s="2" t="n">
        <v>9356</v>
      </c>
      <c r="K47" s="2" t="n">
        <v>52</v>
      </c>
      <c r="L47" s="2" t="n">
        <v>39</v>
      </c>
      <c r="M47" s="2" t="n">
        <v>6</v>
      </c>
      <c r="N47" s="2" t="n">
        <v>0</v>
      </c>
      <c r="O47" s="2" t="n">
        <v>6</v>
      </c>
      <c r="P47" s="2" t="n">
        <v>1</v>
      </c>
      <c r="Q47" s="2" t="n">
        <v>13</v>
      </c>
      <c r="R47" s="2" t="n">
        <v>2</v>
      </c>
      <c r="S47" s="2" t="n">
        <v>8</v>
      </c>
      <c r="T47" s="2" t="n">
        <v>29</v>
      </c>
      <c r="U47" s="2" t="n">
        <v>32</v>
      </c>
      <c r="V47" s="2" t="s">
        <v>5396</v>
      </c>
    </row>
    <row r="48" customFormat="false" ht="15" hidden="false" customHeight="false" outlineLevel="0" collapsed="false">
      <c r="A48" s="2" t="n">
        <v>20</v>
      </c>
      <c r="B48" s="2" t="s">
        <v>308</v>
      </c>
      <c r="C48" s="2" t="s">
        <v>314</v>
      </c>
      <c r="D48" s="2" t="s">
        <v>5391</v>
      </c>
      <c r="E48" s="2" t="s">
        <v>5508</v>
      </c>
      <c r="F48" s="2" t="s">
        <v>2877</v>
      </c>
      <c r="G48" s="2" t="s">
        <v>5394</v>
      </c>
      <c r="H48" s="2" t="s">
        <v>5509</v>
      </c>
      <c r="I48" s="2" t="n">
        <v>13</v>
      </c>
      <c r="J48" s="2" t="n">
        <v>5337</v>
      </c>
      <c r="K48" s="2" t="n">
        <v>37</v>
      </c>
      <c r="L48" s="2" t="n">
        <v>30</v>
      </c>
      <c r="M48" s="2" t="n">
        <v>0</v>
      </c>
      <c r="N48" s="2" t="n">
        <v>4</v>
      </c>
      <c r="O48" s="2" t="n">
        <v>3</v>
      </c>
      <c r="P48" s="2" t="n">
        <v>0</v>
      </c>
      <c r="Q48" s="2" t="n">
        <v>16</v>
      </c>
      <c r="R48" s="2" t="n">
        <v>6</v>
      </c>
      <c r="S48" s="2" t="n">
        <v>2</v>
      </c>
      <c r="T48" s="2" t="n">
        <v>13</v>
      </c>
      <c r="U48" s="2" t="n">
        <v>10</v>
      </c>
      <c r="V48" s="2" t="s">
        <v>5396</v>
      </c>
    </row>
    <row r="49" customFormat="false" ht="15" hidden="false" customHeight="false" outlineLevel="0" collapsed="false">
      <c r="A49" s="2" t="n">
        <v>20</v>
      </c>
      <c r="B49" s="2" t="s">
        <v>308</v>
      </c>
      <c r="C49" s="2" t="s">
        <v>314</v>
      </c>
      <c r="D49" s="2" t="s">
        <v>5391</v>
      </c>
      <c r="E49" s="2" t="s">
        <v>5510</v>
      </c>
      <c r="F49" s="2" t="s">
        <v>5511</v>
      </c>
      <c r="G49" s="2" t="s">
        <v>5394</v>
      </c>
      <c r="H49" s="2" t="s">
        <v>5512</v>
      </c>
      <c r="I49" s="2" t="n">
        <v>27</v>
      </c>
      <c r="J49" s="2" t="n">
        <v>12421</v>
      </c>
      <c r="K49" s="2" t="n">
        <v>34</v>
      </c>
      <c r="L49" s="2" t="n">
        <v>31</v>
      </c>
      <c r="M49" s="2" t="n">
        <v>1</v>
      </c>
      <c r="N49" s="2" t="n">
        <v>0</v>
      </c>
      <c r="O49" s="2" t="n">
        <v>1</v>
      </c>
      <c r="P49" s="2" t="n">
        <v>1</v>
      </c>
      <c r="Q49" s="2" t="n">
        <v>20</v>
      </c>
      <c r="R49" s="2" t="n">
        <v>0</v>
      </c>
      <c r="S49" s="2" t="n">
        <v>0</v>
      </c>
      <c r="T49" s="2" t="n">
        <v>14</v>
      </c>
      <c r="U49" s="2" t="n">
        <v>103</v>
      </c>
      <c r="V49" s="2" t="s">
        <v>5396</v>
      </c>
    </row>
    <row r="50" customFormat="false" ht="15" hidden="false" customHeight="false" outlineLevel="0" collapsed="false">
      <c r="A50" s="2" t="n">
        <v>21</v>
      </c>
      <c r="B50" s="2" t="s">
        <v>320</v>
      </c>
      <c r="C50" s="2" t="s">
        <v>324</v>
      </c>
      <c r="D50" s="2" t="s">
        <v>5391</v>
      </c>
      <c r="E50" s="2" t="s">
        <v>5513</v>
      </c>
      <c r="F50" s="2" t="s">
        <v>5514</v>
      </c>
      <c r="G50" s="2" t="s">
        <v>5394</v>
      </c>
      <c r="H50" s="2" t="s">
        <v>5515</v>
      </c>
      <c r="I50" s="2" t="n">
        <v>17</v>
      </c>
      <c r="J50" s="2" t="n">
        <v>7848</v>
      </c>
      <c r="K50" s="2" t="n">
        <v>41</v>
      </c>
      <c r="L50" s="2" t="n">
        <v>38</v>
      </c>
      <c r="M50" s="2" t="n">
        <v>1</v>
      </c>
      <c r="N50" s="2" t="n">
        <v>1</v>
      </c>
      <c r="O50" s="2" t="n">
        <v>1</v>
      </c>
      <c r="P50" s="2" t="n">
        <v>0</v>
      </c>
      <c r="Q50" s="2" t="n">
        <v>7</v>
      </c>
      <c r="R50" s="2" t="n">
        <v>7</v>
      </c>
      <c r="S50" s="2" t="n">
        <v>8</v>
      </c>
      <c r="T50" s="2" t="n">
        <v>19</v>
      </c>
      <c r="U50" s="2" t="n">
        <v>87</v>
      </c>
      <c r="V50" s="2" t="s">
        <v>5396</v>
      </c>
    </row>
    <row r="51" customFormat="false" ht="15" hidden="false" customHeight="false" outlineLevel="0" collapsed="false">
      <c r="A51" s="2" t="n">
        <v>21</v>
      </c>
      <c r="B51" s="2" t="s">
        <v>320</v>
      </c>
      <c r="C51" s="2" t="s">
        <v>324</v>
      </c>
      <c r="D51" s="2" t="s">
        <v>5391</v>
      </c>
      <c r="E51" s="2" t="s">
        <v>5516</v>
      </c>
      <c r="F51" s="2" t="s">
        <v>798</v>
      </c>
      <c r="G51" s="2" t="s">
        <v>5394</v>
      </c>
      <c r="H51" s="2" t="s">
        <v>5517</v>
      </c>
      <c r="I51" s="2" t="n">
        <v>33</v>
      </c>
      <c r="J51" s="2" t="n">
        <v>17682</v>
      </c>
      <c r="K51" s="2" t="n">
        <v>64</v>
      </c>
      <c r="L51" s="2" t="n">
        <v>42</v>
      </c>
      <c r="M51" s="2" t="n">
        <v>9</v>
      </c>
      <c r="N51" s="2" t="n">
        <v>7</v>
      </c>
      <c r="O51" s="2" t="n">
        <v>5</v>
      </c>
      <c r="P51" s="2" t="n">
        <v>1</v>
      </c>
      <c r="Q51" s="2" t="n">
        <v>25</v>
      </c>
      <c r="R51" s="2" t="n">
        <v>18</v>
      </c>
      <c r="S51" s="2" t="n">
        <v>2</v>
      </c>
      <c r="T51" s="2" t="n">
        <v>19</v>
      </c>
      <c r="U51" s="2" t="n">
        <v>97</v>
      </c>
      <c r="V51" s="2" t="s">
        <v>5396</v>
      </c>
    </row>
    <row r="52" customFormat="false" ht="15" hidden="false" customHeight="false" outlineLevel="0" collapsed="false">
      <c r="A52" s="2" t="n">
        <v>23</v>
      </c>
      <c r="B52" s="2" t="s">
        <v>341</v>
      </c>
      <c r="C52" s="2" t="s">
        <v>346</v>
      </c>
      <c r="D52" s="2" t="s">
        <v>5518</v>
      </c>
      <c r="E52" s="2" t="s">
        <v>5519</v>
      </c>
      <c r="F52" s="2"/>
      <c r="G52" s="2" t="s">
        <v>5394</v>
      </c>
      <c r="H52" s="2" t="s">
        <v>5520</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5521</v>
      </c>
    </row>
    <row r="53" customFormat="false" ht="15" hidden="false" customHeight="false" outlineLevel="0" collapsed="false">
      <c r="A53" s="2" t="n">
        <v>23</v>
      </c>
      <c r="B53" s="2" t="s">
        <v>341</v>
      </c>
      <c r="C53" s="2" t="s">
        <v>346</v>
      </c>
      <c r="D53" s="2" t="s">
        <v>5518</v>
      </c>
      <c r="E53" s="2" t="s">
        <v>5522</v>
      </c>
      <c r="F53" s="2"/>
      <c r="G53" s="2" t="s">
        <v>5394</v>
      </c>
      <c r="H53" s="2" t="s">
        <v>5523</v>
      </c>
      <c r="I53" s="2" t="n">
        <v>66</v>
      </c>
      <c r="J53" s="2" t="n">
        <v>21498</v>
      </c>
      <c r="K53" s="2" t="n">
        <v>49</v>
      </c>
      <c r="L53" s="2" t="n">
        <v>37</v>
      </c>
      <c r="M53" s="2" t="n">
        <v>0</v>
      </c>
      <c r="N53" s="2" t="n">
        <v>0</v>
      </c>
      <c r="O53" s="2" t="n">
        <v>12</v>
      </c>
      <c r="P53" s="2" t="n">
        <v>0</v>
      </c>
      <c r="Q53" s="2" t="n">
        <v>18</v>
      </c>
      <c r="R53" s="2" t="n">
        <v>5</v>
      </c>
      <c r="S53" s="2" t="n">
        <v>12</v>
      </c>
      <c r="T53" s="2" t="n">
        <v>14</v>
      </c>
      <c r="U53" s="2" t="n">
        <v>162</v>
      </c>
      <c r="V53" s="2" t="s">
        <v>5521</v>
      </c>
    </row>
    <row r="54" customFormat="false" ht="15" hidden="false" customHeight="false" outlineLevel="0" collapsed="false">
      <c r="A54" s="2" t="n">
        <v>23</v>
      </c>
      <c r="B54" s="2" t="s">
        <v>341</v>
      </c>
      <c r="C54" s="2" t="s">
        <v>346</v>
      </c>
      <c r="D54" s="2" t="s">
        <v>5518</v>
      </c>
      <c r="E54" s="2" t="s">
        <v>5524</v>
      </c>
      <c r="F54" s="2"/>
      <c r="G54" s="2" t="s">
        <v>5394</v>
      </c>
      <c r="H54" s="2" t="s">
        <v>5525</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5521</v>
      </c>
    </row>
    <row r="55" customFormat="false" ht="15" hidden="false" customHeight="false" outlineLevel="0" collapsed="false">
      <c r="A55" s="2" t="n">
        <v>23</v>
      </c>
      <c r="B55" s="2" t="s">
        <v>341</v>
      </c>
      <c r="C55" s="2" t="s">
        <v>346</v>
      </c>
      <c r="D55" s="2" t="s">
        <v>5518</v>
      </c>
      <c r="E55" s="2" t="s">
        <v>5526</v>
      </c>
      <c r="F55" s="2" t="s">
        <v>5527</v>
      </c>
      <c r="G55" s="2" t="s">
        <v>5394</v>
      </c>
      <c r="H55" s="2" t="s">
        <v>5528</v>
      </c>
      <c r="I55" s="2" t="n">
        <v>83</v>
      </c>
      <c r="J55" s="2" t="n">
        <v>32884</v>
      </c>
      <c r="K55" s="2" t="n">
        <v>32</v>
      </c>
      <c r="L55" s="2" t="n">
        <v>16</v>
      </c>
      <c r="M55" s="2" t="n">
        <v>6</v>
      </c>
      <c r="N55" s="2" t="n">
        <v>1</v>
      </c>
      <c r="O55" s="2" t="n">
        <v>9</v>
      </c>
      <c r="P55" s="2" t="n">
        <v>0</v>
      </c>
      <c r="Q55" s="2" t="n">
        <v>6</v>
      </c>
      <c r="R55" s="2" t="n">
        <v>7</v>
      </c>
      <c r="S55" s="2" t="n">
        <v>5</v>
      </c>
      <c r="T55" s="2" t="n">
        <v>14</v>
      </c>
      <c r="U55" s="2" t="n">
        <v>323</v>
      </c>
      <c r="V55" s="2" t="s">
        <v>5521</v>
      </c>
    </row>
    <row r="56" customFormat="false" ht="15" hidden="false" customHeight="false" outlineLevel="0" collapsed="false">
      <c r="A56" s="2" t="n">
        <v>23</v>
      </c>
      <c r="B56" s="2" t="s">
        <v>341</v>
      </c>
      <c r="C56" s="2" t="s">
        <v>346</v>
      </c>
      <c r="D56" s="2" t="s">
        <v>5518</v>
      </c>
      <c r="E56" s="2" t="s">
        <v>5529</v>
      </c>
      <c r="F56" s="2" t="s">
        <v>5530</v>
      </c>
      <c r="G56" s="2" t="s">
        <v>5394</v>
      </c>
      <c r="H56" s="2" t="s">
        <v>5531</v>
      </c>
      <c r="I56" s="2" t="n">
        <v>10</v>
      </c>
      <c r="J56" s="2" t="n">
        <v>2148</v>
      </c>
      <c r="K56" s="2" t="n">
        <v>5</v>
      </c>
      <c r="L56" s="2" t="n">
        <v>5</v>
      </c>
      <c r="M56" s="2" t="n">
        <v>0</v>
      </c>
      <c r="N56" s="2" t="n">
        <v>0</v>
      </c>
      <c r="O56" s="2" t="n">
        <v>0</v>
      </c>
      <c r="P56" s="2" t="n">
        <v>0</v>
      </c>
      <c r="Q56" s="2" t="n">
        <v>1</v>
      </c>
      <c r="R56" s="2" t="n">
        <v>2</v>
      </c>
      <c r="S56" s="2" t="n">
        <v>0</v>
      </c>
      <c r="T56" s="2" t="n">
        <v>2</v>
      </c>
      <c r="U56" s="2" t="n">
        <v>6</v>
      </c>
      <c r="V56" s="2" t="s">
        <v>5521</v>
      </c>
    </row>
    <row r="57" customFormat="false" ht="15" hidden="false" customHeight="false" outlineLevel="0" collapsed="false">
      <c r="A57" s="2" t="n">
        <v>23</v>
      </c>
      <c r="B57" s="2" t="s">
        <v>341</v>
      </c>
      <c r="C57" s="2" t="s">
        <v>346</v>
      </c>
      <c r="D57" s="2" t="s">
        <v>5518</v>
      </c>
      <c r="E57" s="2" t="s">
        <v>5532</v>
      </c>
      <c r="F57" s="2" t="s">
        <v>5533</v>
      </c>
      <c r="G57" s="2" t="s">
        <v>5394</v>
      </c>
      <c r="H57" s="2" t="s">
        <v>5534</v>
      </c>
      <c r="I57" s="2" t="n">
        <v>7</v>
      </c>
      <c r="J57" s="2" t="n">
        <v>1727</v>
      </c>
      <c r="K57" s="2" t="n">
        <v>4</v>
      </c>
      <c r="L57" s="2" t="n">
        <v>3</v>
      </c>
      <c r="M57" s="2" t="n">
        <v>0</v>
      </c>
      <c r="N57" s="2" t="n">
        <v>0</v>
      </c>
      <c r="O57" s="2" t="n">
        <v>1</v>
      </c>
      <c r="P57" s="2" t="n">
        <v>0</v>
      </c>
      <c r="Q57" s="2" t="n">
        <v>1</v>
      </c>
      <c r="R57" s="2" t="n">
        <v>3</v>
      </c>
      <c r="S57" s="2" t="n">
        <v>0</v>
      </c>
      <c r="T57" s="2" t="n">
        <v>0</v>
      </c>
      <c r="U57" s="2" t="n">
        <v>2</v>
      </c>
      <c r="V57" s="2" t="s">
        <v>5521</v>
      </c>
    </row>
    <row r="58" customFormat="false" ht="15" hidden="false" customHeight="false" outlineLevel="0" collapsed="false">
      <c r="A58" s="2" t="n">
        <v>23</v>
      </c>
      <c r="B58" s="2" t="s">
        <v>341</v>
      </c>
      <c r="C58" s="2" t="s">
        <v>346</v>
      </c>
      <c r="D58" s="2" t="s">
        <v>5518</v>
      </c>
      <c r="E58" s="2" t="s">
        <v>5535</v>
      </c>
      <c r="F58" s="2" t="s">
        <v>5536</v>
      </c>
      <c r="G58" s="2" t="s">
        <v>5394</v>
      </c>
      <c r="H58" s="2" t="s">
        <v>5537</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5521</v>
      </c>
    </row>
    <row r="59" customFormat="false" ht="15" hidden="false" customHeight="false" outlineLevel="0" collapsed="false">
      <c r="A59" s="2" t="n">
        <v>23</v>
      </c>
      <c r="B59" s="2" t="s">
        <v>341</v>
      </c>
      <c r="C59" s="2" t="s">
        <v>346</v>
      </c>
      <c r="D59" s="2" t="s">
        <v>5518</v>
      </c>
      <c r="E59" s="2" t="s">
        <v>5538</v>
      </c>
      <c r="F59" s="2" t="s">
        <v>5539</v>
      </c>
      <c r="G59" s="2" t="s">
        <v>5394</v>
      </c>
      <c r="H59" s="2" t="s">
        <v>5540</v>
      </c>
      <c r="I59" s="2" t="n">
        <v>6</v>
      </c>
      <c r="J59" s="2" t="n">
        <v>992</v>
      </c>
      <c r="K59" s="2" t="n">
        <v>5</v>
      </c>
      <c r="L59" s="2" t="n">
        <v>5</v>
      </c>
      <c r="M59" s="2" t="n">
        <v>0</v>
      </c>
      <c r="N59" s="2" t="n">
        <v>0</v>
      </c>
      <c r="O59" s="2" t="n">
        <v>0</v>
      </c>
      <c r="P59" s="2" t="n">
        <v>0</v>
      </c>
      <c r="Q59" s="2" t="n">
        <v>2</v>
      </c>
      <c r="R59" s="2" t="n">
        <v>2</v>
      </c>
      <c r="S59" s="2" t="n">
        <v>0</v>
      </c>
      <c r="T59" s="2" t="n">
        <v>1</v>
      </c>
      <c r="U59" s="2" t="n">
        <v>13</v>
      </c>
      <c r="V59" s="2" t="s">
        <v>5521</v>
      </c>
    </row>
    <row r="60" customFormat="false" ht="15" hidden="false" customHeight="false" outlineLevel="0" collapsed="false">
      <c r="A60" s="2" t="n">
        <v>23</v>
      </c>
      <c r="B60" s="2" t="s">
        <v>341</v>
      </c>
      <c r="C60" s="2" t="s">
        <v>346</v>
      </c>
      <c r="D60" s="2" t="s">
        <v>5518</v>
      </c>
      <c r="E60" s="2" t="s">
        <v>5541</v>
      </c>
      <c r="F60" s="2" t="s">
        <v>5542</v>
      </c>
      <c r="G60" s="2" t="s">
        <v>5394</v>
      </c>
      <c r="H60" s="2" t="s">
        <v>5543</v>
      </c>
      <c r="I60" s="2" t="n">
        <v>24</v>
      </c>
      <c r="J60" s="2" t="n">
        <v>5780</v>
      </c>
      <c r="K60" s="2" t="n">
        <v>5</v>
      </c>
      <c r="L60" s="2" t="n">
        <v>5</v>
      </c>
      <c r="M60" s="2" t="n">
        <v>0</v>
      </c>
      <c r="N60" s="2" t="n">
        <v>0</v>
      </c>
      <c r="O60" s="2" t="n">
        <v>0</v>
      </c>
      <c r="P60" s="2" t="n">
        <v>0</v>
      </c>
      <c r="Q60" s="2" t="n">
        <v>0</v>
      </c>
      <c r="R60" s="2" t="n">
        <v>2</v>
      </c>
      <c r="S60" s="2" t="n">
        <v>2</v>
      </c>
      <c r="T60" s="2" t="n">
        <v>1</v>
      </c>
      <c r="U60" s="2" t="n">
        <v>9</v>
      </c>
      <c r="V60" s="2" t="s">
        <v>5521</v>
      </c>
    </row>
    <row r="61" customFormat="false" ht="15" hidden="false" customHeight="false" outlineLevel="0" collapsed="false">
      <c r="A61" s="2" t="n">
        <v>23</v>
      </c>
      <c r="B61" s="2" t="s">
        <v>341</v>
      </c>
      <c r="C61" s="2" t="s">
        <v>346</v>
      </c>
      <c r="D61" s="2" t="s">
        <v>5518</v>
      </c>
      <c r="E61" s="2" t="s">
        <v>5544</v>
      </c>
      <c r="F61" s="2" t="s">
        <v>5545</v>
      </c>
      <c r="G61" s="2" t="s">
        <v>5394</v>
      </c>
      <c r="H61" s="2" t="s">
        <v>5546</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5521</v>
      </c>
    </row>
    <row r="62" customFormat="false" ht="15" hidden="false" customHeight="false" outlineLevel="0" collapsed="false">
      <c r="A62" s="2" t="n">
        <v>23</v>
      </c>
      <c r="B62" s="2" t="s">
        <v>341</v>
      </c>
      <c r="C62" s="2" t="s">
        <v>346</v>
      </c>
      <c r="D62" s="2" t="s">
        <v>5518</v>
      </c>
      <c r="E62" s="2" t="s">
        <v>5547</v>
      </c>
      <c r="F62" s="2" t="s">
        <v>5548</v>
      </c>
      <c r="G62" s="2" t="s">
        <v>5394</v>
      </c>
      <c r="H62" s="2" t="s">
        <v>5549</v>
      </c>
      <c r="I62" s="2" t="n">
        <v>48</v>
      </c>
      <c r="J62" s="2" t="n">
        <v>10064</v>
      </c>
      <c r="K62" s="2" t="n">
        <v>7</v>
      </c>
      <c r="L62" s="2" t="n">
        <v>7</v>
      </c>
      <c r="M62" s="2" t="n">
        <v>0</v>
      </c>
      <c r="N62" s="2" t="n">
        <v>0</v>
      </c>
      <c r="O62" s="2" t="n">
        <v>0</v>
      </c>
      <c r="P62" s="2" t="n">
        <v>0</v>
      </c>
      <c r="Q62" s="2" t="n">
        <v>0</v>
      </c>
      <c r="R62" s="2" t="n">
        <v>2</v>
      </c>
      <c r="S62" s="2" t="n">
        <v>4</v>
      </c>
      <c r="T62" s="2" t="n">
        <v>1</v>
      </c>
      <c r="U62" s="2" t="n">
        <v>8</v>
      </c>
      <c r="V62" s="2" t="s">
        <v>5521</v>
      </c>
    </row>
    <row r="63" customFormat="false" ht="15" hidden="false" customHeight="false" outlineLevel="0" collapsed="false">
      <c r="A63" s="2" t="n">
        <v>23</v>
      </c>
      <c r="B63" s="2" t="s">
        <v>341</v>
      </c>
      <c r="C63" s="2" t="s">
        <v>346</v>
      </c>
      <c r="D63" s="2" t="s">
        <v>5391</v>
      </c>
      <c r="E63" s="2" t="s">
        <v>5550</v>
      </c>
      <c r="F63" s="2" t="s">
        <v>704</v>
      </c>
      <c r="G63" s="2" t="s">
        <v>5394</v>
      </c>
      <c r="H63" s="2" t="s">
        <v>5551</v>
      </c>
      <c r="I63" s="2" t="n">
        <v>26</v>
      </c>
      <c r="J63" s="2" t="n">
        <v>12410</v>
      </c>
      <c r="K63" s="2" t="n">
        <v>80</v>
      </c>
      <c r="L63" s="2" t="n">
        <v>63</v>
      </c>
      <c r="M63" s="2" t="n">
        <v>10</v>
      </c>
      <c r="N63" s="2" t="n">
        <v>3</v>
      </c>
      <c r="O63" s="2" t="n">
        <v>4</v>
      </c>
      <c r="P63" s="2" t="n">
        <v>0</v>
      </c>
      <c r="Q63" s="2" t="n">
        <v>51</v>
      </c>
      <c r="R63" s="2" t="n">
        <v>4</v>
      </c>
      <c r="S63" s="2" t="n">
        <v>0</v>
      </c>
      <c r="T63" s="2" t="n">
        <v>25</v>
      </c>
      <c r="U63" s="2" t="n">
        <v>51</v>
      </c>
      <c r="V63" s="2" t="s">
        <v>5552</v>
      </c>
    </row>
    <row r="64" customFormat="false" ht="15" hidden="false" customHeight="false" outlineLevel="0" collapsed="false">
      <c r="A64" s="2" t="n">
        <v>55</v>
      </c>
      <c r="B64" s="2" t="s">
        <v>660</v>
      </c>
      <c r="C64" s="2" t="s">
        <v>665</v>
      </c>
      <c r="D64" s="2" t="s">
        <v>5553</v>
      </c>
      <c r="E64" s="2" t="s">
        <v>5554</v>
      </c>
      <c r="F64" s="2" t="s">
        <v>5555</v>
      </c>
      <c r="G64" s="2" t="s">
        <v>5394</v>
      </c>
      <c r="H64" s="2" t="s">
        <v>5556</v>
      </c>
      <c r="I64" s="2" t="n">
        <v>26</v>
      </c>
      <c r="J64" s="2" t="n">
        <v>5059</v>
      </c>
      <c r="K64" s="2" t="n">
        <v>10</v>
      </c>
      <c r="L64" s="2" t="n">
        <v>9</v>
      </c>
      <c r="M64" s="2" t="n">
        <v>0</v>
      </c>
      <c r="N64" s="2" t="n">
        <v>0</v>
      </c>
      <c r="O64" s="2" t="n">
        <v>1</v>
      </c>
      <c r="P64" s="2" t="n">
        <v>0</v>
      </c>
      <c r="Q64" s="2" t="n">
        <v>4</v>
      </c>
      <c r="R64" s="2" t="n">
        <v>3</v>
      </c>
      <c r="S64" s="2" t="n">
        <v>1</v>
      </c>
      <c r="T64" s="2" t="n">
        <v>2</v>
      </c>
      <c r="U64" s="2" t="n">
        <v>24</v>
      </c>
      <c r="V64" s="2" t="s">
        <v>5521</v>
      </c>
    </row>
    <row r="65" customFormat="false" ht="15" hidden="false" customHeight="false" outlineLevel="0" collapsed="false">
      <c r="A65" s="2" t="n">
        <v>56</v>
      </c>
      <c r="B65" s="2" t="s">
        <v>669</v>
      </c>
      <c r="C65" s="2" t="s">
        <v>674</v>
      </c>
      <c r="D65" s="2" t="s">
        <v>5518</v>
      </c>
      <c r="E65" s="2" t="s">
        <v>5557</v>
      </c>
      <c r="F65" s="2" t="s">
        <v>5558</v>
      </c>
      <c r="G65" s="2" t="s">
        <v>5394</v>
      </c>
      <c r="H65" s="2" t="s">
        <v>5559</v>
      </c>
      <c r="I65" s="2" t="n">
        <v>48</v>
      </c>
      <c r="J65" s="2" t="n">
        <v>15008</v>
      </c>
      <c r="K65" s="2" t="n">
        <v>21</v>
      </c>
      <c r="L65" s="2" t="n">
        <v>8</v>
      </c>
      <c r="M65" s="2" t="n">
        <v>3</v>
      </c>
      <c r="N65" s="2" t="n">
        <v>1</v>
      </c>
      <c r="O65" s="2" t="n">
        <v>9</v>
      </c>
      <c r="P65" s="2" t="n">
        <v>0</v>
      </c>
      <c r="Q65" s="2" t="n">
        <v>6</v>
      </c>
      <c r="R65" s="2" t="n">
        <v>2</v>
      </c>
      <c r="S65" s="2" t="n">
        <v>0</v>
      </c>
      <c r="T65" s="2" t="n">
        <v>13</v>
      </c>
      <c r="U65" s="2" t="n">
        <v>98</v>
      </c>
      <c r="V65" s="2" t="s">
        <v>5521</v>
      </c>
    </row>
    <row r="66" customFormat="false" ht="15" hidden="false" customHeight="false" outlineLevel="0" collapsed="false">
      <c r="A66" s="2" t="n">
        <v>56</v>
      </c>
      <c r="B66" s="2" t="s">
        <v>669</v>
      </c>
      <c r="C66" s="2" t="s">
        <v>674</v>
      </c>
      <c r="D66" s="2" t="s">
        <v>5518</v>
      </c>
      <c r="E66" s="2" t="s">
        <v>5560</v>
      </c>
      <c r="F66" s="2" t="s">
        <v>5561</v>
      </c>
      <c r="G66" s="2" t="s">
        <v>5394</v>
      </c>
      <c r="H66" s="2" t="s">
        <v>5562</v>
      </c>
      <c r="I66" s="2" t="n">
        <v>44</v>
      </c>
      <c r="J66" s="2" t="n">
        <v>14025</v>
      </c>
      <c r="K66" s="2" t="n">
        <v>28</v>
      </c>
      <c r="L66" s="2" t="n">
        <v>7</v>
      </c>
      <c r="M66" s="2" t="n">
        <v>1</v>
      </c>
      <c r="N66" s="2" t="n">
        <v>0</v>
      </c>
      <c r="O66" s="2" t="n">
        <v>20</v>
      </c>
      <c r="P66" s="2" t="n">
        <v>0</v>
      </c>
      <c r="Q66" s="2" t="n">
        <v>9</v>
      </c>
      <c r="R66" s="2" t="n">
        <v>8</v>
      </c>
      <c r="S66" s="2" t="n">
        <v>2</v>
      </c>
      <c r="T66" s="2" t="n">
        <v>9</v>
      </c>
      <c r="U66" s="2" t="n">
        <v>78</v>
      </c>
      <c r="V66" s="2" t="s">
        <v>5521</v>
      </c>
    </row>
    <row r="67" customFormat="false" ht="15" hidden="false" customHeight="false" outlineLevel="0" collapsed="false">
      <c r="A67" s="2" t="n">
        <v>56</v>
      </c>
      <c r="B67" s="2" t="s">
        <v>669</v>
      </c>
      <c r="C67" s="2" t="s">
        <v>674</v>
      </c>
      <c r="D67" s="2" t="s">
        <v>5518</v>
      </c>
      <c r="E67" s="2" t="s">
        <v>5563</v>
      </c>
      <c r="F67" s="2" t="s">
        <v>5564</v>
      </c>
      <c r="G67" s="2" t="s">
        <v>5394</v>
      </c>
      <c r="H67" s="2" t="s">
        <v>5565</v>
      </c>
      <c r="I67" s="2" t="n">
        <v>32</v>
      </c>
      <c r="J67" s="2" t="n">
        <v>10228</v>
      </c>
      <c r="K67" s="2" t="n">
        <v>19</v>
      </c>
      <c r="L67" s="2" t="n">
        <v>5</v>
      </c>
      <c r="M67" s="2" t="n">
        <v>1</v>
      </c>
      <c r="N67" s="2" t="n">
        <v>0</v>
      </c>
      <c r="O67" s="2" t="n">
        <v>13</v>
      </c>
      <c r="P67" s="2" t="n">
        <v>0</v>
      </c>
      <c r="Q67" s="2" t="n">
        <v>3</v>
      </c>
      <c r="R67" s="2" t="n">
        <v>4</v>
      </c>
      <c r="S67" s="2" t="n">
        <v>1</v>
      </c>
      <c r="T67" s="2" t="n">
        <v>11</v>
      </c>
      <c r="U67" s="2" t="n">
        <v>58</v>
      </c>
      <c r="V67" s="2" t="s">
        <v>5521</v>
      </c>
    </row>
    <row r="68" customFormat="false" ht="15" hidden="false" customHeight="false" outlineLevel="0" collapsed="false">
      <c r="A68" s="2" t="n">
        <v>56</v>
      </c>
      <c r="B68" s="2" t="s">
        <v>669</v>
      </c>
      <c r="C68" s="2" t="s">
        <v>674</v>
      </c>
      <c r="D68" s="2" t="s">
        <v>5518</v>
      </c>
      <c r="E68" s="2" t="s">
        <v>5566</v>
      </c>
      <c r="F68" s="2" t="s">
        <v>5567</v>
      </c>
      <c r="G68" s="2" t="s">
        <v>5394</v>
      </c>
      <c r="H68" s="2" t="s">
        <v>5568</v>
      </c>
      <c r="I68" s="2" t="n">
        <v>64</v>
      </c>
      <c r="J68" s="2" t="n">
        <v>21929</v>
      </c>
      <c r="K68" s="2" t="n">
        <v>41</v>
      </c>
      <c r="L68" s="2" t="n">
        <v>30</v>
      </c>
      <c r="M68" s="2" t="n">
        <v>2</v>
      </c>
      <c r="N68" s="2" t="n">
        <v>0</v>
      </c>
      <c r="O68" s="2" t="n">
        <v>9</v>
      </c>
      <c r="P68" s="2" t="n">
        <v>0</v>
      </c>
      <c r="Q68" s="2" t="n">
        <v>21</v>
      </c>
      <c r="R68" s="2" t="n">
        <v>9</v>
      </c>
      <c r="S68" s="2" t="n">
        <v>1</v>
      </c>
      <c r="T68" s="2" t="n">
        <v>10</v>
      </c>
      <c r="U68" s="2" t="n">
        <v>180</v>
      </c>
      <c r="V68" s="2" t="s">
        <v>5521</v>
      </c>
    </row>
    <row r="69" customFormat="false" ht="15" hidden="false" customHeight="false" outlineLevel="0" collapsed="false">
      <c r="A69" s="2" t="n">
        <v>56</v>
      </c>
      <c r="B69" s="2" t="s">
        <v>669</v>
      </c>
      <c r="C69" s="2" t="s">
        <v>674</v>
      </c>
      <c r="D69" s="2" t="s">
        <v>5518</v>
      </c>
      <c r="E69" s="2" t="s">
        <v>5569</v>
      </c>
      <c r="F69" s="2" t="s">
        <v>5570</v>
      </c>
      <c r="G69" s="2" t="s">
        <v>5394</v>
      </c>
      <c r="H69" s="2" t="s">
        <v>5571</v>
      </c>
      <c r="I69" s="2" t="n">
        <v>9</v>
      </c>
      <c r="J69" s="2" t="n">
        <v>1968</v>
      </c>
      <c r="K69" s="2" t="n">
        <v>5</v>
      </c>
      <c r="L69" s="2" t="n">
        <v>3</v>
      </c>
      <c r="M69" s="2" t="n">
        <v>0</v>
      </c>
      <c r="N69" s="2" t="n">
        <v>0</v>
      </c>
      <c r="O69" s="2" t="n">
        <v>2</v>
      </c>
      <c r="P69" s="2" t="n">
        <v>0</v>
      </c>
      <c r="Q69" s="2" t="n">
        <v>1</v>
      </c>
      <c r="R69" s="2" t="n">
        <v>2</v>
      </c>
      <c r="S69" s="2" t="n">
        <v>1</v>
      </c>
      <c r="T69" s="2" t="n">
        <v>1</v>
      </c>
      <c r="U69" s="2" t="n">
        <v>7</v>
      </c>
      <c r="V69" s="2" t="s">
        <v>5521</v>
      </c>
    </row>
    <row r="70" customFormat="false" ht="15" hidden="false" customHeight="false" outlineLevel="0" collapsed="false">
      <c r="A70" s="2" t="n">
        <v>56</v>
      </c>
      <c r="B70" s="2" t="s">
        <v>669</v>
      </c>
      <c r="C70" s="2" t="s">
        <v>674</v>
      </c>
      <c r="D70" s="2" t="s">
        <v>5518</v>
      </c>
      <c r="E70" s="2" t="s">
        <v>5572</v>
      </c>
      <c r="F70" s="2" t="s">
        <v>5573</v>
      </c>
      <c r="G70" s="2" t="s">
        <v>5394</v>
      </c>
      <c r="H70" s="2" t="s">
        <v>5574</v>
      </c>
      <c r="I70" s="2" t="n">
        <v>67</v>
      </c>
      <c r="J70" s="2" t="n">
        <v>23482</v>
      </c>
      <c r="K70" s="2" t="n">
        <v>31</v>
      </c>
      <c r="L70" s="2" t="n">
        <v>16</v>
      </c>
      <c r="M70" s="2" t="n">
        <v>1</v>
      </c>
      <c r="N70" s="2" t="n">
        <v>0</v>
      </c>
      <c r="O70" s="2" t="n">
        <v>14</v>
      </c>
      <c r="P70" s="2" t="n">
        <v>0</v>
      </c>
      <c r="Q70" s="2" t="n">
        <v>13</v>
      </c>
      <c r="R70" s="2" t="n">
        <v>4</v>
      </c>
      <c r="S70" s="2" t="n">
        <v>2</v>
      </c>
      <c r="T70" s="2" t="n">
        <v>12</v>
      </c>
      <c r="U70" s="2" t="n">
        <v>390</v>
      </c>
      <c r="V70" s="2" t="s">
        <v>5521</v>
      </c>
    </row>
    <row r="71" customFormat="false" ht="15" hidden="false" customHeight="false" outlineLevel="0" collapsed="false">
      <c r="A71" s="2" t="n">
        <v>56</v>
      </c>
      <c r="B71" s="2" t="s">
        <v>669</v>
      </c>
      <c r="C71" s="2" t="s">
        <v>674</v>
      </c>
      <c r="D71" s="2" t="s">
        <v>5518</v>
      </c>
      <c r="E71" s="2" t="s">
        <v>5575</v>
      </c>
      <c r="F71" s="2" t="s">
        <v>5576</v>
      </c>
      <c r="G71" s="2" t="s">
        <v>5394</v>
      </c>
      <c r="H71" s="2" t="s">
        <v>5577</v>
      </c>
      <c r="I71" s="2" t="n">
        <v>51</v>
      </c>
      <c r="J71" s="2" t="n">
        <v>19431</v>
      </c>
      <c r="K71" s="2" t="n">
        <v>66</v>
      </c>
      <c r="L71" s="2" t="n">
        <v>29</v>
      </c>
      <c r="M71" s="2" t="n">
        <v>5</v>
      </c>
      <c r="N71" s="2" t="n">
        <v>1</v>
      </c>
      <c r="O71" s="2" t="n">
        <v>31</v>
      </c>
      <c r="P71" s="2" t="n">
        <v>0</v>
      </c>
      <c r="Q71" s="2" t="n">
        <v>40</v>
      </c>
      <c r="R71" s="2" t="n">
        <v>3</v>
      </c>
      <c r="S71" s="2" t="n">
        <v>1</v>
      </c>
      <c r="T71" s="2" t="n">
        <v>22</v>
      </c>
      <c r="U71" s="2" t="n">
        <v>162</v>
      </c>
      <c r="V71" s="2" t="s">
        <v>5521</v>
      </c>
    </row>
    <row r="72" customFormat="false" ht="15" hidden="false" customHeight="false" outlineLevel="0" collapsed="false">
      <c r="A72" s="2" t="n">
        <v>56</v>
      </c>
      <c r="B72" s="2" t="s">
        <v>669</v>
      </c>
      <c r="C72" s="2" t="s">
        <v>674</v>
      </c>
      <c r="D72" s="2" t="s">
        <v>5553</v>
      </c>
      <c r="E72" s="2" t="s">
        <v>5578</v>
      </c>
      <c r="F72" s="2" t="s">
        <v>1398</v>
      </c>
      <c r="G72" s="2" t="s">
        <v>5394</v>
      </c>
      <c r="H72" s="2" t="s">
        <v>5579</v>
      </c>
      <c r="I72" s="2" t="n">
        <v>49</v>
      </c>
      <c r="J72" s="2" t="n">
        <v>19725</v>
      </c>
      <c r="K72" s="2" t="n">
        <v>22</v>
      </c>
      <c r="L72" s="2" t="n">
        <v>15</v>
      </c>
      <c r="M72" s="2" t="n">
        <v>3</v>
      </c>
      <c r="N72" s="2" t="n">
        <v>0</v>
      </c>
      <c r="O72" s="2" t="n">
        <v>4</v>
      </c>
      <c r="P72" s="2" t="n">
        <v>0</v>
      </c>
      <c r="Q72" s="2" t="n">
        <v>8</v>
      </c>
      <c r="R72" s="2" t="n">
        <v>4</v>
      </c>
      <c r="S72" s="2" t="n">
        <v>4</v>
      </c>
      <c r="T72" s="2" t="n">
        <v>6</v>
      </c>
      <c r="U72" s="2" t="n">
        <v>196</v>
      </c>
      <c r="V72" s="2" t="s">
        <v>5521</v>
      </c>
    </row>
    <row r="73" customFormat="false" ht="15" hidden="false" customHeight="false" outlineLevel="0" collapsed="false">
      <c r="A73" s="2" t="n">
        <v>56</v>
      </c>
      <c r="B73" s="2" t="s">
        <v>669</v>
      </c>
      <c r="C73" s="2" t="s">
        <v>674</v>
      </c>
      <c r="D73" s="2" t="s">
        <v>5553</v>
      </c>
      <c r="E73" s="2" t="s">
        <v>5580</v>
      </c>
      <c r="F73" s="2" t="s">
        <v>3727</v>
      </c>
      <c r="G73" s="2" t="s">
        <v>5394</v>
      </c>
      <c r="H73" s="2" t="s">
        <v>5581</v>
      </c>
      <c r="I73" s="2" t="n">
        <v>10</v>
      </c>
      <c r="J73" s="2" t="n">
        <v>2274</v>
      </c>
      <c r="K73" s="2" t="n">
        <v>6</v>
      </c>
      <c r="L73" s="2" t="n">
        <v>5</v>
      </c>
      <c r="M73" s="2" t="n">
        <v>0</v>
      </c>
      <c r="N73" s="2" t="n">
        <v>0</v>
      </c>
      <c r="O73" s="2" t="n">
        <v>1</v>
      </c>
      <c r="P73" s="2" t="n">
        <v>0</v>
      </c>
      <c r="Q73" s="2" t="n">
        <v>2</v>
      </c>
      <c r="R73" s="2" t="n">
        <v>3</v>
      </c>
      <c r="S73" s="2" t="n">
        <v>1</v>
      </c>
      <c r="T73" s="2" t="n">
        <v>0</v>
      </c>
      <c r="U73" s="2" t="n">
        <v>18</v>
      </c>
      <c r="V73" s="2" t="s">
        <v>5521</v>
      </c>
    </row>
    <row r="74" customFormat="false" ht="15" hidden="false" customHeight="false" outlineLevel="0" collapsed="false">
      <c r="A74" s="2" t="n">
        <v>56</v>
      </c>
      <c r="B74" s="2" t="s">
        <v>669</v>
      </c>
      <c r="C74" s="2" t="s">
        <v>674</v>
      </c>
      <c r="D74" s="2" t="s">
        <v>5553</v>
      </c>
      <c r="E74" s="2" t="s">
        <v>5582</v>
      </c>
      <c r="F74" s="2" t="s">
        <v>3727</v>
      </c>
      <c r="G74" s="2" t="s">
        <v>5394</v>
      </c>
      <c r="H74" s="2" t="s">
        <v>5583</v>
      </c>
      <c r="I74" s="2" t="n">
        <v>16</v>
      </c>
      <c r="J74" s="2" t="n">
        <v>3536</v>
      </c>
      <c r="K74" s="2" t="n">
        <v>3</v>
      </c>
      <c r="L74" s="2" t="n">
        <v>3</v>
      </c>
      <c r="M74" s="2" t="n">
        <v>0</v>
      </c>
      <c r="N74" s="2" t="n">
        <v>0</v>
      </c>
      <c r="O74" s="2" t="n">
        <v>0</v>
      </c>
      <c r="P74" s="2" t="n">
        <v>0</v>
      </c>
      <c r="Q74" s="2" t="n">
        <v>0</v>
      </c>
      <c r="R74" s="2" t="n">
        <v>3</v>
      </c>
      <c r="S74" s="2" t="n">
        <v>0</v>
      </c>
      <c r="T74" s="2" t="n">
        <v>0</v>
      </c>
      <c r="U74" s="2" t="n">
        <v>25</v>
      </c>
      <c r="V74" s="2" t="s">
        <v>5521</v>
      </c>
    </row>
    <row r="75" customFormat="false" ht="15" hidden="false" customHeight="false" outlineLevel="0" collapsed="false">
      <c r="A75" s="2" t="n">
        <v>56</v>
      </c>
      <c r="B75" s="2" t="s">
        <v>669</v>
      </c>
      <c r="C75" s="2" t="s">
        <v>674</v>
      </c>
      <c r="D75" s="2" t="s">
        <v>5553</v>
      </c>
      <c r="E75" s="2" t="s">
        <v>5584</v>
      </c>
      <c r="F75" s="2" t="s">
        <v>3727</v>
      </c>
      <c r="G75" s="2" t="s">
        <v>5394</v>
      </c>
      <c r="H75" s="2" t="s">
        <v>5585</v>
      </c>
      <c r="I75" s="2" t="n">
        <v>10</v>
      </c>
      <c r="J75" s="2" t="n">
        <v>2161</v>
      </c>
      <c r="K75" s="2" t="n">
        <v>6</v>
      </c>
      <c r="L75" s="2" t="n">
        <v>4</v>
      </c>
      <c r="M75" s="2" t="n">
        <v>0</v>
      </c>
      <c r="N75" s="2" t="n">
        <v>0</v>
      </c>
      <c r="O75" s="2" t="n">
        <v>2</v>
      </c>
      <c r="P75" s="2" t="n">
        <v>0</v>
      </c>
      <c r="Q75" s="2" t="n">
        <v>2</v>
      </c>
      <c r="R75" s="2" t="n">
        <v>4</v>
      </c>
      <c r="S75" s="2" t="n">
        <v>0</v>
      </c>
      <c r="T75" s="2" t="n">
        <v>0</v>
      </c>
      <c r="U75" s="2" t="n">
        <v>37</v>
      </c>
      <c r="V75" s="2" t="s">
        <v>5521</v>
      </c>
    </row>
    <row r="76" customFormat="false" ht="15" hidden="false" customHeight="false" outlineLevel="0" collapsed="false">
      <c r="A76" s="2" t="n">
        <v>56</v>
      </c>
      <c r="B76" s="2" t="s">
        <v>669</v>
      </c>
      <c r="C76" s="2" t="s">
        <v>674</v>
      </c>
      <c r="D76" s="2" t="s">
        <v>5553</v>
      </c>
      <c r="E76" s="2" t="s">
        <v>5586</v>
      </c>
      <c r="F76" s="2" t="s">
        <v>1406</v>
      </c>
      <c r="G76" s="2" t="s">
        <v>5394</v>
      </c>
      <c r="H76" s="2" t="s">
        <v>5587</v>
      </c>
      <c r="I76" s="2" t="n">
        <v>35</v>
      </c>
      <c r="J76" s="2" t="n">
        <v>11143</v>
      </c>
      <c r="K76" s="2" t="n">
        <v>15</v>
      </c>
      <c r="L76" s="2" t="n">
        <v>8</v>
      </c>
      <c r="M76" s="2" t="n">
        <v>2</v>
      </c>
      <c r="N76" s="2" t="n">
        <v>0</v>
      </c>
      <c r="O76" s="2" t="n">
        <v>5</v>
      </c>
      <c r="P76" s="2" t="n">
        <v>0</v>
      </c>
      <c r="Q76" s="2" t="n">
        <v>6</v>
      </c>
      <c r="R76" s="2" t="n">
        <v>3</v>
      </c>
      <c r="S76" s="2" t="n">
        <v>1</v>
      </c>
      <c r="T76" s="2" t="n">
        <v>5</v>
      </c>
      <c r="U76" s="2" t="n">
        <v>165</v>
      </c>
      <c r="V76" s="2" t="s">
        <v>5521</v>
      </c>
    </row>
    <row r="77" customFormat="false" ht="15" hidden="false" customHeight="false" outlineLevel="0" collapsed="false">
      <c r="A77" s="2" t="n">
        <v>56</v>
      </c>
      <c r="B77" s="2" t="s">
        <v>669</v>
      </c>
      <c r="C77" s="2" t="s">
        <v>674</v>
      </c>
      <c r="D77" s="2" t="s">
        <v>5553</v>
      </c>
      <c r="E77" s="2" t="s">
        <v>5588</v>
      </c>
      <c r="F77" s="2" t="s">
        <v>3072</v>
      </c>
      <c r="G77" s="2" t="s">
        <v>5394</v>
      </c>
      <c r="H77" s="2" t="s">
        <v>5589</v>
      </c>
      <c r="I77" s="2" t="n">
        <v>14</v>
      </c>
      <c r="J77" s="2" t="n">
        <v>3257</v>
      </c>
      <c r="K77" s="2" t="n">
        <v>3</v>
      </c>
      <c r="L77" s="2" t="n">
        <v>3</v>
      </c>
      <c r="M77" s="2" t="n">
        <v>0</v>
      </c>
      <c r="N77" s="2" t="n">
        <v>0</v>
      </c>
      <c r="O77" s="2" t="n">
        <v>0</v>
      </c>
      <c r="P77" s="2" t="n">
        <v>0</v>
      </c>
      <c r="Q77" s="2" t="n">
        <v>0</v>
      </c>
      <c r="R77" s="2" t="n">
        <v>1</v>
      </c>
      <c r="S77" s="2" t="n">
        <v>2</v>
      </c>
      <c r="T77" s="2" t="n">
        <v>0</v>
      </c>
      <c r="U77" s="2" t="n">
        <v>31</v>
      </c>
      <c r="V77" s="2" t="s">
        <v>5521</v>
      </c>
    </row>
    <row r="78" customFormat="false" ht="15" hidden="false" customHeight="false" outlineLevel="0" collapsed="false">
      <c r="A78" s="2" t="n">
        <v>56</v>
      </c>
      <c r="B78" s="2" t="s">
        <v>669</v>
      </c>
      <c r="C78" s="2" t="s">
        <v>674</v>
      </c>
      <c r="D78" s="2" t="s">
        <v>5553</v>
      </c>
      <c r="E78" s="2" t="s">
        <v>5590</v>
      </c>
      <c r="F78" s="2" t="s">
        <v>281</v>
      </c>
      <c r="G78" s="2" t="s">
        <v>5394</v>
      </c>
      <c r="H78" s="2" t="s">
        <v>5591</v>
      </c>
      <c r="I78" s="2" t="n">
        <v>19</v>
      </c>
      <c r="J78" s="2" t="n">
        <v>4633</v>
      </c>
      <c r="K78" s="2" t="n">
        <v>9</v>
      </c>
      <c r="L78" s="2" t="n">
        <v>3</v>
      </c>
      <c r="M78" s="2" t="n">
        <v>2</v>
      </c>
      <c r="N78" s="2" t="n">
        <v>0</v>
      </c>
      <c r="O78" s="2" t="n">
        <v>4</v>
      </c>
      <c r="P78" s="2" t="n">
        <v>0</v>
      </c>
      <c r="Q78" s="2" t="n">
        <v>5</v>
      </c>
      <c r="R78" s="2" t="n">
        <v>3</v>
      </c>
      <c r="S78" s="2" t="n">
        <v>0</v>
      </c>
      <c r="T78" s="2" t="n">
        <v>1</v>
      </c>
      <c r="U78" s="2" t="n">
        <v>39</v>
      </c>
      <c r="V78" s="2" t="s">
        <v>5521</v>
      </c>
    </row>
    <row r="79" customFormat="false" ht="15" hidden="false" customHeight="false" outlineLevel="0" collapsed="false">
      <c r="A79" s="2" t="n">
        <v>57</v>
      </c>
      <c r="B79" s="2" t="s">
        <v>681</v>
      </c>
      <c r="C79" s="2" t="s">
        <v>685</v>
      </c>
      <c r="D79" s="2" t="s">
        <v>5518</v>
      </c>
      <c r="E79" s="2" t="s">
        <v>5592</v>
      </c>
      <c r="F79" s="2" t="s">
        <v>5593</v>
      </c>
      <c r="G79" s="2" t="s">
        <v>5394</v>
      </c>
      <c r="H79" s="2" t="s">
        <v>5594</v>
      </c>
      <c r="I79" s="2" t="n">
        <v>26</v>
      </c>
      <c r="J79" s="2" t="n">
        <v>9658</v>
      </c>
      <c r="K79" s="2" t="n">
        <v>26</v>
      </c>
      <c r="L79" s="2" t="n">
        <v>17</v>
      </c>
      <c r="M79" s="2" t="n">
        <v>2</v>
      </c>
      <c r="N79" s="2" t="n">
        <v>0</v>
      </c>
      <c r="O79" s="2" t="n">
        <v>7</v>
      </c>
      <c r="P79" s="2" t="n">
        <v>0</v>
      </c>
      <c r="Q79" s="2" t="n">
        <v>9</v>
      </c>
      <c r="R79" s="2" t="n">
        <v>2</v>
      </c>
      <c r="S79" s="2" t="n">
        <v>1</v>
      </c>
      <c r="T79" s="2" t="n">
        <v>14</v>
      </c>
      <c r="U79" s="2" t="n">
        <v>77</v>
      </c>
      <c r="V79" s="2" t="s">
        <v>5521</v>
      </c>
    </row>
    <row r="80" customFormat="false" ht="15" hidden="false" customHeight="false" outlineLevel="0" collapsed="false">
      <c r="A80" s="2" t="n">
        <v>57</v>
      </c>
      <c r="B80" s="2" t="s">
        <v>681</v>
      </c>
      <c r="C80" s="2" t="s">
        <v>685</v>
      </c>
      <c r="D80" s="2" t="s">
        <v>5518</v>
      </c>
      <c r="E80" s="2" t="s">
        <v>5595</v>
      </c>
      <c r="F80" s="2" t="s">
        <v>5593</v>
      </c>
      <c r="G80" s="2" t="s">
        <v>5394</v>
      </c>
      <c r="H80" s="2" t="s">
        <v>5596</v>
      </c>
      <c r="I80" s="2" t="n">
        <v>36</v>
      </c>
      <c r="J80" s="2" t="n">
        <v>11629</v>
      </c>
      <c r="K80" s="2" t="n">
        <v>37</v>
      </c>
      <c r="L80" s="2" t="n">
        <v>30</v>
      </c>
      <c r="M80" s="2" t="n">
        <v>1</v>
      </c>
      <c r="N80" s="2" t="n">
        <v>0</v>
      </c>
      <c r="O80" s="2" t="n">
        <v>5</v>
      </c>
      <c r="P80" s="2" t="n">
        <v>1</v>
      </c>
      <c r="Q80" s="2" t="n">
        <v>9</v>
      </c>
      <c r="R80" s="2" t="n">
        <v>6</v>
      </c>
      <c r="S80" s="2" t="n">
        <v>1</v>
      </c>
      <c r="T80" s="2" t="n">
        <v>21</v>
      </c>
      <c r="U80" s="2" t="n">
        <v>67</v>
      </c>
      <c r="V80" s="2" t="s">
        <v>5597</v>
      </c>
    </row>
    <row r="81" customFormat="false" ht="15" hidden="false" customHeight="false" outlineLevel="0" collapsed="false">
      <c r="A81" s="2" t="n">
        <v>60</v>
      </c>
      <c r="B81" s="2" t="s">
        <v>714</v>
      </c>
      <c r="C81" s="2" t="s">
        <v>718</v>
      </c>
      <c r="D81" s="2" t="s">
        <v>5391</v>
      </c>
      <c r="E81" s="2" t="s">
        <v>5598</v>
      </c>
      <c r="F81" s="2" t="s">
        <v>5599</v>
      </c>
      <c r="G81" s="2" t="s">
        <v>5394</v>
      </c>
      <c r="H81" s="2" t="s">
        <v>5600</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5552</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5601</v>
      </c>
      <c r="B1" s="1" t="s">
        <v>5602</v>
      </c>
      <c r="C1" s="1" t="s">
        <v>15</v>
      </c>
      <c r="D1" s="1" t="s">
        <v>5603</v>
      </c>
      <c r="E1" s="1" t="s">
        <v>23</v>
      </c>
      <c r="F1" s="1" t="s">
        <v>5604</v>
      </c>
      <c r="G1" s="1" t="s">
        <v>5605</v>
      </c>
      <c r="H1" s="1" t="s">
        <v>5606</v>
      </c>
      <c r="I1" s="1" t="s">
        <v>5607</v>
      </c>
      <c r="J1" s="1" t="s">
        <v>5608</v>
      </c>
      <c r="K1" s="1" t="s">
        <v>5609</v>
      </c>
      <c r="L1" s="1" t="s">
        <v>5610</v>
      </c>
      <c r="M1" s="1" t="s">
        <v>5611</v>
      </c>
      <c r="N1" s="1" t="s">
        <v>5612</v>
      </c>
      <c r="O1" s="1" t="s">
        <v>5613</v>
      </c>
      <c r="P1" s="1" t="s">
        <v>67</v>
      </c>
    </row>
    <row r="2" customFormat="false" ht="15" hidden="false" customHeight="false" outlineLevel="0" collapsed="false">
      <c r="A2" s="2" t="s">
        <v>5614</v>
      </c>
      <c r="B2" s="2" t="s">
        <v>5615</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5616</v>
      </c>
    </row>
    <row r="3" customFormat="false" ht="15" hidden="false" customHeight="false" outlineLevel="0" collapsed="false">
      <c r="A3" s="2" t="s">
        <v>5614</v>
      </c>
      <c r="B3" s="2" t="s">
        <v>5617</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5618</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5619</v>
      </c>
      <c r="B5" s="2" t="s">
        <v>5620</v>
      </c>
      <c r="C5" s="2"/>
      <c r="D5" s="2" t="n">
        <v>14601</v>
      </c>
      <c r="E5" s="2" t="n">
        <v>207</v>
      </c>
      <c r="F5" s="2"/>
      <c r="G5" s="2"/>
      <c r="H5" s="2"/>
      <c r="I5" s="2" t="n">
        <v>14</v>
      </c>
      <c r="J5" s="2"/>
      <c r="K5" s="2"/>
      <c r="L5" s="2"/>
      <c r="M5" s="2"/>
      <c r="N5" s="2" t="n">
        <v>0.84</v>
      </c>
      <c r="O5" s="2" t="n">
        <f aca="false">E4*N4</f>
        <v>0</v>
      </c>
      <c r="P5" s="2" t="s">
        <v>5621</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30"/>
  </cols>
  <sheetData>
    <row r="1" customFormat="false" ht="45" hidden="false" customHeight="true" outlineLevel="0" collapsed="false">
      <c r="A1" s="1" t="s">
        <v>1189</v>
      </c>
      <c r="B1" s="1" t="s">
        <v>1190</v>
      </c>
      <c r="C1" s="1" t="s">
        <v>51</v>
      </c>
      <c r="D1" s="1" t="s">
        <v>5622</v>
      </c>
      <c r="E1" s="1" t="s">
        <v>5623</v>
      </c>
      <c r="F1" s="1" t="s">
        <v>5624</v>
      </c>
      <c r="G1" s="1" t="s">
        <v>5625</v>
      </c>
      <c r="H1" s="1" t="s">
        <v>5626</v>
      </c>
      <c r="I1" s="1" t="s">
        <v>5387</v>
      </c>
      <c r="J1" s="1" t="s">
        <v>5627</v>
      </c>
    </row>
    <row r="2" customFormat="false" ht="68.65" hidden="false" customHeight="false" outlineLevel="0" collapsed="false">
      <c r="A2" s="7" t="n">
        <v>4</v>
      </c>
      <c r="B2" s="7" t="s">
        <v>111</v>
      </c>
      <c r="C2" s="7" t="s">
        <v>121</v>
      </c>
      <c r="D2" s="7" t="s">
        <v>67</v>
      </c>
      <c r="E2" s="7" t="s">
        <v>5628</v>
      </c>
      <c r="F2" s="7"/>
      <c r="G2" s="7"/>
      <c r="H2" s="7"/>
      <c r="I2" s="7"/>
      <c r="J2" s="7"/>
    </row>
    <row r="3" customFormat="false" ht="68.65" hidden="false" customHeight="false" outlineLevel="0" collapsed="false">
      <c r="A3" s="7" t="n">
        <v>4</v>
      </c>
      <c r="B3" s="7" t="s">
        <v>111</v>
      </c>
      <c r="C3" s="7" t="s">
        <v>121</v>
      </c>
      <c r="D3" s="7" t="s">
        <v>5629</v>
      </c>
      <c r="E3" s="7" t="s">
        <v>5630</v>
      </c>
      <c r="F3" s="7" t="s">
        <v>5631</v>
      </c>
      <c r="G3" s="7"/>
      <c r="H3" s="7" t="s">
        <v>5632</v>
      </c>
      <c r="I3" s="7" t="s">
        <v>5633</v>
      </c>
      <c r="J3" s="7" t="s">
        <v>5634</v>
      </c>
    </row>
    <row r="4" customFormat="false" ht="23.85" hidden="false" customHeight="false" outlineLevel="0" collapsed="false">
      <c r="A4" s="7" t="n">
        <v>4</v>
      </c>
      <c r="B4" s="7" t="s">
        <v>111</v>
      </c>
      <c r="C4" s="7" t="s">
        <v>121</v>
      </c>
      <c r="D4" s="7" t="s">
        <v>5629</v>
      </c>
      <c r="E4" s="7" t="s">
        <v>5635</v>
      </c>
      <c r="F4" s="7" t="s">
        <v>5636</v>
      </c>
      <c r="G4" s="7"/>
      <c r="H4" s="7" t="s">
        <v>5637</v>
      </c>
      <c r="I4" s="7" t="s">
        <v>5638</v>
      </c>
      <c r="J4" s="7" t="s">
        <v>5639</v>
      </c>
    </row>
    <row r="5" customFormat="false" ht="35.05" hidden="false" customHeight="false" outlineLevel="0" collapsed="false">
      <c r="A5" s="7" t="n">
        <v>4</v>
      </c>
      <c r="B5" s="7" t="s">
        <v>111</v>
      </c>
      <c r="C5" s="7" t="s">
        <v>121</v>
      </c>
      <c r="D5" s="7" t="s">
        <v>5640</v>
      </c>
      <c r="E5" s="7" t="s">
        <v>5641</v>
      </c>
      <c r="F5" s="7"/>
      <c r="G5" s="7"/>
      <c r="H5" s="7" t="s">
        <v>5642</v>
      </c>
      <c r="I5" s="7" t="s">
        <v>5643</v>
      </c>
      <c r="J5" s="7" t="s">
        <v>5644</v>
      </c>
    </row>
    <row r="6" customFormat="false" ht="68.65" hidden="false" customHeight="false" outlineLevel="0" collapsed="false">
      <c r="A6" s="7" t="n">
        <v>8</v>
      </c>
      <c r="B6" s="7" t="s">
        <v>162</v>
      </c>
      <c r="C6" s="7" t="s">
        <v>171</v>
      </c>
      <c r="D6" s="7" t="s">
        <v>67</v>
      </c>
      <c r="E6" s="7" t="s">
        <v>5645</v>
      </c>
      <c r="F6" s="7"/>
      <c r="G6" s="7"/>
      <c r="H6" s="7"/>
      <c r="I6" s="7"/>
      <c r="J6" s="7"/>
    </row>
    <row r="7" customFormat="false" ht="46.25" hidden="false" customHeight="false" outlineLevel="0" collapsed="false">
      <c r="A7" s="7" t="n">
        <v>8</v>
      </c>
      <c r="B7" s="7" t="s">
        <v>162</v>
      </c>
      <c r="C7" s="7" t="s">
        <v>171</v>
      </c>
      <c r="D7" s="7" t="s">
        <v>5646</v>
      </c>
      <c r="E7" s="7" t="s">
        <v>5647</v>
      </c>
      <c r="F7" s="7" t="s">
        <v>5648</v>
      </c>
      <c r="G7" s="7"/>
      <c r="H7" s="7" t="s">
        <v>5649</v>
      </c>
      <c r="I7" s="7" t="s">
        <v>5643</v>
      </c>
      <c r="J7" s="7" t="s">
        <v>5650</v>
      </c>
    </row>
    <row r="8" customFormat="false" ht="57.45" hidden="false" customHeight="false" outlineLevel="0" collapsed="false">
      <c r="A8" s="7" t="n">
        <v>8</v>
      </c>
      <c r="B8" s="7" t="s">
        <v>162</v>
      </c>
      <c r="C8" s="7" t="s">
        <v>171</v>
      </c>
      <c r="D8" s="7" t="s">
        <v>5646</v>
      </c>
      <c r="E8" s="7" t="s">
        <v>5651</v>
      </c>
      <c r="F8" s="7" t="s">
        <v>5652</v>
      </c>
      <c r="G8" s="7"/>
      <c r="H8" s="7" t="s">
        <v>5653</v>
      </c>
      <c r="I8" s="7" t="s">
        <v>5654</v>
      </c>
      <c r="J8" s="7" t="s">
        <v>5655</v>
      </c>
    </row>
    <row r="9" customFormat="false" ht="23.85" hidden="false" customHeight="false" outlineLevel="0" collapsed="false">
      <c r="A9" s="7" t="n">
        <v>8</v>
      </c>
      <c r="B9" s="7" t="s">
        <v>162</v>
      </c>
      <c r="C9" s="7" t="s">
        <v>171</v>
      </c>
      <c r="D9" s="7" t="s">
        <v>5646</v>
      </c>
      <c r="E9" s="7" t="s">
        <v>5656</v>
      </c>
      <c r="F9" s="7" t="s">
        <v>5657</v>
      </c>
      <c r="G9" s="7"/>
      <c r="H9" s="7" t="s">
        <v>5658</v>
      </c>
      <c r="I9" s="7" t="s">
        <v>5638</v>
      </c>
      <c r="J9" s="7" t="s">
        <v>5659</v>
      </c>
    </row>
    <row r="10" customFormat="false" ht="57.45" hidden="false" customHeight="false" outlineLevel="0" collapsed="false">
      <c r="A10" s="7" t="n">
        <v>7</v>
      </c>
      <c r="B10" s="7" t="s">
        <v>148</v>
      </c>
      <c r="C10" s="7" t="s">
        <v>159</v>
      </c>
      <c r="D10" s="7" t="s">
        <v>67</v>
      </c>
      <c r="E10" s="7" t="s">
        <v>5660</v>
      </c>
      <c r="F10" s="7"/>
      <c r="G10" s="7"/>
      <c r="H10" s="7"/>
      <c r="I10" s="7"/>
      <c r="J10" s="7"/>
    </row>
    <row r="11" customFormat="false" ht="68.65" hidden="false" customHeight="false" outlineLevel="0" collapsed="false">
      <c r="A11" s="7" t="n">
        <v>7</v>
      </c>
      <c r="B11" s="7" t="s">
        <v>148</v>
      </c>
      <c r="C11" s="7" t="s">
        <v>159</v>
      </c>
      <c r="D11" s="7" t="s">
        <v>5629</v>
      </c>
      <c r="E11" s="7" t="s">
        <v>5661</v>
      </c>
      <c r="F11" s="7" t="s">
        <v>5662</v>
      </c>
      <c r="G11" s="7"/>
      <c r="H11" s="7" t="s">
        <v>5663</v>
      </c>
      <c r="I11" s="7" t="s">
        <v>5654</v>
      </c>
      <c r="J11" s="7" t="s">
        <v>5664</v>
      </c>
    </row>
    <row r="12" customFormat="false" ht="46.25" hidden="false" customHeight="false" outlineLevel="0" collapsed="false">
      <c r="A12" s="7" t="n">
        <v>7</v>
      </c>
      <c r="B12" s="7" t="s">
        <v>148</v>
      </c>
      <c r="C12" s="7" t="s">
        <v>159</v>
      </c>
      <c r="D12" s="7" t="s">
        <v>5629</v>
      </c>
      <c r="E12" s="7" t="s">
        <v>5665</v>
      </c>
      <c r="F12" s="7" t="s">
        <v>5666</v>
      </c>
      <c r="G12" s="7"/>
      <c r="H12" s="7" t="s">
        <v>5667</v>
      </c>
      <c r="I12" s="7" t="s">
        <v>5668</v>
      </c>
      <c r="J12" s="7" t="s">
        <v>5669</v>
      </c>
    </row>
    <row r="13" customFormat="false" ht="57.45" hidden="false" customHeight="false" outlineLevel="0" collapsed="false">
      <c r="A13" s="7" t="n">
        <v>7</v>
      </c>
      <c r="B13" s="7" t="s">
        <v>148</v>
      </c>
      <c r="C13" s="7" t="s">
        <v>159</v>
      </c>
      <c r="D13" s="7" t="s">
        <v>5629</v>
      </c>
      <c r="E13" s="7" t="s">
        <v>5670</v>
      </c>
      <c r="F13" s="7" t="s">
        <v>5671</v>
      </c>
      <c r="G13" s="7"/>
      <c r="H13" s="7" t="s">
        <v>5672</v>
      </c>
      <c r="I13" s="7" t="s">
        <v>5654</v>
      </c>
      <c r="J13" s="7" t="s">
        <v>5673</v>
      </c>
    </row>
    <row r="14" customFormat="false" ht="35.05" hidden="false" customHeight="false" outlineLevel="0" collapsed="false">
      <c r="A14" s="7" t="n">
        <v>7</v>
      </c>
      <c r="B14" s="7" t="s">
        <v>148</v>
      </c>
      <c r="C14" s="7" t="s">
        <v>159</v>
      </c>
      <c r="D14" s="7" t="s">
        <v>5674</v>
      </c>
      <c r="E14" s="7" t="s">
        <v>5675</v>
      </c>
      <c r="F14" s="7" t="s">
        <v>5676</v>
      </c>
      <c r="G14" s="7"/>
      <c r="H14" s="7" t="s">
        <v>5677</v>
      </c>
      <c r="I14" s="7" t="s">
        <v>5643</v>
      </c>
      <c r="J14" s="7" t="s">
        <v>5678</v>
      </c>
    </row>
    <row r="15" customFormat="false" ht="35.05" hidden="false" customHeight="false" outlineLevel="0" collapsed="false">
      <c r="A15" s="7" t="n">
        <v>9</v>
      </c>
      <c r="B15" s="7" t="s">
        <v>174</v>
      </c>
      <c r="C15" s="7" t="s">
        <v>186</v>
      </c>
      <c r="D15" s="7" t="s">
        <v>67</v>
      </c>
      <c r="E15" s="7" t="s">
        <v>5679</v>
      </c>
      <c r="F15" s="7"/>
      <c r="G15" s="7"/>
      <c r="H15" s="7"/>
      <c r="I15" s="7"/>
      <c r="J15" s="7"/>
    </row>
    <row r="16" customFormat="false" ht="35.05" hidden="false" customHeight="false" outlineLevel="0" collapsed="false">
      <c r="A16" s="7" t="n">
        <v>9</v>
      </c>
      <c r="B16" s="7" t="s">
        <v>174</v>
      </c>
      <c r="C16" s="7" t="s">
        <v>186</v>
      </c>
      <c r="D16" s="7" t="s">
        <v>5680</v>
      </c>
      <c r="E16" s="7" t="s">
        <v>5681</v>
      </c>
      <c r="F16" s="7" t="s">
        <v>5682</v>
      </c>
      <c r="G16" s="7"/>
      <c r="H16" s="7" t="s">
        <v>5683</v>
      </c>
      <c r="I16" s="7" t="s">
        <v>5684</v>
      </c>
      <c r="J16" s="7" t="s">
        <v>5685</v>
      </c>
    </row>
    <row r="17" customFormat="false" ht="23.85" hidden="false" customHeight="false" outlineLevel="0" collapsed="false">
      <c r="A17" s="7" t="n">
        <v>9</v>
      </c>
      <c r="B17" s="7" t="s">
        <v>174</v>
      </c>
      <c r="C17" s="7" t="s">
        <v>186</v>
      </c>
      <c r="D17" s="7" t="s">
        <v>5680</v>
      </c>
      <c r="E17" s="7" t="s">
        <v>5686</v>
      </c>
      <c r="F17" s="7" t="s">
        <v>5687</v>
      </c>
      <c r="G17" s="7"/>
      <c r="H17" s="7" t="s">
        <v>5688</v>
      </c>
      <c r="I17" s="7" t="s">
        <v>5643</v>
      </c>
      <c r="J17" s="7" t="s">
        <v>5689</v>
      </c>
    </row>
    <row r="18" customFormat="false" ht="68.65" hidden="false" customHeight="false" outlineLevel="0" collapsed="false">
      <c r="A18" s="7" t="n">
        <v>11</v>
      </c>
      <c r="B18" s="7" t="s">
        <v>198</v>
      </c>
      <c r="C18" s="7" t="s">
        <v>5690</v>
      </c>
      <c r="D18" s="7" t="s">
        <v>67</v>
      </c>
      <c r="E18" s="7" t="s">
        <v>5691</v>
      </c>
      <c r="F18" s="7"/>
      <c r="G18" s="7"/>
      <c r="H18" s="7"/>
      <c r="I18" s="7"/>
      <c r="J18" s="7"/>
    </row>
    <row r="19" customFormat="false" ht="79.85" hidden="false" customHeight="false" outlineLevel="0" collapsed="false">
      <c r="A19" s="7" t="n">
        <v>11</v>
      </c>
      <c r="B19" s="7" t="s">
        <v>198</v>
      </c>
      <c r="C19" s="7" t="s">
        <v>5690</v>
      </c>
      <c r="D19" s="7" t="s">
        <v>5629</v>
      </c>
      <c r="E19" s="7" t="s">
        <v>5692</v>
      </c>
      <c r="F19" s="7" t="s">
        <v>5693</v>
      </c>
      <c r="G19" s="7"/>
      <c r="H19" s="7" t="s">
        <v>5694</v>
      </c>
      <c r="I19" s="7" t="s">
        <v>5654</v>
      </c>
      <c r="J19" s="7" t="s">
        <v>5695</v>
      </c>
    </row>
    <row r="20" customFormat="false" ht="35.05" hidden="false" customHeight="false" outlineLevel="0" collapsed="false">
      <c r="A20" s="7" t="n">
        <v>11</v>
      </c>
      <c r="B20" s="7" t="s">
        <v>198</v>
      </c>
      <c r="C20" s="7" t="s">
        <v>5690</v>
      </c>
      <c r="D20" s="7" t="s">
        <v>5629</v>
      </c>
      <c r="E20" s="7" t="s">
        <v>5696</v>
      </c>
      <c r="F20" s="7"/>
      <c r="G20" s="7"/>
      <c r="H20" s="7" t="s">
        <v>5697</v>
      </c>
      <c r="I20" s="7" t="s">
        <v>5638</v>
      </c>
      <c r="J20" s="7" t="s">
        <v>5698</v>
      </c>
    </row>
    <row r="21" customFormat="false" ht="23.85" hidden="false" customHeight="false" outlineLevel="0" collapsed="false">
      <c r="A21" s="7" t="n">
        <v>11</v>
      </c>
      <c r="B21" s="7" t="s">
        <v>198</v>
      </c>
      <c r="C21" s="7" t="s">
        <v>5690</v>
      </c>
      <c r="D21" s="7" t="s">
        <v>5699</v>
      </c>
      <c r="E21" s="7" t="s">
        <v>5700</v>
      </c>
      <c r="F21" s="7" t="s">
        <v>5701</v>
      </c>
      <c r="G21" s="7"/>
      <c r="H21" s="7" t="s">
        <v>5702</v>
      </c>
      <c r="I21" s="7" t="s">
        <v>5643</v>
      </c>
      <c r="J21" s="7" t="s">
        <v>5703</v>
      </c>
    </row>
    <row r="22" customFormat="false" ht="57.45" hidden="false" customHeight="false" outlineLevel="0" collapsed="false">
      <c r="A22" s="7" t="n">
        <v>11</v>
      </c>
      <c r="B22" s="7" t="s">
        <v>198</v>
      </c>
      <c r="C22" s="7" t="s">
        <v>5690</v>
      </c>
      <c r="D22" s="7" t="s">
        <v>5623</v>
      </c>
      <c r="E22" s="7" t="s">
        <v>5704</v>
      </c>
      <c r="F22" s="7" t="s">
        <v>5705</v>
      </c>
      <c r="G22" s="7"/>
      <c r="H22" s="7" t="s">
        <v>5706</v>
      </c>
      <c r="I22" s="7" t="s">
        <v>5654</v>
      </c>
      <c r="J22" s="7" t="s">
        <v>5707</v>
      </c>
    </row>
    <row r="23" customFormat="false" ht="68.65" hidden="false" customHeight="false" outlineLevel="0" collapsed="false">
      <c r="A23" s="7" t="n">
        <v>13</v>
      </c>
      <c r="B23" s="7" t="s">
        <v>221</v>
      </c>
      <c r="C23" s="7" t="s">
        <v>231</v>
      </c>
      <c r="D23" s="7" t="s">
        <v>67</v>
      </c>
      <c r="E23" s="7" t="s">
        <v>5708</v>
      </c>
      <c r="F23" s="7"/>
      <c r="G23" s="7"/>
      <c r="H23" s="7"/>
      <c r="I23" s="7"/>
      <c r="J23" s="7"/>
    </row>
    <row r="24" customFormat="false" ht="91" hidden="false" customHeight="false" outlineLevel="0" collapsed="false">
      <c r="A24" s="7" t="n">
        <v>13</v>
      </c>
      <c r="B24" s="7" t="s">
        <v>221</v>
      </c>
      <c r="C24" s="7" t="s">
        <v>231</v>
      </c>
      <c r="D24" s="7" t="s">
        <v>5709</v>
      </c>
      <c r="E24" s="7" t="s">
        <v>5710</v>
      </c>
      <c r="F24" s="7" t="s">
        <v>5711</v>
      </c>
      <c r="G24" s="7" t="s">
        <v>5712</v>
      </c>
      <c r="H24" s="7" t="s">
        <v>5713</v>
      </c>
      <c r="I24" s="7" t="s">
        <v>5643</v>
      </c>
      <c r="J24" s="7" t="s">
        <v>5714</v>
      </c>
    </row>
    <row r="25" customFormat="false" ht="68.65" hidden="false" customHeight="false" outlineLevel="0" collapsed="false">
      <c r="A25" s="7" t="n">
        <v>13</v>
      </c>
      <c r="B25" s="7" t="s">
        <v>221</v>
      </c>
      <c r="C25" s="7" t="s">
        <v>231</v>
      </c>
      <c r="D25" s="7" t="s">
        <v>5709</v>
      </c>
      <c r="E25" s="7" t="s">
        <v>5715</v>
      </c>
      <c r="F25" s="7" t="s">
        <v>5716</v>
      </c>
      <c r="G25" s="7"/>
      <c r="H25" s="7" t="s">
        <v>5717</v>
      </c>
      <c r="I25" s="7" t="s">
        <v>5718</v>
      </c>
      <c r="J25" s="7" t="s">
        <v>5719</v>
      </c>
    </row>
    <row r="26" customFormat="false" ht="46.25" hidden="false" customHeight="false" outlineLevel="0" collapsed="false">
      <c r="A26" s="7" t="n">
        <v>13</v>
      </c>
      <c r="B26" s="7" t="s">
        <v>221</v>
      </c>
      <c r="C26" s="7" t="s">
        <v>231</v>
      </c>
      <c r="D26" s="7" t="s">
        <v>5709</v>
      </c>
      <c r="E26" s="7" t="s">
        <v>5720</v>
      </c>
      <c r="F26" s="7" t="s">
        <v>5721</v>
      </c>
      <c r="G26" s="7"/>
      <c r="H26" s="7" t="s">
        <v>5722</v>
      </c>
      <c r="I26" s="7" t="s">
        <v>5643</v>
      </c>
      <c r="J26" s="7" t="s">
        <v>5723</v>
      </c>
    </row>
    <row r="27" customFormat="false" ht="46.25" hidden="false" customHeight="false" outlineLevel="0" collapsed="false">
      <c r="A27" s="7" t="n">
        <v>13</v>
      </c>
      <c r="B27" s="7" t="s">
        <v>221</v>
      </c>
      <c r="C27" s="7" t="s">
        <v>231</v>
      </c>
      <c r="D27" s="7" t="s">
        <v>5709</v>
      </c>
      <c r="E27" s="7" t="s">
        <v>5724</v>
      </c>
      <c r="F27" s="7" t="s">
        <v>5725</v>
      </c>
      <c r="G27" s="7"/>
      <c r="H27" s="7" t="s">
        <v>5726</v>
      </c>
      <c r="I27" s="7" t="s">
        <v>5638</v>
      </c>
      <c r="J27" s="7" t="s">
        <v>5727</v>
      </c>
    </row>
    <row r="28" customFormat="false" ht="57.45" hidden="false" customHeight="false" outlineLevel="0" collapsed="false">
      <c r="A28" s="7" t="n">
        <v>19</v>
      </c>
      <c r="B28" s="7" t="s">
        <v>295</v>
      </c>
      <c r="C28" s="7" t="s">
        <v>305</v>
      </c>
      <c r="D28" s="7" t="s">
        <v>67</v>
      </c>
      <c r="E28" s="7" t="s">
        <v>5728</v>
      </c>
      <c r="F28" s="7"/>
      <c r="G28" s="7"/>
      <c r="H28" s="7"/>
      <c r="I28" s="7"/>
      <c r="J28" s="7"/>
    </row>
    <row r="29" customFormat="false" ht="57.45" hidden="false" customHeight="false" outlineLevel="0" collapsed="false">
      <c r="A29" s="7" t="n">
        <v>19</v>
      </c>
      <c r="B29" s="7" t="s">
        <v>295</v>
      </c>
      <c r="C29" s="7" t="s">
        <v>305</v>
      </c>
      <c r="D29" s="7" t="s">
        <v>5729</v>
      </c>
      <c r="E29" s="7" t="s">
        <v>5730</v>
      </c>
      <c r="F29" s="7" t="s">
        <v>5731</v>
      </c>
      <c r="G29" s="7"/>
      <c r="H29" s="7" t="s">
        <v>5732</v>
      </c>
      <c r="I29" s="7" t="s">
        <v>5643</v>
      </c>
      <c r="J29" s="7" t="s">
        <v>5733</v>
      </c>
    </row>
    <row r="30" customFormat="false" ht="35.05" hidden="false" customHeight="false" outlineLevel="0" collapsed="false">
      <c r="A30" s="7" t="n">
        <v>19</v>
      </c>
      <c r="B30" s="7" t="s">
        <v>295</v>
      </c>
      <c r="C30" s="7" t="s">
        <v>305</v>
      </c>
      <c r="D30" s="7" t="s">
        <v>5729</v>
      </c>
      <c r="E30" s="7" t="s">
        <v>5686</v>
      </c>
      <c r="F30" s="7" t="s">
        <v>5734</v>
      </c>
      <c r="G30" s="7"/>
      <c r="H30" s="7" t="s">
        <v>5735</v>
      </c>
      <c r="I30" s="7" t="s">
        <v>5633</v>
      </c>
      <c r="J30" s="7" t="s">
        <v>5733</v>
      </c>
    </row>
    <row r="31" customFormat="false" ht="35.05" hidden="false" customHeight="false" outlineLevel="0" collapsed="false">
      <c r="A31" s="7" t="n">
        <v>19</v>
      </c>
      <c r="B31" s="7" t="s">
        <v>295</v>
      </c>
      <c r="C31" s="7" t="s">
        <v>305</v>
      </c>
      <c r="D31" s="7" t="s">
        <v>5729</v>
      </c>
      <c r="E31" s="7" t="s">
        <v>5736</v>
      </c>
      <c r="F31" s="7" t="s">
        <v>5737</v>
      </c>
      <c r="G31" s="7" t="s">
        <v>5738</v>
      </c>
      <c r="H31" s="7" t="s">
        <v>5739</v>
      </c>
      <c r="I31" s="7" t="s">
        <v>5643</v>
      </c>
      <c r="J31" s="7" t="s">
        <v>5740</v>
      </c>
    </row>
    <row r="32" customFormat="false" ht="46.25" hidden="false" customHeight="false" outlineLevel="0" collapsed="false">
      <c r="A32" s="7" t="n">
        <v>19</v>
      </c>
      <c r="B32" s="7" t="s">
        <v>295</v>
      </c>
      <c r="C32" s="7" t="s">
        <v>305</v>
      </c>
      <c r="D32" s="7" t="s">
        <v>5729</v>
      </c>
      <c r="E32" s="7" t="s">
        <v>5741</v>
      </c>
      <c r="F32" s="7" t="s">
        <v>5742</v>
      </c>
      <c r="G32" s="7"/>
      <c r="H32" s="7" t="s">
        <v>5743</v>
      </c>
      <c r="I32" s="7" t="s">
        <v>5633</v>
      </c>
      <c r="J32" s="7" t="s">
        <v>5744</v>
      </c>
    </row>
    <row r="33" customFormat="false" ht="46.25" hidden="false" customHeight="false" outlineLevel="0" collapsed="false">
      <c r="A33" s="7" t="n">
        <v>18</v>
      </c>
      <c r="B33" s="7" t="s">
        <v>283</v>
      </c>
      <c r="C33" s="7" t="s">
        <v>292</v>
      </c>
      <c r="D33" s="7" t="s">
        <v>67</v>
      </c>
      <c r="E33" s="7" t="s">
        <v>5745</v>
      </c>
      <c r="F33" s="7"/>
      <c r="G33" s="7"/>
      <c r="H33" s="7"/>
      <c r="I33" s="7"/>
      <c r="J33" s="7"/>
    </row>
    <row r="34" customFormat="false" ht="135.8" hidden="false" customHeight="false" outlineLevel="0" collapsed="false">
      <c r="A34" s="7" t="n">
        <v>18</v>
      </c>
      <c r="B34" s="7" t="s">
        <v>283</v>
      </c>
      <c r="C34" s="7" t="s">
        <v>292</v>
      </c>
      <c r="D34" s="7" t="s">
        <v>5709</v>
      </c>
      <c r="E34" s="7" t="s">
        <v>5746</v>
      </c>
      <c r="F34" s="7" t="s">
        <v>5747</v>
      </c>
      <c r="G34" s="7" t="s">
        <v>5748</v>
      </c>
      <c r="H34" s="7" t="s">
        <v>5749</v>
      </c>
      <c r="I34" s="7" t="s">
        <v>5668</v>
      </c>
      <c r="J34" s="7" t="s">
        <v>5750</v>
      </c>
    </row>
    <row r="35" customFormat="false" ht="68.65" hidden="false" customHeight="false" outlineLevel="0" collapsed="false">
      <c r="A35" s="7" t="n">
        <v>18</v>
      </c>
      <c r="B35" s="7" t="s">
        <v>283</v>
      </c>
      <c r="C35" s="7" t="s">
        <v>292</v>
      </c>
      <c r="D35" s="7" t="s">
        <v>5709</v>
      </c>
      <c r="E35" s="7" t="s">
        <v>5715</v>
      </c>
      <c r="F35" s="7" t="s">
        <v>5751</v>
      </c>
      <c r="G35" s="7"/>
      <c r="H35" s="7" t="s">
        <v>5752</v>
      </c>
      <c r="I35" s="7" t="s">
        <v>5643</v>
      </c>
      <c r="J35" s="7" t="s">
        <v>5753</v>
      </c>
    </row>
    <row r="36" customFormat="false" ht="46.25" hidden="false" customHeight="false" outlineLevel="0" collapsed="false">
      <c r="A36" s="7" t="n">
        <v>18</v>
      </c>
      <c r="B36" s="7" t="s">
        <v>283</v>
      </c>
      <c r="C36" s="7" t="s">
        <v>292</v>
      </c>
      <c r="D36" s="7" t="s">
        <v>5709</v>
      </c>
      <c r="E36" s="7" t="s">
        <v>5720</v>
      </c>
      <c r="F36" s="7" t="s">
        <v>5754</v>
      </c>
      <c r="G36" s="7"/>
      <c r="H36" s="7" t="s">
        <v>5755</v>
      </c>
      <c r="I36" s="7" t="s">
        <v>5643</v>
      </c>
      <c r="J36" s="7" t="s">
        <v>5756</v>
      </c>
    </row>
    <row r="37" customFormat="false" ht="46.25" hidden="false" customHeight="false" outlineLevel="0" collapsed="false">
      <c r="A37" s="7" t="n">
        <v>108</v>
      </c>
      <c r="B37" s="7" t="s">
        <v>1116</v>
      </c>
      <c r="C37" s="7" t="s">
        <v>1125</v>
      </c>
      <c r="D37" s="7" t="s">
        <v>5757</v>
      </c>
      <c r="E37" s="7" t="s">
        <v>5758</v>
      </c>
      <c r="F37" s="7" t="s">
        <v>5759</v>
      </c>
      <c r="G37" s="7"/>
      <c r="H37" s="7" t="s">
        <v>5760</v>
      </c>
      <c r="I37" s="7" t="s">
        <v>5633</v>
      </c>
      <c r="J37" s="7" t="s">
        <v>5761</v>
      </c>
    </row>
    <row r="38" customFormat="false" ht="35.05" hidden="false" customHeight="false" outlineLevel="0" collapsed="false">
      <c r="A38" s="7" t="n">
        <v>108</v>
      </c>
      <c r="B38" s="7" t="s">
        <v>1116</v>
      </c>
      <c r="C38" s="7" t="s">
        <v>1125</v>
      </c>
      <c r="D38" s="7" t="s">
        <v>5757</v>
      </c>
      <c r="E38" s="7" t="s">
        <v>5762</v>
      </c>
      <c r="F38" s="7" t="s">
        <v>5763</v>
      </c>
      <c r="G38" s="7"/>
      <c r="H38" s="7" t="s">
        <v>5764</v>
      </c>
      <c r="I38" s="7" t="s">
        <v>5638</v>
      </c>
      <c r="J38" s="7" t="s">
        <v>5765</v>
      </c>
    </row>
    <row r="39" customFormat="false" ht="35.05" hidden="false" customHeight="false" outlineLevel="0" collapsed="false">
      <c r="A39" s="7" t="n">
        <v>108</v>
      </c>
      <c r="B39" s="7" t="s">
        <v>1116</v>
      </c>
      <c r="C39" s="7" t="s">
        <v>1125</v>
      </c>
      <c r="D39" s="7" t="s">
        <v>5757</v>
      </c>
      <c r="E39" s="7" t="s">
        <v>5766</v>
      </c>
      <c r="F39" s="7" t="s">
        <v>5767</v>
      </c>
      <c r="G39" s="7"/>
      <c r="H39" s="7" t="s">
        <v>5768</v>
      </c>
      <c r="I39" s="7" t="s">
        <v>5638</v>
      </c>
      <c r="J39" s="7" t="s">
        <v>5769</v>
      </c>
    </row>
    <row r="40" customFormat="false" ht="23.85" hidden="false" customHeight="false" outlineLevel="0" collapsed="false">
      <c r="A40" s="7" t="n">
        <v>108</v>
      </c>
      <c r="B40" s="7" t="s">
        <v>1116</v>
      </c>
      <c r="C40" s="7" t="s">
        <v>1125</v>
      </c>
      <c r="D40" s="7" t="s">
        <v>5757</v>
      </c>
      <c r="E40" s="7" t="s">
        <v>5770</v>
      </c>
      <c r="F40" s="7" t="s">
        <v>5771</v>
      </c>
      <c r="G40" s="7"/>
      <c r="H40" s="7" t="s">
        <v>5772</v>
      </c>
      <c r="I40" s="7" t="s">
        <v>5654</v>
      </c>
      <c r="J40" s="7" t="s">
        <v>5773</v>
      </c>
    </row>
    <row r="41" customFormat="false" ht="57.45" hidden="false" customHeight="false" outlineLevel="0" collapsed="false">
      <c r="A41" s="7" t="n">
        <v>22</v>
      </c>
      <c r="B41" s="7" t="s">
        <v>328</v>
      </c>
      <c r="C41" s="7" t="s">
        <v>338</v>
      </c>
      <c r="D41" s="7" t="s">
        <v>5774</v>
      </c>
      <c r="E41" s="7" t="s">
        <v>5775</v>
      </c>
      <c r="F41" s="7"/>
      <c r="G41" s="7"/>
      <c r="H41" s="7"/>
      <c r="I41" s="7"/>
      <c r="J41" s="7"/>
    </row>
    <row r="42" customFormat="false" ht="46.25" hidden="false" customHeight="false" outlineLevel="0" collapsed="false">
      <c r="A42" s="7" t="n">
        <v>22</v>
      </c>
      <c r="B42" s="7" t="s">
        <v>328</v>
      </c>
      <c r="C42" s="7" t="s">
        <v>338</v>
      </c>
      <c r="D42" s="7" t="s">
        <v>5776</v>
      </c>
      <c r="E42" s="7" t="s">
        <v>5777</v>
      </c>
      <c r="F42" s="7" t="s">
        <v>5778</v>
      </c>
      <c r="G42" s="7"/>
      <c r="H42" s="7" t="s">
        <v>5779</v>
      </c>
      <c r="I42" s="7" t="s">
        <v>5633</v>
      </c>
      <c r="J42" s="7" t="s">
        <v>5780</v>
      </c>
    </row>
    <row r="43" customFormat="false" ht="35.05" hidden="false" customHeight="false" outlineLevel="0" collapsed="false">
      <c r="A43" s="7" t="n">
        <v>22</v>
      </c>
      <c r="B43" s="7" t="s">
        <v>328</v>
      </c>
      <c r="C43" s="7" t="s">
        <v>338</v>
      </c>
      <c r="D43" s="7" t="s">
        <v>5776</v>
      </c>
      <c r="E43" s="7" t="s">
        <v>5781</v>
      </c>
      <c r="F43" s="7" t="s">
        <v>5782</v>
      </c>
      <c r="G43" s="7"/>
      <c r="H43" s="7" t="s">
        <v>5783</v>
      </c>
      <c r="I43" s="7" t="s">
        <v>5633</v>
      </c>
      <c r="J43" s="7" t="s">
        <v>5784</v>
      </c>
    </row>
    <row r="44" customFormat="false" ht="35.05" hidden="false" customHeight="false" outlineLevel="0" collapsed="false">
      <c r="A44" s="7" t="n">
        <v>22</v>
      </c>
      <c r="B44" s="7" t="s">
        <v>328</v>
      </c>
      <c r="C44" s="7" t="s">
        <v>338</v>
      </c>
      <c r="D44" s="7" t="s">
        <v>5776</v>
      </c>
      <c r="E44" s="7" t="s">
        <v>5785</v>
      </c>
      <c r="F44" s="7" t="s">
        <v>5786</v>
      </c>
      <c r="G44" s="7"/>
      <c r="H44" s="7" t="s">
        <v>5787</v>
      </c>
      <c r="I44" s="7" t="s">
        <v>5643</v>
      </c>
      <c r="J44" s="7" t="s">
        <v>5788</v>
      </c>
    </row>
    <row r="45" customFormat="false" ht="35.05" hidden="false" customHeight="false" outlineLevel="0" collapsed="false">
      <c r="A45" s="7" t="n">
        <v>22</v>
      </c>
      <c r="B45" s="7" t="s">
        <v>328</v>
      </c>
      <c r="C45" s="7" t="s">
        <v>338</v>
      </c>
      <c r="D45" s="7" t="s">
        <v>5776</v>
      </c>
      <c r="E45" s="7" t="s">
        <v>5789</v>
      </c>
      <c r="F45" s="7" t="s">
        <v>5790</v>
      </c>
      <c r="G45" s="7"/>
      <c r="H45" s="7" t="s">
        <v>5791</v>
      </c>
      <c r="I45" s="7" t="s">
        <v>5643</v>
      </c>
      <c r="J45" s="7" t="s">
        <v>5792</v>
      </c>
    </row>
    <row r="46" customFormat="false" ht="35.05" hidden="false" customHeight="false" outlineLevel="0" collapsed="false">
      <c r="A46" s="7" t="n">
        <v>22</v>
      </c>
      <c r="B46" s="7" t="s">
        <v>328</v>
      </c>
      <c r="C46" s="7" t="s">
        <v>338</v>
      </c>
      <c r="D46" s="7" t="s">
        <v>5776</v>
      </c>
      <c r="E46" s="7" t="s">
        <v>5686</v>
      </c>
      <c r="F46" s="7" t="s">
        <v>5793</v>
      </c>
      <c r="G46" s="7"/>
      <c r="H46" s="7" t="s">
        <v>5794</v>
      </c>
      <c r="I46" s="7" t="s">
        <v>5633</v>
      </c>
      <c r="J46" s="7" t="s">
        <v>5795</v>
      </c>
    </row>
    <row r="47" customFormat="false" ht="23.85" hidden="false" customHeight="false" outlineLevel="0" collapsed="false">
      <c r="A47" s="7" t="n">
        <v>23</v>
      </c>
      <c r="B47" s="7" t="s">
        <v>341</v>
      </c>
      <c r="C47" s="7" t="s">
        <v>350</v>
      </c>
      <c r="D47" s="7" t="s">
        <v>5774</v>
      </c>
      <c r="E47" s="7" t="s">
        <v>5796</v>
      </c>
      <c r="F47" s="7"/>
      <c r="G47" s="7"/>
      <c r="H47" s="7"/>
      <c r="I47" s="7"/>
      <c r="J47" s="7"/>
    </row>
    <row r="48" customFormat="false" ht="23.85" hidden="false" customHeight="false" outlineLevel="0" collapsed="false">
      <c r="A48" s="7" t="n">
        <v>23</v>
      </c>
      <c r="B48" s="7" t="s">
        <v>341</v>
      </c>
      <c r="C48" s="7" t="s">
        <v>350</v>
      </c>
      <c r="D48" s="7" t="s">
        <v>5774</v>
      </c>
      <c r="E48" s="7" t="s">
        <v>5797</v>
      </c>
      <c r="F48" s="7"/>
      <c r="G48" s="7"/>
      <c r="H48" s="7"/>
      <c r="I48" s="7"/>
      <c r="J48" s="7"/>
    </row>
    <row r="49" customFormat="false" ht="23.85" hidden="false" customHeight="false" outlineLevel="0" collapsed="false">
      <c r="A49" s="7" t="n">
        <v>23</v>
      </c>
      <c r="B49" s="7" t="s">
        <v>341</v>
      </c>
      <c r="C49" s="7" t="s">
        <v>350</v>
      </c>
      <c r="D49" s="7" t="s">
        <v>5774</v>
      </c>
      <c r="E49" s="7" t="s">
        <v>5798</v>
      </c>
      <c r="F49" s="7"/>
      <c r="G49" s="7"/>
      <c r="H49" s="7"/>
      <c r="I49" s="7"/>
      <c r="J49" s="7"/>
    </row>
    <row r="50" customFormat="false" ht="23.85" hidden="false" customHeight="false" outlineLevel="0" collapsed="false">
      <c r="A50" s="7" t="n">
        <v>23</v>
      </c>
      <c r="B50" s="7" t="s">
        <v>341</v>
      </c>
      <c r="C50" s="7" t="s">
        <v>350</v>
      </c>
      <c r="D50" s="7" t="s">
        <v>5774</v>
      </c>
      <c r="E50" s="7" t="s">
        <v>5799</v>
      </c>
      <c r="F50" s="7"/>
      <c r="G50" s="7"/>
      <c r="H50" s="7"/>
      <c r="I50" s="7"/>
      <c r="J50" s="7"/>
    </row>
    <row r="51" customFormat="false" ht="23.85" hidden="false" customHeight="false" outlineLevel="0" collapsed="false">
      <c r="A51" s="7" t="n">
        <v>23</v>
      </c>
      <c r="B51" s="7" t="s">
        <v>341</v>
      </c>
      <c r="C51" s="7" t="s">
        <v>350</v>
      </c>
      <c r="D51" s="7" t="s">
        <v>5774</v>
      </c>
      <c r="E51" s="7" t="s">
        <v>5800</v>
      </c>
      <c r="F51" s="7"/>
      <c r="G51" s="7"/>
      <c r="H51" s="7"/>
      <c r="I51" s="7"/>
      <c r="J51" s="7"/>
    </row>
    <row r="52" customFormat="false" ht="23.85" hidden="false" customHeight="false" outlineLevel="0" collapsed="false">
      <c r="A52" s="7" t="n">
        <v>23</v>
      </c>
      <c r="B52" s="7" t="s">
        <v>341</v>
      </c>
      <c r="C52" s="7" t="s">
        <v>350</v>
      </c>
      <c r="D52" s="7" t="s">
        <v>5774</v>
      </c>
      <c r="E52" s="7" t="s">
        <v>5801</v>
      </c>
      <c r="F52" s="7"/>
      <c r="G52" s="7"/>
      <c r="H52" s="7"/>
      <c r="I52" s="7"/>
      <c r="J52" s="7"/>
    </row>
    <row r="53" customFormat="false" ht="23.85" hidden="false" customHeight="false" outlineLevel="0" collapsed="false">
      <c r="A53" s="7" t="n">
        <v>23</v>
      </c>
      <c r="B53" s="7" t="s">
        <v>341</v>
      </c>
      <c r="C53" s="7" t="s">
        <v>350</v>
      </c>
      <c r="D53" s="7" t="s">
        <v>5774</v>
      </c>
      <c r="E53" s="7" t="s">
        <v>5802</v>
      </c>
      <c r="F53" s="7"/>
      <c r="G53" s="7"/>
      <c r="H53" s="7"/>
      <c r="I53" s="7"/>
      <c r="J53" s="7"/>
    </row>
    <row r="54" customFormat="false" ht="35.05" hidden="false" customHeight="false" outlineLevel="0" collapsed="false">
      <c r="A54" s="7" t="n">
        <v>23</v>
      </c>
      <c r="B54" s="7" t="s">
        <v>341</v>
      </c>
      <c r="C54" s="7" t="s">
        <v>350</v>
      </c>
      <c r="D54" s="7" t="s">
        <v>5776</v>
      </c>
      <c r="E54" s="7" t="s">
        <v>5803</v>
      </c>
      <c r="F54" s="7" t="s">
        <v>5804</v>
      </c>
      <c r="G54" s="7"/>
      <c r="H54" s="7" t="s">
        <v>5805</v>
      </c>
      <c r="I54" s="7" t="s">
        <v>5806</v>
      </c>
      <c r="J54" s="7" t="s">
        <v>5807</v>
      </c>
    </row>
    <row r="55" customFormat="false" ht="23.85" hidden="false" customHeight="false" outlineLevel="0" collapsed="false">
      <c r="A55" s="7" t="n">
        <v>23</v>
      </c>
      <c r="B55" s="7" t="s">
        <v>341</v>
      </c>
      <c r="C55" s="7" t="s">
        <v>350</v>
      </c>
      <c r="D55" s="7" t="s">
        <v>5808</v>
      </c>
      <c r="E55" s="7" t="s">
        <v>5809</v>
      </c>
      <c r="F55" s="7" t="s">
        <v>5810</v>
      </c>
      <c r="G55" s="7"/>
      <c r="H55" s="7" t="s">
        <v>5811</v>
      </c>
      <c r="I55" s="7" t="s">
        <v>5633</v>
      </c>
      <c r="J55" s="7" t="s">
        <v>5807</v>
      </c>
    </row>
    <row r="56" customFormat="false" ht="46.25" hidden="false" customHeight="false" outlineLevel="0" collapsed="false">
      <c r="A56" s="7" t="n">
        <v>23</v>
      </c>
      <c r="B56" s="7" t="s">
        <v>341</v>
      </c>
      <c r="C56" s="7" t="s">
        <v>350</v>
      </c>
      <c r="D56" s="7" t="s">
        <v>5808</v>
      </c>
      <c r="E56" s="7" t="s">
        <v>5812</v>
      </c>
      <c r="F56" s="7" t="s">
        <v>5813</v>
      </c>
      <c r="G56" s="7"/>
      <c r="H56" s="7" t="s">
        <v>5814</v>
      </c>
      <c r="I56" s="7" t="s">
        <v>5654</v>
      </c>
      <c r="J56" s="7" t="s">
        <v>5815</v>
      </c>
    </row>
    <row r="57" customFormat="false" ht="35.05" hidden="false" customHeight="false" outlineLevel="0" collapsed="false">
      <c r="A57" s="7" t="n">
        <v>23</v>
      </c>
      <c r="B57" s="7" t="s">
        <v>341</v>
      </c>
      <c r="C57" s="7" t="s">
        <v>350</v>
      </c>
      <c r="D57" s="7" t="s">
        <v>5808</v>
      </c>
      <c r="E57" s="7" t="s">
        <v>5816</v>
      </c>
      <c r="F57" s="7" t="s">
        <v>5817</v>
      </c>
      <c r="G57" s="7"/>
      <c r="H57" s="7" t="s">
        <v>5818</v>
      </c>
      <c r="I57" s="7" t="s">
        <v>5819</v>
      </c>
      <c r="J57" s="7" t="s">
        <v>5807</v>
      </c>
    </row>
    <row r="58" customFormat="false" ht="23.85" hidden="false" customHeight="false" outlineLevel="0" collapsed="false">
      <c r="A58" s="7" t="n">
        <v>23</v>
      </c>
      <c r="B58" s="7" t="s">
        <v>341</v>
      </c>
      <c r="C58" s="7" t="s">
        <v>350</v>
      </c>
      <c r="D58" s="7" t="s">
        <v>5808</v>
      </c>
      <c r="E58" s="7" t="s">
        <v>5820</v>
      </c>
      <c r="F58" s="7" t="s">
        <v>5821</v>
      </c>
      <c r="G58" s="7"/>
      <c r="H58" s="7" t="s">
        <v>5822</v>
      </c>
      <c r="I58" s="7" t="s">
        <v>5633</v>
      </c>
      <c r="J58" s="7" t="s">
        <v>5807</v>
      </c>
    </row>
    <row r="59" customFormat="false" ht="79.85" hidden="false" customHeight="false" outlineLevel="0" collapsed="false">
      <c r="A59" s="7" t="n">
        <v>24</v>
      </c>
      <c r="B59" s="7" t="s">
        <v>353</v>
      </c>
      <c r="C59" s="7" t="s">
        <v>363</v>
      </c>
      <c r="D59" s="7" t="s">
        <v>67</v>
      </c>
      <c r="E59" s="7" t="s">
        <v>5823</v>
      </c>
      <c r="F59" s="7"/>
      <c r="G59" s="7"/>
      <c r="H59" s="7"/>
      <c r="I59" s="7"/>
      <c r="J59" s="7"/>
    </row>
    <row r="60" customFormat="false" ht="57.45" hidden="false" customHeight="false" outlineLevel="0" collapsed="false">
      <c r="A60" s="7" t="n">
        <v>24</v>
      </c>
      <c r="B60" s="7" t="s">
        <v>353</v>
      </c>
      <c r="C60" s="7" t="s">
        <v>363</v>
      </c>
      <c r="D60" s="7" t="s">
        <v>5709</v>
      </c>
      <c r="E60" s="7" t="s">
        <v>5824</v>
      </c>
      <c r="F60" s="7" t="s">
        <v>5825</v>
      </c>
      <c r="G60" s="7"/>
      <c r="H60" s="7" t="s">
        <v>5826</v>
      </c>
      <c r="I60" s="7" t="s">
        <v>5638</v>
      </c>
      <c r="J60" s="7" t="s">
        <v>5827</v>
      </c>
    </row>
    <row r="61" customFormat="false" ht="23.85" hidden="false" customHeight="false" outlineLevel="0" collapsed="false">
      <c r="A61" s="7" t="n">
        <v>24</v>
      </c>
      <c r="B61" s="7" t="s">
        <v>353</v>
      </c>
      <c r="C61" s="7" t="s">
        <v>363</v>
      </c>
      <c r="D61" s="7" t="s">
        <v>5709</v>
      </c>
      <c r="E61" s="7" t="s">
        <v>5828</v>
      </c>
      <c r="F61" s="7" t="s">
        <v>5829</v>
      </c>
      <c r="G61" s="7" t="s">
        <v>5830</v>
      </c>
      <c r="H61" s="7" t="s">
        <v>5831</v>
      </c>
      <c r="I61" s="7" t="s">
        <v>5668</v>
      </c>
      <c r="J61" s="7" t="s">
        <v>5832</v>
      </c>
    </row>
    <row r="62" customFormat="false" ht="35.05" hidden="false" customHeight="false" outlineLevel="0" collapsed="false">
      <c r="A62" s="7" t="n">
        <v>24</v>
      </c>
      <c r="B62" s="7" t="s">
        <v>353</v>
      </c>
      <c r="C62" s="7" t="s">
        <v>363</v>
      </c>
      <c r="D62" s="7" t="s">
        <v>5709</v>
      </c>
      <c r="E62" s="7" t="s">
        <v>5833</v>
      </c>
      <c r="F62" s="7" t="s">
        <v>5834</v>
      </c>
      <c r="G62" s="7"/>
      <c r="H62" s="7" t="s">
        <v>5835</v>
      </c>
      <c r="I62" s="7" t="s">
        <v>5654</v>
      </c>
      <c r="J62" s="7" t="s">
        <v>5836</v>
      </c>
    </row>
    <row r="63" customFormat="false" ht="35.05" hidden="false" customHeight="false" outlineLevel="0" collapsed="false">
      <c r="A63" s="7" t="n">
        <v>24</v>
      </c>
      <c r="B63" s="7" t="s">
        <v>353</v>
      </c>
      <c r="C63" s="7" t="s">
        <v>363</v>
      </c>
      <c r="D63" s="7" t="s">
        <v>5709</v>
      </c>
      <c r="E63" s="7" t="s">
        <v>5837</v>
      </c>
      <c r="F63" s="7" t="s">
        <v>5838</v>
      </c>
      <c r="G63" s="7"/>
      <c r="H63" s="7" t="s">
        <v>5839</v>
      </c>
      <c r="I63" s="7" t="s">
        <v>5654</v>
      </c>
      <c r="J63" s="7" t="s">
        <v>5840</v>
      </c>
    </row>
    <row r="64" customFormat="false" ht="23.85" hidden="false" customHeight="false" outlineLevel="0" collapsed="false">
      <c r="A64" s="7" t="n">
        <v>20</v>
      </c>
      <c r="B64" s="7" t="s">
        <v>308</v>
      </c>
      <c r="C64" s="7" t="s">
        <v>317</v>
      </c>
      <c r="D64" s="7" t="s">
        <v>5774</v>
      </c>
      <c r="E64" s="7" t="s">
        <v>5841</v>
      </c>
      <c r="F64" s="7"/>
      <c r="G64" s="7"/>
      <c r="H64" s="7"/>
      <c r="I64" s="7"/>
      <c r="J64" s="7"/>
    </row>
    <row r="65" customFormat="false" ht="23.85" hidden="false" customHeight="false" outlineLevel="0" collapsed="false">
      <c r="A65" s="7" t="n">
        <v>20</v>
      </c>
      <c r="B65" s="7" t="s">
        <v>308</v>
      </c>
      <c r="C65" s="7" t="s">
        <v>317</v>
      </c>
      <c r="D65" s="7" t="s">
        <v>5774</v>
      </c>
      <c r="E65" s="7" t="s">
        <v>5842</v>
      </c>
      <c r="F65" s="7"/>
      <c r="G65" s="7"/>
      <c r="H65" s="7"/>
      <c r="I65" s="7"/>
      <c r="J65" s="7"/>
    </row>
    <row r="66" customFormat="false" ht="23.85" hidden="false" customHeight="false" outlineLevel="0" collapsed="false">
      <c r="A66" s="7" t="n">
        <v>20</v>
      </c>
      <c r="B66" s="7" t="s">
        <v>308</v>
      </c>
      <c r="C66" s="7" t="s">
        <v>317</v>
      </c>
      <c r="D66" s="7" t="s">
        <v>5776</v>
      </c>
      <c r="E66" s="7" t="s">
        <v>5843</v>
      </c>
      <c r="F66" s="7" t="s">
        <v>5844</v>
      </c>
      <c r="G66" s="7"/>
      <c r="H66" s="7" t="s">
        <v>5845</v>
      </c>
      <c r="I66" s="7" t="s">
        <v>5668</v>
      </c>
      <c r="J66" s="7" t="s">
        <v>5846</v>
      </c>
    </row>
    <row r="67" customFormat="false" ht="35.05" hidden="false" customHeight="false" outlineLevel="0" collapsed="false">
      <c r="A67" s="7" t="n">
        <v>20</v>
      </c>
      <c r="B67" s="7" t="s">
        <v>308</v>
      </c>
      <c r="C67" s="7" t="s">
        <v>317</v>
      </c>
      <c r="D67" s="7" t="s">
        <v>5776</v>
      </c>
      <c r="E67" s="7" t="s">
        <v>5770</v>
      </c>
      <c r="F67" s="7" t="s">
        <v>5847</v>
      </c>
      <c r="G67" s="7"/>
      <c r="H67" s="7" t="s">
        <v>5848</v>
      </c>
      <c r="I67" s="7" t="s">
        <v>5633</v>
      </c>
      <c r="J67" s="7" t="s">
        <v>5846</v>
      </c>
    </row>
    <row r="68" customFormat="false" ht="23.85" hidden="false" customHeight="false" outlineLevel="0" collapsed="false">
      <c r="A68" s="7" t="n">
        <v>20</v>
      </c>
      <c r="B68" s="7" t="s">
        <v>308</v>
      </c>
      <c r="C68" s="7" t="s">
        <v>317</v>
      </c>
      <c r="D68" s="7" t="s">
        <v>5776</v>
      </c>
      <c r="E68" s="7" t="s">
        <v>5849</v>
      </c>
      <c r="F68" s="7" t="s">
        <v>5850</v>
      </c>
      <c r="G68" s="7"/>
      <c r="H68" s="7" t="s">
        <v>5851</v>
      </c>
      <c r="I68" s="7" t="s">
        <v>5668</v>
      </c>
      <c r="J68" s="7" t="s">
        <v>5846</v>
      </c>
    </row>
    <row r="69" customFormat="false" ht="23.85" hidden="false" customHeight="false" outlineLevel="0" collapsed="false">
      <c r="A69" s="7" t="n">
        <v>20</v>
      </c>
      <c r="B69" s="7" t="s">
        <v>308</v>
      </c>
      <c r="C69" s="7" t="s">
        <v>317</v>
      </c>
      <c r="D69" s="7" t="s">
        <v>5776</v>
      </c>
      <c r="E69" s="7" t="s">
        <v>5849</v>
      </c>
      <c r="F69" s="7" t="s">
        <v>5852</v>
      </c>
      <c r="G69" s="7"/>
      <c r="H69" s="7" t="s">
        <v>5853</v>
      </c>
      <c r="I69" s="7" t="s">
        <v>5668</v>
      </c>
      <c r="J69" s="7" t="s">
        <v>5846</v>
      </c>
    </row>
    <row r="70" customFormat="false" ht="23.85" hidden="false" customHeight="false" outlineLevel="0" collapsed="false">
      <c r="A70" s="7" t="n">
        <v>20</v>
      </c>
      <c r="B70" s="7" t="s">
        <v>308</v>
      </c>
      <c r="C70" s="7" t="s">
        <v>317</v>
      </c>
      <c r="D70" s="7" t="s">
        <v>5776</v>
      </c>
      <c r="E70" s="7" t="s">
        <v>5854</v>
      </c>
      <c r="F70" s="7" t="s">
        <v>5855</v>
      </c>
      <c r="G70" s="7"/>
      <c r="H70" s="7" t="s">
        <v>5856</v>
      </c>
      <c r="I70" s="7" t="s">
        <v>5643</v>
      </c>
      <c r="J70" s="7" t="s">
        <v>5846</v>
      </c>
    </row>
    <row r="71" customFormat="false" ht="23.85" hidden="false" customHeight="false" outlineLevel="0" collapsed="false">
      <c r="A71" s="7" t="n">
        <v>20</v>
      </c>
      <c r="B71" s="7" t="s">
        <v>308</v>
      </c>
      <c r="C71" s="7" t="s">
        <v>317</v>
      </c>
      <c r="D71" s="7" t="s">
        <v>5776</v>
      </c>
      <c r="E71" s="7" t="s">
        <v>5724</v>
      </c>
      <c r="F71" s="7" t="s">
        <v>5857</v>
      </c>
      <c r="G71" s="7"/>
      <c r="H71" s="7" t="s">
        <v>5858</v>
      </c>
      <c r="I71" s="7" t="s">
        <v>5668</v>
      </c>
      <c r="J71" s="7" t="s">
        <v>5846</v>
      </c>
    </row>
    <row r="72" customFormat="false" ht="23.85" hidden="false" customHeight="false" outlineLevel="0" collapsed="false">
      <c r="A72" s="7" t="n">
        <v>20</v>
      </c>
      <c r="B72" s="7" t="s">
        <v>308</v>
      </c>
      <c r="C72" s="7" t="s">
        <v>317</v>
      </c>
      <c r="D72" s="7" t="s">
        <v>5776</v>
      </c>
      <c r="E72" s="7" t="s">
        <v>5724</v>
      </c>
      <c r="F72" s="7" t="s">
        <v>5859</v>
      </c>
      <c r="G72" s="7"/>
      <c r="H72" s="7" t="s">
        <v>5860</v>
      </c>
      <c r="I72" s="7" t="s">
        <v>5633</v>
      </c>
      <c r="J72" s="7" t="s">
        <v>5846</v>
      </c>
    </row>
    <row r="73" customFormat="false" ht="35.05" hidden="false" customHeight="false" outlineLevel="0" collapsed="false">
      <c r="A73" s="7" t="n">
        <v>20</v>
      </c>
      <c r="B73" s="7" t="s">
        <v>308</v>
      </c>
      <c r="C73" s="7" t="s">
        <v>317</v>
      </c>
      <c r="D73" s="7" t="s">
        <v>5709</v>
      </c>
      <c r="E73" s="7" t="s">
        <v>5861</v>
      </c>
      <c r="F73" s="7" t="s">
        <v>5862</v>
      </c>
      <c r="G73" s="7" t="s">
        <v>5863</v>
      </c>
      <c r="H73" s="7" t="s">
        <v>5864</v>
      </c>
      <c r="I73" s="7" t="s">
        <v>5865</v>
      </c>
      <c r="J73" s="7" t="s">
        <v>5866</v>
      </c>
    </row>
    <row r="74" customFormat="false" ht="57.45" hidden="false" customHeight="false" outlineLevel="0" collapsed="false">
      <c r="A74" s="7" t="n">
        <v>112</v>
      </c>
      <c r="B74" s="7" t="s">
        <v>1158</v>
      </c>
      <c r="C74" s="7" t="s">
        <v>1163</v>
      </c>
      <c r="D74" s="7" t="s">
        <v>67</v>
      </c>
      <c r="E74" s="7" t="s">
        <v>5867</v>
      </c>
      <c r="F74" s="7"/>
      <c r="G74" s="7"/>
      <c r="H74" s="7"/>
      <c r="I74" s="7"/>
      <c r="J74" s="7"/>
    </row>
    <row r="75" customFormat="false" ht="46.25" hidden="false" customHeight="false" outlineLevel="0" collapsed="false">
      <c r="A75" s="7" t="n">
        <v>112</v>
      </c>
      <c r="B75" s="7" t="s">
        <v>1158</v>
      </c>
      <c r="C75" s="7" t="s">
        <v>1163</v>
      </c>
      <c r="D75" s="7" t="s">
        <v>5709</v>
      </c>
      <c r="E75" s="7" t="s">
        <v>5868</v>
      </c>
      <c r="F75" s="7" t="s">
        <v>5869</v>
      </c>
      <c r="G75" s="7" t="s">
        <v>5870</v>
      </c>
      <c r="H75" s="7" t="s">
        <v>5871</v>
      </c>
      <c r="I75" s="7" t="s">
        <v>5643</v>
      </c>
      <c r="J75" s="7" t="s">
        <v>5872</v>
      </c>
    </row>
    <row r="76" customFormat="false" ht="35.05" hidden="false" customHeight="false" outlineLevel="0" collapsed="false">
      <c r="A76" s="7" t="n">
        <v>112</v>
      </c>
      <c r="B76" s="7" t="s">
        <v>1158</v>
      </c>
      <c r="C76" s="7" t="s">
        <v>1163</v>
      </c>
      <c r="D76" s="7" t="s">
        <v>5873</v>
      </c>
      <c r="E76" s="7" t="s">
        <v>5874</v>
      </c>
      <c r="F76" s="7" t="s">
        <v>5875</v>
      </c>
      <c r="G76" s="7"/>
      <c r="H76" s="7" t="s">
        <v>5876</v>
      </c>
      <c r="I76" s="7" t="s">
        <v>5633</v>
      </c>
      <c r="J76" s="7" t="s">
        <v>5877</v>
      </c>
    </row>
    <row r="77" customFormat="false" ht="68.65" hidden="false" customHeight="false" outlineLevel="0" collapsed="false">
      <c r="A77" s="7" t="n">
        <v>112</v>
      </c>
      <c r="B77" s="7" t="s">
        <v>1158</v>
      </c>
      <c r="C77" s="7" t="s">
        <v>1163</v>
      </c>
      <c r="D77" s="7" t="s">
        <v>5873</v>
      </c>
      <c r="E77" s="7" t="s">
        <v>5878</v>
      </c>
      <c r="F77" s="7" t="s">
        <v>5879</v>
      </c>
      <c r="G77" s="7"/>
      <c r="H77" s="7" t="s">
        <v>5880</v>
      </c>
      <c r="I77" s="7" t="s">
        <v>5638</v>
      </c>
      <c r="J77" s="7" t="s">
        <v>5881</v>
      </c>
    </row>
    <row r="78" customFormat="false" ht="23.85" hidden="false" customHeight="false" outlineLevel="0" collapsed="false">
      <c r="A78" s="7" t="n">
        <v>112</v>
      </c>
      <c r="B78" s="7" t="s">
        <v>1158</v>
      </c>
      <c r="C78" s="7" t="s">
        <v>1163</v>
      </c>
      <c r="D78" s="7" t="s">
        <v>5709</v>
      </c>
      <c r="E78" s="7" t="s">
        <v>5882</v>
      </c>
      <c r="F78" s="7" t="s">
        <v>5883</v>
      </c>
      <c r="G78" s="7"/>
      <c r="H78" s="7" t="s">
        <v>5884</v>
      </c>
      <c r="I78" s="7" t="s">
        <v>5643</v>
      </c>
      <c r="J78" s="7" t="s">
        <v>5885</v>
      </c>
    </row>
    <row r="79" customFormat="false" ht="57.45" hidden="false" customHeight="false" outlineLevel="0" collapsed="false">
      <c r="A79" s="7" t="n">
        <v>32</v>
      </c>
      <c r="B79" s="7" t="s">
        <v>437</v>
      </c>
      <c r="C79" s="7" t="s">
        <v>445</v>
      </c>
      <c r="D79" s="7" t="s">
        <v>67</v>
      </c>
      <c r="E79" s="7" t="s">
        <v>5886</v>
      </c>
      <c r="F79" s="7"/>
      <c r="G79" s="7"/>
      <c r="H79" s="7"/>
      <c r="I79" s="7"/>
      <c r="J79" s="7"/>
    </row>
    <row r="80" customFormat="false" ht="68.65" hidden="false" customHeight="false" outlineLevel="0" collapsed="false">
      <c r="A80" s="7" t="n">
        <v>32</v>
      </c>
      <c r="B80" s="7" t="s">
        <v>437</v>
      </c>
      <c r="C80" s="7" t="s">
        <v>445</v>
      </c>
      <c r="D80" s="7" t="s">
        <v>5774</v>
      </c>
      <c r="E80" s="7" t="s">
        <v>70</v>
      </c>
      <c r="F80" s="7" t="s">
        <v>5887</v>
      </c>
      <c r="G80" s="7" t="s">
        <v>5888</v>
      </c>
      <c r="H80" s="7" t="s">
        <v>5889</v>
      </c>
      <c r="I80" s="7" t="s">
        <v>5633</v>
      </c>
      <c r="J80" s="7" t="s">
        <v>5890</v>
      </c>
    </row>
    <row r="81" customFormat="false" ht="35.05" hidden="false" customHeight="false" outlineLevel="0" collapsed="false">
      <c r="A81" s="7" t="n">
        <v>32</v>
      </c>
      <c r="B81" s="7" t="s">
        <v>437</v>
      </c>
      <c r="C81" s="7" t="s">
        <v>445</v>
      </c>
      <c r="D81" s="7" t="s">
        <v>5709</v>
      </c>
      <c r="E81" s="7" t="s">
        <v>5891</v>
      </c>
      <c r="F81" s="7" t="s">
        <v>5892</v>
      </c>
      <c r="G81" s="7" t="s">
        <v>5893</v>
      </c>
      <c r="H81" s="7" t="s">
        <v>5894</v>
      </c>
      <c r="I81" s="7" t="s">
        <v>5668</v>
      </c>
      <c r="J81" s="7" t="s">
        <v>5895</v>
      </c>
    </row>
    <row r="82" customFormat="false" ht="23.85" hidden="false" customHeight="false" outlineLevel="0" collapsed="false">
      <c r="A82" s="7" t="n">
        <v>32</v>
      </c>
      <c r="B82" s="7" t="s">
        <v>437</v>
      </c>
      <c r="C82" s="7" t="s">
        <v>445</v>
      </c>
      <c r="D82" s="7" t="s">
        <v>5709</v>
      </c>
      <c r="E82" s="7" t="s">
        <v>5896</v>
      </c>
      <c r="F82" s="7" t="s">
        <v>5897</v>
      </c>
      <c r="G82" s="7" t="s">
        <v>5898</v>
      </c>
      <c r="H82" s="7" t="s">
        <v>5899</v>
      </c>
      <c r="I82" s="7" t="s">
        <v>5668</v>
      </c>
      <c r="J82" s="7" t="s">
        <v>5900</v>
      </c>
    </row>
    <row r="83" customFormat="false" ht="35.05" hidden="false" customHeight="false" outlineLevel="0" collapsed="false">
      <c r="A83" s="7" t="n">
        <v>32</v>
      </c>
      <c r="B83" s="7" t="s">
        <v>437</v>
      </c>
      <c r="C83" s="7" t="s">
        <v>445</v>
      </c>
      <c r="D83" s="7" t="s">
        <v>5709</v>
      </c>
      <c r="E83" s="7" t="s">
        <v>5901</v>
      </c>
      <c r="F83" s="7" t="s">
        <v>5902</v>
      </c>
      <c r="G83" s="7"/>
      <c r="H83" s="7" t="s">
        <v>5903</v>
      </c>
      <c r="I83" s="7" t="s">
        <v>5633</v>
      </c>
      <c r="J83" s="7" t="s">
        <v>5904</v>
      </c>
    </row>
    <row r="84" customFormat="false" ht="35.05" hidden="false" customHeight="false" outlineLevel="0" collapsed="false">
      <c r="A84" s="7" t="n">
        <v>32</v>
      </c>
      <c r="B84" s="7" t="s">
        <v>437</v>
      </c>
      <c r="C84" s="7" t="s">
        <v>445</v>
      </c>
      <c r="D84" s="7" t="s">
        <v>5905</v>
      </c>
      <c r="E84" s="7" t="s">
        <v>5906</v>
      </c>
      <c r="F84" s="7" t="s">
        <v>5907</v>
      </c>
      <c r="G84" s="7" t="s">
        <v>5908</v>
      </c>
      <c r="H84" s="7" t="s">
        <v>5909</v>
      </c>
      <c r="I84" s="7" t="s">
        <v>5638</v>
      </c>
      <c r="J84" s="7" t="s">
        <v>5910</v>
      </c>
    </row>
    <row r="85" customFormat="false" ht="68.65" hidden="false" customHeight="false" outlineLevel="0" collapsed="false">
      <c r="A85" s="7" t="n">
        <v>30</v>
      </c>
      <c r="B85" s="7" t="s">
        <v>416</v>
      </c>
      <c r="C85" s="7" t="s">
        <v>425</v>
      </c>
      <c r="D85" s="7" t="s">
        <v>67</v>
      </c>
      <c r="E85" s="7" t="s">
        <v>5911</v>
      </c>
      <c r="F85" s="7"/>
      <c r="G85" s="7"/>
      <c r="H85" s="7"/>
      <c r="I85" s="7"/>
      <c r="J85" s="7"/>
    </row>
    <row r="86" customFormat="false" ht="46.25" hidden="false" customHeight="false" outlineLevel="0" collapsed="false">
      <c r="A86" s="7" t="n">
        <v>30</v>
      </c>
      <c r="B86" s="7" t="s">
        <v>416</v>
      </c>
      <c r="C86" s="7" t="s">
        <v>425</v>
      </c>
      <c r="D86" s="7" t="s">
        <v>5709</v>
      </c>
      <c r="E86" s="7" t="s">
        <v>5912</v>
      </c>
      <c r="F86" s="7" t="s">
        <v>5913</v>
      </c>
      <c r="G86" s="7" t="s">
        <v>5914</v>
      </c>
      <c r="H86" s="7" t="s">
        <v>5915</v>
      </c>
      <c r="I86" s="7" t="s">
        <v>5643</v>
      </c>
      <c r="J86" s="7" t="s">
        <v>5916</v>
      </c>
    </row>
    <row r="87" customFormat="false" ht="23.85" hidden="false" customHeight="false" outlineLevel="0" collapsed="false">
      <c r="A87" s="7" t="n">
        <v>30</v>
      </c>
      <c r="B87" s="7" t="s">
        <v>416</v>
      </c>
      <c r="C87" s="7" t="s">
        <v>425</v>
      </c>
      <c r="D87" s="7" t="s">
        <v>5709</v>
      </c>
      <c r="E87" s="7" t="s">
        <v>5917</v>
      </c>
      <c r="F87" s="7" t="s">
        <v>5918</v>
      </c>
      <c r="G87" s="7" t="s">
        <v>5919</v>
      </c>
      <c r="H87" s="7" t="s">
        <v>5920</v>
      </c>
      <c r="I87" s="7" t="s">
        <v>5643</v>
      </c>
      <c r="J87" s="7" t="s">
        <v>5921</v>
      </c>
    </row>
    <row r="88" customFormat="false" ht="46.25" hidden="false" customHeight="false" outlineLevel="0" collapsed="false">
      <c r="A88" s="7" t="n">
        <v>30</v>
      </c>
      <c r="B88" s="7" t="s">
        <v>416</v>
      </c>
      <c r="C88" s="7" t="s">
        <v>425</v>
      </c>
      <c r="D88" s="7" t="s">
        <v>5709</v>
      </c>
      <c r="E88" s="7" t="s">
        <v>5922</v>
      </c>
      <c r="F88" s="7" t="s">
        <v>5923</v>
      </c>
      <c r="G88" s="7" t="s">
        <v>5924</v>
      </c>
      <c r="H88" s="7" t="s">
        <v>5925</v>
      </c>
      <c r="I88" s="7" t="s">
        <v>5668</v>
      </c>
      <c r="J88" s="7" t="s">
        <v>5926</v>
      </c>
    </row>
    <row r="89" customFormat="false" ht="23.85" hidden="false" customHeight="false" outlineLevel="0" collapsed="false">
      <c r="A89" s="7" t="n">
        <v>30</v>
      </c>
      <c r="B89" s="7" t="s">
        <v>416</v>
      </c>
      <c r="C89" s="7" t="s">
        <v>425</v>
      </c>
      <c r="D89" s="7" t="s">
        <v>5709</v>
      </c>
      <c r="E89" s="7" t="s">
        <v>5724</v>
      </c>
      <c r="F89" s="7" t="s">
        <v>5927</v>
      </c>
      <c r="G89" s="7"/>
      <c r="H89" s="7" t="s">
        <v>5928</v>
      </c>
      <c r="I89" s="7" t="s">
        <v>5638</v>
      </c>
      <c r="J89" s="7" t="s">
        <v>5916</v>
      </c>
    </row>
    <row r="90" customFormat="false" ht="68.65" hidden="false" customHeight="false" outlineLevel="0" collapsed="false">
      <c r="A90" s="7" t="n">
        <v>33</v>
      </c>
      <c r="B90" s="7" t="s">
        <v>448</v>
      </c>
      <c r="C90" s="7" t="s">
        <v>455</v>
      </c>
      <c r="D90" s="7" t="s">
        <v>67</v>
      </c>
      <c r="E90" s="7" t="s">
        <v>5929</v>
      </c>
      <c r="F90" s="7"/>
      <c r="G90" s="7"/>
      <c r="H90" s="7"/>
      <c r="I90" s="7"/>
      <c r="J90" s="7"/>
    </row>
    <row r="91" customFormat="false" ht="68.65" hidden="false" customHeight="false" outlineLevel="0" collapsed="false">
      <c r="A91" s="7" t="n">
        <v>33</v>
      </c>
      <c r="B91" s="7" t="s">
        <v>448</v>
      </c>
      <c r="C91" s="7" t="s">
        <v>455</v>
      </c>
      <c r="D91" s="7" t="s">
        <v>5709</v>
      </c>
      <c r="E91" s="7" t="s">
        <v>5930</v>
      </c>
      <c r="F91" s="7" t="s">
        <v>5931</v>
      </c>
      <c r="G91" s="7"/>
      <c r="H91" s="7" t="s">
        <v>5932</v>
      </c>
      <c r="I91" s="7" t="s">
        <v>5654</v>
      </c>
      <c r="J91" s="7" t="s">
        <v>5933</v>
      </c>
    </row>
    <row r="92" customFormat="false" ht="46.25" hidden="false" customHeight="false" outlineLevel="0" collapsed="false">
      <c r="A92" s="7" t="n">
        <v>33</v>
      </c>
      <c r="B92" s="7" t="s">
        <v>448</v>
      </c>
      <c r="C92" s="7" t="s">
        <v>455</v>
      </c>
      <c r="D92" s="7" t="s">
        <v>5709</v>
      </c>
      <c r="E92" s="7" t="s">
        <v>5934</v>
      </c>
      <c r="F92" s="7" t="s">
        <v>5935</v>
      </c>
      <c r="G92" s="7"/>
      <c r="H92" s="7" t="s">
        <v>5936</v>
      </c>
      <c r="I92" s="7" t="s">
        <v>5668</v>
      </c>
      <c r="J92" s="7" t="s">
        <v>5937</v>
      </c>
    </row>
    <row r="93" customFormat="false" ht="35.05" hidden="false" customHeight="false" outlineLevel="0" collapsed="false">
      <c r="A93" s="7" t="n">
        <v>33</v>
      </c>
      <c r="B93" s="7" t="s">
        <v>448</v>
      </c>
      <c r="C93" s="7" t="s">
        <v>455</v>
      </c>
      <c r="D93" s="7" t="s">
        <v>5709</v>
      </c>
      <c r="E93" s="7" t="s">
        <v>5938</v>
      </c>
      <c r="F93" s="7" t="s">
        <v>5939</v>
      </c>
      <c r="G93" s="7"/>
      <c r="H93" s="7" t="s">
        <v>5940</v>
      </c>
      <c r="I93" s="7" t="s">
        <v>5668</v>
      </c>
      <c r="J93" s="7"/>
    </row>
    <row r="94" customFormat="false" ht="23.85" hidden="false" customHeight="false" outlineLevel="0" collapsed="false">
      <c r="A94" s="7" t="n">
        <v>33</v>
      </c>
      <c r="B94" s="7" t="s">
        <v>448</v>
      </c>
      <c r="C94" s="7" t="s">
        <v>455</v>
      </c>
      <c r="D94" s="7" t="s">
        <v>5709</v>
      </c>
      <c r="E94" s="7" t="s">
        <v>5941</v>
      </c>
      <c r="F94" s="7" t="s">
        <v>5942</v>
      </c>
      <c r="G94" s="7"/>
      <c r="H94" s="7" t="s">
        <v>5940</v>
      </c>
      <c r="I94" s="7" t="s">
        <v>5668</v>
      </c>
      <c r="J94" s="7"/>
    </row>
    <row r="95" customFormat="false" ht="68.65" hidden="false" customHeight="false" outlineLevel="0" collapsed="false">
      <c r="A95" s="7" t="n">
        <v>43</v>
      </c>
      <c r="B95" s="7" t="s">
        <v>539</v>
      </c>
      <c r="C95" s="7" t="s">
        <v>546</v>
      </c>
      <c r="D95" s="7" t="s">
        <v>67</v>
      </c>
      <c r="E95" s="7" t="s">
        <v>5943</v>
      </c>
      <c r="F95" s="7"/>
      <c r="G95" s="7"/>
      <c r="H95" s="7"/>
      <c r="I95" s="7"/>
      <c r="J95" s="7"/>
    </row>
    <row r="96" customFormat="false" ht="46.25" hidden="false" customHeight="false" outlineLevel="0" collapsed="false">
      <c r="A96" s="7" t="n">
        <v>43</v>
      </c>
      <c r="B96" s="7" t="s">
        <v>539</v>
      </c>
      <c r="C96" s="7" t="s">
        <v>546</v>
      </c>
      <c r="D96" s="7" t="s">
        <v>5873</v>
      </c>
      <c r="E96" s="7" t="s">
        <v>5944</v>
      </c>
      <c r="F96" s="7" t="s">
        <v>5945</v>
      </c>
      <c r="G96" s="7"/>
      <c r="H96" s="7" t="s">
        <v>5946</v>
      </c>
      <c r="I96" s="7" t="s">
        <v>5638</v>
      </c>
      <c r="J96" s="7" t="s">
        <v>5947</v>
      </c>
    </row>
    <row r="97" customFormat="false" ht="35.05" hidden="false" customHeight="false" outlineLevel="0" collapsed="false">
      <c r="A97" s="7" t="n">
        <v>43</v>
      </c>
      <c r="B97" s="7" t="s">
        <v>539</v>
      </c>
      <c r="C97" s="7" t="s">
        <v>546</v>
      </c>
      <c r="D97" s="7" t="s">
        <v>5709</v>
      </c>
      <c r="E97" s="7" t="s">
        <v>5948</v>
      </c>
      <c r="F97" s="7" t="s">
        <v>5949</v>
      </c>
      <c r="G97" s="7" t="s">
        <v>5950</v>
      </c>
      <c r="H97" s="7" t="s">
        <v>5951</v>
      </c>
      <c r="I97" s="7" t="s">
        <v>5668</v>
      </c>
      <c r="J97" s="7" t="s">
        <v>5952</v>
      </c>
    </row>
    <row r="98" customFormat="false" ht="23.85" hidden="false" customHeight="false" outlineLevel="0" collapsed="false">
      <c r="A98" s="7" t="n">
        <v>43</v>
      </c>
      <c r="B98" s="7" t="s">
        <v>539</v>
      </c>
      <c r="C98" s="7" t="s">
        <v>546</v>
      </c>
      <c r="D98" s="7" t="s">
        <v>5709</v>
      </c>
      <c r="E98" s="7" t="s">
        <v>5953</v>
      </c>
      <c r="F98" s="7" t="s">
        <v>5954</v>
      </c>
      <c r="G98" s="7" t="s">
        <v>5955</v>
      </c>
      <c r="H98" s="7" t="s">
        <v>5956</v>
      </c>
      <c r="I98" s="7" t="s">
        <v>5668</v>
      </c>
      <c r="J98" s="7" t="s">
        <v>5957</v>
      </c>
    </row>
    <row r="99" customFormat="false" ht="23.85" hidden="false" customHeight="false" outlineLevel="0" collapsed="false">
      <c r="A99" s="7" t="n">
        <v>43</v>
      </c>
      <c r="B99" s="7" t="s">
        <v>539</v>
      </c>
      <c r="C99" s="7" t="s">
        <v>546</v>
      </c>
      <c r="D99" s="7" t="s">
        <v>5709</v>
      </c>
      <c r="E99" s="7" t="s">
        <v>5958</v>
      </c>
      <c r="F99" s="7" t="s">
        <v>5959</v>
      </c>
      <c r="G99" s="7"/>
      <c r="H99" s="7" t="s">
        <v>5956</v>
      </c>
      <c r="I99" s="7" t="s">
        <v>5668</v>
      </c>
      <c r="J99" s="7" t="s">
        <v>5957</v>
      </c>
    </row>
    <row r="100" customFormat="false" ht="35.05" hidden="false" customHeight="false" outlineLevel="0" collapsed="false">
      <c r="A100" s="7" t="n">
        <v>43</v>
      </c>
      <c r="B100" s="7" t="s">
        <v>539</v>
      </c>
      <c r="C100" s="7" t="s">
        <v>546</v>
      </c>
      <c r="D100" s="7" t="s">
        <v>5960</v>
      </c>
      <c r="E100" s="7" t="s">
        <v>5961</v>
      </c>
      <c r="F100" s="7" t="s">
        <v>5962</v>
      </c>
      <c r="G100" s="7"/>
      <c r="H100" s="7" t="s">
        <v>5963</v>
      </c>
      <c r="I100" s="7" t="s">
        <v>5638</v>
      </c>
      <c r="J100" s="7" t="s">
        <v>5964</v>
      </c>
    </row>
    <row r="101" customFormat="false" ht="35.05" hidden="false" customHeight="false" outlineLevel="0" collapsed="false">
      <c r="A101" s="7" t="n">
        <v>39</v>
      </c>
      <c r="B101" s="7" t="s">
        <v>499</v>
      </c>
      <c r="C101" s="7" t="s">
        <v>509</v>
      </c>
      <c r="D101" s="7" t="s">
        <v>5776</v>
      </c>
      <c r="E101" s="7" t="s">
        <v>5965</v>
      </c>
      <c r="F101" s="7" t="s">
        <v>5966</v>
      </c>
      <c r="G101" s="7"/>
      <c r="H101" s="7" t="s">
        <v>5967</v>
      </c>
      <c r="I101" s="7" t="s">
        <v>5638</v>
      </c>
      <c r="J101" s="7" t="s">
        <v>5968</v>
      </c>
    </row>
    <row r="102" customFormat="false" ht="68.65" hidden="false" customHeight="false" outlineLevel="0" collapsed="false">
      <c r="A102" s="7" t="n">
        <v>39</v>
      </c>
      <c r="B102" s="7" t="s">
        <v>499</v>
      </c>
      <c r="C102" s="7" t="s">
        <v>509</v>
      </c>
      <c r="D102" s="7" t="s">
        <v>5646</v>
      </c>
      <c r="E102" s="7" t="s">
        <v>5969</v>
      </c>
      <c r="F102" s="7" t="s">
        <v>5970</v>
      </c>
      <c r="G102" s="7"/>
      <c r="H102" s="7" t="s">
        <v>5971</v>
      </c>
      <c r="I102" s="7" t="s">
        <v>5638</v>
      </c>
      <c r="J102" s="7" t="s">
        <v>5972</v>
      </c>
    </row>
    <row r="103" customFormat="false" ht="68.65" hidden="false" customHeight="false" outlineLevel="0" collapsed="false">
      <c r="A103" s="7" t="n">
        <v>39</v>
      </c>
      <c r="B103" s="7" t="s">
        <v>499</v>
      </c>
      <c r="C103" s="7" t="s">
        <v>509</v>
      </c>
      <c r="D103" s="7" t="s">
        <v>5646</v>
      </c>
      <c r="E103" s="7" t="s">
        <v>5973</v>
      </c>
      <c r="F103" s="7" t="s">
        <v>5974</v>
      </c>
      <c r="G103" s="7"/>
      <c r="H103" s="7" t="s">
        <v>5975</v>
      </c>
      <c r="I103" s="7" t="s">
        <v>5654</v>
      </c>
      <c r="J103" s="7" t="s">
        <v>5976</v>
      </c>
    </row>
    <row r="104" customFormat="false" ht="23.85" hidden="false" customHeight="false" outlineLevel="0" collapsed="false">
      <c r="A104" s="7" t="n">
        <v>39</v>
      </c>
      <c r="B104" s="7" t="s">
        <v>499</v>
      </c>
      <c r="C104" s="7" t="s">
        <v>509</v>
      </c>
      <c r="D104" s="7" t="s">
        <v>5646</v>
      </c>
      <c r="E104" s="7" t="s">
        <v>5977</v>
      </c>
      <c r="F104" s="7"/>
      <c r="G104" s="7"/>
      <c r="H104" s="7" t="s">
        <v>5978</v>
      </c>
      <c r="I104" s="7" t="s">
        <v>5643</v>
      </c>
      <c r="J104" s="7" t="s">
        <v>5979</v>
      </c>
    </row>
    <row r="105" customFormat="false" ht="68.65" hidden="false" customHeight="false" outlineLevel="0" collapsed="false">
      <c r="A105" s="7" t="n">
        <v>44</v>
      </c>
      <c r="B105" s="7" t="s">
        <v>549</v>
      </c>
      <c r="C105" s="7" t="s">
        <v>557</v>
      </c>
      <c r="D105" s="7" t="s">
        <v>67</v>
      </c>
      <c r="E105" s="7" t="s">
        <v>5980</v>
      </c>
      <c r="F105" s="7"/>
      <c r="G105" s="7"/>
      <c r="H105" s="7"/>
      <c r="I105" s="7"/>
      <c r="J105" s="7"/>
    </row>
    <row r="106" customFormat="false" ht="35.05" hidden="false" customHeight="false" outlineLevel="0" collapsed="false">
      <c r="A106" s="7" t="n">
        <v>44</v>
      </c>
      <c r="B106" s="7" t="s">
        <v>549</v>
      </c>
      <c r="C106" s="7" t="s">
        <v>557</v>
      </c>
      <c r="D106" s="7" t="s">
        <v>5873</v>
      </c>
      <c r="E106" s="7" t="s">
        <v>5981</v>
      </c>
      <c r="F106" s="7" t="s">
        <v>5982</v>
      </c>
      <c r="G106" s="7"/>
      <c r="H106" s="7" t="s">
        <v>5983</v>
      </c>
      <c r="I106" s="7" t="s">
        <v>5643</v>
      </c>
      <c r="J106" s="7" t="s">
        <v>5984</v>
      </c>
    </row>
    <row r="107" customFormat="false" ht="23.85" hidden="false" customHeight="false" outlineLevel="0" collapsed="false">
      <c r="A107" s="7" t="n">
        <v>44</v>
      </c>
      <c r="B107" s="7" t="s">
        <v>549</v>
      </c>
      <c r="C107" s="7" t="s">
        <v>557</v>
      </c>
      <c r="D107" s="7" t="s">
        <v>5873</v>
      </c>
      <c r="E107" s="7" t="s">
        <v>5981</v>
      </c>
      <c r="F107" s="7" t="s">
        <v>5985</v>
      </c>
      <c r="G107" s="7"/>
      <c r="H107" s="7" t="s">
        <v>5986</v>
      </c>
      <c r="I107" s="7" t="s">
        <v>5643</v>
      </c>
      <c r="J107" s="7" t="s">
        <v>5984</v>
      </c>
    </row>
    <row r="108" customFormat="false" ht="35.05" hidden="false" customHeight="false" outlineLevel="0" collapsed="false">
      <c r="A108" s="7" t="n">
        <v>44</v>
      </c>
      <c r="B108" s="7" t="s">
        <v>549</v>
      </c>
      <c r="C108" s="7" t="s">
        <v>557</v>
      </c>
      <c r="D108" s="7" t="s">
        <v>5987</v>
      </c>
      <c r="E108" s="7" t="s">
        <v>5400</v>
      </c>
      <c r="F108" s="7" t="s">
        <v>5988</v>
      </c>
      <c r="G108" s="7"/>
      <c r="H108" s="7" t="s">
        <v>5989</v>
      </c>
      <c r="I108" s="7" t="s">
        <v>5643</v>
      </c>
      <c r="J108" s="7" t="s">
        <v>5990</v>
      </c>
    </row>
    <row r="109" customFormat="false" ht="35.05" hidden="false" customHeight="false" outlineLevel="0" collapsed="false">
      <c r="A109" s="7" t="n">
        <v>44</v>
      </c>
      <c r="B109" s="7" t="s">
        <v>549</v>
      </c>
      <c r="C109" s="7" t="s">
        <v>557</v>
      </c>
      <c r="D109" s="7" t="s">
        <v>5987</v>
      </c>
      <c r="E109" s="7" t="s">
        <v>5991</v>
      </c>
      <c r="F109" s="7" t="s">
        <v>5992</v>
      </c>
      <c r="G109" s="7"/>
      <c r="H109" s="7" t="s">
        <v>5993</v>
      </c>
      <c r="I109" s="7" t="s">
        <v>5643</v>
      </c>
      <c r="J109" s="7" t="s">
        <v>5994</v>
      </c>
    </row>
    <row r="110" customFormat="false" ht="35.05" hidden="false" customHeight="false" outlineLevel="0" collapsed="false">
      <c r="A110" s="7" t="n">
        <v>44</v>
      </c>
      <c r="B110" s="7" t="s">
        <v>549</v>
      </c>
      <c r="C110" s="7" t="s">
        <v>557</v>
      </c>
      <c r="D110" s="7" t="s">
        <v>5709</v>
      </c>
      <c r="E110" s="7" t="s">
        <v>5995</v>
      </c>
      <c r="F110" s="7" t="s">
        <v>5996</v>
      </c>
      <c r="G110" s="7" t="s">
        <v>5997</v>
      </c>
      <c r="H110" s="7" t="s">
        <v>5998</v>
      </c>
      <c r="I110" s="7" t="s">
        <v>5668</v>
      </c>
      <c r="J110" s="7" t="s">
        <v>5999</v>
      </c>
    </row>
    <row r="111" customFormat="false" ht="46.25" hidden="false" customHeight="false" outlineLevel="0" collapsed="false">
      <c r="A111" s="7" t="n">
        <v>52</v>
      </c>
      <c r="B111" s="7" t="s">
        <v>626</v>
      </c>
      <c r="C111" s="7" t="s">
        <v>636</v>
      </c>
      <c r="D111" s="7" t="s">
        <v>5776</v>
      </c>
      <c r="E111" s="7" t="s">
        <v>6000</v>
      </c>
      <c r="F111" s="7" t="s">
        <v>6001</v>
      </c>
      <c r="G111" s="7"/>
      <c r="H111" s="7" t="s">
        <v>6002</v>
      </c>
      <c r="I111" s="7" t="s">
        <v>5633</v>
      </c>
      <c r="J111" s="7" t="s">
        <v>6003</v>
      </c>
    </row>
    <row r="112" customFormat="false" ht="46.25" hidden="false" customHeight="false" outlineLevel="0" collapsed="false">
      <c r="A112" s="7" t="n">
        <v>52</v>
      </c>
      <c r="B112" s="7" t="s">
        <v>626</v>
      </c>
      <c r="C112" s="7" t="s">
        <v>636</v>
      </c>
      <c r="D112" s="7" t="s">
        <v>5776</v>
      </c>
      <c r="E112" s="7" t="s">
        <v>6004</v>
      </c>
      <c r="F112" s="7" t="s">
        <v>6005</v>
      </c>
      <c r="G112" s="7"/>
      <c r="H112" s="7" t="s">
        <v>6006</v>
      </c>
      <c r="I112" s="7" t="s">
        <v>5633</v>
      </c>
      <c r="J112" s="7" t="s">
        <v>6007</v>
      </c>
    </row>
    <row r="113" customFormat="false" ht="46.25" hidden="false" customHeight="false" outlineLevel="0" collapsed="false">
      <c r="A113" s="7" t="n">
        <v>52</v>
      </c>
      <c r="B113" s="7" t="s">
        <v>626</v>
      </c>
      <c r="C113" s="7" t="s">
        <v>636</v>
      </c>
      <c r="D113" s="7" t="s">
        <v>5776</v>
      </c>
      <c r="E113" s="7" t="s">
        <v>6008</v>
      </c>
      <c r="F113" s="7" t="s">
        <v>6009</v>
      </c>
      <c r="G113" s="7"/>
      <c r="H113" s="7" t="s">
        <v>6010</v>
      </c>
      <c r="I113" s="7" t="s">
        <v>5638</v>
      </c>
      <c r="J113" s="7" t="s">
        <v>6011</v>
      </c>
    </row>
    <row r="114" customFormat="false" ht="57.45" hidden="false" customHeight="false" outlineLevel="0" collapsed="false">
      <c r="A114" s="7" t="n">
        <v>52</v>
      </c>
      <c r="B114" s="7" t="s">
        <v>626</v>
      </c>
      <c r="C114" s="7" t="s">
        <v>636</v>
      </c>
      <c r="D114" s="7" t="s">
        <v>6012</v>
      </c>
      <c r="E114" s="7" t="s">
        <v>5891</v>
      </c>
      <c r="F114" s="7" t="s">
        <v>6013</v>
      </c>
      <c r="G114" s="7" t="s">
        <v>6014</v>
      </c>
      <c r="H114" s="7" t="s">
        <v>6015</v>
      </c>
      <c r="I114" s="7" t="s">
        <v>5654</v>
      </c>
      <c r="J114" s="7" t="s">
        <v>6016</v>
      </c>
    </row>
    <row r="115" customFormat="false" ht="35.05" hidden="false" customHeight="false" outlineLevel="0" collapsed="false">
      <c r="A115" s="7" t="n">
        <v>52</v>
      </c>
      <c r="B115" s="7" t="s">
        <v>626</v>
      </c>
      <c r="C115" s="7" t="s">
        <v>636</v>
      </c>
      <c r="D115" s="7" t="s">
        <v>6017</v>
      </c>
      <c r="E115" s="7" t="s">
        <v>6018</v>
      </c>
      <c r="F115" s="7" t="s">
        <v>6019</v>
      </c>
      <c r="G115" s="7"/>
      <c r="H115" s="7" t="s">
        <v>6020</v>
      </c>
      <c r="I115" s="7" t="s">
        <v>5643</v>
      </c>
      <c r="J115" s="7" t="s">
        <v>6021</v>
      </c>
    </row>
    <row r="116" customFormat="false" ht="57.45" hidden="false" customHeight="false" outlineLevel="0" collapsed="false">
      <c r="A116" s="7" t="n">
        <v>48</v>
      </c>
      <c r="B116" s="7" t="s">
        <v>592</v>
      </c>
      <c r="C116" s="7" t="s">
        <v>599</v>
      </c>
      <c r="D116" s="7" t="s">
        <v>67</v>
      </c>
      <c r="E116" s="7" t="s">
        <v>6022</v>
      </c>
      <c r="F116" s="7"/>
      <c r="G116" s="7"/>
      <c r="H116" s="7"/>
      <c r="I116" s="7"/>
      <c r="J116" s="7"/>
    </row>
    <row r="117" customFormat="false" ht="46.25" hidden="false" customHeight="false" outlineLevel="0" collapsed="false">
      <c r="A117" s="7" t="n">
        <v>48</v>
      </c>
      <c r="B117" s="7" t="s">
        <v>592</v>
      </c>
      <c r="C117" s="7" t="s">
        <v>599</v>
      </c>
      <c r="D117" s="7" t="s">
        <v>5709</v>
      </c>
      <c r="E117" s="7" t="s">
        <v>6023</v>
      </c>
      <c r="F117" s="7" t="s">
        <v>6024</v>
      </c>
      <c r="G117" s="7" t="s">
        <v>6025</v>
      </c>
      <c r="H117" s="7" t="s">
        <v>6026</v>
      </c>
      <c r="I117" s="7" t="s">
        <v>6027</v>
      </c>
      <c r="J117" s="7" t="s">
        <v>6028</v>
      </c>
    </row>
    <row r="118" customFormat="false" ht="35.05" hidden="false" customHeight="false" outlineLevel="0" collapsed="false">
      <c r="A118" s="7" t="n">
        <v>48</v>
      </c>
      <c r="B118" s="7" t="s">
        <v>592</v>
      </c>
      <c r="C118" s="7" t="s">
        <v>599</v>
      </c>
      <c r="D118" s="7" t="s">
        <v>5709</v>
      </c>
      <c r="E118" s="7" t="s">
        <v>5953</v>
      </c>
      <c r="F118" s="7" t="s">
        <v>6029</v>
      </c>
      <c r="G118" s="7" t="s">
        <v>6030</v>
      </c>
      <c r="H118" s="7" t="s">
        <v>6031</v>
      </c>
      <c r="I118" s="7" t="s">
        <v>5643</v>
      </c>
      <c r="J118" s="7" t="s">
        <v>6032</v>
      </c>
    </row>
    <row r="119" customFormat="false" ht="23.85" hidden="false" customHeight="false" outlineLevel="0" collapsed="false">
      <c r="A119" s="7" t="n">
        <v>48</v>
      </c>
      <c r="B119" s="7" t="s">
        <v>592</v>
      </c>
      <c r="C119" s="7" t="s">
        <v>599</v>
      </c>
      <c r="D119" s="7" t="s">
        <v>6033</v>
      </c>
      <c r="E119" s="7" t="s">
        <v>6034</v>
      </c>
      <c r="F119" s="7" t="s">
        <v>6035</v>
      </c>
      <c r="G119" s="7"/>
      <c r="H119" s="7" t="s">
        <v>6036</v>
      </c>
      <c r="I119" s="7" t="s">
        <v>5633</v>
      </c>
      <c r="J119" s="7" t="s">
        <v>6032</v>
      </c>
    </row>
    <row r="120" customFormat="false" ht="46.25" hidden="false" customHeight="false" outlineLevel="0" collapsed="false">
      <c r="A120" s="7" t="n">
        <v>48</v>
      </c>
      <c r="B120" s="7" t="s">
        <v>592</v>
      </c>
      <c r="C120" s="7" t="s">
        <v>599</v>
      </c>
      <c r="D120" s="7" t="s">
        <v>6033</v>
      </c>
      <c r="E120" s="7" t="s">
        <v>6037</v>
      </c>
      <c r="F120" s="7" t="s">
        <v>6038</v>
      </c>
      <c r="G120" s="7"/>
      <c r="H120" s="7" t="s">
        <v>6039</v>
      </c>
      <c r="I120" s="7" t="s">
        <v>5633</v>
      </c>
      <c r="J120" s="7" t="s">
        <v>6032</v>
      </c>
    </row>
    <row r="121" customFormat="false" ht="57.45" hidden="false" customHeight="false" outlineLevel="0" collapsed="false">
      <c r="A121" s="7" t="n">
        <v>48</v>
      </c>
      <c r="B121" s="7" t="s">
        <v>592</v>
      </c>
      <c r="C121" s="7" t="s">
        <v>599</v>
      </c>
      <c r="D121" s="7" t="s">
        <v>5709</v>
      </c>
      <c r="E121" s="7" t="s">
        <v>6040</v>
      </c>
      <c r="F121" s="7" t="s">
        <v>6041</v>
      </c>
      <c r="G121" s="7"/>
      <c r="H121" s="7" t="s">
        <v>6042</v>
      </c>
      <c r="I121" s="7" t="s">
        <v>6043</v>
      </c>
      <c r="J121" s="7" t="s">
        <v>6044</v>
      </c>
    </row>
    <row r="122" customFormat="false" ht="68.65" hidden="false" customHeight="false" outlineLevel="0" collapsed="false">
      <c r="A122" s="7" t="n">
        <v>61</v>
      </c>
      <c r="B122" s="7" t="s">
        <v>724</v>
      </c>
      <c r="C122" s="7" t="s">
        <v>730</v>
      </c>
      <c r="D122" s="7" t="s">
        <v>67</v>
      </c>
      <c r="E122" s="7" t="s">
        <v>6045</v>
      </c>
      <c r="F122" s="7"/>
      <c r="G122" s="7"/>
      <c r="H122" s="7"/>
      <c r="I122" s="7"/>
      <c r="J122" s="7"/>
    </row>
    <row r="123" customFormat="false" ht="57.45" hidden="false" customHeight="false" outlineLevel="0" collapsed="false">
      <c r="A123" s="7" t="n">
        <v>61</v>
      </c>
      <c r="B123" s="7" t="s">
        <v>724</v>
      </c>
      <c r="C123" s="7" t="s">
        <v>730</v>
      </c>
      <c r="D123" s="7" t="s">
        <v>6046</v>
      </c>
      <c r="E123" s="7" t="s">
        <v>6047</v>
      </c>
      <c r="F123" s="7" t="s">
        <v>6048</v>
      </c>
      <c r="G123" s="7" t="s">
        <v>6049</v>
      </c>
      <c r="H123" s="7" t="s">
        <v>6050</v>
      </c>
      <c r="I123" s="7" t="s">
        <v>5643</v>
      </c>
      <c r="J123" s="7" t="s">
        <v>6051</v>
      </c>
    </row>
    <row r="124" customFormat="false" ht="46.25" hidden="false" customHeight="false" outlineLevel="0" collapsed="false">
      <c r="A124" s="7" t="n">
        <v>61</v>
      </c>
      <c r="B124" s="7" t="s">
        <v>724</v>
      </c>
      <c r="C124" s="7" t="s">
        <v>730</v>
      </c>
      <c r="D124" s="7" t="s">
        <v>5709</v>
      </c>
      <c r="E124" s="7" t="s">
        <v>6052</v>
      </c>
      <c r="F124" s="7" t="s">
        <v>6053</v>
      </c>
      <c r="G124" s="7" t="s">
        <v>6054</v>
      </c>
      <c r="H124" s="7" t="s">
        <v>6055</v>
      </c>
      <c r="I124" s="7" t="s">
        <v>5643</v>
      </c>
      <c r="J124" s="7" t="s">
        <v>6056</v>
      </c>
    </row>
    <row r="125" customFormat="false" ht="35.05" hidden="false" customHeight="false" outlineLevel="0" collapsed="false">
      <c r="A125" s="7" t="n">
        <v>61</v>
      </c>
      <c r="B125" s="7" t="s">
        <v>724</v>
      </c>
      <c r="C125" s="7" t="s">
        <v>730</v>
      </c>
      <c r="D125" s="7" t="s">
        <v>5709</v>
      </c>
      <c r="E125" s="7" t="s">
        <v>6057</v>
      </c>
      <c r="F125" s="7" t="s">
        <v>6058</v>
      </c>
      <c r="G125" s="7" t="s">
        <v>6059</v>
      </c>
      <c r="H125" s="7" t="s">
        <v>6060</v>
      </c>
      <c r="I125" s="7" t="s">
        <v>5668</v>
      </c>
      <c r="J125" s="7" t="s">
        <v>6061</v>
      </c>
    </row>
    <row r="126" customFormat="false" ht="23.85" hidden="false" customHeight="false" outlineLevel="0" collapsed="false">
      <c r="A126" s="7" t="n">
        <v>61</v>
      </c>
      <c r="B126" s="7" t="s">
        <v>724</v>
      </c>
      <c r="C126" s="7" t="s">
        <v>730</v>
      </c>
      <c r="D126" s="7" t="s">
        <v>5709</v>
      </c>
      <c r="E126" s="7" t="s">
        <v>6062</v>
      </c>
      <c r="F126" s="7" t="s">
        <v>6063</v>
      </c>
      <c r="G126" s="7" t="s">
        <v>6064</v>
      </c>
      <c r="H126" s="7" t="s">
        <v>6065</v>
      </c>
      <c r="I126" s="7" t="s">
        <v>5668</v>
      </c>
      <c r="J126" s="7" t="s">
        <v>6066</v>
      </c>
    </row>
    <row r="127" customFormat="false" ht="57.45" hidden="false" customHeight="false" outlineLevel="0" collapsed="false">
      <c r="A127" s="7" t="n">
        <v>61</v>
      </c>
      <c r="B127" s="7" t="s">
        <v>724</v>
      </c>
      <c r="C127" s="7" t="s">
        <v>730</v>
      </c>
      <c r="D127" s="7" t="s">
        <v>6046</v>
      </c>
      <c r="E127" s="7" t="s">
        <v>6067</v>
      </c>
      <c r="F127" s="7" t="s">
        <v>6068</v>
      </c>
      <c r="G127" s="7" t="s">
        <v>6069</v>
      </c>
      <c r="H127" s="7" t="s">
        <v>6070</v>
      </c>
      <c r="I127" s="7" t="s">
        <v>5638</v>
      </c>
      <c r="J127" s="7" t="s">
        <v>6071</v>
      </c>
    </row>
    <row r="128" customFormat="false" ht="91" hidden="false" customHeight="false" outlineLevel="0" collapsed="false">
      <c r="A128" s="7" t="n">
        <v>63</v>
      </c>
      <c r="B128" s="7" t="s">
        <v>743</v>
      </c>
      <c r="C128" s="7" t="s">
        <v>752</v>
      </c>
      <c r="D128" s="7" t="s">
        <v>67</v>
      </c>
      <c r="E128" s="7" t="s">
        <v>6072</v>
      </c>
      <c r="F128" s="7"/>
      <c r="G128" s="7"/>
      <c r="H128" s="7"/>
      <c r="I128" s="7"/>
      <c r="J128" s="7"/>
    </row>
    <row r="129" customFormat="false" ht="46.25" hidden="false" customHeight="false" outlineLevel="0" collapsed="false">
      <c r="A129" s="7" t="n">
        <v>63</v>
      </c>
      <c r="B129" s="7" t="s">
        <v>743</v>
      </c>
      <c r="C129" s="7" t="s">
        <v>752</v>
      </c>
      <c r="D129" s="7" t="s">
        <v>5709</v>
      </c>
      <c r="E129" s="7" t="s">
        <v>6073</v>
      </c>
      <c r="F129" s="7" t="s">
        <v>6074</v>
      </c>
      <c r="G129" s="7" t="s">
        <v>6075</v>
      </c>
      <c r="H129" s="7" t="s">
        <v>6076</v>
      </c>
      <c r="I129" s="7" t="s">
        <v>5633</v>
      </c>
      <c r="J129" s="7" t="s">
        <v>6077</v>
      </c>
    </row>
    <row r="130" customFormat="false" ht="35.05" hidden="false" customHeight="false" outlineLevel="0" collapsed="false">
      <c r="A130" s="7" t="n">
        <v>63</v>
      </c>
      <c r="B130" s="7" t="s">
        <v>743</v>
      </c>
      <c r="C130" s="7" t="s">
        <v>752</v>
      </c>
      <c r="D130" s="7" t="s">
        <v>6078</v>
      </c>
      <c r="E130" s="7" t="s">
        <v>6079</v>
      </c>
      <c r="F130" s="7" t="s">
        <v>6080</v>
      </c>
      <c r="G130" s="7" t="s">
        <v>6081</v>
      </c>
      <c r="H130" s="7" t="s">
        <v>6082</v>
      </c>
      <c r="I130" s="7" t="s">
        <v>5633</v>
      </c>
      <c r="J130" s="7" t="s">
        <v>6083</v>
      </c>
    </row>
    <row r="131" customFormat="false" ht="35.05" hidden="false" customHeight="false" outlineLevel="0" collapsed="false">
      <c r="A131" s="7" t="n">
        <v>63</v>
      </c>
      <c r="B131" s="7" t="s">
        <v>743</v>
      </c>
      <c r="C131" s="7" t="s">
        <v>752</v>
      </c>
      <c r="D131" s="7" t="s">
        <v>5709</v>
      </c>
      <c r="E131" s="7" t="s">
        <v>6084</v>
      </c>
      <c r="F131" s="7" t="s">
        <v>6085</v>
      </c>
      <c r="G131" s="7"/>
      <c r="H131" s="7" t="s">
        <v>6086</v>
      </c>
      <c r="I131" s="7" t="s">
        <v>5633</v>
      </c>
      <c r="J131" s="7" t="s">
        <v>6087</v>
      </c>
    </row>
    <row r="132" customFormat="false" ht="35.05" hidden="false" customHeight="false" outlineLevel="0" collapsed="false">
      <c r="A132" s="7" t="n">
        <v>63</v>
      </c>
      <c r="B132" s="7" t="s">
        <v>743</v>
      </c>
      <c r="C132" s="7" t="s">
        <v>752</v>
      </c>
      <c r="D132" s="7" t="s">
        <v>5709</v>
      </c>
      <c r="E132" s="7" t="s">
        <v>6088</v>
      </c>
      <c r="F132" s="7" t="s">
        <v>6089</v>
      </c>
      <c r="G132" s="7"/>
      <c r="H132" s="7" t="s">
        <v>6090</v>
      </c>
      <c r="I132" s="7" t="s">
        <v>5633</v>
      </c>
      <c r="J132" s="7" t="s">
        <v>6091</v>
      </c>
    </row>
    <row r="133" customFormat="false" ht="57.45" hidden="false" customHeight="false" outlineLevel="0" collapsed="false">
      <c r="A133" s="7" t="n">
        <v>58</v>
      </c>
      <c r="B133" s="7" t="s">
        <v>691</v>
      </c>
      <c r="C133" s="7" t="s">
        <v>699</v>
      </c>
      <c r="D133" s="7" t="s">
        <v>67</v>
      </c>
      <c r="E133" s="7" t="s">
        <v>6092</v>
      </c>
      <c r="F133" s="7"/>
      <c r="G133" s="7"/>
      <c r="H133" s="7"/>
      <c r="I133" s="7"/>
      <c r="J133" s="7"/>
    </row>
    <row r="134" customFormat="false" ht="35.05" hidden="false" customHeight="false" outlineLevel="0" collapsed="false">
      <c r="A134" s="7" t="n">
        <v>58</v>
      </c>
      <c r="B134" s="7" t="s">
        <v>691</v>
      </c>
      <c r="C134" s="7" t="s">
        <v>699</v>
      </c>
      <c r="D134" s="7" t="s">
        <v>5709</v>
      </c>
      <c r="E134" s="7" t="s">
        <v>6093</v>
      </c>
      <c r="F134" s="7" t="s">
        <v>6094</v>
      </c>
      <c r="G134" s="7" t="s">
        <v>6095</v>
      </c>
      <c r="H134" s="7" t="s">
        <v>6096</v>
      </c>
      <c r="I134" s="7" t="s">
        <v>5668</v>
      </c>
      <c r="J134" s="7" t="s">
        <v>6097</v>
      </c>
    </row>
    <row r="135" customFormat="false" ht="46.25" hidden="false" customHeight="false" outlineLevel="0" collapsed="false">
      <c r="A135" s="7" t="n">
        <v>58</v>
      </c>
      <c r="B135" s="7" t="s">
        <v>691</v>
      </c>
      <c r="C135" s="7" t="s">
        <v>699</v>
      </c>
      <c r="D135" s="7" t="s">
        <v>5987</v>
      </c>
      <c r="E135" s="7" t="s">
        <v>6098</v>
      </c>
      <c r="F135" s="7" t="s">
        <v>6099</v>
      </c>
      <c r="G135" s="7"/>
      <c r="H135" s="7" t="s">
        <v>6100</v>
      </c>
      <c r="I135" s="7" t="s">
        <v>5638</v>
      </c>
      <c r="J135" s="7" t="s">
        <v>6101</v>
      </c>
    </row>
    <row r="136" customFormat="false" ht="23.85" hidden="false" customHeight="false" outlineLevel="0" collapsed="false">
      <c r="A136" s="7" t="n">
        <v>58</v>
      </c>
      <c r="B136" s="7" t="s">
        <v>691</v>
      </c>
      <c r="C136" s="7" t="s">
        <v>699</v>
      </c>
      <c r="D136" s="7" t="s">
        <v>5987</v>
      </c>
      <c r="E136" s="7" t="s">
        <v>6102</v>
      </c>
      <c r="F136" s="7" t="s">
        <v>6103</v>
      </c>
      <c r="G136" s="7"/>
      <c r="H136" s="7" t="s">
        <v>6104</v>
      </c>
      <c r="I136" s="7" t="s">
        <v>5638</v>
      </c>
      <c r="J136" s="7" t="s">
        <v>6105</v>
      </c>
    </row>
    <row r="137" customFormat="false" ht="23.85" hidden="false" customHeight="false" outlineLevel="0" collapsed="false">
      <c r="A137" s="7" t="n">
        <v>58</v>
      </c>
      <c r="B137" s="7" t="s">
        <v>691</v>
      </c>
      <c r="C137" s="7" t="s">
        <v>699</v>
      </c>
      <c r="D137" s="7" t="s">
        <v>5987</v>
      </c>
      <c r="E137" s="7" t="s">
        <v>5770</v>
      </c>
      <c r="F137" s="7" t="s">
        <v>6106</v>
      </c>
      <c r="G137" s="7"/>
      <c r="H137" s="7" t="s">
        <v>6107</v>
      </c>
      <c r="I137" s="7" t="s">
        <v>5638</v>
      </c>
      <c r="J137" s="7" t="s">
        <v>6108</v>
      </c>
    </row>
    <row r="138" customFormat="false" ht="23.85" hidden="false" customHeight="false" outlineLevel="0" collapsed="false">
      <c r="A138" s="7" t="n">
        <v>58</v>
      </c>
      <c r="B138" s="7" t="s">
        <v>691</v>
      </c>
      <c r="C138" s="7" t="s">
        <v>699</v>
      </c>
      <c r="D138" s="7" t="s">
        <v>5709</v>
      </c>
      <c r="E138" s="7" t="s">
        <v>6109</v>
      </c>
      <c r="F138" s="7" t="s">
        <v>6110</v>
      </c>
      <c r="G138" s="7" t="s">
        <v>6111</v>
      </c>
      <c r="H138" s="7" t="s">
        <v>5956</v>
      </c>
      <c r="I138" s="7" t="s">
        <v>5668</v>
      </c>
      <c r="J138" s="7" t="s">
        <v>6112</v>
      </c>
    </row>
    <row r="139" customFormat="false" ht="35.05" hidden="false" customHeight="false" outlineLevel="0" collapsed="false">
      <c r="A139" s="7" t="n">
        <v>59</v>
      </c>
      <c r="B139" s="7" t="s">
        <v>702</v>
      </c>
      <c r="C139" s="7" t="s">
        <v>711</v>
      </c>
      <c r="D139" s="7" t="s">
        <v>5774</v>
      </c>
      <c r="E139" s="7" t="s">
        <v>6113</v>
      </c>
      <c r="F139" s="7"/>
      <c r="G139" s="7"/>
      <c r="H139" s="7"/>
      <c r="I139" s="7"/>
      <c r="J139" s="7"/>
    </row>
    <row r="140" customFormat="false" ht="15" hidden="false" customHeight="false" outlineLevel="0" collapsed="false">
      <c r="A140" s="7" t="n">
        <v>59</v>
      </c>
      <c r="B140" s="7" t="s">
        <v>702</v>
      </c>
      <c r="C140" s="7" t="s">
        <v>711</v>
      </c>
      <c r="D140" s="7" t="s">
        <v>5774</v>
      </c>
      <c r="E140" s="7" t="s">
        <v>6114</v>
      </c>
      <c r="F140" s="7"/>
      <c r="G140" s="7"/>
      <c r="H140" s="7"/>
      <c r="I140" s="7"/>
      <c r="J140" s="7"/>
    </row>
    <row r="141" customFormat="false" ht="23.85" hidden="false" customHeight="false" outlineLevel="0" collapsed="false">
      <c r="A141" s="7" t="n">
        <v>59</v>
      </c>
      <c r="B141" s="7" t="s">
        <v>702</v>
      </c>
      <c r="C141" s="7" t="s">
        <v>711</v>
      </c>
      <c r="D141" s="7" t="s">
        <v>5774</v>
      </c>
      <c r="E141" s="7" t="s">
        <v>6115</v>
      </c>
      <c r="F141" s="7"/>
      <c r="G141" s="7"/>
      <c r="H141" s="7"/>
      <c r="I141" s="7"/>
      <c r="J141" s="7"/>
    </row>
    <row r="142" customFormat="false" ht="35.05" hidden="false" customHeight="false" outlineLevel="0" collapsed="false">
      <c r="A142" s="7" t="n">
        <v>59</v>
      </c>
      <c r="B142" s="7" t="s">
        <v>702</v>
      </c>
      <c r="C142" s="7" t="s">
        <v>711</v>
      </c>
      <c r="D142" s="7" t="s">
        <v>5776</v>
      </c>
      <c r="E142" s="7" t="s">
        <v>6116</v>
      </c>
      <c r="F142" s="7" t="s">
        <v>6117</v>
      </c>
      <c r="G142" s="7" t="s">
        <v>6118</v>
      </c>
      <c r="H142" s="7" t="s">
        <v>6119</v>
      </c>
      <c r="I142" s="7" t="s">
        <v>5668</v>
      </c>
      <c r="J142" s="7" t="s">
        <v>6120</v>
      </c>
    </row>
    <row r="143" customFormat="false" ht="23.85" hidden="false" customHeight="false" outlineLevel="0" collapsed="false">
      <c r="A143" s="7" t="n">
        <v>59</v>
      </c>
      <c r="B143" s="7" t="s">
        <v>702</v>
      </c>
      <c r="C143" s="7" t="s">
        <v>711</v>
      </c>
      <c r="D143" s="7" t="s">
        <v>5776</v>
      </c>
      <c r="E143" s="7" t="s">
        <v>6121</v>
      </c>
      <c r="F143" s="7" t="s">
        <v>6122</v>
      </c>
      <c r="G143" s="7" t="s">
        <v>6118</v>
      </c>
      <c r="H143" s="7" t="s">
        <v>6123</v>
      </c>
      <c r="I143" s="7" t="s">
        <v>5668</v>
      </c>
      <c r="J143" s="7" t="s">
        <v>6120</v>
      </c>
    </row>
    <row r="144" customFormat="false" ht="68.65" hidden="false" customHeight="false" outlineLevel="0" collapsed="false">
      <c r="A144" s="7" t="n">
        <v>59</v>
      </c>
      <c r="B144" s="7" t="s">
        <v>702</v>
      </c>
      <c r="C144" s="7" t="s">
        <v>711</v>
      </c>
      <c r="D144" s="7" t="s">
        <v>5776</v>
      </c>
      <c r="E144" s="7" t="s">
        <v>6124</v>
      </c>
      <c r="F144" s="7" t="s">
        <v>6125</v>
      </c>
      <c r="G144" s="7" t="s">
        <v>6118</v>
      </c>
      <c r="H144" s="7" t="s">
        <v>6126</v>
      </c>
      <c r="I144" s="7" t="s">
        <v>6127</v>
      </c>
      <c r="J144" s="7" t="s">
        <v>6128</v>
      </c>
    </row>
    <row r="145" customFormat="false" ht="46.25" hidden="false" customHeight="false" outlineLevel="0" collapsed="false">
      <c r="A145" s="7" t="n">
        <v>59</v>
      </c>
      <c r="B145" s="7" t="s">
        <v>702</v>
      </c>
      <c r="C145" s="7" t="s">
        <v>711</v>
      </c>
      <c r="D145" s="7" t="s">
        <v>5776</v>
      </c>
      <c r="E145" s="7" t="s">
        <v>6124</v>
      </c>
      <c r="F145" s="7" t="s">
        <v>6129</v>
      </c>
      <c r="G145" s="7" t="s">
        <v>6118</v>
      </c>
      <c r="H145" s="7" t="s">
        <v>6130</v>
      </c>
      <c r="I145" s="7" t="s">
        <v>6131</v>
      </c>
      <c r="J145" s="7" t="s">
        <v>6132</v>
      </c>
    </row>
    <row r="146" customFormat="false" ht="46.25" hidden="false" customHeight="false" outlineLevel="0" collapsed="false">
      <c r="A146" s="7" t="n">
        <v>59</v>
      </c>
      <c r="B146" s="7" t="s">
        <v>702</v>
      </c>
      <c r="C146" s="7" t="s">
        <v>711</v>
      </c>
      <c r="D146" s="7" t="s">
        <v>5776</v>
      </c>
      <c r="E146" s="7" t="s">
        <v>6133</v>
      </c>
      <c r="F146" s="7" t="s">
        <v>6134</v>
      </c>
      <c r="G146" s="7" t="s">
        <v>6118</v>
      </c>
      <c r="H146" s="7" t="s">
        <v>6135</v>
      </c>
      <c r="I146" s="7" t="s">
        <v>6136</v>
      </c>
      <c r="J146" s="7" t="s">
        <v>6137</v>
      </c>
    </row>
    <row r="147" customFormat="false" ht="57.45" hidden="false" customHeight="false" outlineLevel="0" collapsed="false">
      <c r="A147" s="7" t="n">
        <v>59</v>
      </c>
      <c r="B147" s="7" t="s">
        <v>702</v>
      </c>
      <c r="C147" s="7" t="s">
        <v>711</v>
      </c>
      <c r="D147" s="7" t="s">
        <v>5776</v>
      </c>
      <c r="E147" s="7" t="s">
        <v>6133</v>
      </c>
      <c r="F147" s="7" t="s">
        <v>6138</v>
      </c>
      <c r="G147" s="7" t="s">
        <v>6118</v>
      </c>
      <c r="H147" s="7" t="s">
        <v>6139</v>
      </c>
      <c r="I147" s="7" t="s">
        <v>6140</v>
      </c>
      <c r="J147" s="7" t="s">
        <v>6141</v>
      </c>
    </row>
    <row r="148" customFormat="false" ht="23.85" hidden="false" customHeight="false" outlineLevel="0" collapsed="false">
      <c r="A148" s="7" t="n">
        <v>59</v>
      </c>
      <c r="B148" s="7" t="s">
        <v>702</v>
      </c>
      <c r="C148" s="7" t="s">
        <v>711</v>
      </c>
      <c r="D148" s="7" t="s">
        <v>6142</v>
      </c>
      <c r="E148" s="7" t="s">
        <v>6143</v>
      </c>
      <c r="F148" s="7" t="s">
        <v>6144</v>
      </c>
      <c r="G148" s="7" t="s">
        <v>6145</v>
      </c>
      <c r="H148" s="7" t="s">
        <v>6146</v>
      </c>
      <c r="I148" s="7" t="s">
        <v>5668</v>
      </c>
      <c r="J148" s="7" t="s">
        <v>6147</v>
      </c>
    </row>
    <row r="149" customFormat="false" ht="23.85" hidden="false" customHeight="false" outlineLevel="0" collapsed="false">
      <c r="A149" s="7" t="n">
        <v>59</v>
      </c>
      <c r="B149" s="7" t="s">
        <v>702</v>
      </c>
      <c r="C149" s="7" t="s">
        <v>711</v>
      </c>
      <c r="D149" s="7" t="s">
        <v>6148</v>
      </c>
      <c r="E149" s="7" t="s">
        <v>5746</v>
      </c>
      <c r="F149" s="7" t="s">
        <v>6149</v>
      </c>
      <c r="G149" s="7" t="s">
        <v>6150</v>
      </c>
      <c r="H149" s="7" t="s">
        <v>6151</v>
      </c>
      <c r="I149" s="7" t="s">
        <v>5668</v>
      </c>
      <c r="J149" s="7" t="s">
        <v>6152</v>
      </c>
    </row>
    <row r="150" customFormat="false" ht="23.85" hidden="false" customHeight="false" outlineLevel="0" collapsed="false">
      <c r="A150" s="7" t="n">
        <v>59</v>
      </c>
      <c r="B150" s="7" t="s">
        <v>702</v>
      </c>
      <c r="C150" s="7" t="s">
        <v>711</v>
      </c>
      <c r="D150" s="7" t="s">
        <v>5808</v>
      </c>
      <c r="E150" s="7" t="s">
        <v>6153</v>
      </c>
      <c r="F150" s="7" t="s">
        <v>6154</v>
      </c>
      <c r="G150" s="7" t="s">
        <v>6155</v>
      </c>
      <c r="H150" s="7" t="s">
        <v>6156</v>
      </c>
      <c r="I150" s="7" t="s">
        <v>5668</v>
      </c>
      <c r="J150" s="7" t="s">
        <v>6152</v>
      </c>
    </row>
    <row r="151" customFormat="false" ht="46.25" hidden="false" customHeight="false" outlineLevel="0" collapsed="false">
      <c r="A151" s="7" t="n">
        <v>59</v>
      </c>
      <c r="B151" s="7" t="s">
        <v>702</v>
      </c>
      <c r="C151" s="7" t="s">
        <v>711</v>
      </c>
      <c r="D151" s="7" t="s">
        <v>5808</v>
      </c>
      <c r="E151" s="7" t="s">
        <v>6157</v>
      </c>
      <c r="F151" s="7" t="s">
        <v>6158</v>
      </c>
      <c r="G151" s="7" t="s">
        <v>6159</v>
      </c>
      <c r="H151" s="7" t="s">
        <v>6160</v>
      </c>
      <c r="I151" s="7" t="s">
        <v>5654</v>
      </c>
      <c r="J151" s="7" t="s">
        <v>6161</v>
      </c>
    </row>
    <row r="152" customFormat="false" ht="35.05" hidden="false" customHeight="false" outlineLevel="0" collapsed="false">
      <c r="A152" s="7" t="n">
        <v>60</v>
      </c>
      <c r="B152" s="7" t="s">
        <v>714</v>
      </c>
      <c r="C152" s="7" t="s">
        <v>721</v>
      </c>
      <c r="D152" s="7" t="s">
        <v>67</v>
      </c>
      <c r="E152" s="7" t="s">
        <v>6162</v>
      </c>
      <c r="F152" s="7"/>
      <c r="G152" s="7"/>
      <c r="H152" s="7"/>
      <c r="I152" s="7"/>
      <c r="J152" s="7"/>
    </row>
    <row r="153" customFormat="false" ht="23.85" hidden="false" customHeight="false" outlineLevel="0" collapsed="false">
      <c r="A153" s="7" t="n">
        <v>60</v>
      </c>
      <c r="B153" s="7" t="s">
        <v>714</v>
      </c>
      <c r="C153" s="7" t="s">
        <v>721</v>
      </c>
      <c r="D153" s="7" t="s">
        <v>5709</v>
      </c>
      <c r="E153" s="7" t="s">
        <v>5906</v>
      </c>
      <c r="F153" s="7" t="s">
        <v>6163</v>
      </c>
      <c r="G153" s="7" t="s">
        <v>6164</v>
      </c>
      <c r="H153" s="7" t="s">
        <v>6165</v>
      </c>
      <c r="I153" s="7" t="s">
        <v>5668</v>
      </c>
      <c r="J153" s="7" t="s">
        <v>6166</v>
      </c>
    </row>
    <row r="154" customFormat="false" ht="46.25" hidden="false" customHeight="false" outlineLevel="0" collapsed="false">
      <c r="A154" s="7" t="n">
        <v>60</v>
      </c>
      <c r="B154" s="7" t="s">
        <v>714</v>
      </c>
      <c r="C154" s="7" t="s">
        <v>721</v>
      </c>
      <c r="D154" s="7" t="s">
        <v>5709</v>
      </c>
      <c r="E154" s="7" t="s">
        <v>6167</v>
      </c>
      <c r="F154" s="7" t="s">
        <v>6168</v>
      </c>
      <c r="G154" s="7"/>
      <c r="H154" s="7" t="s">
        <v>6169</v>
      </c>
      <c r="I154" s="7" t="s">
        <v>5638</v>
      </c>
      <c r="J154" s="7" t="s">
        <v>6170</v>
      </c>
    </row>
    <row r="155" customFormat="false" ht="23.85" hidden="false" customHeight="false" outlineLevel="0" collapsed="false">
      <c r="A155" s="7" t="n">
        <v>60</v>
      </c>
      <c r="B155" s="7" t="s">
        <v>714</v>
      </c>
      <c r="C155" s="7" t="s">
        <v>721</v>
      </c>
      <c r="D155" s="7" t="s">
        <v>5709</v>
      </c>
      <c r="E155" s="7" t="s">
        <v>6171</v>
      </c>
      <c r="F155" s="7" t="s">
        <v>6172</v>
      </c>
      <c r="G155" s="7"/>
      <c r="H155" s="7" t="s">
        <v>6173</v>
      </c>
      <c r="I155" s="7" t="s">
        <v>5668</v>
      </c>
      <c r="J155" s="7"/>
    </row>
    <row r="156" customFormat="false" ht="57.45" hidden="false" customHeight="false" outlineLevel="0" collapsed="false">
      <c r="A156" s="7" t="n">
        <v>57</v>
      </c>
      <c r="B156" s="7" t="s">
        <v>681</v>
      </c>
      <c r="C156" s="7" t="s">
        <v>688</v>
      </c>
      <c r="D156" s="7" t="s">
        <v>67</v>
      </c>
      <c r="E156" s="7" t="s">
        <v>6174</v>
      </c>
      <c r="F156" s="7"/>
      <c r="G156" s="7"/>
      <c r="H156" s="7"/>
      <c r="I156" s="7"/>
      <c r="J156" s="7"/>
    </row>
    <row r="157" customFormat="false" ht="35.05" hidden="false" customHeight="false" outlineLevel="0" collapsed="false">
      <c r="A157" s="7" t="n">
        <v>57</v>
      </c>
      <c r="B157" s="7" t="s">
        <v>681</v>
      </c>
      <c r="C157" s="7" t="s">
        <v>688</v>
      </c>
      <c r="D157" s="7" t="s">
        <v>5709</v>
      </c>
      <c r="E157" s="7" t="s">
        <v>6175</v>
      </c>
      <c r="F157" s="7" t="s">
        <v>6176</v>
      </c>
      <c r="G157" s="7" t="s">
        <v>6177</v>
      </c>
      <c r="H157" s="7" t="s">
        <v>6178</v>
      </c>
      <c r="I157" s="7" t="s">
        <v>5668</v>
      </c>
      <c r="J157" s="7" t="s">
        <v>6179</v>
      </c>
    </row>
    <row r="158" customFormat="false" ht="46.25" hidden="false" customHeight="false" outlineLevel="0" collapsed="false">
      <c r="A158" s="7" t="n">
        <v>57</v>
      </c>
      <c r="B158" s="7" t="s">
        <v>681</v>
      </c>
      <c r="C158" s="7" t="s">
        <v>688</v>
      </c>
      <c r="D158" s="7" t="s">
        <v>5709</v>
      </c>
      <c r="E158" s="7" t="s">
        <v>5861</v>
      </c>
      <c r="F158" s="7" t="s">
        <v>6180</v>
      </c>
      <c r="G158" s="7" t="s">
        <v>6181</v>
      </c>
      <c r="H158" s="7" t="s">
        <v>6182</v>
      </c>
      <c r="I158" s="7" t="s">
        <v>5668</v>
      </c>
      <c r="J158" s="7" t="s">
        <v>6183</v>
      </c>
    </row>
    <row r="159" customFormat="false" ht="23.85" hidden="false" customHeight="false" outlineLevel="0" collapsed="false">
      <c r="A159" s="7" t="n">
        <v>57</v>
      </c>
      <c r="B159" s="7" t="s">
        <v>681</v>
      </c>
      <c r="C159" s="7" t="s">
        <v>688</v>
      </c>
      <c r="D159" s="7" t="s">
        <v>5709</v>
      </c>
      <c r="E159" s="7" t="s">
        <v>6184</v>
      </c>
      <c r="F159" s="7" t="s">
        <v>6185</v>
      </c>
      <c r="G159" s="7" t="s">
        <v>6186</v>
      </c>
      <c r="H159" s="7" t="s">
        <v>6187</v>
      </c>
      <c r="I159" s="7" t="s">
        <v>5668</v>
      </c>
      <c r="J159" s="7" t="s">
        <v>6179</v>
      </c>
    </row>
    <row r="160" customFormat="false" ht="35.05" hidden="false" customHeight="false" outlineLevel="0" collapsed="false">
      <c r="A160" s="7" t="n">
        <v>57</v>
      </c>
      <c r="B160" s="7" t="s">
        <v>681</v>
      </c>
      <c r="C160" s="7" t="s">
        <v>688</v>
      </c>
      <c r="D160" s="7" t="s">
        <v>5905</v>
      </c>
      <c r="E160" s="7" t="s">
        <v>6188</v>
      </c>
      <c r="F160" s="7" t="s">
        <v>6189</v>
      </c>
      <c r="G160" s="7"/>
      <c r="H160" s="7" t="s">
        <v>6190</v>
      </c>
      <c r="I160" s="7" t="s">
        <v>5638</v>
      </c>
      <c r="J160" s="7" t="s">
        <v>6191</v>
      </c>
    </row>
    <row r="161" customFormat="false" ht="35.05" hidden="false" customHeight="false" outlineLevel="0" collapsed="false">
      <c r="A161" s="7" t="n">
        <v>57</v>
      </c>
      <c r="B161" s="7" t="s">
        <v>681</v>
      </c>
      <c r="C161" s="7" t="s">
        <v>688</v>
      </c>
      <c r="D161" s="7" t="s">
        <v>5905</v>
      </c>
      <c r="E161" s="7" t="s">
        <v>6192</v>
      </c>
      <c r="F161" s="7" t="s">
        <v>6193</v>
      </c>
      <c r="G161" s="7"/>
      <c r="H161" s="7" t="s">
        <v>6194</v>
      </c>
      <c r="I161" s="7" t="s">
        <v>5643</v>
      </c>
      <c r="J161" s="7" t="s">
        <v>6195</v>
      </c>
    </row>
    <row r="162" customFormat="false" ht="68.65" hidden="false" customHeight="false" outlineLevel="0" collapsed="false">
      <c r="A162" s="7" t="n">
        <v>56</v>
      </c>
      <c r="B162" s="7" t="s">
        <v>669</v>
      </c>
      <c r="C162" s="7" t="s">
        <v>678</v>
      </c>
      <c r="D162" s="7" t="s">
        <v>5774</v>
      </c>
      <c r="E162" s="7" t="s">
        <v>6196</v>
      </c>
      <c r="F162" s="7"/>
      <c r="G162" s="7"/>
      <c r="H162" s="7"/>
      <c r="I162" s="7"/>
      <c r="J162" s="7"/>
    </row>
    <row r="163" customFormat="false" ht="46.25" hidden="false" customHeight="false" outlineLevel="0" collapsed="false">
      <c r="A163" s="7" t="n">
        <v>56</v>
      </c>
      <c r="B163" s="7" t="s">
        <v>669</v>
      </c>
      <c r="C163" s="7" t="s">
        <v>678</v>
      </c>
      <c r="D163" s="7" t="s">
        <v>5776</v>
      </c>
      <c r="E163" s="7" t="s">
        <v>6197</v>
      </c>
      <c r="F163" s="7" t="s">
        <v>6198</v>
      </c>
      <c r="G163" s="7"/>
      <c r="H163" s="7" t="s">
        <v>6199</v>
      </c>
      <c r="I163" s="7" t="s">
        <v>5633</v>
      </c>
      <c r="J163" s="7" t="s">
        <v>6200</v>
      </c>
    </row>
    <row r="164" customFormat="false" ht="46.25" hidden="false" customHeight="false" outlineLevel="0" collapsed="false">
      <c r="A164" s="7" t="n">
        <v>56</v>
      </c>
      <c r="B164" s="7" t="s">
        <v>669</v>
      </c>
      <c r="C164" s="7" t="s">
        <v>678</v>
      </c>
      <c r="D164" s="7" t="s">
        <v>5776</v>
      </c>
      <c r="E164" s="7" t="s">
        <v>6201</v>
      </c>
      <c r="F164" s="7" t="s">
        <v>6202</v>
      </c>
      <c r="G164" s="7"/>
      <c r="H164" s="7" t="s">
        <v>6203</v>
      </c>
      <c r="I164" s="7" t="s">
        <v>5633</v>
      </c>
      <c r="J164" s="7" t="s">
        <v>6204</v>
      </c>
    </row>
    <row r="165" customFormat="false" ht="35.05" hidden="false" customHeight="false" outlineLevel="0" collapsed="false">
      <c r="A165" s="7" t="n">
        <v>56</v>
      </c>
      <c r="B165" s="7" t="s">
        <v>669</v>
      </c>
      <c r="C165" s="7" t="s">
        <v>678</v>
      </c>
      <c r="D165" s="7" t="s">
        <v>5776</v>
      </c>
      <c r="E165" s="7" t="s">
        <v>6205</v>
      </c>
      <c r="F165" s="7" t="s">
        <v>6206</v>
      </c>
      <c r="G165" s="7"/>
      <c r="H165" s="7" t="s">
        <v>6207</v>
      </c>
      <c r="I165" s="7" t="s">
        <v>5668</v>
      </c>
      <c r="J165" s="7"/>
    </row>
    <row r="166" customFormat="false" ht="23.85" hidden="false" customHeight="false" outlineLevel="0" collapsed="false">
      <c r="A166" s="7" t="n">
        <v>56</v>
      </c>
      <c r="B166" s="7" t="s">
        <v>669</v>
      </c>
      <c r="C166" s="7" t="s">
        <v>678</v>
      </c>
      <c r="D166" s="7" t="s">
        <v>5776</v>
      </c>
      <c r="E166" s="7" t="s">
        <v>6208</v>
      </c>
      <c r="F166" s="7" t="s">
        <v>6209</v>
      </c>
      <c r="G166" s="7"/>
      <c r="H166" s="7" t="s">
        <v>6210</v>
      </c>
      <c r="I166" s="7" t="s">
        <v>5668</v>
      </c>
      <c r="J166" s="7" t="s">
        <v>6200</v>
      </c>
    </row>
    <row r="167" customFormat="false" ht="23.85" hidden="false" customHeight="false" outlineLevel="0" collapsed="false">
      <c r="A167" s="7" t="n">
        <v>56</v>
      </c>
      <c r="B167" s="7" t="s">
        <v>669</v>
      </c>
      <c r="C167" s="7" t="s">
        <v>678</v>
      </c>
      <c r="D167" s="7" t="s">
        <v>5709</v>
      </c>
      <c r="E167" s="7" t="s">
        <v>6211</v>
      </c>
      <c r="F167" s="7" t="s">
        <v>6212</v>
      </c>
      <c r="G167" s="7" t="s">
        <v>6213</v>
      </c>
      <c r="H167" s="7" t="s">
        <v>6214</v>
      </c>
      <c r="I167" s="7" t="s">
        <v>5668</v>
      </c>
      <c r="J167" s="7" t="s">
        <v>6215</v>
      </c>
    </row>
    <row r="168" customFormat="false" ht="35.05" hidden="false" customHeight="false" outlineLevel="0" collapsed="false">
      <c r="A168" s="7" t="n">
        <v>56</v>
      </c>
      <c r="B168" s="7" t="s">
        <v>669</v>
      </c>
      <c r="C168" s="7" t="s">
        <v>678</v>
      </c>
      <c r="D168" s="7" t="s">
        <v>5709</v>
      </c>
      <c r="E168" s="7" t="s">
        <v>5687</v>
      </c>
      <c r="F168" s="7" t="s">
        <v>6216</v>
      </c>
      <c r="G168" s="7"/>
      <c r="H168" s="7" t="s">
        <v>6217</v>
      </c>
      <c r="I168" s="7" t="s">
        <v>5668</v>
      </c>
      <c r="J168" s="7" t="s">
        <v>6218</v>
      </c>
    </row>
    <row r="169" customFormat="false" ht="79.85" hidden="false" customHeight="false" outlineLevel="0" collapsed="false">
      <c r="A169" s="7" t="n">
        <v>76</v>
      </c>
      <c r="B169" s="7" t="s">
        <v>868</v>
      </c>
      <c r="C169" s="7" t="s">
        <v>876</v>
      </c>
      <c r="D169" s="7" t="s">
        <v>67</v>
      </c>
      <c r="E169" s="7" t="s">
        <v>6219</v>
      </c>
      <c r="F169" s="7"/>
      <c r="G169" s="7"/>
      <c r="H169" s="7"/>
      <c r="I169" s="7"/>
      <c r="J169" s="7"/>
    </row>
    <row r="170" customFormat="false" ht="46.25" hidden="false" customHeight="false" outlineLevel="0" collapsed="false">
      <c r="A170" s="7" t="n">
        <v>76</v>
      </c>
      <c r="B170" s="7" t="s">
        <v>868</v>
      </c>
      <c r="C170" s="7" t="s">
        <v>876</v>
      </c>
      <c r="D170" s="7" t="s">
        <v>5709</v>
      </c>
      <c r="E170" s="7" t="s">
        <v>6023</v>
      </c>
      <c r="F170" s="7" t="s">
        <v>6220</v>
      </c>
      <c r="G170" s="7" t="s">
        <v>6221</v>
      </c>
      <c r="H170" s="7" t="s">
        <v>6222</v>
      </c>
      <c r="I170" s="7" t="s">
        <v>5668</v>
      </c>
      <c r="J170" s="7" t="s">
        <v>6223</v>
      </c>
    </row>
    <row r="171" customFormat="false" ht="46.25" hidden="false" customHeight="false" outlineLevel="0" collapsed="false">
      <c r="A171" s="7" t="n">
        <v>76</v>
      </c>
      <c r="B171" s="7" t="s">
        <v>868</v>
      </c>
      <c r="C171" s="7" t="s">
        <v>876</v>
      </c>
      <c r="D171" s="7" t="s">
        <v>5709</v>
      </c>
      <c r="E171" s="7" t="s">
        <v>6224</v>
      </c>
      <c r="F171" s="7" t="s">
        <v>6225</v>
      </c>
      <c r="G171" s="7"/>
      <c r="H171" s="7" t="s">
        <v>6226</v>
      </c>
      <c r="I171" s="7" t="s">
        <v>5668</v>
      </c>
      <c r="J171" s="7" t="s">
        <v>6227</v>
      </c>
    </row>
    <row r="172" customFormat="false" ht="23.85" hidden="false" customHeight="false" outlineLevel="0" collapsed="false">
      <c r="A172" s="7" t="n">
        <v>76</v>
      </c>
      <c r="B172" s="7" t="s">
        <v>868</v>
      </c>
      <c r="C172" s="7" t="s">
        <v>876</v>
      </c>
      <c r="D172" s="7" t="s">
        <v>5709</v>
      </c>
      <c r="E172" s="7" t="s">
        <v>6228</v>
      </c>
      <c r="F172" s="7" t="s">
        <v>6229</v>
      </c>
      <c r="G172" s="7"/>
      <c r="H172" s="7" t="s">
        <v>5956</v>
      </c>
      <c r="I172" s="7" t="s">
        <v>5668</v>
      </c>
      <c r="J172" s="7" t="s">
        <v>6230</v>
      </c>
    </row>
    <row r="173" customFormat="false" ht="35.05" hidden="false" customHeight="false" outlineLevel="0" collapsed="false">
      <c r="A173" s="7" t="n">
        <v>76</v>
      </c>
      <c r="B173" s="7" t="s">
        <v>868</v>
      </c>
      <c r="C173" s="7" t="s">
        <v>876</v>
      </c>
      <c r="D173" s="7" t="s">
        <v>5709</v>
      </c>
      <c r="E173" s="7" t="s">
        <v>6231</v>
      </c>
      <c r="F173" s="7" t="s">
        <v>6232</v>
      </c>
      <c r="G173" s="7"/>
      <c r="H173" s="7" t="s">
        <v>6233</v>
      </c>
      <c r="I173" s="7" t="s">
        <v>5668</v>
      </c>
      <c r="J173" s="7" t="s">
        <v>6234</v>
      </c>
    </row>
    <row r="174" customFormat="false" ht="57.45" hidden="false" customHeight="false" outlineLevel="0" collapsed="false">
      <c r="A174" s="7" t="n">
        <v>68</v>
      </c>
      <c r="B174" s="7" t="s">
        <v>794</v>
      </c>
      <c r="C174" s="7" t="s">
        <v>803</v>
      </c>
      <c r="D174" s="7" t="s">
        <v>67</v>
      </c>
      <c r="E174" s="7" t="s">
        <v>6235</v>
      </c>
      <c r="F174" s="7"/>
      <c r="G174" s="7"/>
      <c r="H174" s="7"/>
      <c r="I174" s="7"/>
      <c r="J174" s="7"/>
    </row>
    <row r="175" customFormat="false" ht="35.05" hidden="false" customHeight="false" outlineLevel="0" collapsed="false">
      <c r="A175" s="7" t="n">
        <v>68</v>
      </c>
      <c r="B175" s="7" t="s">
        <v>794</v>
      </c>
      <c r="C175" s="7" t="s">
        <v>803</v>
      </c>
      <c r="D175" s="7" t="s">
        <v>6236</v>
      </c>
      <c r="E175" s="7" t="s">
        <v>6237</v>
      </c>
      <c r="F175" s="7" t="s">
        <v>6238</v>
      </c>
      <c r="G175" s="7"/>
      <c r="H175" s="7" t="s">
        <v>6239</v>
      </c>
      <c r="I175" s="7" t="s">
        <v>5668</v>
      </c>
      <c r="J175" s="7" t="s">
        <v>6240</v>
      </c>
    </row>
    <row r="176" customFormat="false" ht="23.85" hidden="false" customHeight="false" outlineLevel="0" collapsed="false">
      <c r="A176" s="7" t="n">
        <v>68</v>
      </c>
      <c r="B176" s="7" t="s">
        <v>794</v>
      </c>
      <c r="C176" s="7" t="s">
        <v>803</v>
      </c>
      <c r="D176" s="7" t="s">
        <v>6236</v>
      </c>
      <c r="E176" s="7" t="s">
        <v>6241</v>
      </c>
      <c r="F176" s="7" t="s">
        <v>6242</v>
      </c>
      <c r="G176" s="7"/>
      <c r="H176" s="7" t="s">
        <v>6243</v>
      </c>
      <c r="I176" s="7" t="s">
        <v>5668</v>
      </c>
      <c r="J176" s="7" t="s">
        <v>6244</v>
      </c>
    </row>
    <row r="177" customFormat="false" ht="23.85" hidden="false" customHeight="false" outlineLevel="0" collapsed="false">
      <c r="A177" s="7" t="n">
        <v>68</v>
      </c>
      <c r="B177" s="7" t="s">
        <v>794</v>
      </c>
      <c r="C177" s="7" t="s">
        <v>803</v>
      </c>
      <c r="D177" s="7" t="s">
        <v>6236</v>
      </c>
      <c r="E177" s="7" t="s">
        <v>6245</v>
      </c>
      <c r="F177" s="7" t="s">
        <v>6246</v>
      </c>
      <c r="G177" s="7"/>
      <c r="H177" s="7" t="s">
        <v>6247</v>
      </c>
      <c r="I177" s="7" t="s">
        <v>5668</v>
      </c>
      <c r="J177" s="7" t="s">
        <v>6244</v>
      </c>
    </row>
    <row r="178" customFormat="false" ht="57.45" hidden="false" customHeight="false" outlineLevel="0" collapsed="false">
      <c r="A178" s="7" t="n">
        <v>68</v>
      </c>
      <c r="B178" s="7" t="s">
        <v>794</v>
      </c>
      <c r="C178" s="7" t="s">
        <v>803</v>
      </c>
      <c r="D178" s="7" t="s">
        <v>5709</v>
      </c>
      <c r="E178" s="7" t="s">
        <v>6248</v>
      </c>
      <c r="F178" s="7" t="s">
        <v>6249</v>
      </c>
      <c r="G178" s="7"/>
      <c r="H178" s="7" t="s">
        <v>6250</v>
      </c>
      <c r="I178" s="7" t="s">
        <v>6251</v>
      </c>
      <c r="J178" s="7" t="s">
        <v>6252</v>
      </c>
    </row>
    <row r="179" customFormat="false" ht="46.25" hidden="false" customHeight="false" outlineLevel="0" collapsed="false">
      <c r="A179" s="7" t="n">
        <v>68</v>
      </c>
      <c r="B179" s="7" t="s">
        <v>794</v>
      </c>
      <c r="C179" s="7" t="s">
        <v>803</v>
      </c>
      <c r="D179" s="7" t="s">
        <v>5709</v>
      </c>
      <c r="E179" s="7" t="s">
        <v>6231</v>
      </c>
      <c r="F179" s="7" t="s">
        <v>6253</v>
      </c>
      <c r="G179" s="7" t="s">
        <v>6254</v>
      </c>
      <c r="H179" s="7" t="s">
        <v>6165</v>
      </c>
      <c r="I179" s="7" t="s">
        <v>5668</v>
      </c>
      <c r="J179" s="7" t="s">
        <v>6255</v>
      </c>
    </row>
    <row r="180" customFormat="false" ht="35.05" hidden="false" customHeight="false" outlineLevel="0" collapsed="false">
      <c r="A180" s="7" t="n">
        <v>64</v>
      </c>
      <c r="B180" s="7" t="s">
        <v>755</v>
      </c>
      <c r="C180" s="7" t="s">
        <v>763</v>
      </c>
      <c r="D180" s="7" t="s">
        <v>5774</v>
      </c>
      <c r="E180" s="7" t="s">
        <v>6256</v>
      </c>
      <c r="F180" s="7"/>
      <c r="G180" s="7"/>
      <c r="H180" s="7"/>
      <c r="I180" s="7"/>
      <c r="J180" s="7"/>
    </row>
    <row r="181" customFormat="false" ht="23.85" hidden="false" customHeight="false" outlineLevel="0" collapsed="false">
      <c r="A181" s="7" t="n">
        <v>64</v>
      </c>
      <c r="B181" s="7" t="s">
        <v>755</v>
      </c>
      <c r="C181" s="7" t="s">
        <v>763</v>
      </c>
      <c r="D181" s="7" t="s">
        <v>5774</v>
      </c>
      <c r="E181" s="7" t="s">
        <v>6257</v>
      </c>
      <c r="F181" s="7"/>
      <c r="G181" s="7"/>
      <c r="H181" s="7"/>
      <c r="I181" s="7"/>
      <c r="J181" s="7"/>
    </row>
    <row r="182" customFormat="false" ht="23.85" hidden="false" customHeight="false" outlineLevel="0" collapsed="false">
      <c r="A182" s="7" t="n">
        <v>64</v>
      </c>
      <c r="B182" s="7" t="s">
        <v>755</v>
      </c>
      <c r="C182" s="7" t="s">
        <v>763</v>
      </c>
      <c r="D182" s="7" t="s">
        <v>5774</v>
      </c>
      <c r="E182" s="7" t="s">
        <v>6258</v>
      </c>
      <c r="F182" s="7"/>
      <c r="G182" s="7"/>
      <c r="H182" s="7"/>
      <c r="I182" s="7"/>
      <c r="J182" s="7"/>
    </row>
    <row r="183" customFormat="false" ht="23.85" hidden="false" customHeight="false" outlineLevel="0" collapsed="false">
      <c r="A183" s="7" t="n">
        <v>64</v>
      </c>
      <c r="B183" s="7" t="s">
        <v>755</v>
      </c>
      <c r="C183" s="7" t="s">
        <v>763</v>
      </c>
      <c r="D183" s="7" t="s">
        <v>5774</v>
      </c>
      <c r="E183" s="7" t="s">
        <v>6259</v>
      </c>
      <c r="F183" s="7"/>
      <c r="G183" s="7"/>
      <c r="H183" s="7"/>
      <c r="I183" s="7"/>
      <c r="J183" s="7"/>
    </row>
    <row r="184" customFormat="false" ht="35.05" hidden="false" customHeight="false" outlineLevel="0" collapsed="false">
      <c r="A184" s="7" t="n">
        <v>64</v>
      </c>
      <c r="B184" s="7" t="s">
        <v>755</v>
      </c>
      <c r="C184" s="7" t="s">
        <v>763</v>
      </c>
      <c r="D184" s="7" t="s">
        <v>5776</v>
      </c>
      <c r="E184" s="7" t="s">
        <v>6167</v>
      </c>
      <c r="F184" s="7" t="s">
        <v>6260</v>
      </c>
      <c r="G184" s="7"/>
      <c r="H184" s="7" t="s">
        <v>6261</v>
      </c>
      <c r="I184" s="7" t="s">
        <v>6262</v>
      </c>
      <c r="J184" s="7" t="s">
        <v>6263</v>
      </c>
    </row>
    <row r="185" customFormat="false" ht="23.85" hidden="false" customHeight="false" outlineLevel="0" collapsed="false">
      <c r="A185" s="7" t="n">
        <v>64</v>
      </c>
      <c r="B185" s="7" t="s">
        <v>755</v>
      </c>
      <c r="C185" s="7" t="s">
        <v>763</v>
      </c>
      <c r="D185" s="7" t="s">
        <v>5776</v>
      </c>
      <c r="E185" s="7" t="s">
        <v>6264</v>
      </c>
      <c r="F185" s="7" t="s">
        <v>6265</v>
      </c>
      <c r="G185" s="7"/>
      <c r="H185" s="7" t="s">
        <v>6266</v>
      </c>
      <c r="I185" s="7" t="s">
        <v>5668</v>
      </c>
      <c r="J185" s="7"/>
    </row>
    <row r="186" customFormat="false" ht="35.05" hidden="false" customHeight="false" outlineLevel="0" collapsed="false">
      <c r="A186" s="7" t="n">
        <v>64</v>
      </c>
      <c r="B186" s="7" t="s">
        <v>755</v>
      </c>
      <c r="C186" s="7" t="s">
        <v>763</v>
      </c>
      <c r="D186" s="7" t="s">
        <v>5776</v>
      </c>
      <c r="E186" s="7" t="s">
        <v>6267</v>
      </c>
      <c r="F186" s="7" t="s">
        <v>6268</v>
      </c>
      <c r="G186" s="7"/>
      <c r="H186" s="7" t="s">
        <v>6269</v>
      </c>
      <c r="I186" s="7" t="s">
        <v>6270</v>
      </c>
      <c r="J186" s="7" t="s">
        <v>6271</v>
      </c>
    </row>
    <row r="187" customFormat="false" ht="35.05" hidden="false" customHeight="false" outlineLevel="0" collapsed="false">
      <c r="A187" s="7" t="n">
        <v>64</v>
      </c>
      <c r="B187" s="7" t="s">
        <v>755</v>
      </c>
      <c r="C187" s="7" t="s">
        <v>763</v>
      </c>
      <c r="D187" s="7" t="s">
        <v>5709</v>
      </c>
      <c r="E187" s="7" t="s">
        <v>5687</v>
      </c>
      <c r="F187" s="7" t="s">
        <v>6272</v>
      </c>
      <c r="G187" s="7"/>
      <c r="H187" s="7" t="s">
        <v>6273</v>
      </c>
      <c r="I187" s="7" t="s">
        <v>6274</v>
      </c>
      <c r="J187" s="7" t="s">
        <v>6275</v>
      </c>
    </row>
  </sheetData>
  <autoFilter ref="A1:J18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22"/>
    <col collapsed="false" customWidth="true" hidden="false" outlineLevel="0" max="4" min="4" style="0" width="60"/>
    <col collapsed="false" customWidth="true" hidden="false" outlineLevel="0" max="5" min="5" style="0" width="6"/>
    <col collapsed="false" customWidth="true" hidden="false" outlineLevel="0" max="6" min="6" style="0" width="18"/>
    <col collapsed="false" customWidth="true" hidden="false" outlineLevel="0" max="7" min="7" style="0" width="30"/>
    <col collapsed="false" customWidth="true" hidden="false" outlineLevel="0" max="8" min="8" style="0" width="25"/>
    <col collapsed="false" customWidth="true" hidden="false" outlineLevel="0" max="9" min="9" style="0" width="18"/>
    <col collapsed="false" customWidth="true" hidden="false" outlineLevel="0" max="11" min="10" style="0" width="60"/>
    <col collapsed="false" customWidth="true" hidden="false" outlineLevel="0" max="12" min="12" style="0" width="18"/>
    <col collapsed="false" customWidth="true" hidden="false" outlineLevel="0" max="13" min="13" style="0" width="40"/>
    <col collapsed="false" customWidth="true" hidden="false" outlineLevel="0" max="14" min="14" style="0" width="30"/>
    <col collapsed="false" customWidth="true" hidden="false" outlineLevel="0" max="16" min="15" style="0" width="14"/>
    <col collapsed="false" customWidth="true" hidden="false" outlineLevel="0" max="17" min="17" style="0" width="11"/>
    <col collapsed="false" customWidth="true" hidden="false" outlineLevel="0" max="18" min="18" style="0" width="40"/>
    <col collapsed="false" customWidth="true" hidden="false" outlineLevel="0" max="19" min="19" style="0" width="30"/>
    <col collapsed="false" customWidth="true" hidden="false" outlineLevel="0" max="20" min="20" style="0" width="40"/>
  </cols>
  <sheetData>
    <row r="1" customFormat="false" ht="45" hidden="false" customHeight="true" outlineLevel="0" collapsed="false">
      <c r="A1" s="1" t="s">
        <v>1189</v>
      </c>
      <c r="B1" s="1" t="s">
        <v>1190</v>
      </c>
      <c r="C1" s="1" t="s">
        <v>6276</v>
      </c>
      <c r="D1" s="1" t="s">
        <v>6277</v>
      </c>
      <c r="E1" s="1" t="s">
        <v>6278</v>
      </c>
      <c r="F1" s="1" t="s">
        <v>6279</v>
      </c>
      <c r="G1" s="1" t="s">
        <v>6280</v>
      </c>
      <c r="H1" s="1" t="s">
        <v>6281</v>
      </c>
      <c r="I1" s="1" t="s">
        <v>6282</v>
      </c>
      <c r="J1" s="1" t="s">
        <v>6283</v>
      </c>
      <c r="K1" s="1" t="s">
        <v>6284</v>
      </c>
      <c r="L1" s="1" t="s">
        <v>6285</v>
      </c>
      <c r="M1" s="1" t="s">
        <v>6286</v>
      </c>
      <c r="N1" s="1" t="s">
        <v>6287</v>
      </c>
      <c r="O1" s="1" t="s">
        <v>6288</v>
      </c>
      <c r="P1" s="1" t="s">
        <v>6289</v>
      </c>
      <c r="Q1" s="1" t="s">
        <v>6290</v>
      </c>
      <c r="R1" s="1" t="s">
        <v>6291</v>
      </c>
      <c r="S1" s="1" t="s">
        <v>5388</v>
      </c>
      <c r="T1" s="1" t="s">
        <v>6292</v>
      </c>
    </row>
    <row r="2" customFormat="false" ht="102.2" hidden="false" customHeight="false" outlineLevel="0" collapsed="false">
      <c r="A2" s="7" t="n">
        <v>4</v>
      </c>
      <c r="B2" s="7" t="s">
        <v>111</v>
      </c>
      <c r="C2" s="7" t="s">
        <v>6293</v>
      </c>
      <c r="D2" s="7" t="s">
        <v>6294</v>
      </c>
      <c r="E2" s="7" t="n">
        <v>2005</v>
      </c>
      <c r="F2" s="7" t="s">
        <v>6295</v>
      </c>
      <c r="G2" s="7" t="s">
        <v>6296</v>
      </c>
      <c r="H2" s="7" t="s">
        <v>6297</v>
      </c>
      <c r="I2" s="7" t="s">
        <v>6298</v>
      </c>
      <c r="J2" s="7" t="s">
        <v>6299</v>
      </c>
      <c r="K2" s="7" t="s">
        <v>6300</v>
      </c>
      <c r="L2" s="7" t="s">
        <v>6301</v>
      </c>
      <c r="M2" s="7" t="s">
        <v>6302</v>
      </c>
      <c r="N2" s="7"/>
      <c r="O2" s="7" t="s">
        <v>6303</v>
      </c>
      <c r="P2" s="7" t="s">
        <v>6304</v>
      </c>
      <c r="Q2" s="7" t="s">
        <v>6305</v>
      </c>
      <c r="R2" s="7" t="s">
        <v>6306</v>
      </c>
      <c r="S2" s="7"/>
      <c r="T2" s="7"/>
    </row>
    <row r="3" customFormat="false" ht="46.25" hidden="false" customHeight="false" outlineLevel="0" collapsed="false">
      <c r="A3" s="7" t="n">
        <v>4</v>
      </c>
      <c r="B3" s="7" t="s">
        <v>111</v>
      </c>
      <c r="C3" s="7" t="s">
        <v>6307</v>
      </c>
      <c r="D3" s="7" t="s">
        <v>6308</v>
      </c>
      <c r="E3" s="7" t="n">
        <v>2018</v>
      </c>
      <c r="F3" s="7" t="s">
        <v>6295</v>
      </c>
      <c r="G3" s="7" t="s">
        <v>6309</v>
      </c>
      <c r="H3" s="7" t="s">
        <v>6310</v>
      </c>
      <c r="I3" s="7" t="s">
        <v>6311</v>
      </c>
      <c r="J3" s="7" t="s">
        <v>6312</v>
      </c>
      <c r="K3" s="7" t="s">
        <v>6313</v>
      </c>
      <c r="L3" s="7" t="s">
        <v>6314</v>
      </c>
      <c r="M3" s="7" t="s">
        <v>6315</v>
      </c>
      <c r="N3" s="7"/>
      <c r="O3" s="7" t="s">
        <v>6303</v>
      </c>
      <c r="P3" s="7" t="s">
        <v>6316</v>
      </c>
      <c r="Q3" s="7" t="s">
        <v>6305</v>
      </c>
      <c r="R3" s="7" t="s">
        <v>6317</v>
      </c>
      <c r="S3" s="7" t="s">
        <v>6318</v>
      </c>
      <c r="T3" s="7"/>
    </row>
    <row r="4" customFormat="false" ht="46.25" hidden="false" customHeight="false" outlineLevel="0" collapsed="false">
      <c r="A4" s="7" t="n">
        <v>4</v>
      </c>
      <c r="B4" s="7" t="s">
        <v>111</v>
      </c>
      <c r="C4" s="7" t="s">
        <v>6319</v>
      </c>
      <c r="D4" s="7" t="s">
        <v>6320</v>
      </c>
      <c r="E4" s="7" t="n">
        <v>2018</v>
      </c>
      <c r="F4" s="7" t="s">
        <v>6321</v>
      </c>
      <c r="G4" s="7" t="s">
        <v>6322</v>
      </c>
      <c r="H4" s="7" t="s">
        <v>6323</v>
      </c>
      <c r="I4" s="7" t="s">
        <v>6324</v>
      </c>
      <c r="J4" s="7" t="s">
        <v>6325</v>
      </c>
      <c r="K4" s="7" t="s">
        <v>6326</v>
      </c>
      <c r="L4" s="7" t="s">
        <v>6327</v>
      </c>
      <c r="M4" s="7" t="s">
        <v>6159</v>
      </c>
      <c r="N4" s="7"/>
      <c r="O4" s="7" t="s">
        <v>6303</v>
      </c>
      <c r="P4" s="7" t="s">
        <v>6328</v>
      </c>
      <c r="Q4" s="7" t="s">
        <v>6305</v>
      </c>
      <c r="R4" s="7" t="s">
        <v>6329</v>
      </c>
      <c r="S4" s="7"/>
      <c r="T4" s="7"/>
    </row>
    <row r="5" customFormat="false" ht="35.05" hidden="false" customHeight="false" outlineLevel="0" collapsed="false">
      <c r="A5" s="7" t="n">
        <v>4</v>
      </c>
      <c r="B5" s="7" t="s">
        <v>111</v>
      </c>
      <c r="C5" s="7" t="s">
        <v>6330</v>
      </c>
      <c r="D5" s="7" t="s">
        <v>6331</v>
      </c>
      <c r="E5" s="7" t="n">
        <v>2004</v>
      </c>
      <c r="F5" s="7" t="s">
        <v>6332</v>
      </c>
      <c r="G5" s="7" t="s">
        <v>6333</v>
      </c>
      <c r="H5" s="7" t="s">
        <v>6334</v>
      </c>
      <c r="I5" s="7" t="s">
        <v>6335</v>
      </c>
      <c r="J5" s="7" t="s">
        <v>6336</v>
      </c>
      <c r="K5" s="7" t="s">
        <v>6337</v>
      </c>
      <c r="L5" s="7" t="s">
        <v>6338</v>
      </c>
      <c r="M5" s="7" t="s">
        <v>6339</v>
      </c>
      <c r="N5" s="7"/>
      <c r="O5" s="7" t="s">
        <v>6303</v>
      </c>
      <c r="P5" s="7" t="s">
        <v>6340</v>
      </c>
      <c r="Q5" s="7" t="s">
        <v>6305</v>
      </c>
      <c r="R5" s="7" t="s">
        <v>6341</v>
      </c>
      <c r="S5" s="7"/>
      <c r="T5" s="7"/>
    </row>
    <row r="6" customFormat="false" ht="23.85" hidden="false" customHeight="false" outlineLevel="0" collapsed="false">
      <c r="A6" s="7" t="n">
        <v>8</v>
      </c>
      <c r="B6" s="7" t="s">
        <v>162</v>
      </c>
      <c r="C6" s="7" t="s">
        <v>6342</v>
      </c>
      <c r="D6" s="7" t="s">
        <v>6343</v>
      </c>
      <c r="E6" s="7" t="n">
        <v>2003</v>
      </c>
      <c r="F6" s="7" t="s">
        <v>6344</v>
      </c>
      <c r="G6" s="7" t="s">
        <v>6345</v>
      </c>
      <c r="H6" s="7" t="s">
        <v>6346</v>
      </c>
      <c r="I6" s="7" t="s">
        <v>6347</v>
      </c>
      <c r="J6" s="7" t="s">
        <v>6348</v>
      </c>
      <c r="K6" s="7" t="s">
        <v>6349</v>
      </c>
      <c r="L6" s="7" t="s">
        <v>6350</v>
      </c>
      <c r="M6" s="7" t="s">
        <v>6351</v>
      </c>
      <c r="N6" s="7"/>
      <c r="O6" s="7" t="s">
        <v>6303</v>
      </c>
      <c r="P6" s="7" t="s">
        <v>6340</v>
      </c>
      <c r="Q6" s="7" t="s">
        <v>6305</v>
      </c>
      <c r="R6" s="7" t="s">
        <v>6352</v>
      </c>
      <c r="S6" s="7"/>
      <c r="T6" s="7"/>
    </row>
    <row r="7" customFormat="false" ht="46.25" hidden="false" customHeight="false" outlineLevel="0" collapsed="false">
      <c r="A7" s="7" t="n">
        <v>8</v>
      </c>
      <c r="B7" s="7" t="s">
        <v>162</v>
      </c>
      <c r="C7" s="7" t="s">
        <v>6353</v>
      </c>
      <c r="D7" s="7" t="s">
        <v>6354</v>
      </c>
      <c r="E7" s="7" t="n">
        <v>2020</v>
      </c>
      <c r="F7" s="7" t="s">
        <v>6295</v>
      </c>
      <c r="G7" s="7" t="s">
        <v>6355</v>
      </c>
      <c r="H7" s="7" t="s">
        <v>6356</v>
      </c>
      <c r="I7" s="7" t="s">
        <v>6324</v>
      </c>
      <c r="J7" s="7" t="s">
        <v>6357</v>
      </c>
      <c r="K7" s="7" t="s">
        <v>6358</v>
      </c>
      <c r="L7" s="7" t="s">
        <v>6359</v>
      </c>
      <c r="M7" s="7" t="s">
        <v>6360</v>
      </c>
      <c r="N7" s="7"/>
      <c r="O7" s="7" t="s">
        <v>6303</v>
      </c>
      <c r="P7" s="7" t="s">
        <v>6340</v>
      </c>
      <c r="Q7" s="7" t="s">
        <v>6305</v>
      </c>
      <c r="R7" s="7" t="s">
        <v>6361</v>
      </c>
      <c r="S7" s="7"/>
      <c r="T7" s="7"/>
    </row>
    <row r="8" customFormat="false" ht="46.25" hidden="false" customHeight="false" outlineLevel="0" collapsed="false">
      <c r="A8" s="7" t="n">
        <v>8</v>
      </c>
      <c r="B8" s="7" t="s">
        <v>162</v>
      </c>
      <c r="C8" s="7" t="s">
        <v>6362</v>
      </c>
      <c r="D8" s="7" t="s">
        <v>6363</v>
      </c>
      <c r="E8" s="7" t="n">
        <v>2020</v>
      </c>
      <c r="F8" s="7" t="s">
        <v>6364</v>
      </c>
      <c r="G8" s="7" t="s">
        <v>6365</v>
      </c>
      <c r="H8" s="7" t="s">
        <v>6366</v>
      </c>
      <c r="I8" s="7" t="s">
        <v>6367</v>
      </c>
      <c r="J8" s="7" t="s">
        <v>6368</v>
      </c>
      <c r="K8" s="7" t="s">
        <v>6369</v>
      </c>
      <c r="L8" s="7" t="s">
        <v>6370</v>
      </c>
      <c r="M8" s="7" t="s">
        <v>6371</v>
      </c>
      <c r="N8" s="7"/>
      <c r="O8" s="7" t="s">
        <v>6303</v>
      </c>
      <c r="P8" s="7" t="s">
        <v>6328</v>
      </c>
      <c r="Q8" s="7" t="s">
        <v>6305</v>
      </c>
      <c r="R8" s="7" t="s">
        <v>6372</v>
      </c>
      <c r="S8" s="7" t="s">
        <v>6373</v>
      </c>
      <c r="T8" s="7"/>
    </row>
    <row r="9" customFormat="false" ht="35.05" hidden="false" customHeight="false" outlineLevel="0" collapsed="false">
      <c r="A9" s="7" t="n">
        <v>8</v>
      </c>
      <c r="B9" s="7" t="s">
        <v>162</v>
      </c>
      <c r="C9" s="7" t="s">
        <v>6374</v>
      </c>
      <c r="D9" s="7" t="s">
        <v>6375</v>
      </c>
      <c r="E9" s="7" t="n">
        <v>2015</v>
      </c>
      <c r="F9" s="7" t="s">
        <v>6376</v>
      </c>
      <c r="G9" s="7" t="s">
        <v>6377</v>
      </c>
      <c r="H9" s="7" t="s">
        <v>6378</v>
      </c>
      <c r="I9" s="7" t="s">
        <v>6379</v>
      </c>
      <c r="J9" s="7" t="s">
        <v>6380</v>
      </c>
      <c r="K9" s="7" t="s">
        <v>6381</v>
      </c>
      <c r="L9" s="7" t="s">
        <v>6382</v>
      </c>
      <c r="M9" s="7" t="s">
        <v>6383</v>
      </c>
      <c r="N9" s="7" t="s">
        <v>6384</v>
      </c>
      <c r="O9" s="7" t="s">
        <v>6303</v>
      </c>
      <c r="P9" s="7" t="s">
        <v>6340</v>
      </c>
      <c r="Q9" s="7" t="s">
        <v>6305</v>
      </c>
      <c r="R9" s="7" t="s">
        <v>6385</v>
      </c>
      <c r="S9" s="7"/>
      <c r="T9" s="7"/>
    </row>
    <row r="10" customFormat="false" ht="46.25" hidden="false" customHeight="false" outlineLevel="0" collapsed="false">
      <c r="A10" s="7" t="n">
        <v>8</v>
      </c>
      <c r="B10" s="7" t="s">
        <v>162</v>
      </c>
      <c r="C10" s="7" t="s">
        <v>6386</v>
      </c>
      <c r="D10" s="7" t="s">
        <v>6387</v>
      </c>
      <c r="E10" s="7" t="n">
        <v>2022</v>
      </c>
      <c r="F10" s="7" t="s">
        <v>6388</v>
      </c>
      <c r="G10" s="7" t="s">
        <v>6389</v>
      </c>
      <c r="H10" s="7" t="s">
        <v>6390</v>
      </c>
      <c r="I10" s="7" t="s">
        <v>6324</v>
      </c>
      <c r="J10" s="7" t="s">
        <v>6391</v>
      </c>
      <c r="K10" s="7" t="s">
        <v>6392</v>
      </c>
      <c r="L10" s="7" t="s">
        <v>6393</v>
      </c>
      <c r="M10" s="7" t="s">
        <v>6394</v>
      </c>
      <c r="N10" s="7"/>
      <c r="O10" s="7" t="s">
        <v>6303</v>
      </c>
      <c r="P10" s="7" t="s">
        <v>6395</v>
      </c>
      <c r="Q10" s="7" t="s">
        <v>6305</v>
      </c>
      <c r="R10" s="7" t="s">
        <v>6396</v>
      </c>
      <c r="S10" s="7" t="s">
        <v>6397</v>
      </c>
      <c r="T10" s="7"/>
    </row>
    <row r="11" customFormat="false" ht="35.05" hidden="false" customHeight="false" outlineLevel="0" collapsed="false">
      <c r="A11" s="7" t="n">
        <v>8</v>
      </c>
      <c r="B11" s="7" t="s">
        <v>162</v>
      </c>
      <c r="C11" s="7" t="s">
        <v>6398</v>
      </c>
      <c r="D11" s="7" t="s">
        <v>6399</v>
      </c>
      <c r="E11" s="7" t="n">
        <v>2020</v>
      </c>
      <c r="F11" s="7" t="s">
        <v>6400</v>
      </c>
      <c r="G11" s="7" t="s">
        <v>6401</v>
      </c>
      <c r="H11" s="7" t="s">
        <v>6402</v>
      </c>
      <c r="I11" s="7" t="s">
        <v>6324</v>
      </c>
      <c r="J11" s="7" t="s">
        <v>6403</v>
      </c>
      <c r="K11" s="7" t="s">
        <v>6404</v>
      </c>
      <c r="L11" s="7" t="s">
        <v>6405</v>
      </c>
      <c r="M11" s="7" t="s">
        <v>6406</v>
      </c>
      <c r="N11" s="7"/>
      <c r="O11" s="7" t="s">
        <v>6303</v>
      </c>
      <c r="P11" s="7" t="s">
        <v>6395</v>
      </c>
      <c r="Q11" s="7" t="s">
        <v>6305</v>
      </c>
      <c r="R11" s="7" t="s">
        <v>6407</v>
      </c>
      <c r="S11" s="7"/>
      <c r="T11" s="7"/>
    </row>
    <row r="12" customFormat="false" ht="46.25" hidden="false" customHeight="false" outlineLevel="0" collapsed="false">
      <c r="A12" s="7" t="n">
        <v>7</v>
      </c>
      <c r="B12" s="7" t="s">
        <v>148</v>
      </c>
      <c r="C12" s="7" t="s">
        <v>6408</v>
      </c>
      <c r="D12" s="7" t="s">
        <v>6409</v>
      </c>
      <c r="E12" s="7" t="n">
        <v>2007</v>
      </c>
      <c r="F12" s="7" t="s">
        <v>6321</v>
      </c>
      <c r="G12" s="7" t="s">
        <v>6410</v>
      </c>
      <c r="H12" s="7" t="s">
        <v>6411</v>
      </c>
      <c r="I12" s="7" t="s">
        <v>6335</v>
      </c>
      <c r="J12" s="7" t="s">
        <v>6412</v>
      </c>
      <c r="K12" s="7" t="s">
        <v>6413</v>
      </c>
      <c r="L12" s="7" t="s">
        <v>6414</v>
      </c>
      <c r="M12" s="7" t="s">
        <v>6415</v>
      </c>
      <c r="N12" s="7"/>
      <c r="O12" s="7" t="s">
        <v>6303</v>
      </c>
      <c r="P12" s="7" t="s">
        <v>6416</v>
      </c>
      <c r="Q12" s="7" t="s">
        <v>6305</v>
      </c>
      <c r="R12" s="7" t="s">
        <v>6417</v>
      </c>
      <c r="S12" s="7"/>
      <c r="T12" s="7"/>
    </row>
    <row r="13" customFormat="false" ht="46.25" hidden="false" customHeight="false" outlineLevel="0" collapsed="false">
      <c r="A13" s="7" t="n">
        <v>7</v>
      </c>
      <c r="B13" s="7" t="s">
        <v>148</v>
      </c>
      <c r="C13" s="7" t="s">
        <v>6418</v>
      </c>
      <c r="D13" s="7" t="s">
        <v>6419</v>
      </c>
      <c r="E13" s="7" t="n">
        <v>2007</v>
      </c>
      <c r="F13" s="7" t="s">
        <v>6295</v>
      </c>
      <c r="G13" s="7" t="s">
        <v>6420</v>
      </c>
      <c r="H13" s="7" t="s">
        <v>6421</v>
      </c>
      <c r="I13" s="7" t="s">
        <v>6324</v>
      </c>
      <c r="J13" s="7" t="s">
        <v>6422</v>
      </c>
      <c r="K13" s="7" t="s">
        <v>6423</v>
      </c>
      <c r="L13" s="7" t="s">
        <v>6424</v>
      </c>
      <c r="M13" s="7" t="s">
        <v>6425</v>
      </c>
      <c r="N13" s="7"/>
      <c r="O13" s="7" t="s">
        <v>6303</v>
      </c>
      <c r="P13" s="7" t="s">
        <v>6426</v>
      </c>
      <c r="Q13" s="7" t="s">
        <v>6305</v>
      </c>
      <c r="R13" s="7" t="s">
        <v>6427</v>
      </c>
      <c r="S13" s="7"/>
      <c r="T13" s="7"/>
    </row>
    <row r="14" customFormat="false" ht="46.25" hidden="false" customHeight="false" outlineLevel="0" collapsed="false">
      <c r="A14" s="7" t="n">
        <v>7</v>
      </c>
      <c r="B14" s="7" t="s">
        <v>148</v>
      </c>
      <c r="C14" s="7" t="s">
        <v>6428</v>
      </c>
      <c r="D14" s="7" t="s">
        <v>6429</v>
      </c>
      <c r="E14" s="7" t="n">
        <v>2016</v>
      </c>
      <c r="F14" s="7" t="s">
        <v>6430</v>
      </c>
      <c r="G14" s="7" t="s">
        <v>6431</v>
      </c>
      <c r="H14" s="7" t="s">
        <v>6432</v>
      </c>
      <c r="I14" s="7" t="s">
        <v>6433</v>
      </c>
      <c r="J14" s="7" t="s">
        <v>6434</v>
      </c>
      <c r="K14" s="7" t="s">
        <v>6435</v>
      </c>
      <c r="L14" s="7" t="s">
        <v>6436</v>
      </c>
      <c r="M14" s="7" t="s">
        <v>6437</v>
      </c>
      <c r="N14" s="7"/>
      <c r="O14" s="7" t="s">
        <v>6303</v>
      </c>
      <c r="P14" s="7" t="s">
        <v>6438</v>
      </c>
      <c r="Q14" s="7" t="s">
        <v>6305</v>
      </c>
      <c r="R14" s="7" t="s">
        <v>6439</v>
      </c>
      <c r="S14" s="7"/>
      <c r="T14" s="7" t="s">
        <v>6440</v>
      </c>
    </row>
    <row r="15" customFormat="false" ht="46.25" hidden="false" customHeight="false" outlineLevel="0" collapsed="false">
      <c r="A15" s="7" t="n">
        <v>7</v>
      </c>
      <c r="B15" s="7" t="s">
        <v>148</v>
      </c>
      <c r="C15" s="7" t="s">
        <v>6441</v>
      </c>
      <c r="D15" s="7" t="s">
        <v>6442</v>
      </c>
      <c r="E15" s="7" t="n">
        <v>2015</v>
      </c>
      <c r="F15" s="7" t="s">
        <v>6443</v>
      </c>
      <c r="G15" s="7" t="s">
        <v>6444</v>
      </c>
      <c r="H15" s="7" t="s">
        <v>6445</v>
      </c>
      <c r="I15" s="7" t="s">
        <v>6335</v>
      </c>
      <c r="J15" s="7" t="s">
        <v>6446</v>
      </c>
      <c r="K15" s="7" t="s">
        <v>6447</v>
      </c>
      <c r="L15" s="7" t="s">
        <v>6448</v>
      </c>
      <c r="M15" s="7" t="s">
        <v>6449</v>
      </c>
      <c r="N15" s="7"/>
      <c r="O15" s="7" t="s">
        <v>6450</v>
      </c>
      <c r="P15" s="7" t="s">
        <v>6451</v>
      </c>
      <c r="Q15" s="7" t="s">
        <v>6305</v>
      </c>
      <c r="R15" s="7" t="s">
        <v>6452</v>
      </c>
      <c r="S15" s="7" t="s">
        <v>6453</v>
      </c>
      <c r="T15" s="7"/>
    </row>
    <row r="16" customFormat="false" ht="35.05" hidden="false" customHeight="false" outlineLevel="0" collapsed="false">
      <c r="A16" s="7" t="n">
        <v>7</v>
      </c>
      <c r="B16" s="7" t="s">
        <v>148</v>
      </c>
      <c r="C16" s="7" t="s">
        <v>6454</v>
      </c>
      <c r="D16" s="7" t="s">
        <v>6455</v>
      </c>
      <c r="E16" s="7" t="n">
        <v>2018</v>
      </c>
      <c r="F16" s="7" t="s">
        <v>6388</v>
      </c>
      <c r="G16" s="7" t="s">
        <v>6456</v>
      </c>
      <c r="H16" s="7" t="s">
        <v>6457</v>
      </c>
      <c r="I16" s="7" t="s">
        <v>6458</v>
      </c>
      <c r="J16" s="7" t="s">
        <v>6459</v>
      </c>
      <c r="K16" s="7" t="s">
        <v>6460</v>
      </c>
      <c r="L16" s="7" t="s">
        <v>6461</v>
      </c>
      <c r="M16" s="7" t="s">
        <v>6462</v>
      </c>
      <c r="N16" s="7"/>
      <c r="O16" s="7" t="s">
        <v>6463</v>
      </c>
      <c r="P16" s="7" t="s">
        <v>6451</v>
      </c>
      <c r="Q16" s="7" t="s">
        <v>6305</v>
      </c>
      <c r="R16" s="7" t="s">
        <v>6464</v>
      </c>
      <c r="S16" s="7"/>
      <c r="T16" s="7"/>
    </row>
    <row r="17" customFormat="false" ht="35.05" hidden="false" customHeight="false" outlineLevel="0" collapsed="false">
      <c r="A17" s="7" t="n">
        <v>9</v>
      </c>
      <c r="B17" s="7" t="s">
        <v>174</v>
      </c>
      <c r="C17" s="7" t="s">
        <v>6465</v>
      </c>
      <c r="D17" s="7" t="s">
        <v>6466</v>
      </c>
      <c r="E17" s="7" t="n">
        <v>2017</v>
      </c>
      <c r="F17" s="7" t="s">
        <v>6295</v>
      </c>
      <c r="G17" s="7" t="s">
        <v>6467</v>
      </c>
      <c r="H17" s="7" t="s">
        <v>6468</v>
      </c>
      <c r="I17" s="7" t="s">
        <v>6324</v>
      </c>
      <c r="J17" s="7" t="s">
        <v>6469</v>
      </c>
      <c r="K17" s="7" t="s">
        <v>6470</v>
      </c>
      <c r="L17" s="7" t="s">
        <v>6471</v>
      </c>
      <c r="M17" s="7" t="s">
        <v>6472</v>
      </c>
      <c r="N17" s="7"/>
      <c r="O17" s="7" t="s">
        <v>6303</v>
      </c>
      <c r="P17" s="7" t="s">
        <v>6340</v>
      </c>
      <c r="Q17" s="7" t="s">
        <v>6305</v>
      </c>
      <c r="R17" s="7" t="s">
        <v>6473</v>
      </c>
      <c r="S17" s="7"/>
      <c r="T17" s="7"/>
    </row>
    <row r="18" customFormat="false" ht="46.25" hidden="false" customHeight="false" outlineLevel="0" collapsed="false">
      <c r="A18" s="7" t="n">
        <v>9</v>
      </c>
      <c r="B18" s="7" t="s">
        <v>174</v>
      </c>
      <c r="C18" s="7" t="s">
        <v>6474</v>
      </c>
      <c r="D18" s="7" t="s">
        <v>6475</v>
      </c>
      <c r="E18" s="7" t="n">
        <v>2011</v>
      </c>
      <c r="F18" s="7" t="s">
        <v>6388</v>
      </c>
      <c r="G18" s="7" t="s">
        <v>6476</v>
      </c>
      <c r="H18" s="7" t="s">
        <v>6477</v>
      </c>
      <c r="I18" s="7" t="s">
        <v>6335</v>
      </c>
      <c r="J18" s="7" t="s">
        <v>6478</v>
      </c>
      <c r="K18" s="7" t="s">
        <v>6479</v>
      </c>
      <c r="L18" s="7" t="s">
        <v>6480</v>
      </c>
      <c r="M18" s="7" t="s">
        <v>6481</v>
      </c>
      <c r="N18" s="7"/>
      <c r="O18" s="7" t="s">
        <v>6463</v>
      </c>
      <c r="P18" s="7" t="s">
        <v>6482</v>
      </c>
      <c r="Q18" s="7" t="s">
        <v>6305</v>
      </c>
      <c r="R18" s="7" t="s">
        <v>6483</v>
      </c>
      <c r="S18" s="7"/>
      <c r="T18" s="7"/>
    </row>
    <row r="19" customFormat="false" ht="46.25" hidden="false" customHeight="false" outlineLevel="0" collapsed="false">
      <c r="A19" s="7" t="n">
        <v>11</v>
      </c>
      <c r="B19" s="7" t="s">
        <v>198</v>
      </c>
      <c r="C19" s="7" t="s">
        <v>6484</v>
      </c>
      <c r="D19" s="7" t="s">
        <v>6485</v>
      </c>
      <c r="E19" s="7" t="n">
        <v>2021</v>
      </c>
      <c r="F19" s="7" t="s">
        <v>6295</v>
      </c>
      <c r="G19" s="7" t="s">
        <v>6486</v>
      </c>
      <c r="H19" s="7" t="s">
        <v>6487</v>
      </c>
      <c r="I19" s="7" t="s">
        <v>6488</v>
      </c>
      <c r="J19" s="7" t="s">
        <v>6489</v>
      </c>
      <c r="K19" s="7" t="s">
        <v>6490</v>
      </c>
      <c r="L19" s="7" t="s">
        <v>6491</v>
      </c>
      <c r="M19" s="7" t="s">
        <v>6492</v>
      </c>
      <c r="N19" s="7"/>
      <c r="O19" s="7" t="s">
        <v>6303</v>
      </c>
      <c r="P19" s="7" t="s">
        <v>6316</v>
      </c>
      <c r="Q19" s="7" t="s">
        <v>6305</v>
      </c>
      <c r="R19" s="7" t="s">
        <v>6493</v>
      </c>
      <c r="S19" s="7"/>
      <c r="T19" s="7" t="s">
        <v>6494</v>
      </c>
    </row>
    <row r="20" customFormat="false" ht="35.05" hidden="false" customHeight="false" outlineLevel="0" collapsed="false">
      <c r="A20" s="7" t="n">
        <v>11</v>
      </c>
      <c r="B20" s="7" t="s">
        <v>198</v>
      </c>
      <c r="C20" s="7" t="s">
        <v>6495</v>
      </c>
      <c r="D20" s="7" t="s">
        <v>6496</v>
      </c>
      <c r="E20" s="7" t="n">
        <v>2009</v>
      </c>
      <c r="F20" s="7" t="s">
        <v>6295</v>
      </c>
      <c r="G20" s="7" t="s">
        <v>6497</v>
      </c>
      <c r="H20" s="7" t="s">
        <v>6498</v>
      </c>
      <c r="I20" s="7" t="s">
        <v>6499</v>
      </c>
      <c r="J20" s="7" t="s">
        <v>6500</v>
      </c>
      <c r="K20" s="7" t="s">
        <v>6501</v>
      </c>
      <c r="L20" s="7" t="s">
        <v>6502</v>
      </c>
      <c r="M20" s="7" t="s">
        <v>6503</v>
      </c>
      <c r="N20" s="7"/>
      <c r="O20" s="7" t="s">
        <v>6303</v>
      </c>
      <c r="P20" s="7" t="s">
        <v>6416</v>
      </c>
      <c r="Q20" s="7" t="s">
        <v>6305</v>
      </c>
      <c r="R20" s="7" t="s">
        <v>6504</v>
      </c>
      <c r="S20" s="7"/>
      <c r="T20" s="7"/>
    </row>
    <row r="21" customFormat="false" ht="46.25" hidden="false" customHeight="false" outlineLevel="0" collapsed="false">
      <c r="A21" s="7" t="n">
        <v>11</v>
      </c>
      <c r="B21" s="7" t="s">
        <v>198</v>
      </c>
      <c r="C21" s="7" t="s">
        <v>6505</v>
      </c>
      <c r="D21" s="7" t="s">
        <v>6506</v>
      </c>
      <c r="E21" s="7" t="n">
        <v>2026</v>
      </c>
      <c r="F21" s="7" t="s">
        <v>6507</v>
      </c>
      <c r="G21" s="7" t="s">
        <v>6508</v>
      </c>
      <c r="H21" s="7" t="s">
        <v>6509</v>
      </c>
      <c r="I21" s="7" t="s">
        <v>6379</v>
      </c>
      <c r="J21" s="7" t="s">
        <v>6510</v>
      </c>
      <c r="K21" s="7" t="s">
        <v>6511</v>
      </c>
      <c r="L21" s="7" t="s">
        <v>6512</v>
      </c>
      <c r="M21" s="7" t="s">
        <v>6513</v>
      </c>
      <c r="N21" s="7" t="s">
        <v>6514</v>
      </c>
      <c r="O21" s="7" t="s">
        <v>6303</v>
      </c>
      <c r="P21" s="7" t="s">
        <v>6416</v>
      </c>
      <c r="Q21" s="7" t="s">
        <v>6305</v>
      </c>
      <c r="R21" s="7" t="s">
        <v>6515</v>
      </c>
      <c r="S21" s="7"/>
      <c r="T21" s="7"/>
    </row>
    <row r="22" customFormat="false" ht="46.25" hidden="false" customHeight="false" outlineLevel="0" collapsed="false">
      <c r="A22" s="7" t="n">
        <v>11</v>
      </c>
      <c r="B22" s="7" t="s">
        <v>198</v>
      </c>
      <c r="C22" s="7" t="s">
        <v>6516</v>
      </c>
      <c r="D22" s="7" t="s">
        <v>6517</v>
      </c>
      <c r="E22" s="7" t="n">
        <v>2011</v>
      </c>
      <c r="F22" s="7" t="s">
        <v>6388</v>
      </c>
      <c r="G22" s="7" t="s">
        <v>6518</v>
      </c>
      <c r="H22" s="7" t="s">
        <v>6519</v>
      </c>
      <c r="I22" s="7" t="s">
        <v>6324</v>
      </c>
      <c r="J22" s="7" t="s">
        <v>6520</v>
      </c>
      <c r="K22" s="7" t="s">
        <v>6521</v>
      </c>
      <c r="L22" s="7" t="s">
        <v>6522</v>
      </c>
      <c r="M22" s="7" t="s">
        <v>6523</v>
      </c>
      <c r="N22" s="7"/>
      <c r="O22" s="7" t="s">
        <v>6463</v>
      </c>
      <c r="P22" s="7" t="s">
        <v>6451</v>
      </c>
      <c r="Q22" s="7" t="s">
        <v>6305</v>
      </c>
      <c r="R22" s="7" t="s">
        <v>6524</v>
      </c>
      <c r="S22" s="7" t="s">
        <v>6525</v>
      </c>
      <c r="T22" s="7"/>
    </row>
    <row r="23" customFormat="false" ht="35.05" hidden="false" customHeight="false" outlineLevel="0" collapsed="false">
      <c r="A23" s="7" t="n">
        <v>11</v>
      </c>
      <c r="B23" s="7" t="s">
        <v>198</v>
      </c>
      <c r="C23" s="7" t="s">
        <v>6526</v>
      </c>
      <c r="D23" s="7" t="s">
        <v>6527</v>
      </c>
      <c r="E23" s="7" t="n">
        <v>2018</v>
      </c>
      <c r="F23" s="7" t="s">
        <v>6388</v>
      </c>
      <c r="G23" s="7" t="s">
        <v>6528</v>
      </c>
      <c r="H23" s="7" t="s">
        <v>6529</v>
      </c>
      <c r="I23" s="7" t="s">
        <v>6324</v>
      </c>
      <c r="J23" s="7" t="s">
        <v>6530</v>
      </c>
      <c r="K23" s="7" t="s">
        <v>6531</v>
      </c>
      <c r="L23" s="7" t="s">
        <v>6532</v>
      </c>
      <c r="M23" s="7" t="s">
        <v>6533</v>
      </c>
      <c r="N23" s="7" t="s">
        <v>6534</v>
      </c>
      <c r="O23" s="7" t="s">
        <v>6463</v>
      </c>
      <c r="P23" s="7" t="s">
        <v>6451</v>
      </c>
      <c r="Q23" s="7" t="s">
        <v>6305</v>
      </c>
      <c r="R23" s="7" t="s">
        <v>6535</v>
      </c>
      <c r="S23" s="7" t="s">
        <v>6536</v>
      </c>
      <c r="T23" s="7"/>
    </row>
    <row r="24" customFormat="false" ht="46.25" hidden="false" customHeight="false" outlineLevel="0" collapsed="false">
      <c r="A24" s="7" t="n">
        <v>11</v>
      </c>
      <c r="B24" s="7" t="s">
        <v>198</v>
      </c>
      <c r="C24" s="7" t="s">
        <v>6537</v>
      </c>
      <c r="D24" s="7" t="s">
        <v>6538</v>
      </c>
      <c r="E24" s="7" t="n">
        <v>2021</v>
      </c>
      <c r="F24" s="7" t="s">
        <v>6539</v>
      </c>
      <c r="G24" s="7" t="s">
        <v>6540</v>
      </c>
      <c r="H24" s="7" t="s">
        <v>6541</v>
      </c>
      <c r="I24" s="7" t="s">
        <v>6542</v>
      </c>
      <c r="J24" s="7" t="s">
        <v>6543</v>
      </c>
      <c r="K24" s="7" t="s">
        <v>6544</v>
      </c>
      <c r="L24" s="7" t="s">
        <v>6545</v>
      </c>
      <c r="M24" s="7" t="s">
        <v>6546</v>
      </c>
      <c r="N24" s="7"/>
      <c r="O24" s="7" t="s">
        <v>6450</v>
      </c>
      <c r="P24" s="7" t="s">
        <v>6451</v>
      </c>
      <c r="Q24" s="7" t="s">
        <v>6305</v>
      </c>
      <c r="R24" s="7" t="s">
        <v>6547</v>
      </c>
      <c r="S24" s="7"/>
      <c r="T24" s="7"/>
    </row>
    <row r="25" customFormat="false" ht="35.05" hidden="false" customHeight="false" outlineLevel="0" collapsed="false">
      <c r="A25" s="7" t="n">
        <v>11</v>
      </c>
      <c r="B25" s="7" t="s">
        <v>198</v>
      </c>
      <c r="C25" s="7" t="s">
        <v>6548</v>
      </c>
      <c r="D25" s="7" t="s">
        <v>6549</v>
      </c>
      <c r="E25" s="7" t="n">
        <v>2021</v>
      </c>
      <c r="F25" s="7" t="s">
        <v>6388</v>
      </c>
      <c r="G25" s="7" t="s">
        <v>6550</v>
      </c>
      <c r="H25" s="7" t="s">
        <v>6551</v>
      </c>
      <c r="I25" s="7" t="s">
        <v>6552</v>
      </c>
      <c r="J25" s="7" t="s">
        <v>6553</v>
      </c>
      <c r="K25" s="7" t="s">
        <v>6554</v>
      </c>
      <c r="L25" s="7" t="s">
        <v>6555</v>
      </c>
      <c r="M25" s="7" t="s">
        <v>6556</v>
      </c>
      <c r="N25" s="7"/>
      <c r="O25" s="7" t="s">
        <v>6463</v>
      </c>
      <c r="P25" s="7" t="s">
        <v>6328</v>
      </c>
      <c r="Q25" s="7" t="s">
        <v>6305</v>
      </c>
      <c r="R25" s="7" t="s">
        <v>6557</v>
      </c>
      <c r="S25" s="7"/>
      <c r="T25" s="7"/>
    </row>
    <row r="26" customFormat="false" ht="46.25" hidden="false" customHeight="false" outlineLevel="0" collapsed="false">
      <c r="A26" s="7" t="n">
        <v>11</v>
      </c>
      <c r="B26" s="7" t="s">
        <v>198</v>
      </c>
      <c r="C26" s="7" t="s">
        <v>6558</v>
      </c>
      <c r="D26" s="7" t="s">
        <v>6559</v>
      </c>
      <c r="E26" s="7" t="n">
        <v>2024</v>
      </c>
      <c r="F26" s="7" t="s">
        <v>6560</v>
      </c>
      <c r="G26" s="7" t="s">
        <v>6561</v>
      </c>
      <c r="H26" s="7" t="s">
        <v>6562</v>
      </c>
      <c r="I26" s="7" t="s">
        <v>6563</v>
      </c>
      <c r="J26" s="7" t="s">
        <v>6564</v>
      </c>
      <c r="K26" s="7" t="s">
        <v>6565</v>
      </c>
      <c r="L26" s="7" t="s">
        <v>6566</v>
      </c>
      <c r="M26" s="7"/>
      <c r="N26" s="7"/>
      <c r="O26" s="7" t="s">
        <v>6303</v>
      </c>
      <c r="P26" s="7" t="s">
        <v>6328</v>
      </c>
      <c r="Q26" s="7" t="s">
        <v>6305</v>
      </c>
      <c r="R26" s="7" t="s">
        <v>6567</v>
      </c>
      <c r="S26" s="7"/>
      <c r="T26" s="7"/>
    </row>
    <row r="27" customFormat="false" ht="46.25" hidden="false" customHeight="false" outlineLevel="0" collapsed="false">
      <c r="A27" s="7" t="n">
        <v>13</v>
      </c>
      <c r="B27" s="7" t="s">
        <v>221</v>
      </c>
      <c r="C27" s="7" t="s">
        <v>6568</v>
      </c>
      <c r="D27" s="7" t="s">
        <v>6569</v>
      </c>
      <c r="E27" s="7" t="n">
        <v>2003</v>
      </c>
      <c r="F27" s="7" t="s">
        <v>6430</v>
      </c>
      <c r="G27" s="7" t="s">
        <v>6570</v>
      </c>
      <c r="H27" s="7" t="s">
        <v>6571</v>
      </c>
      <c r="I27" s="7" t="s">
        <v>6572</v>
      </c>
      <c r="J27" s="7" t="s">
        <v>6573</v>
      </c>
      <c r="K27" s="7" t="s">
        <v>6574</v>
      </c>
      <c r="L27" s="7" t="s">
        <v>6575</v>
      </c>
      <c r="M27" s="7" t="s">
        <v>6576</v>
      </c>
      <c r="N27" s="7"/>
      <c r="O27" s="7" t="s">
        <v>6303</v>
      </c>
      <c r="P27" s="7" t="s">
        <v>6416</v>
      </c>
      <c r="Q27" s="7" t="s">
        <v>6305</v>
      </c>
      <c r="R27" s="7" t="s">
        <v>6577</v>
      </c>
      <c r="S27" s="7"/>
      <c r="T27" s="7" t="s">
        <v>6578</v>
      </c>
    </row>
    <row r="28" customFormat="false" ht="57.45" hidden="false" customHeight="false" outlineLevel="0" collapsed="false">
      <c r="A28" s="7" t="n">
        <v>13</v>
      </c>
      <c r="B28" s="7" t="s">
        <v>221</v>
      </c>
      <c r="C28" s="7" t="s">
        <v>6579</v>
      </c>
      <c r="D28" s="7" t="s">
        <v>6580</v>
      </c>
      <c r="E28" s="7" t="n">
        <v>2013</v>
      </c>
      <c r="F28" s="7" t="s">
        <v>6295</v>
      </c>
      <c r="G28" s="7" t="s">
        <v>6581</v>
      </c>
      <c r="H28" s="7" t="s">
        <v>6582</v>
      </c>
      <c r="I28" s="7" t="s">
        <v>6583</v>
      </c>
      <c r="J28" s="7" t="s">
        <v>6584</v>
      </c>
      <c r="K28" s="7" t="s">
        <v>6585</v>
      </c>
      <c r="L28" s="7" t="s">
        <v>6586</v>
      </c>
      <c r="M28" s="7" t="s">
        <v>6587</v>
      </c>
      <c r="N28" s="7"/>
      <c r="O28" s="7" t="s">
        <v>6303</v>
      </c>
      <c r="P28" s="7" t="s">
        <v>6416</v>
      </c>
      <c r="Q28" s="7" t="s">
        <v>6305</v>
      </c>
      <c r="R28" s="7" t="s">
        <v>6588</v>
      </c>
      <c r="S28" s="7"/>
      <c r="T28" s="7" t="s">
        <v>6589</v>
      </c>
    </row>
    <row r="29" customFormat="false" ht="46.25" hidden="false" customHeight="false" outlineLevel="0" collapsed="false">
      <c r="A29" s="7" t="n">
        <v>13</v>
      </c>
      <c r="B29" s="7" t="s">
        <v>221</v>
      </c>
      <c r="C29" s="7" t="s">
        <v>6590</v>
      </c>
      <c r="D29" s="7" t="s">
        <v>6591</v>
      </c>
      <c r="E29" s="7" t="n">
        <v>2017</v>
      </c>
      <c r="F29" s="7" t="s">
        <v>6592</v>
      </c>
      <c r="G29" s="7" t="s">
        <v>6593</v>
      </c>
      <c r="H29" s="7" t="s">
        <v>6468</v>
      </c>
      <c r="I29" s="7" t="s">
        <v>6594</v>
      </c>
      <c r="J29" s="7" t="s">
        <v>6595</v>
      </c>
      <c r="K29" s="7" t="s">
        <v>6596</v>
      </c>
      <c r="L29" s="7" t="s">
        <v>6597</v>
      </c>
      <c r="M29" s="7" t="s">
        <v>6598</v>
      </c>
      <c r="N29" s="7"/>
      <c r="O29" s="7" t="s">
        <v>6303</v>
      </c>
      <c r="P29" s="7" t="s">
        <v>6328</v>
      </c>
      <c r="Q29" s="7" t="s">
        <v>6305</v>
      </c>
      <c r="R29" s="7" t="s">
        <v>6599</v>
      </c>
      <c r="S29" s="7"/>
      <c r="T29" s="7"/>
    </row>
    <row r="30" customFormat="false" ht="46.25" hidden="false" customHeight="false" outlineLevel="0" collapsed="false">
      <c r="A30" s="7" t="n">
        <v>13</v>
      </c>
      <c r="B30" s="7" t="s">
        <v>221</v>
      </c>
      <c r="C30" s="7" t="s">
        <v>6600</v>
      </c>
      <c r="D30" s="7" t="s">
        <v>6601</v>
      </c>
      <c r="E30" s="7" t="n">
        <v>2020</v>
      </c>
      <c r="F30" s="7" t="s">
        <v>6388</v>
      </c>
      <c r="G30" s="7" t="s">
        <v>6602</v>
      </c>
      <c r="H30" s="7" t="s">
        <v>6603</v>
      </c>
      <c r="I30" s="7" t="s">
        <v>6604</v>
      </c>
      <c r="J30" s="7" t="s">
        <v>6605</v>
      </c>
      <c r="K30" s="7" t="s">
        <v>6606</v>
      </c>
      <c r="L30" s="7" t="s">
        <v>6607</v>
      </c>
      <c r="M30" s="7" t="s">
        <v>6608</v>
      </c>
      <c r="N30" s="7"/>
      <c r="O30" s="7" t="s">
        <v>6609</v>
      </c>
      <c r="P30" s="7" t="s">
        <v>6395</v>
      </c>
      <c r="Q30" s="7" t="s">
        <v>6305</v>
      </c>
      <c r="R30" s="7" t="s">
        <v>6610</v>
      </c>
      <c r="S30" s="7" t="s">
        <v>6611</v>
      </c>
      <c r="T30" s="7"/>
    </row>
    <row r="31" customFormat="false" ht="46.25" hidden="false" customHeight="false" outlineLevel="0" collapsed="false">
      <c r="A31" s="7" t="n">
        <v>13</v>
      </c>
      <c r="B31" s="7" t="s">
        <v>221</v>
      </c>
      <c r="C31" s="7" t="s">
        <v>6612</v>
      </c>
      <c r="D31" s="7" t="s">
        <v>6613</v>
      </c>
      <c r="E31" s="7" t="n">
        <v>2022</v>
      </c>
      <c r="F31" s="7" t="s">
        <v>6614</v>
      </c>
      <c r="G31" s="7" t="s">
        <v>6615</v>
      </c>
      <c r="H31" s="7" t="s">
        <v>6616</v>
      </c>
      <c r="I31" s="7" t="s">
        <v>6617</v>
      </c>
      <c r="J31" s="7" t="s">
        <v>6618</v>
      </c>
      <c r="K31" s="7" t="s">
        <v>6619</v>
      </c>
      <c r="L31" s="7" t="s">
        <v>6620</v>
      </c>
      <c r="M31" s="7" t="s">
        <v>6621</v>
      </c>
      <c r="N31" s="7"/>
      <c r="O31" s="7" t="s">
        <v>6303</v>
      </c>
      <c r="P31" s="7" t="s">
        <v>6328</v>
      </c>
      <c r="Q31" s="7" t="s">
        <v>6305</v>
      </c>
      <c r="R31" s="7" t="s">
        <v>6622</v>
      </c>
      <c r="S31" s="7"/>
      <c r="T31" s="7"/>
    </row>
    <row r="32" customFormat="false" ht="35.05" hidden="false" customHeight="false" outlineLevel="0" collapsed="false">
      <c r="A32" s="7" t="n">
        <v>13</v>
      </c>
      <c r="B32" s="7" t="s">
        <v>221</v>
      </c>
      <c r="C32" s="7" t="s">
        <v>6623</v>
      </c>
      <c r="D32" s="7" t="s">
        <v>6624</v>
      </c>
      <c r="E32" s="7" t="n">
        <v>2023</v>
      </c>
      <c r="F32" s="7" t="s">
        <v>6625</v>
      </c>
      <c r="G32" s="7" t="s">
        <v>6626</v>
      </c>
      <c r="H32" s="7" t="s">
        <v>6627</v>
      </c>
      <c r="I32" s="7" t="s">
        <v>6628</v>
      </c>
      <c r="J32" s="7" t="s">
        <v>6629</v>
      </c>
      <c r="K32" s="7" t="s">
        <v>6630</v>
      </c>
      <c r="L32" s="7" t="s">
        <v>6631</v>
      </c>
      <c r="M32" s="7" t="s">
        <v>6632</v>
      </c>
      <c r="N32" s="7"/>
      <c r="O32" s="7" t="s">
        <v>6303</v>
      </c>
      <c r="P32" s="7" t="s">
        <v>6328</v>
      </c>
      <c r="Q32" s="7" t="s">
        <v>6305</v>
      </c>
      <c r="R32" s="7" t="s">
        <v>6633</v>
      </c>
      <c r="S32" s="7"/>
      <c r="T32" s="7" t="s">
        <v>6634</v>
      </c>
    </row>
    <row r="33" customFormat="false" ht="57.45" hidden="false" customHeight="false" outlineLevel="0" collapsed="false">
      <c r="A33" s="7" t="n">
        <v>13</v>
      </c>
      <c r="B33" s="7" t="s">
        <v>221</v>
      </c>
      <c r="C33" s="7" t="s">
        <v>6635</v>
      </c>
      <c r="D33" s="7" t="s">
        <v>6636</v>
      </c>
      <c r="E33" s="7" t="n">
        <v>2024</v>
      </c>
      <c r="F33" s="7" t="s">
        <v>6592</v>
      </c>
      <c r="G33" s="7" t="s">
        <v>6637</v>
      </c>
      <c r="H33" s="7" t="s">
        <v>6638</v>
      </c>
      <c r="I33" s="7" t="s">
        <v>6324</v>
      </c>
      <c r="J33" s="7" t="s">
        <v>6639</v>
      </c>
      <c r="K33" s="7" t="s">
        <v>6640</v>
      </c>
      <c r="L33" s="7" t="s">
        <v>6641</v>
      </c>
      <c r="M33" s="7" t="s">
        <v>6642</v>
      </c>
      <c r="N33" s="7"/>
      <c r="O33" s="7" t="s">
        <v>6303</v>
      </c>
      <c r="P33" s="7" t="s">
        <v>6643</v>
      </c>
      <c r="Q33" s="7" t="s">
        <v>6305</v>
      </c>
      <c r="R33" s="7" t="s">
        <v>6644</v>
      </c>
      <c r="S33" s="7"/>
      <c r="T33" s="7"/>
    </row>
    <row r="34" customFormat="false" ht="46.25" hidden="false" customHeight="false" outlineLevel="0" collapsed="false">
      <c r="A34" s="7" t="n">
        <v>13</v>
      </c>
      <c r="B34" s="7" t="s">
        <v>221</v>
      </c>
      <c r="C34" s="7" t="s">
        <v>6645</v>
      </c>
      <c r="D34" s="7" t="s">
        <v>6646</v>
      </c>
      <c r="E34" s="7" t="n">
        <v>2024</v>
      </c>
      <c r="F34" s="7" t="s">
        <v>6295</v>
      </c>
      <c r="G34" s="7" t="s">
        <v>6647</v>
      </c>
      <c r="H34" s="7" t="s">
        <v>6648</v>
      </c>
      <c r="I34" s="7" t="s">
        <v>6649</v>
      </c>
      <c r="J34" s="7" t="s">
        <v>6650</v>
      </c>
      <c r="K34" s="7" t="s">
        <v>6651</v>
      </c>
      <c r="L34" s="7" t="s">
        <v>6652</v>
      </c>
      <c r="M34" s="7" t="s">
        <v>6653</v>
      </c>
      <c r="N34" s="7"/>
      <c r="O34" s="7" t="s">
        <v>6303</v>
      </c>
      <c r="P34" s="7" t="s">
        <v>6416</v>
      </c>
      <c r="Q34" s="7" t="s">
        <v>6305</v>
      </c>
      <c r="R34" s="7" t="s">
        <v>6654</v>
      </c>
      <c r="S34" s="7"/>
      <c r="T34" s="7"/>
    </row>
    <row r="35" customFormat="false" ht="35.05" hidden="false" customHeight="false" outlineLevel="0" collapsed="false">
      <c r="A35" s="7" t="n">
        <v>19</v>
      </c>
      <c r="B35" s="7" t="s">
        <v>295</v>
      </c>
      <c r="C35" s="7" t="s">
        <v>6655</v>
      </c>
      <c r="D35" s="7" t="s">
        <v>6656</v>
      </c>
      <c r="E35" s="7" t="n">
        <v>2019</v>
      </c>
      <c r="F35" s="7" t="s">
        <v>6295</v>
      </c>
      <c r="G35" s="7" t="s">
        <v>6657</v>
      </c>
      <c r="H35" s="7" t="s">
        <v>6658</v>
      </c>
      <c r="I35" s="7" t="s">
        <v>6659</v>
      </c>
      <c r="J35" s="7" t="s">
        <v>6660</v>
      </c>
      <c r="K35" s="7" t="s">
        <v>6661</v>
      </c>
      <c r="L35" s="7" t="s">
        <v>6662</v>
      </c>
      <c r="M35" s="7" t="s">
        <v>6663</v>
      </c>
      <c r="N35" s="7"/>
      <c r="O35" s="7" t="s">
        <v>6303</v>
      </c>
      <c r="P35" s="7" t="s">
        <v>6643</v>
      </c>
      <c r="Q35" s="7" t="s">
        <v>6305</v>
      </c>
      <c r="R35" s="7" t="s">
        <v>6664</v>
      </c>
      <c r="S35" s="7"/>
      <c r="T35" s="7"/>
    </row>
    <row r="36" customFormat="false" ht="35.05" hidden="false" customHeight="false" outlineLevel="0" collapsed="false">
      <c r="A36" s="7" t="n">
        <v>19</v>
      </c>
      <c r="B36" s="7" t="s">
        <v>295</v>
      </c>
      <c r="C36" s="7" t="s">
        <v>6665</v>
      </c>
      <c r="D36" s="7" t="s">
        <v>6666</v>
      </c>
      <c r="E36" s="7" t="n">
        <v>2025</v>
      </c>
      <c r="F36" s="7" t="s">
        <v>6295</v>
      </c>
      <c r="G36" s="7" t="s">
        <v>6667</v>
      </c>
      <c r="H36" s="7" t="s">
        <v>6668</v>
      </c>
      <c r="I36" s="7" t="s">
        <v>6379</v>
      </c>
      <c r="J36" s="7" t="s">
        <v>6669</v>
      </c>
      <c r="K36" s="7" t="s">
        <v>6670</v>
      </c>
      <c r="L36" s="7" t="s">
        <v>6671</v>
      </c>
      <c r="M36" s="7" t="s">
        <v>6672</v>
      </c>
      <c r="N36" s="7"/>
      <c r="O36" s="7" t="s">
        <v>6303</v>
      </c>
      <c r="P36" s="7" t="s">
        <v>6340</v>
      </c>
      <c r="Q36" s="7" t="s">
        <v>6305</v>
      </c>
      <c r="R36" s="7" t="s">
        <v>6673</v>
      </c>
      <c r="S36" s="7"/>
      <c r="T36" s="7"/>
    </row>
    <row r="37" customFormat="false" ht="35.05" hidden="false" customHeight="false" outlineLevel="0" collapsed="false">
      <c r="A37" s="7" t="n">
        <v>19</v>
      </c>
      <c r="B37" s="7" t="s">
        <v>295</v>
      </c>
      <c r="C37" s="7" t="s">
        <v>6674</v>
      </c>
      <c r="D37" s="7" t="s">
        <v>6675</v>
      </c>
      <c r="E37" s="7" t="n">
        <v>2021</v>
      </c>
      <c r="F37" s="7" t="s">
        <v>6676</v>
      </c>
      <c r="G37" s="7" t="s">
        <v>6677</v>
      </c>
      <c r="H37" s="7" t="s">
        <v>6678</v>
      </c>
      <c r="I37" s="7" t="s">
        <v>6324</v>
      </c>
      <c r="J37" s="7" t="s">
        <v>6679</v>
      </c>
      <c r="K37" s="7" t="s">
        <v>6680</v>
      </c>
      <c r="L37" s="7" t="s">
        <v>6681</v>
      </c>
      <c r="M37" s="7" t="s">
        <v>6682</v>
      </c>
      <c r="N37" s="7"/>
      <c r="O37" s="7" t="s">
        <v>6303</v>
      </c>
      <c r="P37" s="7" t="s">
        <v>6328</v>
      </c>
      <c r="Q37" s="7" t="s">
        <v>6305</v>
      </c>
      <c r="R37" s="7" t="s">
        <v>6683</v>
      </c>
      <c r="S37" s="7" t="s">
        <v>6684</v>
      </c>
      <c r="T37" s="7" t="s">
        <v>6685</v>
      </c>
    </row>
    <row r="38" customFormat="false" ht="35.05" hidden="false" customHeight="false" outlineLevel="0" collapsed="false">
      <c r="A38" s="7" t="n">
        <v>19</v>
      </c>
      <c r="B38" s="7" t="s">
        <v>295</v>
      </c>
      <c r="C38" s="7" t="s">
        <v>6686</v>
      </c>
      <c r="D38" s="7" t="s">
        <v>6687</v>
      </c>
      <c r="E38" s="7" t="n">
        <v>2020</v>
      </c>
      <c r="F38" s="7" t="s">
        <v>6388</v>
      </c>
      <c r="G38" s="7" t="s">
        <v>6688</v>
      </c>
      <c r="H38" s="7" t="s">
        <v>6689</v>
      </c>
      <c r="I38" s="7" t="s">
        <v>6690</v>
      </c>
      <c r="J38" s="7" t="s">
        <v>6691</v>
      </c>
      <c r="K38" s="7" t="s">
        <v>6692</v>
      </c>
      <c r="L38" s="7" t="s">
        <v>6693</v>
      </c>
      <c r="M38" s="7" t="s">
        <v>6694</v>
      </c>
      <c r="N38" s="7"/>
      <c r="O38" s="7" t="s">
        <v>6303</v>
      </c>
      <c r="P38" s="7" t="s">
        <v>6328</v>
      </c>
      <c r="Q38" s="7" t="s">
        <v>6305</v>
      </c>
      <c r="R38" s="7" t="s">
        <v>6695</v>
      </c>
      <c r="S38" s="7" t="s">
        <v>6696</v>
      </c>
      <c r="T38" s="7"/>
    </row>
    <row r="39" customFormat="false" ht="35.05" hidden="false" customHeight="false" outlineLevel="0" collapsed="false">
      <c r="A39" s="7" t="n">
        <v>18</v>
      </c>
      <c r="B39" s="7" t="s">
        <v>283</v>
      </c>
      <c r="C39" s="7" t="s">
        <v>6697</v>
      </c>
      <c r="D39" s="7" t="s">
        <v>6698</v>
      </c>
      <c r="E39" s="7" t="n">
        <v>2008</v>
      </c>
      <c r="F39" s="7" t="s">
        <v>6430</v>
      </c>
      <c r="G39" s="7" t="s">
        <v>6699</v>
      </c>
      <c r="H39" s="7" t="s">
        <v>6700</v>
      </c>
      <c r="I39" s="7" t="s">
        <v>6572</v>
      </c>
      <c r="J39" s="7" t="s">
        <v>6701</v>
      </c>
      <c r="K39" s="7" t="s">
        <v>6702</v>
      </c>
      <c r="L39" s="7" t="s">
        <v>6703</v>
      </c>
      <c r="M39" s="7" t="s">
        <v>6576</v>
      </c>
      <c r="N39" s="7"/>
      <c r="O39" s="7" t="s">
        <v>6303</v>
      </c>
      <c r="P39" s="7" t="s">
        <v>6328</v>
      </c>
      <c r="Q39" s="7" t="s">
        <v>6305</v>
      </c>
      <c r="R39" s="7" t="s">
        <v>6704</v>
      </c>
      <c r="S39" s="7"/>
      <c r="T39" s="7"/>
    </row>
    <row r="40" customFormat="false" ht="57.45" hidden="false" customHeight="false" outlineLevel="0" collapsed="false">
      <c r="A40" s="7" t="n">
        <v>18</v>
      </c>
      <c r="B40" s="7" t="s">
        <v>283</v>
      </c>
      <c r="C40" s="7" t="s">
        <v>6705</v>
      </c>
      <c r="D40" s="7" t="s">
        <v>6706</v>
      </c>
      <c r="E40" s="7" t="n">
        <v>2013</v>
      </c>
      <c r="F40" s="7" t="s">
        <v>6707</v>
      </c>
      <c r="G40" s="7" t="s">
        <v>6708</v>
      </c>
      <c r="H40" s="7" t="s">
        <v>6709</v>
      </c>
      <c r="I40" s="7" t="s">
        <v>6367</v>
      </c>
      <c r="J40" s="7" t="s">
        <v>6710</v>
      </c>
      <c r="K40" s="7" t="s">
        <v>6711</v>
      </c>
      <c r="L40" s="7" t="s">
        <v>6712</v>
      </c>
      <c r="M40" s="7" t="s">
        <v>6713</v>
      </c>
      <c r="N40" s="7"/>
      <c r="O40" s="7" t="s">
        <v>6303</v>
      </c>
      <c r="P40" s="7" t="s">
        <v>6714</v>
      </c>
      <c r="Q40" s="7" t="s">
        <v>6305</v>
      </c>
      <c r="R40" s="7" t="s">
        <v>6715</v>
      </c>
      <c r="S40" s="7"/>
      <c r="T40" s="7" t="s">
        <v>6716</v>
      </c>
    </row>
    <row r="41" customFormat="false" ht="57.45" hidden="false" customHeight="false" outlineLevel="0" collapsed="false">
      <c r="A41" s="7" t="n">
        <v>18</v>
      </c>
      <c r="B41" s="7" t="s">
        <v>283</v>
      </c>
      <c r="C41" s="7" t="s">
        <v>6717</v>
      </c>
      <c r="D41" s="7" t="s">
        <v>6718</v>
      </c>
      <c r="E41" s="7" t="n">
        <v>2017</v>
      </c>
      <c r="F41" s="7" t="s">
        <v>6295</v>
      </c>
      <c r="G41" s="7" t="s">
        <v>6719</v>
      </c>
      <c r="H41" s="7" t="s">
        <v>6720</v>
      </c>
      <c r="I41" s="7" t="s">
        <v>6721</v>
      </c>
      <c r="J41" s="7" t="s">
        <v>6722</v>
      </c>
      <c r="K41" s="7" t="s">
        <v>6723</v>
      </c>
      <c r="L41" s="7" t="s">
        <v>6724</v>
      </c>
      <c r="M41" s="7" t="s">
        <v>6725</v>
      </c>
      <c r="N41" s="7"/>
      <c r="O41" s="7" t="s">
        <v>6303</v>
      </c>
      <c r="P41" s="7" t="s">
        <v>6416</v>
      </c>
      <c r="Q41" s="7" t="s">
        <v>6305</v>
      </c>
      <c r="R41" s="7" t="s">
        <v>6726</v>
      </c>
      <c r="S41" s="7"/>
      <c r="T41" s="7"/>
    </row>
    <row r="42" customFormat="false" ht="91" hidden="false" customHeight="false" outlineLevel="0" collapsed="false">
      <c r="A42" s="7" t="n">
        <v>18</v>
      </c>
      <c r="B42" s="7" t="s">
        <v>283</v>
      </c>
      <c r="C42" s="7" t="s">
        <v>6727</v>
      </c>
      <c r="D42" s="7" t="s">
        <v>6728</v>
      </c>
      <c r="E42" s="7" t="n">
        <v>2019</v>
      </c>
      <c r="F42" s="7" t="s">
        <v>6729</v>
      </c>
      <c r="G42" s="7" t="s">
        <v>6730</v>
      </c>
      <c r="H42" s="7" t="s">
        <v>6731</v>
      </c>
      <c r="I42" s="7" t="s">
        <v>6347</v>
      </c>
      <c r="J42" s="7" t="s">
        <v>6732</v>
      </c>
      <c r="K42" s="7" t="s">
        <v>6733</v>
      </c>
      <c r="L42" s="7" t="s">
        <v>6734</v>
      </c>
      <c r="M42" s="7" t="s">
        <v>6735</v>
      </c>
      <c r="N42" s="7"/>
      <c r="O42" s="7" t="s">
        <v>6303</v>
      </c>
      <c r="P42" s="7" t="s">
        <v>6416</v>
      </c>
      <c r="Q42" s="7" t="s">
        <v>6305</v>
      </c>
      <c r="R42" s="7" t="s">
        <v>6736</v>
      </c>
      <c r="S42" s="7" t="s">
        <v>6737</v>
      </c>
      <c r="T42" s="7"/>
    </row>
    <row r="43" customFormat="false" ht="46.25" hidden="false" customHeight="false" outlineLevel="0" collapsed="false">
      <c r="A43" s="7" t="n">
        <v>18</v>
      </c>
      <c r="B43" s="7" t="s">
        <v>283</v>
      </c>
      <c r="C43" s="7" t="s">
        <v>6738</v>
      </c>
      <c r="D43" s="7" t="s">
        <v>6739</v>
      </c>
      <c r="E43" s="7" t="n">
        <v>2007</v>
      </c>
      <c r="F43" s="7" t="s">
        <v>6388</v>
      </c>
      <c r="G43" s="7" t="s">
        <v>6740</v>
      </c>
      <c r="H43" s="7" t="s">
        <v>6741</v>
      </c>
      <c r="I43" s="7" t="s">
        <v>6324</v>
      </c>
      <c r="J43" s="7" t="s">
        <v>6742</v>
      </c>
      <c r="K43" s="7" t="s">
        <v>6743</v>
      </c>
      <c r="L43" s="7" t="s">
        <v>6744</v>
      </c>
      <c r="M43" s="7" t="s">
        <v>6745</v>
      </c>
      <c r="N43" s="7"/>
      <c r="O43" s="7" t="s">
        <v>6463</v>
      </c>
      <c r="P43" s="7" t="s">
        <v>6395</v>
      </c>
      <c r="Q43" s="7" t="s">
        <v>6305</v>
      </c>
      <c r="R43" s="7" t="s">
        <v>6746</v>
      </c>
      <c r="S43" s="7"/>
      <c r="T43" s="7"/>
    </row>
    <row r="44" customFormat="false" ht="57.45" hidden="false" customHeight="false" outlineLevel="0" collapsed="false">
      <c r="A44" s="7" t="n">
        <v>18</v>
      </c>
      <c r="B44" s="7" t="s">
        <v>283</v>
      </c>
      <c r="C44" s="7" t="s">
        <v>6747</v>
      </c>
      <c r="D44" s="7" t="s">
        <v>6636</v>
      </c>
      <c r="E44" s="7" t="n">
        <v>2024</v>
      </c>
      <c r="F44" s="7" t="s">
        <v>6592</v>
      </c>
      <c r="G44" s="7" t="s">
        <v>6637</v>
      </c>
      <c r="H44" s="7" t="s">
        <v>6748</v>
      </c>
      <c r="I44" s="7" t="s">
        <v>6324</v>
      </c>
      <c r="J44" s="7" t="s">
        <v>6749</v>
      </c>
      <c r="K44" s="7" t="s">
        <v>6750</v>
      </c>
      <c r="L44" s="7" t="s">
        <v>6641</v>
      </c>
      <c r="M44" s="7" t="s">
        <v>6598</v>
      </c>
      <c r="N44" s="7"/>
      <c r="O44" s="7" t="s">
        <v>6303</v>
      </c>
      <c r="P44" s="7" t="s">
        <v>6643</v>
      </c>
      <c r="Q44" s="7" t="s">
        <v>6305</v>
      </c>
      <c r="R44" s="7" t="s">
        <v>6644</v>
      </c>
      <c r="S44" s="7"/>
      <c r="T44" s="7"/>
    </row>
    <row r="45" customFormat="false" ht="35.05" hidden="false" customHeight="false" outlineLevel="0" collapsed="false">
      <c r="A45" s="7" t="n">
        <v>108</v>
      </c>
      <c r="B45" s="7" t="s">
        <v>1116</v>
      </c>
      <c r="C45" s="7" t="s">
        <v>6751</v>
      </c>
      <c r="D45" s="7" t="s">
        <v>6752</v>
      </c>
      <c r="E45" s="7" t="n">
        <v>2011</v>
      </c>
      <c r="F45" s="7" t="s">
        <v>6430</v>
      </c>
      <c r="G45" s="7" t="s">
        <v>6753</v>
      </c>
      <c r="H45" s="7" t="s">
        <v>6754</v>
      </c>
      <c r="I45" s="7" t="s">
        <v>6367</v>
      </c>
      <c r="J45" s="7" t="s">
        <v>6755</v>
      </c>
      <c r="K45" s="7" t="s">
        <v>6756</v>
      </c>
      <c r="L45" s="7" t="s">
        <v>6757</v>
      </c>
      <c r="M45" s="7" t="s">
        <v>6758</v>
      </c>
      <c r="N45" s="7"/>
      <c r="O45" s="7" t="s">
        <v>6303</v>
      </c>
      <c r="P45" s="7" t="s">
        <v>6643</v>
      </c>
      <c r="Q45" s="7" t="s">
        <v>6305</v>
      </c>
      <c r="R45" s="7" t="s">
        <v>6759</v>
      </c>
      <c r="S45" s="7"/>
      <c r="T45" s="7" t="s">
        <v>6760</v>
      </c>
    </row>
    <row r="46" customFormat="false" ht="35.05" hidden="false" customHeight="false" outlineLevel="0" collapsed="false">
      <c r="A46" s="7" t="n">
        <v>108</v>
      </c>
      <c r="B46" s="7" t="s">
        <v>1116</v>
      </c>
      <c r="C46" s="7" t="s">
        <v>6761</v>
      </c>
      <c r="D46" s="7" t="s">
        <v>6762</v>
      </c>
      <c r="E46" s="7" t="n">
        <v>2022</v>
      </c>
      <c r="F46" s="7" t="s">
        <v>6763</v>
      </c>
      <c r="G46" s="7" t="s">
        <v>6764</v>
      </c>
      <c r="H46" s="7" t="s">
        <v>6765</v>
      </c>
      <c r="I46" s="7" t="s">
        <v>6324</v>
      </c>
      <c r="J46" s="7" t="s">
        <v>6766</v>
      </c>
      <c r="K46" s="7" t="s">
        <v>6767</v>
      </c>
      <c r="L46" s="7" t="s">
        <v>6768</v>
      </c>
      <c r="M46" s="7" t="s">
        <v>6769</v>
      </c>
      <c r="N46" s="7"/>
      <c r="O46" s="7" t="s">
        <v>6303</v>
      </c>
      <c r="P46" s="7" t="s">
        <v>6340</v>
      </c>
      <c r="Q46" s="7" t="s">
        <v>6305</v>
      </c>
      <c r="R46" s="7" t="s">
        <v>6770</v>
      </c>
      <c r="S46" s="7"/>
      <c r="T46" s="7" t="s">
        <v>6771</v>
      </c>
    </row>
    <row r="47" customFormat="false" ht="46.25" hidden="false" customHeight="false" outlineLevel="0" collapsed="false">
      <c r="A47" s="7" t="n">
        <v>108</v>
      </c>
      <c r="B47" s="7" t="s">
        <v>1116</v>
      </c>
      <c r="C47" s="7" t="s">
        <v>6772</v>
      </c>
      <c r="D47" s="7" t="s">
        <v>6773</v>
      </c>
      <c r="E47" s="7" t="n">
        <v>2025</v>
      </c>
      <c r="F47" s="7" t="s">
        <v>6295</v>
      </c>
      <c r="G47" s="7" t="s">
        <v>6774</v>
      </c>
      <c r="H47" s="7" t="s">
        <v>6775</v>
      </c>
      <c r="I47" s="7" t="s">
        <v>6324</v>
      </c>
      <c r="J47" s="7" t="s">
        <v>6776</v>
      </c>
      <c r="K47" s="7" t="s">
        <v>6777</v>
      </c>
      <c r="L47" s="7" t="s">
        <v>6778</v>
      </c>
      <c r="M47" s="7" t="s">
        <v>6779</v>
      </c>
      <c r="N47" s="7"/>
      <c r="O47" s="7" t="s">
        <v>6303</v>
      </c>
      <c r="P47" s="7" t="s">
        <v>6780</v>
      </c>
      <c r="Q47" s="7" t="s">
        <v>6305</v>
      </c>
      <c r="R47" s="7" t="s">
        <v>6781</v>
      </c>
      <c r="S47" s="7"/>
      <c r="T47" s="7"/>
    </row>
    <row r="48" customFormat="false" ht="46.25" hidden="false" customHeight="false" outlineLevel="0" collapsed="false">
      <c r="A48" s="7" t="n">
        <v>22</v>
      </c>
      <c r="B48" s="7" t="s">
        <v>328</v>
      </c>
      <c r="C48" s="7" t="s">
        <v>6782</v>
      </c>
      <c r="D48" s="7" t="s">
        <v>6783</v>
      </c>
      <c r="E48" s="7" t="n">
        <v>2012</v>
      </c>
      <c r="F48" s="7" t="s">
        <v>6430</v>
      </c>
      <c r="G48" s="7" t="s">
        <v>6784</v>
      </c>
      <c r="H48" s="7" t="s">
        <v>6785</v>
      </c>
      <c r="I48" s="7" t="s">
        <v>6367</v>
      </c>
      <c r="J48" s="7" t="s">
        <v>6786</v>
      </c>
      <c r="K48" s="7" t="s">
        <v>6787</v>
      </c>
      <c r="L48" s="7" t="s">
        <v>6757</v>
      </c>
      <c r="M48" s="7" t="s">
        <v>6788</v>
      </c>
      <c r="N48" s="7"/>
      <c r="O48" s="7" t="s">
        <v>6303</v>
      </c>
      <c r="P48" s="7" t="s">
        <v>6340</v>
      </c>
      <c r="Q48" s="7" t="s">
        <v>6305</v>
      </c>
      <c r="R48" s="7" t="s">
        <v>6789</v>
      </c>
      <c r="S48" s="7"/>
      <c r="T48" s="7"/>
    </row>
    <row r="49" customFormat="false" ht="46.25" hidden="false" customHeight="false" outlineLevel="0" collapsed="false">
      <c r="A49" s="7" t="n">
        <v>22</v>
      </c>
      <c r="B49" s="7" t="s">
        <v>328</v>
      </c>
      <c r="C49" s="7" t="s">
        <v>6790</v>
      </c>
      <c r="D49" s="7" t="s">
        <v>6791</v>
      </c>
      <c r="E49" s="7" t="n">
        <v>2021</v>
      </c>
      <c r="F49" s="7" t="s">
        <v>6295</v>
      </c>
      <c r="G49" s="7" t="s">
        <v>6792</v>
      </c>
      <c r="H49" s="7" t="s">
        <v>6793</v>
      </c>
      <c r="I49" s="7" t="s">
        <v>6324</v>
      </c>
      <c r="J49" s="7" t="s">
        <v>6794</v>
      </c>
      <c r="K49" s="7" t="s">
        <v>6795</v>
      </c>
      <c r="L49" s="7" t="s">
        <v>6796</v>
      </c>
      <c r="M49" s="7" t="s">
        <v>6797</v>
      </c>
      <c r="N49" s="7"/>
      <c r="O49" s="7" t="s">
        <v>6303</v>
      </c>
      <c r="P49" s="7" t="s">
        <v>6340</v>
      </c>
      <c r="Q49" s="7" t="s">
        <v>6305</v>
      </c>
      <c r="R49" s="7" t="s">
        <v>6798</v>
      </c>
      <c r="S49" s="7"/>
      <c r="T49" s="7"/>
    </row>
    <row r="50" customFormat="false" ht="46.25" hidden="false" customHeight="false" outlineLevel="0" collapsed="false">
      <c r="A50" s="7" t="n">
        <v>22</v>
      </c>
      <c r="B50" s="7" t="s">
        <v>328</v>
      </c>
      <c r="C50" s="7" t="s">
        <v>6799</v>
      </c>
      <c r="D50" s="7" t="s">
        <v>6800</v>
      </c>
      <c r="E50" s="7" t="n">
        <v>2021</v>
      </c>
      <c r="F50" s="7" t="s">
        <v>6295</v>
      </c>
      <c r="G50" s="7" t="s">
        <v>6801</v>
      </c>
      <c r="H50" s="7" t="s">
        <v>6802</v>
      </c>
      <c r="I50" s="7" t="s">
        <v>6324</v>
      </c>
      <c r="J50" s="7" t="s">
        <v>6803</v>
      </c>
      <c r="K50" s="7" t="s">
        <v>6804</v>
      </c>
      <c r="L50" s="7" t="s">
        <v>6805</v>
      </c>
      <c r="M50" s="7" t="s">
        <v>6806</v>
      </c>
      <c r="N50" s="7"/>
      <c r="O50" s="7" t="s">
        <v>6303</v>
      </c>
      <c r="P50" s="7" t="s">
        <v>6340</v>
      </c>
      <c r="Q50" s="7" t="s">
        <v>6305</v>
      </c>
      <c r="R50" s="7" t="s">
        <v>6807</v>
      </c>
      <c r="S50" s="7"/>
      <c r="T50" s="7"/>
    </row>
    <row r="51" customFormat="false" ht="46.25" hidden="false" customHeight="false" outlineLevel="0" collapsed="false">
      <c r="A51" s="7" t="n">
        <v>22</v>
      </c>
      <c r="B51" s="7" t="s">
        <v>328</v>
      </c>
      <c r="C51" s="7" t="s">
        <v>6808</v>
      </c>
      <c r="D51" s="7" t="s">
        <v>6809</v>
      </c>
      <c r="E51" s="7" t="n">
        <v>2021</v>
      </c>
      <c r="F51" s="7" t="s">
        <v>6810</v>
      </c>
      <c r="G51" s="7" t="s">
        <v>6811</v>
      </c>
      <c r="H51" s="7" t="s">
        <v>6812</v>
      </c>
      <c r="I51" s="7" t="s">
        <v>6813</v>
      </c>
      <c r="J51" s="7" t="s">
        <v>6814</v>
      </c>
      <c r="K51" s="7" t="s">
        <v>6815</v>
      </c>
      <c r="L51" s="7" t="s">
        <v>6816</v>
      </c>
      <c r="M51" s="7" t="s">
        <v>6817</v>
      </c>
      <c r="N51" s="7"/>
      <c r="O51" s="7" t="s">
        <v>6303</v>
      </c>
      <c r="P51" s="7" t="s">
        <v>6340</v>
      </c>
      <c r="Q51" s="7" t="s">
        <v>6305</v>
      </c>
      <c r="R51" s="7" t="s">
        <v>6818</v>
      </c>
      <c r="S51" s="7"/>
      <c r="T51" s="7"/>
    </row>
    <row r="52" customFormat="false" ht="46.25" hidden="false" customHeight="false" outlineLevel="0" collapsed="false">
      <c r="A52" s="7" t="n">
        <v>22</v>
      </c>
      <c r="B52" s="7" t="s">
        <v>328</v>
      </c>
      <c r="C52" s="7" t="s">
        <v>6819</v>
      </c>
      <c r="D52" s="7" t="s">
        <v>6820</v>
      </c>
      <c r="E52" s="7" t="n">
        <v>2026</v>
      </c>
      <c r="F52" s="7" t="s">
        <v>6821</v>
      </c>
      <c r="G52" s="7" t="s">
        <v>6822</v>
      </c>
      <c r="H52" s="7" t="s">
        <v>6823</v>
      </c>
      <c r="I52" s="7" t="s">
        <v>6824</v>
      </c>
      <c r="J52" s="7" t="s">
        <v>6825</v>
      </c>
      <c r="K52" s="7" t="s">
        <v>6826</v>
      </c>
      <c r="L52" s="7" t="s">
        <v>6827</v>
      </c>
      <c r="M52" s="7" t="s">
        <v>6828</v>
      </c>
      <c r="N52" s="7"/>
      <c r="O52" s="7" t="s">
        <v>6303</v>
      </c>
      <c r="P52" s="7" t="s">
        <v>6340</v>
      </c>
      <c r="Q52" s="7" t="s">
        <v>6305</v>
      </c>
      <c r="R52" s="7" t="s">
        <v>6829</v>
      </c>
      <c r="S52" s="7"/>
      <c r="T52" s="7"/>
    </row>
    <row r="53" customFormat="false" ht="35.05" hidden="false" customHeight="false" outlineLevel="0" collapsed="false">
      <c r="A53" s="7" t="n">
        <v>22</v>
      </c>
      <c r="B53" s="7" t="s">
        <v>328</v>
      </c>
      <c r="C53" s="7" t="s">
        <v>6830</v>
      </c>
      <c r="D53" s="7" t="s">
        <v>6831</v>
      </c>
      <c r="E53" s="7" t="n">
        <v>2020</v>
      </c>
      <c r="F53" s="7" t="s">
        <v>6443</v>
      </c>
      <c r="G53" s="7" t="s">
        <v>6832</v>
      </c>
      <c r="H53" s="7" t="s">
        <v>6833</v>
      </c>
      <c r="I53" s="7" t="s">
        <v>6324</v>
      </c>
      <c r="J53" s="7" t="s">
        <v>6834</v>
      </c>
      <c r="K53" s="7" t="s">
        <v>6835</v>
      </c>
      <c r="L53" s="7" t="s">
        <v>6836</v>
      </c>
      <c r="M53" s="7" t="s">
        <v>6837</v>
      </c>
      <c r="N53" s="7"/>
      <c r="O53" s="7" t="s">
        <v>6463</v>
      </c>
      <c r="P53" s="7" t="s">
        <v>6328</v>
      </c>
      <c r="Q53" s="7" t="s">
        <v>6305</v>
      </c>
      <c r="R53" s="7" t="s">
        <v>6838</v>
      </c>
      <c r="S53" s="7"/>
      <c r="T53" s="7"/>
    </row>
    <row r="54" customFormat="false" ht="35.05" hidden="false" customHeight="false" outlineLevel="0" collapsed="false">
      <c r="A54" s="7" t="n">
        <v>23</v>
      </c>
      <c r="B54" s="7" t="s">
        <v>341</v>
      </c>
      <c r="C54" s="7" t="s">
        <v>6839</v>
      </c>
      <c r="D54" s="7" t="s">
        <v>6840</v>
      </c>
      <c r="E54" s="7" t="n">
        <v>2013</v>
      </c>
      <c r="F54" s="7" t="s">
        <v>6430</v>
      </c>
      <c r="G54" s="7" t="s">
        <v>6753</v>
      </c>
      <c r="H54" s="7" t="s">
        <v>6841</v>
      </c>
      <c r="I54" s="7" t="s">
        <v>6367</v>
      </c>
      <c r="J54" s="7" t="s">
        <v>6842</v>
      </c>
      <c r="K54" s="7" t="s">
        <v>6843</v>
      </c>
      <c r="L54" s="7" t="s">
        <v>6757</v>
      </c>
      <c r="M54" s="7" t="s">
        <v>6844</v>
      </c>
      <c r="N54" s="7"/>
      <c r="O54" s="7" t="s">
        <v>6303</v>
      </c>
      <c r="P54" s="7" t="s">
        <v>6416</v>
      </c>
      <c r="Q54" s="7" t="s">
        <v>6305</v>
      </c>
      <c r="R54" s="7" t="s">
        <v>6845</v>
      </c>
      <c r="S54" s="7"/>
      <c r="T54" s="7"/>
    </row>
    <row r="55" customFormat="false" ht="46.25" hidden="false" customHeight="false" outlineLevel="0" collapsed="false">
      <c r="A55" s="7" t="n">
        <v>23</v>
      </c>
      <c r="B55" s="7" t="s">
        <v>341</v>
      </c>
      <c r="C55" s="7" t="s">
        <v>6846</v>
      </c>
      <c r="D55" s="7" t="s">
        <v>6847</v>
      </c>
      <c r="E55" s="7" t="n">
        <v>2023</v>
      </c>
      <c r="F55" s="7" t="s">
        <v>6295</v>
      </c>
      <c r="G55" s="7" t="s">
        <v>6848</v>
      </c>
      <c r="H55" s="7" t="s">
        <v>6849</v>
      </c>
      <c r="I55" s="7" t="s">
        <v>6324</v>
      </c>
      <c r="J55" s="7" t="s">
        <v>6850</v>
      </c>
      <c r="K55" s="7" t="s">
        <v>6851</v>
      </c>
      <c r="L55" s="7" t="s">
        <v>6852</v>
      </c>
      <c r="M55" s="7" t="s">
        <v>6598</v>
      </c>
      <c r="N55" s="7"/>
      <c r="O55" s="7" t="s">
        <v>6303</v>
      </c>
      <c r="P55" s="7" t="s">
        <v>6416</v>
      </c>
      <c r="Q55" s="7" t="s">
        <v>6305</v>
      </c>
      <c r="R55" s="7" t="s">
        <v>6853</v>
      </c>
      <c r="S55" s="7"/>
      <c r="T55" s="7"/>
    </row>
    <row r="56" customFormat="false" ht="46.25" hidden="false" customHeight="false" outlineLevel="0" collapsed="false">
      <c r="A56" s="7" t="n">
        <v>23</v>
      </c>
      <c r="B56" s="7" t="s">
        <v>341</v>
      </c>
      <c r="C56" s="7" t="s">
        <v>6854</v>
      </c>
      <c r="D56" s="7" t="s">
        <v>6855</v>
      </c>
      <c r="E56" s="7" t="n">
        <v>2024</v>
      </c>
      <c r="F56" s="7" t="s">
        <v>6539</v>
      </c>
      <c r="G56" s="7" t="s">
        <v>6856</v>
      </c>
      <c r="H56" s="7" t="s">
        <v>6857</v>
      </c>
      <c r="I56" s="7" t="s">
        <v>6858</v>
      </c>
      <c r="J56" s="7" t="s">
        <v>6859</v>
      </c>
      <c r="K56" s="7" t="s">
        <v>6860</v>
      </c>
      <c r="L56" s="7" t="s">
        <v>6861</v>
      </c>
      <c r="M56" s="7" t="s">
        <v>6862</v>
      </c>
      <c r="N56" s="7"/>
      <c r="O56" s="7" t="s">
        <v>6303</v>
      </c>
      <c r="P56" s="7" t="s">
        <v>6395</v>
      </c>
      <c r="Q56" s="7" t="s">
        <v>6305</v>
      </c>
      <c r="R56" s="7" t="s">
        <v>6863</v>
      </c>
      <c r="S56" s="7" t="s">
        <v>6864</v>
      </c>
      <c r="T56" s="7"/>
    </row>
    <row r="57" customFormat="false" ht="35.05" hidden="false" customHeight="false" outlineLevel="0" collapsed="false">
      <c r="A57" s="7" t="n">
        <v>23</v>
      </c>
      <c r="B57" s="7" t="s">
        <v>341</v>
      </c>
      <c r="C57" s="7" t="s">
        <v>6865</v>
      </c>
      <c r="D57" s="7" t="s">
        <v>6866</v>
      </c>
      <c r="E57" s="7" t="n">
        <v>2021</v>
      </c>
      <c r="F57" s="7" t="s">
        <v>6867</v>
      </c>
      <c r="G57" s="7" t="s">
        <v>6868</v>
      </c>
      <c r="H57" s="7" t="s">
        <v>6869</v>
      </c>
      <c r="I57" s="7" t="s">
        <v>6870</v>
      </c>
      <c r="J57" s="7" t="s">
        <v>6871</v>
      </c>
      <c r="K57" s="7" t="s">
        <v>6872</v>
      </c>
      <c r="L57" s="7" t="s">
        <v>6873</v>
      </c>
      <c r="M57" s="7" t="s">
        <v>6874</v>
      </c>
      <c r="N57" s="7" t="s">
        <v>6875</v>
      </c>
      <c r="O57" s="7" t="s">
        <v>6303</v>
      </c>
      <c r="P57" s="7" t="s">
        <v>6328</v>
      </c>
      <c r="Q57" s="7" t="s">
        <v>6305</v>
      </c>
      <c r="R57" s="7" t="s">
        <v>6876</v>
      </c>
      <c r="S57" s="7"/>
      <c r="T57" s="7"/>
    </row>
    <row r="58" customFormat="false" ht="35.05" hidden="false" customHeight="false" outlineLevel="0" collapsed="false">
      <c r="A58" s="7" t="n">
        <v>24</v>
      </c>
      <c r="B58" s="7" t="s">
        <v>353</v>
      </c>
      <c r="C58" s="7" t="s">
        <v>6877</v>
      </c>
      <c r="D58" s="7" t="s">
        <v>6878</v>
      </c>
      <c r="E58" s="7" t="n">
        <v>2013</v>
      </c>
      <c r="F58" s="7" t="s">
        <v>6430</v>
      </c>
      <c r="G58" s="7" t="s">
        <v>6753</v>
      </c>
      <c r="H58" s="7" t="s">
        <v>6879</v>
      </c>
      <c r="I58" s="7" t="s">
        <v>6367</v>
      </c>
      <c r="J58" s="7" t="s">
        <v>6880</v>
      </c>
      <c r="K58" s="7" t="s">
        <v>6881</v>
      </c>
      <c r="L58" s="7" t="s">
        <v>6757</v>
      </c>
      <c r="M58" s="7" t="s">
        <v>6882</v>
      </c>
      <c r="N58" s="7"/>
      <c r="O58" s="7" t="s">
        <v>6303</v>
      </c>
      <c r="P58" s="7" t="s">
        <v>6340</v>
      </c>
      <c r="Q58" s="7" t="s">
        <v>6305</v>
      </c>
      <c r="R58" s="7" t="s">
        <v>6883</v>
      </c>
      <c r="S58" s="7"/>
      <c r="T58" s="7"/>
    </row>
    <row r="59" customFormat="false" ht="35.05" hidden="false" customHeight="false" outlineLevel="0" collapsed="false">
      <c r="A59" s="7" t="n">
        <v>24</v>
      </c>
      <c r="B59" s="7" t="s">
        <v>353</v>
      </c>
      <c r="C59" s="7" t="s">
        <v>6884</v>
      </c>
      <c r="D59" s="7" t="s">
        <v>6885</v>
      </c>
      <c r="E59" s="7" t="n">
        <v>2019</v>
      </c>
      <c r="F59" s="7" t="s">
        <v>6344</v>
      </c>
      <c r="G59" s="7" t="s">
        <v>6886</v>
      </c>
      <c r="H59" s="7" t="s">
        <v>6887</v>
      </c>
      <c r="I59" s="7" t="s">
        <v>6379</v>
      </c>
      <c r="J59" s="7" t="s">
        <v>6888</v>
      </c>
      <c r="K59" s="7" t="s">
        <v>6889</v>
      </c>
      <c r="L59" s="7" t="s">
        <v>6890</v>
      </c>
      <c r="M59" s="7" t="s">
        <v>6891</v>
      </c>
      <c r="N59" s="7"/>
      <c r="O59" s="7" t="s">
        <v>6303</v>
      </c>
      <c r="P59" s="7" t="s">
        <v>6340</v>
      </c>
      <c r="Q59" s="7" t="s">
        <v>6305</v>
      </c>
      <c r="R59" s="7" t="s">
        <v>6892</v>
      </c>
      <c r="S59" s="7"/>
      <c r="T59" s="7"/>
    </row>
    <row r="60" customFormat="false" ht="35.05" hidden="false" customHeight="false" outlineLevel="0" collapsed="false">
      <c r="A60" s="7" t="n">
        <v>24</v>
      </c>
      <c r="B60" s="7" t="s">
        <v>353</v>
      </c>
      <c r="C60" s="7" t="s">
        <v>6893</v>
      </c>
      <c r="D60" s="7" t="s">
        <v>6894</v>
      </c>
      <c r="E60" s="7" t="n">
        <v>2023</v>
      </c>
      <c r="F60" s="7" t="s">
        <v>6344</v>
      </c>
      <c r="G60" s="7" t="s">
        <v>6895</v>
      </c>
      <c r="H60" s="7" t="s">
        <v>6896</v>
      </c>
      <c r="I60" s="7" t="s">
        <v>6379</v>
      </c>
      <c r="J60" s="7" t="s">
        <v>6897</v>
      </c>
      <c r="K60" s="7" t="s">
        <v>6898</v>
      </c>
      <c r="L60" s="7" t="s">
        <v>6899</v>
      </c>
      <c r="M60" s="7" t="s">
        <v>6891</v>
      </c>
      <c r="N60" s="7"/>
      <c r="O60" s="7" t="s">
        <v>6303</v>
      </c>
      <c r="P60" s="7" t="s">
        <v>6340</v>
      </c>
      <c r="Q60" s="7" t="s">
        <v>6305</v>
      </c>
      <c r="R60" s="7" t="s">
        <v>6900</v>
      </c>
      <c r="S60" s="7"/>
      <c r="T60" s="7"/>
    </row>
    <row r="61" customFormat="false" ht="35.05" hidden="false" customHeight="false" outlineLevel="0" collapsed="false">
      <c r="A61" s="7" t="n">
        <v>24</v>
      </c>
      <c r="B61" s="7" t="s">
        <v>353</v>
      </c>
      <c r="C61" s="7" t="s">
        <v>6901</v>
      </c>
      <c r="D61" s="7" t="s">
        <v>6902</v>
      </c>
      <c r="E61" s="7" t="n">
        <v>2022</v>
      </c>
      <c r="F61" s="7" t="s">
        <v>6388</v>
      </c>
      <c r="G61" s="7" t="s">
        <v>6903</v>
      </c>
      <c r="H61" s="7" t="s">
        <v>6904</v>
      </c>
      <c r="I61" s="7" t="s">
        <v>6335</v>
      </c>
      <c r="J61" s="7" t="s">
        <v>6905</v>
      </c>
      <c r="K61" s="7" t="s">
        <v>6906</v>
      </c>
      <c r="L61" s="7" t="s">
        <v>6907</v>
      </c>
      <c r="M61" s="7" t="s">
        <v>6908</v>
      </c>
      <c r="N61" s="7"/>
      <c r="O61" s="7" t="s">
        <v>6303</v>
      </c>
      <c r="P61" s="7" t="s">
        <v>6328</v>
      </c>
      <c r="Q61" s="7" t="s">
        <v>6305</v>
      </c>
      <c r="R61" s="7" t="s">
        <v>6909</v>
      </c>
      <c r="S61" s="7"/>
      <c r="T61" s="7"/>
    </row>
    <row r="62" customFormat="false" ht="35.05" hidden="false" customHeight="false" outlineLevel="0" collapsed="false">
      <c r="A62" s="7" t="n">
        <v>24</v>
      </c>
      <c r="B62" s="7" t="s">
        <v>353</v>
      </c>
      <c r="C62" s="7" t="s">
        <v>6910</v>
      </c>
      <c r="D62" s="7" t="s">
        <v>6911</v>
      </c>
      <c r="E62" s="7" t="n">
        <v>2019</v>
      </c>
      <c r="F62" s="7" t="s">
        <v>6912</v>
      </c>
      <c r="G62" s="7" t="s">
        <v>6913</v>
      </c>
      <c r="H62" s="7" t="s">
        <v>6914</v>
      </c>
      <c r="I62" s="7" t="s">
        <v>6915</v>
      </c>
      <c r="J62" s="7" t="s">
        <v>6916</v>
      </c>
      <c r="K62" s="7" t="s">
        <v>6917</v>
      </c>
      <c r="L62" s="7" t="s">
        <v>6918</v>
      </c>
      <c r="M62" s="7" t="s">
        <v>6546</v>
      </c>
      <c r="N62" s="7" t="s">
        <v>6919</v>
      </c>
      <c r="O62" s="7" t="s">
        <v>6303</v>
      </c>
      <c r="P62" s="7" t="s">
        <v>6340</v>
      </c>
      <c r="Q62" s="7" t="s">
        <v>6305</v>
      </c>
      <c r="R62" s="7" t="s">
        <v>6920</v>
      </c>
      <c r="S62" s="7"/>
      <c r="T62" s="7"/>
    </row>
    <row r="63" customFormat="false" ht="68.65" hidden="false" customHeight="false" outlineLevel="0" collapsed="false">
      <c r="A63" s="7" t="n">
        <v>24</v>
      </c>
      <c r="B63" s="7" t="s">
        <v>353</v>
      </c>
      <c r="C63" s="7" t="s">
        <v>6921</v>
      </c>
      <c r="D63" s="7" t="s">
        <v>6922</v>
      </c>
      <c r="E63" s="7" t="n">
        <v>2019</v>
      </c>
      <c r="F63" s="7" t="s">
        <v>6923</v>
      </c>
      <c r="G63" s="7" t="s">
        <v>6924</v>
      </c>
      <c r="H63" s="7" t="s">
        <v>6925</v>
      </c>
      <c r="I63" s="7" t="s">
        <v>6324</v>
      </c>
      <c r="J63" s="7" t="s">
        <v>6926</v>
      </c>
      <c r="K63" s="7" t="s">
        <v>6927</v>
      </c>
      <c r="L63" s="7" t="s">
        <v>6928</v>
      </c>
      <c r="M63" s="7" t="s">
        <v>6929</v>
      </c>
      <c r="N63" s="7"/>
      <c r="O63" s="7" t="s">
        <v>6303</v>
      </c>
      <c r="P63" s="7" t="s">
        <v>6340</v>
      </c>
      <c r="Q63" s="7" t="s">
        <v>6305</v>
      </c>
      <c r="R63" s="7" t="s">
        <v>6930</v>
      </c>
      <c r="S63" s="7" t="s">
        <v>6931</v>
      </c>
      <c r="T63" s="7"/>
    </row>
    <row r="64" customFormat="false" ht="23.85" hidden="false" customHeight="false" outlineLevel="0" collapsed="false">
      <c r="A64" s="7" t="n">
        <v>20</v>
      </c>
      <c r="B64" s="7" t="s">
        <v>308</v>
      </c>
      <c r="C64" s="7" t="s">
        <v>6932</v>
      </c>
      <c r="D64" s="7" t="s">
        <v>6933</v>
      </c>
      <c r="E64" s="7" t="n">
        <v>2012</v>
      </c>
      <c r="F64" s="7" t="s">
        <v>6430</v>
      </c>
      <c r="G64" s="7" t="s">
        <v>6934</v>
      </c>
      <c r="H64" s="7" t="s">
        <v>6935</v>
      </c>
      <c r="I64" s="7" t="s">
        <v>6367</v>
      </c>
      <c r="J64" s="7" t="s">
        <v>6936</v>
      </c>
      <c r="K64" s="7" t="s">
        <v>6937</v>
      </c>
      <c r="L64" s="7" t="s">
        <v>6757</v>
      </c>
      <c r="M64" s="7" t="s">
        <v>6938</v>
      </c>
      <c r="N64" s="7"/>
      <c r="O64" s="7" t="s">
        <v>6303</v>
      </c>
      <c r="P64" s="7" t="s">
        <v>6340</v>
      </c>
      <c r="Q64" s="7" t="s">
        <v>6305</v>
      </c>
      <c r="R64" s="7" t="s">
        <v>6939</v>
      </c>
      <c r="S64" s="7"/>
      <c r="T64" s="7"/>
    </row>
    <row r="65" customFormat="false" ht="35.05" hidden="false" customHeight="false" outlineLevel="0" collapsed="false">
      <c r="A65" s="7" t="n">
        <v>20</v>
      </c>
      <c r="B65" s="7" t="s">
        <v>308</v>
      </c>
      <c r="C65" s="7" t="s">
        <v>6940</v>
      </c>
      <c r="D65" s="7" t="s">
        <v>6941</v>
      </c>
      <c r="E65" s="7" t="n">
        <v>2024</v>
      </c>
      <c r="F65" s="7" t="s">
        <v>6295</v>
      </c>
      <c r="G65" s="7" t="s">
        <v>6942</v>
      </c>
      <c r="H65" s="7" t="s">
        <v>6943</v>
      </c>
      <c r="I65" s="7" t="s">
        <v>6488</v>
      </c>
      <c r="J65" s="7" t="s">
        <v>6944</v>
      </c>
      <c r="K65" s="7" t="s">
        <v>6945</v>
      </c>
      <c r="L65" s="7" t="s">
        <v>6946</v>
      </c>
      <c r="M65" s="7" t="s">
        <v>6947</v>
      </c>
      <c r="N65" s="7"/>
      <c r="O65" s="7" t="s">
        <v>6303</v>
      </c>
      <c r="P65" s="7" t="s">
        <v>6416</v>
      </c>
      <c r="Q65" s="7" t="s">
        <v>6305</v>
      </c>
      <c r="R65" s="7" t="s">
        <v>6948</v>
      </c>
      <c r="S65" s="7"/>
      <c r="T65" s="7"/>
    </row>
    <row r="66" customFormat="false" ht="35.05" hidden="false" customHeight="false" outlineLevel="0" collapsed="false">
      <c r="A66" s="7" t="n">
        <v>20</v>
      </c>
      <c r="B66" s="7" t="s">
        <v>308</v>
      </c>
      <c r="C66" s="7" t="s">
        <v>6949</v>
      </c>
      <c r="D66" s="7" t="s">
        <v>6950</v>
      </c>
      <c r="E66" s="7" t="n">
        <v>2021</v>
      </c>
      <c r="F66" s="7" t="s">
        <v>6388</v>
      </c>
      <c r="G66" s="7" t="s">
        <v>6951</v>
      </c>
      <c r="H66" s="7" t="s">
        <v>6952</v>
      </c>
      <c r="I66" s="7" t="s">
        <v>6335</v>
      </c>
      <c r="J66" s="7" t="s">
        <v>6953</v>
      </c>
      <c r="K66" s="7" t="s">
        <v>6954</v>
      </c>
      <c r="L66" s="7" t="s">
        <v>6955</v>
      </c>
      <c r="M66" s="7" t="s">
        <v>6956</v>
      </c>
      <c r="N66" s="7"/>
      <c r="O66" s="7" t="s">
        <v>6957</v>
      </c>
      <c r="P66" s="7" t="s">
        <v>6395</v>
      </c>
      <c r="Q66" s="7" t="s">
        <v>6305</v>
      </c>
      <c r="R66" s="7" t="s">
        <v>6958</v>
      </c>
      <c r="S66" s="7"/>
      <c r="T66" s="7"/>
    </row>
    <row r="67" customFormat="false" ht="46.25" hidden="false" customHeight="false" outlineLevel="0" collapsed="false">
      <c r="A67" s="7" t="n">
        <v>20</v>
      </c>
      <c r="B67" s="7" t="s">
        <v>308</v>
      </c>
      <c r="C67" s="7" t="s">
        <v>6959</v>
      </c>
      <c r="D67" s="7" t="s">
        <v>6960</v>
      </c>
      <c r="E67" s="7" t="n">
        <v>2023</v>
      </c>
      <c r="F67" s="7" t="s">
        <v>6388</v>
      </c>
      <c r="G67" s="7" t="s">
        <v>6961</v>
      </c>
      <c r="H67" s="7" t="s">
        <v>6962</v>
      </c>
      <c r="I67" s="7" t="s">
        <v>6963</v>
      </c>
      <c r="J67" s="7" t="s">
        <v>6964</v>
      </c>
      <c r="K67" s="7" t="s">
        <v>6965</v>
      </c>
      <c r="L67" s="7" t="s">
        <v>6966</v>
      </c>
      <c r="M67" s="7" t="s">
        <v>6967</v>
      </c>
      <c r="N67" s="7"/>
      <c r="O67" s="7" t="s">
        <v>6463</v>
      </c>
      <c r="P67" s="7" t="s">
        <v>6451</v>
      </c>
      <c r="Q67" s="7" t="s">
        <v>6305</v>
      </c>
      <c r="R67" s="7" t="s">
        <v>6968</v>
      </c>
      <c r="S67" s="7"/>
      <c r="T67" s="7"/>
    </row>
    <row r="68" customFormat="false" ht="35.05" hidden="false" customHeight="false" outlineLevel="0" collapsed="false">
      <c r="A68" s="7" t="n">
        <v>20</v>
      </c>
      <c r="B68" s="7" t="s">
        <v>308</v>
      </c>
      <c r="C68" s="7" t="s">
        <v>6969</v>
      </c>
      <c r="D68" s="7" t="s">
        <v>6970</v>
      </c>
      <c r="E68" s="7" t="n">
        <v>2024</v>
      </c>
      <c r="F68" s="7" t="s">
        <v>6388</v>
      </c>
      <c r="G68" s="7" t="s">
        <v>6971</v>
      </c>
      <c r="H68" s="7" t="s">
        <v>6972</v>
      </c>
      <c r="I68" s="7" t="s">
        <v>6335</v>
      </c>
      <c r="J68" s="7" t="s">
        <v>6973</v>
      </c>
      <c r="K68" s="7" t="s">
        <v>6974</v>
      </c>
      <c r="L68" s="7" t="s">
        <v>6975</v>
      </c>
      <c r="M68" s="7" t="s">
        <v>6976</v>
      </c>
      <c r="N68" s="7"/>
      <c r="O68" s="7" t="s">
        <v>6463</v>
      </c>
      <c r="P68" s="7" t="s">
        <v>6451</v>
      </c>
      <c r="Q68" s="7" t="s">
        <v>6305</v>
      </c>
      <c r="R68" s="7" t="s">
        <v>6977</v>
      </c>
      <c r="S68" s="7"/>
      <c r="T68" s="7"/>
    </row>
    <row r="69" customFormat="false" ht="35.05" hidden="false" customHeight="false" outlineLevel="0" collapsed="false">
      <c r="A69" s="7" t="n">
        <v>20</v>
      </c>
      <c r="B69" s="7" t="s">
        <v>308</v>
      </c>
      <c r="C69" s="7" t="s">
        <v>6978</v>
      </c>
      <c r="D69" s="7" t="s">
        <v>6979</v>
      </c>
      <c r="E69" s="7" t="n">
        <v>2022</v>
      </c>
      <c r="F69" s="7" t="s">
        <v>6388</v>
      </c>
      <c r="G69" s="7" t="s">
        <v>6980</v>
      </c>
      <c r="H69" s="7" t="s">
        <v>6962</v>
      </c>
      <c r="I69" s="7" t="s">
        <v>6981</v>
      </c>
      <c r="J69" s="7" t="s">
        <v>6982</v>
      </c>
      <c r="K69" s="7" t="s">
        <v>6983</v>
      </c>
      <c r="L69" s="7" t="s">
        <v>6984</v>
      </c>
      <c r="M69" s="7"/>
      <c r="N69" s="7"/>
      <c r="O69" s="7" t="s">
        <v>6463</v>
      </c>
      <c r="P69" s="7" t="s">
        <v>6482</v>
      </c>
      <c r="Q69" s="7" t="s">
        <v>6305</v>
      </c>
      <c r="R69" s="7" t="s">
        <v>6985</v>
      </c>
      <c r="S69" s="7"/>
      <c r="T69" s="7"/>
    </row>
    <row r="70" customFormat="false" ht="23.85" hidden="false" customHeight="false" outlineLevel="0" collapsed="false">
      <c r="A70" s="7" t="n">
        <v>20</v>
      </c>
      <c r="B70" s="7" t="s">
        <v>308</v>
      </c>
      <c r="C70" s="7" t="s">
        <v>6986</v>
      </c>
      <c r="D70" s="7" t="s">
        <v>6987</v>
      </c>
      <c r="E70" s="7" t="n">
        <v>2022</v>
      </c>
      <c r="F70" s="7" t="s">
        <v>6539</v>
      </c>
      <c r="G70" s="7" t="s">
        <v>6988</v>
      </c>
      <c r="H70" s="7" t="s">
        <v>6989</v>
      </c>
      <c r="I70" s="7" t="s">
        <v>6335</v>
      </c>
      <c r="J70" s="7" t="s">
        <v>6990</v>
      </c>
      <c r="K70" s="7" t="s">
        <v>6991</v>
      </c>
      <c r="L70" s="7" t="s">
        <v>6992</v>
      </c>
      <c r="M70" s="7" t="s">
        <v>6993</v>
      </c>
      <c r="N70" s="7"/>
      <c r="O70" s="7" t="s">
        <v>6303</v>
      </c>
      <c r="P70" s="7" t="s">
        <v>6395</v>
      </c>
      <c r="Q70" s="7" t="s">
        <v>6305</v>
      </c>
      <c r="R70" s="7" t="s">
        <v>6994</v>
      </c>
      <c r="S70" s="7"/>
      <c r="T70" s="7"/>
    </row>
    <row r="71" customFormat="false" ht="35.05" hidden="false" customHeight="false" outlineLevel="0" collapsed="false">
      <c r="A71" s="7" t="n">
        <v>20</v>
      </c>
      <c r="B71" s="7" t="s">
        <v>308</v>
      </c>
      <c r="C71" s="7" t="s">
        <v>6995</v>
      </c>
      <c r="D71" s="7" t="s">
        <v>6996</v>
      </c>
      <c r="E71" s="7" t="n">
        <v>2024</v>
      </c>
      <c r="F71" s="7" t="s">
        <v>6388</v>
      </c>
      <c r="G71" s="7" t="s">
        <v>6997</v>
      </c>
      <c r="H71" s="7" t="s">
        <v>6998</v>
      </c>
      <c r="I71" s="7" t="s">
        <v>6999</v>
      </c>
      <c r="J71" s="7" t="s">
        <v>7000</v>
      </c>
      <c r="K71" s="7" t="s">
        <v>7001</v>
      </c>
      <c r="L71" s="7" t="s">
        <v>7002</v>
      </c>
      <c r="M71" s="7"/>
      <c r="N71" s="7"/>
      <c r="O71" s="7" t="s">
        <v>6463</v>
      </c>
      <c r="P71" s="7" t="s">
        <v>6482</v>
      </c>
      <c r="Q71" s="7" t="s">
        <v>6305</v>
      </c>
      <c r="R71" s="7" t="s">
        <v>7003</v>
      </c>
      <c r="S71" s="7"/>
      <c r="T71" s="7"/>
    </row>
    <row r="72" customFormat="false" ht="35.05" hidden="false" customHeight="false" outlineLevel="0" collapsed="false">
      <c r="A72" s="7" t="n">
        <v>20</v>
      </c>
      <c r="B72" s="7" t="s">
        <v>308</v>
      </c>
      <c r="C72" s="7" t="s">
        <v>7004</v>
      </c>
      <c r="D72" s="7" t="s">
        <v>7005</v>
      </c>
      <c r="E72" s="7" t="n">
        <v>2024</v>
      </c>
      <c r="F72" s="7" t="s">
        <v>6539</v>
      </c>
      <c r="G72" s="7" t="s">
        <v>7006</v>
      </c>
      <c r="H72" s="7" t="s">
        <v>7007</v>
      </c>
      <c r="I72" s="7" t="s">
        <v>7008</v>
      </c>
      <c r="J72" s="7" t="s">
        <v>7009</v>
      </c>
      <c r="K72" s="7" t="s">
        <v>7010</v>
      </c>
      <c r="L72" s="7" t="s">
        <v>7011</v>
      </c>
      <c r="M72" s="7"/>
      <c r="N72" s="7"/>
      <c r="O72" s="7" t="s">
        <v>6303</v>
      </c>
      <c r="P72" s="7" t="s">
        <v>6395</v>
      </c>
      <c r="Q72" s="7" t="s">
        <v>6305</v>
      </c>
      <c r="R72" s="7" t="s">
        <v>7012</v>
      </c>
      <c r="S72" s="7"/>
      <c r="T72" s="7"/>
    </row>
    <row r="73" customFormat="false" ht="35.05" hidden="false" customHeight="false" outlineLevel="0" collapsed="false">
      <c r="A73" s="7" t="n">
        <v>20</v>
      </c>
      <c r="B73" s="7" t="s">
        <v>308</v>
      </c>
      <c r="C73" s="7" t="s">
        <v>7013</v>
      </c>
      <c r="D73" s="7" t="s">
        <v>7014</v>
      </c>
      <c r="E73" s="7" t="n">
        <v>2023</v>
      </c>
      <c r="F73" s="7" t="s">
        <v>6388</v>
      </c>
      <c r="G73" s="7" t="s">
        <v>7015</v>
      </c>
      <c r="H73" s="7" t="s">
        <v>7016</v>
      </c>
      <c r="I73" s="7" t="s">
        <v>6324</v>
      </c>
      <c r="J73" s="7" t="s">
        <v>7017</v>
      </c>
      <c r="K73" s="7" t="s">
        <v>7018</v>
      </c>
      <c r="L73" s="7" t="s">
        <v>7019</v>
      </c>
      <c r="M73" s="7" t="s">
        <v>7020</v>
      </c>
      <c r="N73" s="7"/>
      <c r="O73" s="7" t="s">
        <v>6957</v>
      </c>
      <c r="P73" s="7" t="s">
        <v>6395</v>
      </c>
      <c r="Q73" s="7" t="s">
        <v>6305</v>
      </c>
      <c r="R73" s="7" t="s">
        <v>7021</v>
      </c>
      <c r="S73" s="7"/>
      <c r="T73" s="7"/>
    </row>
    <row r="74" customFormat="false" ht="35.05" hidden="false" customHeight="false" outlineLevel="0" collapsed="false">
      <c r="A74" s="7" t="n">
        <v>112</v>
      </c>
      <c r="B74" s="7" t="s">
        <v>1158</v>
      </c>
      <c r="C74" s="7" t="s">
        <v>7022</v>
      </c>
      <c r="D74" s="7" t="s">
        <v>7023</v>
      </c>
      <c r="E74" s="7" t="n">
        <v>2015</v>
      </c>
      <c r="F74" s="7" t="s">
        <v>6430</v>
      </c>
      <c r="G74" s="7" t="s">
        <v>7024</v>
      </c>
      <c r="H74" s="7" t="s">
        <v>7025</v>
      </c>
      <c r="I74" s="7" t="s">
        <v>6367</v>
      </c>
      <c r="J74" s="7" t="s">
        <v>7026</v>
      </c>
      <c r="K74" s="7" t="s">
        <v>7027</v>
      </c>
      <c r="L74" s="7" t="s">
        <v>7028</v>
      </c>
      <c r="M74" s="7" t="s">
        <v>6758</v>
      </c>
      <c r="N74" s="7"/>
      <c r="O74" s="7" t="s">
        <v>6303</v>
      </c>
      <c r="P74" s="7" t="s">
        <v>6340</v>
      </c>
      <c r="Q74" s="7" t="s">
        <v>6305</v>
      </c>
      <c r="R74" s="7" t="s">
        <v>7029</v>
      </c>
      <c r="S74" s="7" t="s">
        <v>7030</v>
      </c>
      <c r="T74" s="7"/>
    </row>
    <row r="75" customFormat="false" ht="57.45" hidden="false" customHeight="false" outlineLevel="0" collapsed="false">
      <c r="A75" s="7" t="n">
        <v>112</v>
      </c>
      <c r="B75" s="7" t="s">
        <v>1158</v>
      </c>
      <c r="C75" s="7" t="s">
        <v>7031</v>
      </c>
      <c r="D75" s="7" t="s">
        <v>7032</v>
      </c>
      <c r="E75" s="7" t="n">
        <v>2022</v>
      </c>
      <c r="F75" s="7" t="s">
        <v>7033</v>
      </c>
      <c r="G75" s="7" t="s">
        <v>7034</v>
      </c>
      <c r="H75" s="7" t="s">
        <v>7035</v>
      </c>
      <c r="I75" s="7" t="s">
        <v>6379</v>
      </c>
      <c r="J75" s="7" t="s">
        <v>7036</v>
      </c>
      <c r="K75" s="7" t="s">
        <v>7037</v>
      </c>
      <c r="L75" s="7" t="s">
        <v>7038</v>
      </c>
      <c r="M75" s="7" t="s">
        <v>7039</v>
      </c>
      <c r="N75" s="7"/>
      <c r="O75" s="7" t="s">
        <v>6303</v>
      </c>
      <c r="P75" s="7" t="s">
        <v>6340</v>
      </c>
      <c r="Q75" s="7" t="s">
        <v>6305</v>
      </c>
      <c r="R75" s="7" t="s">
        <v>7040</v>
      </c>
      <c r="S75" s="7" t="s">
        <v>7041</v>
      </c>
      <c r="T75" s="7"/>
    </row>
    <row r="76" customFormat="false" ht="57.45" hidden="false" customHeight="false" outlineLevel="0" collapsed="false">
      <c r="A76" s="7" t="n">
        <v>112</v>
      </c>
      <c r="B76" s="7" t="s">
        <v>1158</v>
      </c>
      <c r="C76" s="7" t="s">
        <v>7042</v>
      </c>
      <c r="D76" s="7" t="s">
        <v>7043</v>
      </c>
      <c r="E76" s="7" t="n">
        <v>2022</v>
      </c>
      <c r="F76" s="7" t="s">
        <v>6614</v>
      </c>
      <c r="G76" s="7" t="s">
        <v>7044</v>
      </c>
      <c r="H76" s="7" t="s">
        <v>7045</v>
      </c>
      <c r="I76" s="7" t="s">
        <v>6379</v>
      </c>
      <c r="J76" s="7" t="s">
        <v>7046</v>
      </c>
      <c r="K76" s="7" t="s">
        <v>7047</v>
      </c>
      <c r="L76" s="7" t="s">
        <v>7048</v>
      </c>
      <c r="M76" s="7" t="s">
        <v>7049</v>
      </c>
      <c r="N76" s="7"/>
      <c r="O76" s="7" t="s">
        <v>6303</v>
      </c>
      <c r="P76" s="7" t="s">
        <v>7050</v>
      </c>
      <c r="Q76" s="7" t="s">
        <v>6305</v>
      </c>
      <c r="R76" s="7" t="s">
        <v>7051</v>
      </c>
      <c r="S76" s="7"/>
      <c r="T76" s="7"/>
    </row>
    <row r="77" customFormat="false" ht="68.65" hidden="false" customHeight="false" outlineLevel="0" collapsed="false">
      <c r="A77" s="7" t="n">
        <v>112</v>
      </c>
      <c r="B77" s="7" t="s">
        <v>1158</v>
      </c>
      <c r="C77" s="7" t="s">
        <v>7052</v>
      </c>
      <c r="D77" s="7" t="s">
        <v>7053</v>
      </c>
      <c r="E77" s="7" t="n">
        <v>2019</v>
      </c>
      <c r="F77" s="7" t="s">
        <v>7054</v>
      </c>
      <c r="G77" s="7" t="s">
        <v>7055</v>
      </c>
      <c r="H77" s="7" t="s">
        <v>7056</v>
      </c>
      <c r="I77" s="7" t="s">
        <v>6379</v>
      </c>
      <c r="J77" s="7" t="s">
        <v>7057</v>
      </c>
      <c r="K77" s="7" t="s">
        <v>7058</v>
      </c>
      <c r="L77" s="7" t="s">
        <v>7059</v>
      </c>
      <c r="M77" s="7" t="s">
        <v>7060</v>
      </c>
      <c r="N77" s="7"/>
      <c r="O77" s="7" t="s">
        <v>6303</v>
      </c>
      <c r="P77" s="7" t="s">
        <v>7061</v>
      </c>
      <c r="Q77" s="7" t="s">
        <v>6305</v>
      </c>
      <c r="R77" s="7" t="s">
        <v>7062</v>
      </c>
      <c r="S77" s="7"/>
      <c r="T77" s="7"/>
    </row>
    <row r="78" customFormat="false" ht="35.05" hidden="false" customHeight="false" outlineLevel="0" collapsed="false">
      <c r="A78" s="7" t="n">
        <v>112</v>
      </c>
      <c r="B78" s="7" t="s">
        <v>1158</v>
      </c>
      <c r="C78" s="7" t="s">
        <v>7063</v>
      </c>
      <c r="D78" s="7" t="s">
        <v>7064</v>
      </c>
      <c r="E78" s="7" t="n">
        <v>2019</v>
      </c>
      <c r="F78" s="7" t="s">
        <v>7065</v>
      </c>
      <c r="G78" s="7" t="s">
        <v>7066</v>
      </c>
      <c r="H78" s="7" t="s">
        <v>7067</v>
      </c>
      <c r="I78" s="7" t="s">
        <v>6324</v>
      </c>
      <c r="J78" s="7" t="s">
        <v>7068</v>
      </c>
      <c r="K78" s="7" t="s">
        <v>7069</v>
      </c>
      <c r="L78" s="7" t="s">
        <v>7070</v>
      </c>
      <c r="M78" s="7" t="s">
        <v>7071</v>
      </c>
      <c r="N78" s="7"/>
      <c r="O78" s="7" t="s">
        <v>6303</v>
      </c>
      <c r="P78" s="7" t="s">
        <v>7072</v>
      </c>
      <c r="Q78" s="7" t="s">
        <v>6305</v>
      </c>
      <c r="R78" s="7" t="s">
        <v>7073</v>
      </c>
      <c r="S78" s="7"/>
      <c r="T78" s="7"/>
    </row>
    <row r="79" customFormat="false" ht="46.25" hidden="false" customHeight="false" outlineLevel="0" collapsed="false">
      <c r="A79" s="7" t="n">
        <v>32</v>
      </c>
      <c r="B79" s="7" t="s">
        <v>437</v>
      </c>
      <c r="C79" s="7" t="s">
        <v>7074</v>
      </c>
      <c r="D79" s="7" t="s">
        <v>7075</v>
      </c>
      <c r="E79" s="7" t="n">
        <v>2016</v>
      </c>
      <c r="F79" s="7" t="s">
        <v>6430</v>
      </c>
      <c r="G79" s="7" t="s">
        <v>7076</v>
      </c>
      <c r="H79" s="7" t="s">
        <v>7077</v>
      </c>
      <c r="I79" s="7" t="s">
        <v>6367</v>
      </c>
      <c r="J79" s="7" t="s">
        <v>7078</v>
      </c>
      <c r="K79" s="7" t="s">
        <v>7079</v>
      </c>
      <c r="L79" s="7" t="s">
        <v>7080</v>
      </c>
      <c r="M79" s="7" t="s">
        <v>7081</v>
      </c>
      <c r="N79" s="7"/>
      <c r="O79" s="7" t="s">
        <v>6303</v>
      </c>
      <c r="P79" s="7" t="s">
        <v>6340</v>
      </c>
      <c r="Q79" s="7" t="s">
        <v>6305</v>
      </c>
      <c r="R79" s="7" t="s">
        <v>7082</v>
      </c>
      <c r="S79" s="7"/>
      <c r="T79" s="7"/>
    </row>
    <row r="80" customFormat="false" ht="57.45" hidden="false" customHeight="false" outlineLevel="0" collapsed="false">
      <c r="A80" s="7" t="n">
        <v>32</v>
      </c>
      <c r="B80" s="7" t="s">
        <v>437</v>
      </c>
      <c r="C80" s="7" t="s">
        <v>7083</v>
      </c>
      <c r="D80" s="7" t="s">
        <v>7084</v>
      </c>
      <c r="E80" s="7" t="n">
        <v>2026</v>
      </c>
      <c r="F80" s="7" t="s">
        <v>6295</v>
      </c>
      <c r="G80" s="7" t="s">
        <v>7085</v>
      </c>
      <c r="H80" s="7" t="s">
        <v>7086</v>
      </c>
      <c r="I80" s="7" t="s">
        <v>6324</v>
      </c>
      <c r="J80" s="7" t="s">
        <v>7087</v>
      </c>
      <c r="K80" s="7" t="s">
        <v>7088</v>
      </c>
      <c r="L80" s="7" t="s">
        <v>7089</v>
      </c>
      <c r="M80" s="7" t="s">
        <v>6891</v>
      </c>
      <c r="N80" s="7"/>
      <c r="O80" s="7" t="s">
        <v>6303</v>
      </c>
      <c r="P80" s="7" t="s">
        <v>6340</v>
      </c>
      <c r="Q80" s="7" t="s">
        <v>6305</v>
      </c>
      <c r="R80" s="7" t="s">
        <v>7090</v>
      </c>
      <c r="S80" s="7"/>
      <c r="T80" s="7"/>
    </row>
    <row r="81" customFormat="false" ht="46.25" hidden="false" customHeight="false" outlineLevel="0" collapsed="false">
      <c r="A81" s="7" t="n">
        <v>32</v>
      </c>
      <c r="B81" s="7" t="s">
        <v>437</v>
      </c>
      <c r="C81" s="7" t="s">
        <v>7091</v>
      </c>
      <c r="D81" s="7" t="s">
        <v>7092</v>
      </c>
      <c r="E81" s="7" t="n">
        <v>2026</v>
      </c>
      <c r="F81" s="7" t="s">
        <v>6295</v>
      </c>
      <c r="G81" s="7" t="s">
        <v>7093</v>
      </c>
      <c r="H81" s="7" t="s">
        <v>7094</v>
      </c>
      <c r="I81" s="7" t="s">
        <v>6324</v>
      </c>
      <c r="J81" s="7" t="s">
        <v>7095</v>
      </c>
      <c r="K81" s="7" t="s">
        <v>7096</v>
      </c>
      <c r="L81" s="7" t="s">
        <v>7097</v>
      </c>
      <c r="M81" s="7" t="s">
        <v>7098</v>
      </c>
      <c r="N81" s="7"/>
      <c r="O81" s="7" t="s">
        <v>6303</v>
      </c>
      <c r="P81" s="7" t="s">
        <v>6340</v>
      </c>
      <c r="Q81" s="7" t="s">
        <v>6305</v>
      </c>
      <c r="R81" s="7" t="s">
        <v>7099</v>
      </c>
      <c r="S81" s="7"/>
      <c r="T81" s="7"/>
    </row>
    <row r="82" customFormat="false" ht="35.05" hidden="false" customHeight="false" outlineLevel="0" collapsed="false">
      <c r="A82" s="7" t="n">
        <v>32</v>
      </c>
      <c r="B82" s="7" t="s">
        <v>437</v>
      </c>
      <c r="C82" s="7" t="s">
        <v>7100</v>
      </c>
      <c r="D82" s="7" t="s">
        <v>7101</v>
      </c>
      <c r="E82" s="7" t="n">
        <v>2022</v>
      </c>
      <c r="F82" s="7" t="s">
        <v>7102</v>
      </c>
      <c r="G82" s="7" t="s">
        <v>6625</v>
      </c>
      <c r="H82" s="7" t="s">
        <v>7103</v>
      </c>
      <c r="I82" s="7" t="s">
        <v>6563</v>
      </c>
      <c r="J82" s="7" t="s">
        <v>7104</v>
      </c>
      <c r="K82" s="7" t="s">
        <v>7105</v>
      </c>
      <c r="L82" s="7" t="s">
        <v>7106</v>
      </c>
      <c r="M82" s="7" t="s">
        <v>7107</v>
      </c>
      <c r="N82" s="7"/>
      <c r="O82" s="7" t="s">
        <v>6303</v>
      </c>
      <c r="P82" s="7" t="s">
        <v>6340</v>
      </c>
      <c r="Q82" s="7" t="s">
        <v>6305</v>
      </c>
      <c r="R82" s="7" t="s">
        <v>7108</v>
      </c>
      <c r="S82" s="7"/>
      <c r="T82" s="7"/>
    </row>
    <row r="83" customFormat="false" ht="46.25" hidden="false" customHeight="false" outlineLevel="0" collapsed="false">
      <c r="A83" s="7" t="n">
        <v>32</v>
      </c>
      <c r="B83" s="7" t="s">
        <v>437</v>
      </c>
      <c r="C83" s="7" t="s">
        <v>7109</v>
      </c>
      <c r="D83" s="7" t="s">
        <v>7110</v>
      </c>
      <c r="E83" s="7" t="n">
        <v>2017</v>
      </c>
      <c r="F83" s="7" t="s">
        <v>6388</v>
      </c>
      <c r="G83" s="7" t="s">
        <v>7111</v>
      </c>
      <c r="H83" s="7" t="s">
        <v>7112</v>
      </c>
      <c r="I83" s="7" t="s">
        <v>7113</v>
      </c>
      <c r="J83" s="7" t="s">
        <v>7114</v>
      </c>
      <c r="K83" s="7" t="s">
        <v>7115</v>
      </c>
      <c r="L83" s="7" t="s">
        <v>7116</v>
      </c>
      <c r="M83" s="7" t="s">
        <v>7117</v>
      </c>
      <c r="N83" s="7"/>
      <c r="O83" s="7" t="s">
        <v>6463</v>
      </c>
      <c r="P83" s="7" t="s">
        <v>6395</v>
      </c>
      <c r="Q83" s="7" t="s">
        <v>6305</v>
      </c>
      <c r="R83" s="7" t="s">
        <v>7118</v>
      </c>
      <c r="S83" s="7"/>
      <c r="T83" s="7"/>
    </row>
    <row r="84" customFormat="false" ht="35.05" hidden="false" customHeight="false" outlineLevel="0" collapsed="false">
      <c r="A84" s="7" t="n">
        <v>32</v>
      </c>
      <c r="B84" s="7" t="s">
        <v>437</v>
      </c>
      <c r="C84" s="7" t="s">
        <v>7119</v>
      </c>
      <c r="D84" s="7" t="s">
        <v>7120</v>
      </c>
      <c r="E84" s="7" t="n">
        <v>2018</v>
      </c>
      <c r="F84" s="7" t="s">
        <v>6388</v>
      </c>
      <c r="G84" s="7" t="s">
        <v>7121</v>
      </c>
      <c r="H84" s="7" t="s">
        <v>7122</v>
      </c>
      <c r="I84" s="7" t="s">
        <v>7123</v>
      </c>
      <c r="J84" s="7" t="s">
        <v>7124</v>
      </c>
      <c r="K84" s="7" t="s">
        <v>7125</v>
      </c>
      <c r="L84" s="7" t="s">
        <v>7126</v>
      </c>
      <c r="M84" s="7" t="s">
        <v>7127</v>
      </c>
      <c r="N84" s="7"/>
      <c r="O84" s="7" t="s">
        <v>6303</v>
      </c>
      <c r="P84" s="7" t="s">
        <v>6395</v>
      </c>
      <c r="Q84" s="7" t="s">
        <v>6305</v>
      </c>
      <c r="R84" s="7" t="s">
        <v>7128</v>
      </c>
      <c r="S84" s="7" t="s">
        <v>7129</v>
      </c>
      <c r="T84" s="7"/>
    </row>
    <row r="85" customFormat="false" ht="35.05" hidden="false" customHeight="false" outlineLevel="0" collapsed="false">
      <c r="A85" s="7" t="n">
        <v>32</v>
      </c>
      <c r="B85" s="7" t="s">
        <v>437</v>
      </c>
      <c r="C85" s="7" t="s">
        <v>7130</v>
      </c>
      <c r="D85" s="7" t="s">
        <v>7131</v>
      </c>
      <c r="E85" s="7" t="n">
        <v>2012</v>
      </c>
      <c r="F85" s="7" t="s">
        <v>6388</v>
      </c>
      <c r="G85" s="7" t="s">
        <v>7132</v>
      </c>
      <c r="H85" s="7" t="s">
        <v>7133</v>
      </c>
      <c r="I85" s="7" t="s">
        <v>7123</v>
      </c>
      <c r="J85" s="7" t="s">
        <v>7134</v>
      </c>
      <c r="K85" s="7" t="s">
        <v>7135</v>
      </c>
      <c r="L85" s="7" t="s">
        <v>7136</v>
      </c>
      <c r="M85" s="7" t="s">
        <v>7137</v>
      </c>
      <c r="N85" s="7"/>
      <c r="O85" s="7" t="s">
        <v>6463</v>
      </c>
      <c r="P85" s="7" t="s">
        <v>6395</v>
      </c>
      <c r="Q85" s="7" t="s">
        <v>6305</v>
      </c>
      <c r="R85" s="7" t="s">
        <v>7138</v>
      </c>
      <c r="S85" s="7"/>
      <c r="T85" s="7"/>
    </row>
    <row r="86" customFormat="false" ht="35.05" hidden="false" customHeight="false" outlineLevel="0" collapsed="false">
      <c r="A86" s="7" t="n">
        <v>30</v>
      </c>
      <c r="B86" s="7" t="s">
        <v>416</v>
      </c>
      <c r="C86" s="7" t="s">
        <v>7139</v>
      </c>
      <c r="D86" s="7" t="s">
        <v>7140</v>
      </c>
      <c r="E86" s="7" t="n">
        <v>2016</v>
      </c>
      <c r="F86" s="7" t="s">
        <v>6430</v>
      </c>
      <c r="G86" s="7" t="s">
        <v>7141</v>
      </c>
      <c r="H86" s="7" t="s">
        <v>7142</v>
      </c>
      <c r="I86" s="7" t="s">
        <v>6367</v>
      </c>
      <c r="J86" s="7" t="s">
        <v>7143</v>
      </c>
      <c r="K86" s="7" t="s">
        <v>7144</v>
      </c>
      <c r="L86" s="7" t="s">
        <v>7028</v>
      </c>
      <c r="M86" s="7" t="s">
        <v>6758</v>
      </c>
      <c r="N86" s="7"/>
      <c r="O86" s="7" t="s">
        <v>6303</v>
      </c>
      <c r="P86" s="7" t="s">
        <v>6340</v>
      </c>
      <c r="Q86" s="7" t="s">
        <v>6305</v>
      </c>
      <c r="R86" s="7" t="s">
        <v>7145</v>
      </c>
      <c r="S86" s="7"/>
      <c r="T86" s="7"/>
    </row>
    <row r="87" customFormat="false" ht="57.45" hidden="false" customHeight="false" outlineLevel="0" collapsed="false">
      <c r="A87" s="7" t="n">
        <v>30</v>
      </c>
      <c r="B87" s="7" t="s">
        <v>416</v>
      </c>
      <c r="C87" s="7" t="s">
        <v>7146</v>
      </c>
      <c r="D87" s="7" t="s">
        <v>7147</v>
      </c>
      <c r="E87" s="7" t="n">
        <v>2020</v>
      </c>
      <c r="F87" s="7" t="s">
        <v>6344</v>
      </c>
      <c r="G87" s="7" t="s">
        <v>7148</v>
      </c>
      <c r="H87" s="7" t="s">
        <v>7149</v>
      </c>
      <c r="I87" s="7" t="s">
        <v>7150</v>
      </c>
      <c r="J87" s="7" t="s">
        <v>7151</v>
      </c>
      <c r="K87" s="7" t="s">
        <v>7152</v>
      </c>
      <c r="L87" s="7" t="s">
        <v>7153</v>
      </c>
      <c r="M87" s="7" t="s">
        <v>7154</v>
      </c>
      <c r="N87" s="7"/>
      <c r="O87" s="7" t="s">
        <v>6303</v>
      </c>
      <c r="P87" s="7" t="s">
        <v>6340</v>
      </c>
      <c r="Q87" s="7" t="s">
        <v>6305</v>
      </c>
      <c r="R87" s="7" t="s">
        <v>7155</v>
      </c>
      <c r="S87" s="7"/>
      <c r="T87" s="7"/>
    </row>
    <row r="88" customFormat="false" ht="46.25" hidden="false" customHeight="false" outlineLevel="0" collapsed="false">
      <c r="A88" s="7" t="n">
        <v>30</v>
      </c>
      <c r="B88" s="7" t="s">
        <v>416</v>
      </c>
      <c r="C88" s="7" t="s">
        <v>7156</v>
      </c>
      <c r="D88" s="7" t="s">
        <v>7157</v>
      </c>
      <c r="E88" s="7" t="n">
        <v>2020</v>
      </c>
      <c r="F88" s="7" t="s">
        <v>7158</v>
      </c>
      <c r="G88" s="7" t="s">
        <v>7159</v>
      </c>
      <c r="H88" s="7" t="s">
        <v>7160</v>
      </c>
      <c r="I88" s="7" t="s">
        <v>6379</v>
      </c>
      <c r="J88" s="7" t="s">
        <v>7161</v>
      </c>
      <c r="K88" s="7" t="s">
        <v>7162</v>
      </c>
      <c r="L88" s="7" t="s">
        <v>7163</v>
      </c>
      <c r="M88" s="7" t="s">
        <v>7164</v>
      </c>
      <c r="N88" s="7"/>
      <c r="O88" s="7" t="s">
        <v>6303</v>
      </c>
      <c r="P88" s="7" t="s">
        <v>6395</v>
      </c>
      <c r="Q88" s="7" t="s">
        <v>6305</v>
      </c>
      <c r="R88" s="7" t="s">
        <v>7165</v>
      </c>
      <c r="S88" s="7"/>
      <c r="T88" s="7"/>
    </row>
    <row r="89" customFormat="false" ht="35.05" hidden="false" customHeight="false" outlineLevel="0" collapsed="false">
      <c r="A89" s="7" t="n">
        <v>30</v>
      </c>
      <c r="B89" s="7" t="s">
        <v>416</v>
      </c>
      <c r="C89" s="7" t="s">
        <v>7166</v>
      </c>
      <c r="D89" s="7" t="s">
        <v>7167</v>
      </c>
      <c r="E89" s="7" t="n">
        <v>2016</v>
      </c>
      <c r="F89" s="7" t="s">
        <v>7158</v>
      </c>
      <c r="G89" s="7" t="s">
        <v>7168</v>
      </c>
      <c r="H89" s="7" t="s">
        <v>7169</v>
      </c>
      <c r="I89" s="7" t="s">
        <v>6367</v>
      </c>
      <c r="J89" s="7" t="s">
        <v>7170</v>
      </c>
      <c r="K89" s="7" t="s">
        <v>7171</v>
      </c>
      <c r="L89" s="7" t="s">
        <v>7172</v>
      </c>
      <c r="M89" s="7" t="s">
        <v>6371</v>
      </c>
      <c r="N89" s="7"/>
      <c r="O89" s="7" t="s">
        <v>6303</v>
      </c>
      <c r="P89" s="7" t="s">
        <v>6395</v>
      </c>
      <c r="Q89" s="7" t="s">
        <v>6305</v>
      </c>
      <c r="R89" s="7" t="s">
        <v>7173</v>
      </c>
      <c r="S89" s="7" t="s">
        <v>7174</v>
      </c>
      <c r="T89" s="7" t="s">
        <v>7175</v>
      </c>
    </row>
    <row r="90" customFormat="false" ht="35.05" hidden="false" customHeight="false" outlineLevel="0" collapsed="false">
      <c r="A90" s="7" t="n">
        <v>30</v>
      </c>
      <c r="B90" s="7" t="s">
        <v>416</v>
      </c>
      <c r="C90" s="7" t="s">
        <v>7176</v>
      </c>
      <c r="D90" s="7" t="s">
        <v>7177</v>
      </c>
      <c r="E90" s="7" t="n">
        <v>2023</v>
      </c>
      <c r="F90" s="7" t="s">
        <v>6388</v>
      </c>
      <c r="G90" s="7" t="s">
        <v>7178</v>
      </c>
      <c r="H90" s="7" t="s">
        <v>7179</v>
      </c>
      <c r="I90" s="7" t="s">
        <v>6324</v>
      </c>
      <c r="J90" s="7" t="s">
        <v>7180</v>
      </c>
      <c r="K90" s="7" t="s">
        <v>7181</v>
      </c>
      <c r="L90" s="7" t="s">
        <v>7182</v>
      </c>
      <c r="M90" s="7" t="s">
        <v>7183</v>
      </c>
      <c r="N90" s="7"/>
      <c r="O90" s="7" t="s">
        <v>6463</v>
      </c>
      <c r="P90" s="7" t="s">
        <v>6328</v>
      </c>
      <c r="Q90" s="7" t="s">
        <v>6305</v>
      </c>
      <c r="R90" s="7" t="s">
        <v>7184</v>
      </c>
      <c r="S90" s="7"/>
      <c r="T90" s="7"/>
    </row>
    <row r="91" customFormat="false" ht="35.05" hidden="false" customHeight="false" outlineLevel="0" collapsed="false">
      <c r="A91" s="7" t="n">
        <v>30</v>
      </c>
      <c r="B91" s="7" t="s">
        <v>416</v>
      </c>
      <c r="C91" s="7" t="s">
        <v>7185</v>
      </c>
      <c r="D91" s="7" t="s">
        <v>7186</v>
      </c>
      <c r="E91" s="7" t="n">
        <v>2025</v>
      </c>
      <c r="F91" s="7" t="s">
        <v>7187</v>
      </c>
      <c r="G91" s="7" t="s">
        <v>7188</v>
      </c>
      <c r="H91" s="7" t="s">
        <v>7189</v>
      </c>
      <c r="I91" s="7" t="s">
        <v>6324</v>
      </c>
      <c r="J91" s="7" t="s">
        <v>7190</v>
      </c>
      <c r="K91" s="7" t="s">
        <v>7191</v>
      </c>
      <c r="L91" s="7" t="s">
        <v>7192</v>
      </c>
      <c r="M91" s="7" t="s">
        <v>7193</v>
      </c>
      <c r="N91" s="7"/>
      <c r="O91" s="7" t="s">
        <v>6303</v>
      </c>
      <c r="P91" s="7" t="s">
        <v>6328</v>
      </c>
      <c r="Q91" s="7" t="s">
        <v>6305</v>
      </c>
      <c r="R91" s="7" t="s">
        <v>7194</v>
      </c>
      <c r="S91" s="7"/>
      <c r="T91" s="7"/>
    </row>
    <row r="92" customFormat="false" ht="46.25" hidden="false" customHeight="false" outlineLevel="0" collapsed="false">
      <c r="A92" s="7" t="n">
        <v>33</v>
      </c>
      <c r="B92" s="7" t="s">
        <v>448</v>
      </c>
      <c r="C92" s="7" t="s">
        <v>6428</v>
      </c>
      <c r="D92" s="7" t="s">
        <v>7195</v>
      </c>
      <c r="E92" s="7" t="n">
        <v>2016</v>
      </c>
      <c r="F92" s="7" t="s">
        <v>6430</v>
      </c>
      <c r="G92" s="7" t="s">
        <v>6753</v>
      </c>
      <c r="H92" s="7" t="s">
        <v>7196</v>
      </c>
      <c r="I92" s="7" t="s">
        <v>6367</v>
      </c>
      <c r="J92" s="7" t="s">
        <v>7197</v>
      </c>
      <c r="K92" s="7" t="s">
        <v>7198</v>
      </c>
      <c r="L92" s="7" t="s">
        <v>6757</v>
      </c>
      <c r="M92" s="7" t="s">
        <v>7199</v>
      </c>
      <c r="N92" s="7"/>
      <c r="O92" s="7" t="s">
        <v>6303</v>
      </c>
      <c r="P92" s="7" t="s">
        <v>6340</v>
      </c>
      <c r="Q92" s="7" t="s">
        <v>6305</v>
      </c>
      <c r="R92" s="7" t="s">
        <v>7200</v>
      </c>
      <c r="S92" s="7"/>
      <c r="T92" s="7"/>
    </row>
    <row r="93" customFormat="false" ht="46.25" hidden="false" customHeight="false" outlineLevel="0" collapsed="false">
      <c r="A93" s="7" t="n">
        <v>33</v>
      </c>
      <c r="B93" s="7" t="s">
        <v>448</v>
      </c>
      <c r="C93" s="7" t="s">
        <v>7201</v>
      </c>
      <c r="D93" s="7" t="s">
        <v>7202</v>
      </c>
      <c r="E93" s="7" t="n">
        <v>2024</v>
      </c>
      <c r="F93" s="7" t="s">
        <v>6344</v>
      </c>
      <c r="G93" s="7" t="s">
        <v>7203</v>
      </c>
      <c r="H93" s="7" t="s">
        <v>7204</v>
      </c>
      <c r="I93" s="7" t="s">
        <v>7205</v>
      </c>
      <c r="J93" s="7" t="s">
        <v>7206</v>
      </c>
      <c r="K93" s="7" t="s">
        <v>7207</v>
      </c>
      <c r="L93" s="7" t="s">
        <v>7208</v>
      </c>
      <c r="M93" s="7" t="s">
        <v>7209</v>
      </c>
      <c r="N93" s="7"/>
      <c r="O93" s="7" t="s">
        <v>6303</v>
      </c>
      <c r="P93" s="7" t="s">
        <v>6340</v>
      </c>
      <c r="Q93" s="7" t="s">
        <v>6305</v>
      </c>
      <c r="R93" s="7" t="s">
        <v>7210</v>
      </c>
      <c r="S93" s="7" t="s">
        <v>7210</v>
      </c>
      <c r="T93" s="7"/>
    </row>
    <row r="94" customFormat="false" ht="46.25" hidden="false" customHeight="false" outlineLevel="0" collapsed="false">
      <c r="A94" s="7" t="n">
        <v>33</v>
      </c>
      <c r="B94" s="7" t="s">
        <v>448</v>
      </c>
      <c r="C94" s="7" t="s">
        <v>7211</v>
      </c>
      <c r="D94" s="7" t="s">
        <v>7212</v>
      </c>
      <c r="E94" s="7" t="n">
        <v>2020</v>
      </c>
      <c r="F94" s="7" t="s">
        <v>6388</v>
      </c>
      <c r="G94" s="7" t="s">
        <v>7213</v>
      </c>
      <c r="H94" s="7" t="s">
        <v>7214</v>
      </c>
      <c r="I94" s="7" t="s">
        <v>7215</v>
      </c>
      <c r="J94" s="7" t="s">
        <v>7216</v>
      </c>
      <c r="K94" s="7" t="s">
        <v>7217</v>
      </c>
      <c r="L94" s="7" t="s">
        <v>7218</v>
      </c>
      <c r="M94" s="7" t="s">
        <v>7219</v>
      </c>
      <c r="N94" s="7"/>
      <c r="O94" s="7" t="s">
        <v>6463</v>
      </c>
      <c r="P94" s="7" t="s">
        <v>6328</v>
      </c>
      <c r="Q94" s="7" t="s">
        <v>6305</v>
      </c>
      <c r="R94" s="7" t="s">
        <v>7220</v>
      </c>
      <c r="S94" s="7" t="s">
        <v>7221</v>
      </c>
      <c r="T94" s="7"/>
    </row>
    <row r="95" customFormat="false" ht="35.05" hidden="false" customHeight="false" outlineLevel="0" collapsed="false">
      <c r="A95" s="7" t="n">
        <v>33</v>
      </c>
      <c r="B95" s="7" t="s">
        <v>448</v>
      </c>
      <c r="C95" s="7" t="s">
        <v>7222</v>
      </c>
      <c r="D95" s="7" t="s">
        <v>7223</v>
      </c>
      <c r="E95" s="7" t="n">
        <v>2021</v>
      </c>
      <c r="F95" s="7" t="s">
        <v>6539</v>
      </c>
      <c r="G95" s="7" t="s">
        <v>7224</v>
      </c>
      <c r="H95" s="7" t="s">
        <v>7225</v>
      </c>
      <c r="I95" s="7" t="s">
        <v>7215</v>
      </c>
      <c r="J95" s="7" t="s">
        <v>7226</v>
      </c>
      <c r="K95" s="7" t="s">
        <v>7227</v>
      </c>
      <c r="L95" s="7" t="s">
        <v>7228</v>
      </c>
      <c r="M95" s="7" t="s">
        <v>7229</v>
      </c>
      <c r="N95" s="7" t="s">
        <v>7230</v>
      </c>
      <c r="O95" s="7" t="s">
        <v>6303</v>
      </c>
      <c r="P95" s="7" t="s">
        <v>6395</v>
      </c>
      <c r="Q95" s="7" t="s">
        <v>6305</v>
      </c>
      <c r="R95" s="7" t="s">
        <v>7231</v>
      </c>
      <c r="S95" s="7" t="s">
        <v>7232</v>
      </c>
      <c r="T95" s="7"/>
    </row>
    <row r="96" customFormat="false" ht="46.25" hidden="false" customHeight="false" outlineLevel="0" collapsed="false">
      <c r="A96" s="7" t="n">
        <v>33</v>
      </c>
      <c r="B96" s="7" t="s">
        <v>448</v>
      </c>
      <c r="C96" s="7" t="s">
        <v>7233</v>
      </c>
      <c r="D96" s="7" t="s">
        <v>7234</v>
      </c>
      <c r="E96" s="7" t="n">
        <v>2017</v>
      </c>
      <c r="F96" s="7" t="s">
        <v>7235</v>
      </c>
      <c r="G96" s="7" t="s">
        <v>7236</v>
      </c>
      <c r="H96" s="7" t="s">
        <v>7237</v>
      </c>
      <c r="I96" s="7" t="s">
        <v>7215</v>
      </c>
      <c r="J96" s="7" t="s">
        <v>7238</v>
      </c>
      <c r="K96" s="7" t="s">
        <v>7239</v>
      </c>
      <c r="L96" s="7" t="s">
        <v>7240</v>
      </c>
      <c r="M96" s="7" t="s">
        <v>7241</v>
      </c>
      <c r="N96" s="7"/>
      <c r="O96" s="7" t="s">
        <v>6303</v>
      </c>
      <c r="P96" s="7" t="s">
        <v>6328</v>
      </c>
      <c r="Q96" s="7" t="s">
        <v>6305</v>
      </c>
      <c r="R96" s="7" t="s">
        <v>7242</v>
      </c>
      <c r="S96" s="7"/>
      <c r="T96" s="7"/>
    </row>
    <row r="97" customFormat="false" ht="46.25" hidden="false" customHeight="false" outlineLevel="0" collapsed="false">
      <c r="A97" s="7" t="n">
        <v>33</v>
      </c>
      <c r="B97" s="7" t="s">
        <v>448</v>
      </c>
      <c r="C97" s="7" t="s">
        <v>7243</v>
      </c>
      <c r="D97" s="7" t="s">
        <v>7244</v>
      </c>
      <c r="E97" s="7" t="n">
        <v>2024</v>
      </c>
      <c r="F97" s="7" t="s">
        <v>7245</v>
      </c>
      <c r="G97" s="7" t="s">
        <v>6625</v>
      </c>
      <c r="H97" s="7" t="s">
        <v>7246</v>
      </c>
      <c r="I97" s="7" t="s">
        <v>6563</v>
      </c>
      <c r="J97" s="7" t="s">
        <v>7247</v>
      </c>
      <c r="K97" s="7" t="s">
        <v>7248</v>
      </c>
      <c r="L97" s="7" t="s">
        <v>7249</v>
      </c>
      <c r="M97" s="7" t="s">
        <v>6625</v>
      </c>
      <c r="N97" s="7"/>
      <c r="O97" s="7" t="s">
        <v>6303</v>
      </c>
      <c r="P97" s="7" t="s">
        <v>6328</v>
      </c>
      <c r="Q97" s="7" t="s">
        <v>6305</v>
      </c>
      <c r="R97" s="7" t="s">
        <v>7250</v>
      </c>
      <c r="S97" s="7"/>
      <c r="T97" s="7"/>
    </row>
    <row r="98" customFormat="false" ht="46.25" hidden="false" customHeight="false" outlineLevel="0" collapsed="false">
      <c r="A98" s="7" t="n">
        <v>33</v>
      </c>
      <c r="B98" s="7" t="s">
        <v>448</v>
      </c>
      <c r="C98" s="7" t="s">
        <v>7251</v>
      </c>
      <c r="D98" s="7" t="s">
        <v>7252</v>
      </c>
      <c r="E98" s="7" t="n">
        <v>2022</v>
      </c>
      <c r="F98" s="7" t="s">
        <v>6388</v>
      </c>
      <c r="G98" s="7" t="s">
        <v>7253</v>
      </c>
      <c r="H98" s="7" t="s">
        <v>7254</v>
      </c>
      <c r="I98" s="7" t="s">
        <v>7255</v>
      </c>
      <c r="J98" s="7" t="s">
        <v>7256</v>
      </c>
      <c r="K98" s="7" t="s">
        <v>7257</v>
      </c>
      <c r="L98" s="7" t="s">
        <v>7258</v>
      </c>
      <c r="M98" s="7" t="s">
        <v>7259</v>
      </c>
      <c r="N98" s="7"/>
      <c r="O98" s="7" t="s">
        <v>6303</v>
      </c>
      <c r="P98" s="7" t="s">
        <v>6395</v>
      </c>
      <c r="Q98" s="7" t="s">
        <v>6305</v>
      </c>
      <c r="R98" s="7" t="s">
        <v>7260</v>
      </c>
      <c r="S98" s="7"/>
      <c r="T98" s="7" t="s">
        <v>7261</v>
      </c>
    </row>
    <row r="99" customFormat="false" ht="35.05" hidden="false" customHeight="false" outlineLevel="0" collapsed="false">
      <c r="A99" s="7" t="n">
        <v>43</v>
      </c>
      <c r="B99" s="7" t="s">
        <v>539</v>
      </c>
      <c r="C99" s="7" t="s">
        <v>7262</v>
      </c>
      <c r="D99" s="7" t="s">
        <v>7263</v>
      </c>
      <c r="E99" s="7" t="n">
        <v>2018</v>
      </c>
      <c r="F99" s="7" t="s">
        <v>6430</v>
      </c>
      <c r="G99" s="7" t="s">
        <v>7264</v>
      </c>
      <c r="H99" s="7" t="s">
        <v>7265</v>
      </c>
      <c r="I99" s="7" t="s">
        <v>6367</v>
      </c>
      <c r="J99" s="7" t="s">
        <v>7266</v>
      </c>
      <c r="K99" s="7" t="s">
        <v>7267</v>
      </c>
      <c r="L99" s="7" t="s">
        <v>7268</v>
      </c>
      <c r="M99" s="7" t="s">
        <v>7269</v>
      </c>
      <c r="N99" s="7"/>
      <c r="O99" s="7" t="s">
        <v>6303</v>
      </c>
      <c r="P99" s="7" t="s">
        <v>6416</v>
      </c>
      <c r="Q99" s="7" t="s">
        <v>6305</v>
      </c>
      <c r="R99" s="7" t="s">
        <v>7270</v>
      </c>
      <c r="S99" s="7"/>
      <c r="T99" s="7"/>
    </row>
    <row r="100" customFormat="false" ht="46.25" hidden="false" customHeight="false" outlineLevel="0" collapsed="false">
      <c r="A100" s="7" t="n">
        <v>43</v>
      </c>
      <c r="B100" s="7" t="s">
        <v>539</v>
      </c>
      <c r="C100" s="7" t="s">
        <v>7271</v>
      </c>
      <c r="D100" s="7" t="s">
        <v>7272</v>
      </c>
      <c r="E100" s="7" t="n">
        <v>2018</v>
      </c>
      <c r="F100" s="7" t="s">
        <v>6295</v>
      </c>
      <c r="G100" s="7" t="s">
        <v>7273</v>
      </c>
      <c r="H100" s="7" t="s">
        <v>7274</v>
      </c>
      <c r="I100" s="7" t="s">
        <v>6488</v>
      </c>
      <c r="J100" s="7" t="s">
        <v>7275</v>
      </c>
      <c r="K100" s="7" t="s">
        <v>7276</v>
      </c>
      <c r="L100" s="7" t="s">
        <v>7277</v>
      </c>
      <c r="M100" s="7" t="s">
        <v>7278</v>
      </c>
      <c r="N100" s="7"/>
      <c r="O100" s="7" t="s">
        <v>6303</v>
      </c>
      <c r="P100" s="7" t="s">
        <v>6316</v>
      </c>
      <c r="Q100" s="7" t="s">
        <v>6305</v>
      </c>
      <c r="R100" s="7" t="s">
        <v>7279</v>
      </c>
      <c r="S100" s="7"/>
      <c r="T100" s="7"/>
    </row>
    <row r="101" customFormat="false" ht="35.05" hidden="false" customHeight="false" outlineLevel="0" collapsed="false">
      <c r="A101" s="7" t="n">
        <v>43</v>
      </c>
      <c r="B101" s="7" t="s">
        <v>539</v>
      </c>
      <c r="C101" s="7" t="s">
        <v>7280</v>
      </c>
      <c r="D101" s="7" t="s">
        <v>7281</v>
      </c>
      <c r="E101" s="7" t="n">
        <v>2022</v>
      </c>
      <c r="F101" s="7" t="s">
        <v>6430</v>
      </c>
      <c r="G101" s="7" t="s">
        <v>6753</v>
      </c>
      <c r="H101" s="7" t="s">
        <v>7282</v>
      </c>
      <c r="I101" s="7" t="s">
        <v>6367</v>
      </c>
      <c r="J101" s="7" t="s">
        <v>7283</v>
      </c>
      <c r="K101" s="7" t="s">
        <v>7284</v>
      </c>
      <c r="L101" s="7" t="s">
        <v>7285</v>
      </c>
      <c r="M101" s="7" t="s">
        <v>6758</v>
      </c>
      <c r="N101" s="7"/>
      <c r="O101" s="7" t="s">
        <v>6303</v>
      </c>
      <c r="P101" s="7" t="s">
        <v>6438</v>
      </c>
      <c r="Q101" s="7" t="s">
        <v>6305</v>
      </c>
      <c r="R101" s="7" t="s">
        <v>7286</v>
      </c>
      <c r="S101" s="7" t="s">
        <v>7287</v>
      </c>
      <c r="T101" s="7"/>
    </row>
    <row r="102" customFormat="false" ht="23.85" hidden="false" customHeight="false" outlineLevel="0" collapsed="false">
      <c r="A102" s="7" t="n">
        <v>43</v>
      </c>
      <c r="B102" s="7" t="s">
        <v>539</v>
      </c>
      <c r="C102" s="7" t="s">
        <v>7288</v>
      </c>
      <c r="D102" s="7" t="s">
        <v>7289</v>
      </c>
      <c r="E102" s="7" t="n">
        <v>2025</v>
      </c>
      <c r="F102" s="7" t="s">
        <v>7290</v>
      </c>
      <c r="G102" s="7" t="s">
        <v>7291</v>
      </c>
      <c r="H102" s="7" t="s">
        <v>7292</v>
      </c>
      <c r="I102" s="7" t="s">
        <v>7293</v>
      </c>
      <c r="J102" s="7" t="s">
        <v>7294</v>
      </c>
      <c r="K102" s="7" t="s">
        <v>7295</v>
      </c>
      <c r="L102" s="7" t="s">
        <v>7296</v>
      </c>
      <c r="M102" s="7" t="s">
        <v>7297</v>
      </c>
      <c r="N102" s="7"/>
      <c r="O102" s="7" t="s">
        <v>6303</v>
      </c>
      <c r="P102" s="7" t="s">
        <v>6416</v>
      </c>
      <c r="Q102" s="7" t="s">
        <v>6305</v>
      </c>
      <c r="R102" s="7" t="s">
        <v>7298</v>
      </c>
      <c r="S102" s="7"/>
      <c r="T102" s="7"/>
    </row>
    <row r="103" customFormat="false" ht="35.05" hidden="false" customHeight="false" outlineLevel="0" collapsed="false">
      <c r="A103" s="7" t="n">
        <v>43</v>
      </c>
      <c r="B103" s="7" t="s">
        <v>539</v>
      </c>
      <c r="C103" s="7" t="s">
        <v>7299</v>
      </c>
      <c r="D103" s="7" t="s">
        <v>7300</v>
      </c>
      <c r="E103" s="7" t="n">
        <v>2020</v>
      </c>
      <c r="F103" s="7" t="s">
        <v>6614</v>
      </c>
      <c r="G103" s="7" t="s">
        <v>7301</v>
      </c>
      <c r="H103" s="7" t="s">
        <v>7302</v>
      </c>
      <c r="I103" s="7" t="s">
        <v>7303</v>
      </c>
      <c r="J103" s="7" t="s">
        <v>7304</v>
      </c>
      <c r="K103" s="7" t="s">
        <v>7305</v>
      </c>
      <c r="L103" s="7" t="s">
        <v>7306</v>
      </c>
      <c r="M103" s="7" t="s">
        <v>7307</v>
      </c>
      <c r="N103" s="7"/>
      <c r="O103" s="7" t="s">
        <v>6303</v>
      </c>
      <c r="P103" s="7" t="s">
        <v>6328</v>
      </c>
      <c r="Q103" s="7" t="s">
        <v>6305</v>
      </c>
      <c r="R103" s="7" t="s">
        <v>7308</v>
      </c>
      <c r="S103" s="7"/>
      <c r="T103" s="7"/>
    </row>
    <row r="104" customFormat="false" ht="46.25" hidden="false" customHeight="false" outlineLevel="0" collapsed="false">
      <c r="A104" s="7" t="n">
        <v>43</v>
      </c>
      <c r="B104" s="7" t="s">
        <v>539</v>
      </c>
      <c r="C104" s="7" t="s">
        <v>7309</v>
      </c>
      <c r="D104" s="7" t="s">
        <v>7310</v>
      </c>
      <c r="E104" s="7" t="n">
        <v>2022</v>
      </c>
      <c r="F104" s="7" t="s">
        <v>6388</v>
      </c>
      <c r="G104" s="7" t="s">
        <v>7311</v>
      </c>
      <c r="H104" s="7" t="s">
        <v>7312</v>
      </c>
      <c r="I104" s="7" t="s">
        <v>6379</v>
      </c>
      <c r="J104" s="7" t="s">
        <v>7313</v>
      </c>
      <c r="K104" s="7" t="s">
        <v>7314</v>
      </c>
      <c r="L104" s="7" t="s">
        <v>7315</v>
      </c>
      <c r="M104" s="7" t="s">
        <v>7316</v>
      </c>
      <c r="N104" s="7"/>
      <c r="O104" s="7" t="s">
        <v>6463</v>
      </c>
      <c r="P104" s="7" t="s">
        <v>6451</v>
      </c>
      <c r="Q104" s="7" t="s">
        <v>6305</v>
      </c>
      <c r="R104" s="7" t="s">
        <v>7317</v>
      </c>
      <c r="S104" s="7"/>
      <c r="T104" s="7"/>
    </row>
    <row r="105" customFormat="false" ht="46.25" hidden="false" customHeight="false" outlineLevel="0" collapsed="false">
      <c r="A105" s="7" t="n">
        <v>39</v>
      </c>
      <c r="B105" s="7" t="s">
        <v>499</v>
      </c>
      <c r="C105" s="7" t="s">
        <v>7318</v>
      </c>
      <c r="D105" s="7" t="s">
        <v>7319</v>
      </c>
      <c r="E105" s="7" t="n">
        <v>2024</v>
      </c>
      <c r="F105" s="7" t="s">
        <v>6295</v>
      </c>
      <c r="G105" s="7" t="s">
        <v>7320</v>
      </c>
      <c r="H105" s="7" t="s">
        <v>7321</v>
      </c>
      <c r="I105" s="7" t="s">
        <v>6488</v>
      </c>
      <c r="J105" s="7" t="s">
        <v>7322</v>
      </c>
      <c r="K105" s="7" t="s">
        <v>7323</v>
      </c>
      <c r="L105" s="7" t="s">
        <v>7324</v>
      </c>
      <c r="M105" s="7" t="s">
        <v>7325</v>
      </c>
      <c r="N105" s="7"/>
      <c r="O105" s="7" t="s">
        <v>6303</v>
      </c>
      <c r="P105" s="7" t="s">
        <v>6316</v>
      </c>
      <c r="Q105" s="7" t="s">
        <v>6305</v>
      </c>
      <c r="R105" s="7" t="s">
        <v>7326</v>
      </c>
      <c r="S105" s="7"/>
      <c r="T105" s="7"/>
    </row>
    <row r="106" customFormat="false" ht="57.45" hidden="false" customHeight="false" outlineLevel="0" collapsed="false">
      <c r="A106" s="7" t="n">
        <v>39</v>
      </c>
      <c r="B106" s="7" t="s">
        <v>499</v>
      </c>
      <c r="C106" s="7" t="s">
        <v>7327</v>
      </c>
      <c r="D106" s="7" t="s">
        <v>7328</v>
      </c>
      <c r="E106" s="7" t="n">
        <v>2025</v>
      </c>
      <c r="F106" s="7" t="s">
        <v>7290</v>
      </c>
      <c r="G106" s="7" t="s">
        <v>7329</v>
      </c>
      <c r="H106" s="7" t="s">
        <v>7330</v>
      </c>
      <c r="I106" s="7" t="s">
        <v>7331</v>
      </c>
      <c r="J106" s="7" t="s">
        <v>7332</v>
      </c>
      <c r="K106" s="7" t="s">
        <v>7333</v>
      </c>
      <c r="L106" s="7" t="s">
        <v>6566</v>
      </c>
      <c r="M106" s="7" t="s">
        <v>7334</v>
      </c>
      <c r="N106" s="7"/>
      <c r="O106" s="7" t="s">
        <v>6303</v>
      </c>
      <c r="P106" s="7" t="s">
        <v>6416</v>
      </c>
      <c r="Q106" s="7" t="s">
        <v>6305</v>
      </c>
      <c r="R106" s="7" t="s">
        <v>7335</v>
      </c>
      <c r="S106" s="7" t="s">
        <v>7336</v>
      </c>
      <c r="T106" s="7"/>
    </row>
    <row r="107" customFormat="false" ht="46.25" hidden="false" customHeight="false" outlineLevel="0" collapsed="false">
      <c r="A107" s="7" t="n">
        <v>39</v>
      </c>
      <c r="B107" s="7" t="s">
        <v>499</v>
      </c>
      <c r="C107" s="7" t="s">
        <v>7337</v>
      </c>
      <c r="D107" s="7" t="s">
        <v>7338</v>
      </c>
      <c r="E107" s="7" t="n">
        <v>2023</v>
      </c>
      <c r="F107" s="7" t="s">
        <v>6682</v>
      </c>
      <c r="G107" s="7" t="s">
        <v>7339</v>
      </c>
      <c r="H107" s="7" t="s">
        <v>7340</v>
      </c>
      <c r="I107" s="7" t="s">
        <v>6324</v>
      </c>
      <c r="J107" s="7" t="s">
        <v>7341</v>
      </c>
      <c r="K107" s="7" t="s">
        <v>7342</v>
      </c>
      <c r="L107" s="7" t="s">
        <v>7343</v>
      </c>
      <c r="M107" s="7" t="s">
        <v>7344</v>
      </c>
      <c r="N107" s="7"/>
      <c r="O107" s="7" t="s">
        <v>6303</v>
      </c>
      <c r="P107" s="7" t="s">
        <v>6438</v>
      </c>
      <c r="Q107" s="7" t="s">
        <v>6305</v>
      </c>
      <c r="R107" s="7" t="s">
        <v>7345</v>
      </c>
      <c r="S107" s="7"/>
      <c r="T107" s="7"/>
    </row>
    <row r="108" customFormat="false" ht="35.05" hidden="false" customHeight="false" outlineLevel="0" collapsed="false">
      <c r="A108" s="7" t="n">
        <v>39</v>
      </c>
      <c r="B108" s="7" t="s">
        <v>499</v>
      </c>
      <c r="C108" s="7" t="s">
        <v>7346</v>
      </c>
      <c r="D108" s="7" t="s">
        <v>7347</v>
      </c>
      <c r="E108" s="7" t="n">
        <v>2022</v>
      </c>
      <c r="F108" s="7" t="s">
        <v>6321</v>
      </c>
      <c r="G108" s="7" t="s">
        <v>7348</v>
      </c>
      <c r="H108" s="7" t="s">
        <v>7340</v>
      </c>
      <c r="I108" s="7" t="s">
        <v>6488</v>
      </c>
      <c r="J108" s="7" t="s">
        <v>7349</v>
      </c>
      <c r="K108" s="7" t="s">
        <v>7350</v>
      </c>
      <c r="L108" s="7" t="s">
        <v>7343</v>
      </c>
      <c r="M108" s="7" t="s">
        <v>7351</v>
      </c>
      <c r="N108" s="7"/>
      <c r="O108" s="7" t="s">
        <v>6303</v>
      </c>
      <c r="P108" s="7" t="s">
        <v>6328</v>
      </c>
      <c r="Q108" s="7" t="s">
        <v>6305</v>
      </c>
      <c r="R108" s="7" t="s">
        <v>7352</v>
      </c>
      <c r="S108" s="7"/>
      <c r="T108" s="7"/>
    </row>
    <row r="109" customFormat="false" ht="46.25" hidden="false" customHeight="false" outlineLevel="0" collapsed="false">
      <c r="A109" s="7" t="n">
        <v>39</v>
      </c>
      <c r="B109" s="7" t="s">
        <v>499</v>
      </c>
      <c r="C109" s="7" t="s">
        <v>7353</v>
      </c>
      <c r="D109" s="7" t="s">
        <v>7354</v>
      </c>
      <c r="E109" s="7" t="n">
        <v>2024</v>
      </c>
      <c r="F109" s="7" t="s">
        <v>6539</v>
      </c>
      <c r="G109" s="7" t="s">
        <v>7355</v>
      </c>
      <c r="H109" s="7" t="s">
        <v>7356</v>
      </c>
      <c r="I109" s="7" t="s">
        <v>6335</v>
      </c>
      <c r="J109" s="7" t="s">
        <v>7357</v>
      </c>
      <c r="K109" s="7" t="s">
        <v>7358</v>
      </c>
      <c r="L109" s="7" t="s">
        <v>7359</v>
      </c>
      <c r="M109" s="7" t="s">
        <v>7360</v>
      </c>
      <c r="N109" s="7"/>
      <c r="O109" s="7" t="s">
        <v>6303</v>
      </c>
      <c r="P109" s="7" t="s">
        <v>6395</v>
      </c>
      <c r="Q109" s="7" t="s">
        <v>6305</v>
      </c>
      <c r="R109" s="7" t="s">
        <v>7361</v>
      </c>
      <c r="S109" s="7"/>
      <c r="T109" s="7"/>
    </row>
    <row r="110" customFormat="false" ht="35.05" hidden="false" customHeight="false" outlineLevel="0" collapsed="false">
      <c r="A110" s="7" t="n">
        <v>39</v>
      </c>
      <c r="B110" s="7" t="s">
        <v>499</v>
      </c>
      <c r="C110" s="7" t="s">
        <v>7362</v>
      </c>
      <c r="D110" s="7" t="s">
        <v>7363</v>
      </c>
      <c r="E110" s="7" t="n">
        <v>2023</v>
      </c>
      <c r="F110" s="7" t="s">
        <v>7364</v>
      </c>
      <c r="G110" s="7" t="s">
        <v>7365</v>
      </c>
      <c r="H110" s="7" t="s">
        <v>7356</v>
      </c>
      <c r="I110" s="7" t="s">
        <v>6335</v>
      </c>
      <c r="J110" s="7" t="s">
        <v>7366</v>
      </c>
      <c r="K110" s="7" t="s">
        <v>7367</v>
      </c>
      <c r="L110" s="7" t="s">
        <v>7368</v>
      </c>
      <c r="M110" s="7" t="s">
        <v>7369</v>
      </c>
      <c r="N110" s="7"/>
      <c r="O110" s="7" t="s">
        <v>6303</v>
      </c>
      <c r="P110" s="7" t="s">
        <v>7370</v>
      </c>
      <c r="Q110" s="7" t="s">
        <v>6305</v>
      </c>
      <c r="R110" s="7" t="s">
        <v>7371</v>
      </c>
      <c r="S110" s="7"/>
      <c r="T110" s="7"/>
    </row>
    <row r="111" customFormat="false" ht="46.25" hidden="false" customHeight="false" outlineLevel="0" collapsed="false">
      <c r="A111" s="7" t="n">
        <v>44</v>
      </c>
      <c r="B111" s="7" t="s">
        <v>549</v>
      </c>
      <c r="C111" s="7" t="s">
        <v>7372</v>
      </c>
      <c r="D111" s="7" t="s">
        <v>7373</v>
      </c>
      <c r="E111" s="7" t="n">
        <v>2018</v>
      </c>
      <c r="F111" s="7" t="s">
        <v>6430</v>
      </c>
      <c r="G111" s="7" t="s">
        <v>6753</v>
      </c>
      <c r="H111" s="7" t="s">
        <v>7374</v>
      </c>
      <c r="I111" s="7" t="s">
        <v>6367</v>
      </c>
      <c r="J111" s="7" t="s">
        <v>7375</v>
      </c>
      <c r="K111" s="7" t="s">
        <v>7376</v>
      </c>
      <c r="L111" s="7" t="s">
        <v>6757</v>
      </c>
      <c r="M111" s="7" t="s">
        <v>6758</v>
      </c>
      <c r="N111" s="7"/>
      <c r="O111" s="7" t="s">
        <v>6303</v>
      </c>
      <c r="P111" s="7" t="s">
        <v>6643</v>
      </c>
      <c r="Q111" s="7" t="s">
        <v>6305</v>
      </c>
      <c r="R111" s="7" t="s">
        <v>7377</v>
      </c>
      <c r="S111" s="7"/>
      <c r="T111" s="7"/>
    </row>
    <row r="112" customFormat="false" ht="46.25" hidden="false" customHeight="false" outlineLevel="0" collapsed="false">
      <c r="A112" s="7" t="n">
        <v>44</v>
      </c>
      <c r="B112" s="7" t="s">
        <v>549</v>
      </c>
      <c r="C112" s="7" t="s">
        <v>7378</v>
      </c>
      <c r="D112" s="7" t="s">
        <v>7379</v>
      </c>
      <c r="E112" s="7" t="n">
        <v>2023</v>
      </c>
      <c r="F112" s="7" t="s">
        <v>6295</v>
      </c>
      <c r="G112" s="7" t="s">
        <v>7380</v>
      </c>
      <c r="H112" s="7" t="s">
        <v>7381</v>
      </c>
      <c r="I112" s="7" t="s">
        <v>7382</v>
      </c>
      <c r="J112" s="7" t="s">
        <v>7383</v>
      </c>
      <c r="K112" s="7" t="s">
        <v>7384</v>
      </c>
      <c r="L112" s="7" t="s">
        <v>7343</v>
      </c>
      <c r="M112" s="7" t="s">
        <v>6587</v>
      </c>
      <c r="N112" s="7"/>
      <c r="O112" s="7" t="s">
        <v>6303</v>
      </c>
      <c r="P112" s="7" t="s">
        <v>6340</v>
      </c>
      <c r="Q112" s="7" t="s">
        <v>6305</v>
      </c>
      <c r="R112" s="7" t="s">
        <v>7385</v>
      </c>
      <c r="S112" s="7"/>
      <c r="T112" s="7"/>
    </row>
    <row r="113" customFormat="false" ht="35.05" hidden="false" customHeight="false" outlineLevel="0" collapsed="false">
      <c r="A113" s="7" t="n">
        <v>44</v>
      </c>
      <c r="B113" s="7" t="s">
        <v>549</v>
      </c>
      <c r="C113" s="7" t="s">
        <v>7386</v>
      </c>
      <c r="D113" s="7" t="s">
        <v>7387</v>
      </c>
      <c r="E113" s="7" t="n">
        <v>2024</v>
      </c>
      <c r="F113" s="7" t="s">
        <v>6443</v>
      </c>
      <c r="G113" s="7" t="s">
        <v>7388</v>
      </c>
      <c r="H113" s="7" t="s">
        <v>7389</v>
      </c>
      <c r="I113" s="7" t="s">
        <v>6324</v>
      </c>
      <c r="J113" s="7" t="s">
        <v>7390</v>
      </c>
      <c r="K113" s="7" t="s">
        <v>7391</v>
      </c>
      <c r="L113" s="7" t="s">
        <v>7392</v>
      </c>
      <c r="M113" s="7" t="s">
        <v>7071</v>
      </c>
      <c r="N113" s="7"/>
      <c r="O113" s="7" t="s">
        <v>6303</v>
      </c>
      <c r="P113" s="7" t="s">
        <v>6395</v>
      </c>
      <c r="Q113" s="7" t="s">
        <v>6305</v>
      </c>
      <c r="R113" s="7" t="s">
        <v>7393</v>
      </c>
      <c r="S113" s="7" t="s">
        <v>7394</v>
      </c>
      <c r="T113" s="7"/>
    </row>
    <row r="114" customFormat="false" ht="35.05" hidden="false" customHeight="false" outlineLevel="0" collapsed="false">
      <c r="A114" s="7" t="n">
        <v>44</v>
      </c>
      <c r="B114" s="7" t="s">
        <v>549</v>
      </c>
      <c r="C114" s="7" t="s">
        <v>7395</v>
      </c>
      <c r="D114" s="7" t="s">
        <v>7396</v>
      </c>
      <c r="E114" s="7" t="n">
        <v>2023</v>
      </c>
      <c r="F114" s="7" t="s">
        <v>7397</v>
      </c>
      <c r="G114" s="7" t="s">
        <v>7398</v>
      </c>
      <c r="H114" s="7" t="s">
        <v>7399</v>
      </c>
      <c r="I114" s="7" t="s">
        <v>7400</v>
      </c>
      <c r="J114" s="7" t="s">
        <v>7401</v>
      </c>
      <c r="K114" s="7" t="s">
        <v>7402</v>
      </c>
      <c r="L114" s="7" t="s">
        <v>7403</v>
      </c>
      <c r="M114" s="7" t="s">
        <v>7404</v>
      </c>
      <c r="N114" s="7"/>
      <c r="O114" s="7" t="s">
        <v>6303</v>
      </c>
      <c r="P114" s="7" t="s">
        <v>6416</v>
      </c>
      <c r="Q114" s="7" t="s">
        <v>6305</v>
      </c>
      <c r="R114" s="7" t="s">
        <v>7405</v>
      </c>
      <c r="S114" s="7"/>
      <c r="T114" s="7"/>
    </row>
    <row r="115" customFormat="false" ht="35.05" hidden="false" customHeight="false" outlineLevel="0" collapsed="false">
      <c r="A115" s="7" t="n">
        <v>44</v>
      </c>
      <c r="B115" s="7" t="s">
        <v>549</v>
      </c>
      <c r="C115" s="7" t="s">
        <v>7406</v>
      </c>
      <c r="D115" s="7" t="s">
        <v>7407</v>
      </c>
      <c r="E115" s="7" t="n">
        <v>2026</v>
      </c>
      <c r="F115" s="7" t="s">
        <v>7408</v>
      </c>
      <c r="G115" s="7" t="s">
        <v>7409</v>
      </c>
      <c r="H115" s="7" t="s">
        <v>6627</v>
      </c>
      <c r="I115" s="7" t="s">
        <v>6628</v>
      </c>
      <c r="J115" s="7" t="s">
        <v>7410</v>
      </c>
      <c r="K115" s="7" t="s">
        <v>7411</v>
      </c>
      <c r="L115" s="7" t="s">
        <v>7412</v>
      </c>
      <c r="M115" s="7" t="s">
        <v>6632</v>
      </c>
      <c r="N115" s="7"/>
      <c r="O115" s="7" t="s">
        <v>6303</v>
      </c>
      <c r="P115" s="7" t="s">
        <v>6340</v>
      </c>
      <c r="Q115" s="7" t="s">
        <v>6305</v>
      </c>
      <c r="R115" s="7" t="s">
        <v>7413</v>
      </c>
      <c r="S115" s="7"/>
      <c r="T115" s="7"/>
    </row>
    <row r="116" customFormat="false" ht="35.05" hidden="false" customHeight="false" outlineLevel="0" collapsed="false">
      <c r="A116" s="7" t="n">
        <v>44</v>
      </c>
      <c r="B116" s="7" t="s">
        <v>549</v>
      </c>
      <c r="C116" s="7" t="s">
        <v>7414</v>
      </c>
      <c r="D116" s="7" t="s">
        <v>7415</v>
      </c>
      <c r="E116" s="7" t="n">
        <v>2025</v>
      </c>
      <c r="F116" s="7" t="s">
        <v>7416</v>
      </c>
      <c r="G116" s="7" t="s">
        <v>7417</v>
      </c>
      <c r="H116" s="7" t="s">
        <v>7418</v>
      </c>
      <c r="I116" s="7" t="s">
        <v>6563</v>
      </c>
      <c r="J116" s="7" t="s">
        <v>7419</v>
      </c>
      <c r="K116" s="7" t="s">
        <v>7420</v>
      </c>
      <c r="L116" s="7" t="s">
        <v>7106</v>
      </c>
      <c r="M116" s="7" t="s">
        <v>7421</v>
      </c>
      <c r="N116" s="7"/>
      <c r="O116" s="7" t="s">
        <v>6303</v>
      </c>
      <c r="P116" s="7" t="s">
        <v>6416</v>
      </c>
      <c r="Q116" s="7" t="s">
        <v>6305</v>
      </c>
      <c r="R116" s="7" t="s">
        <v>7422</v>
      </c>
      <c r="S116" s="7"/>
      <c r="T116" s="7"/>
    </row>
    <row r="117" customFormat="false" ht="57.45" hidden="false" customHeight="false" outlineLevel="0" collapsed="false">
      <c r="A117" s="7" t="n">
        <v>52</v>
      </c>
      <c r="B117" s="7" t="s">
        <v>626</v>
      </c>
      <c r="C117" s="7" t="s">
        <v>7423</v>
      </c>
      <c r="D117" s="7" t="s">
        <v>7424</v>
      </c>
      <c r="E117" s="7" t="n">
        <v>2024</v>
      </c>
      <c r="F117" s="7" t="s">
        <v>6295</v>
      </c>
      <c r="G117" s="7" t="s">
        <v>7425</v>
      </c>
      <c r="H117" s="7" t="s">
        <v>7426</v>
      </c>
      <c r="I117" s="7" t="s">
        <v>7427</v>
      </c>
      <c r="J117" s="7" t="s">
        <v>7428</v>
      </c>
      <c r="K117" s="7" t="s">
        <v>7429</v>
      </c>
      <c r="L117" s="7" t="s">
        <v>7430</v>
      </c>
      <c r="M117" s="7" t="s">
        <v>7431</v>
      </c>
      <c r="N117" s="7"/>
      <c r="O117" s="7" t="s">
        <v>6303</v>
      </c>
      <c r="P117" s="7" t="s">
        <v>7432</v>
      </c>
      <c r="Q117" s="7" t="s">
        <v>6305</v>
      </c>
      <c r="R117" s="7" t="s">
        <v>7433</v>
      </c>
      <c r="S117" s="7" t="s">
        <v>7434</v>
      </c>
      <c r="T117" s="7"/>
    </row>
    <row r="118" customFormat="false" ht="57.45" hidden="false" customHeight="false" outlineLevel="0" collapsed="false">
      <c r="A118" s="7" t="n">
        <v>52</v>
      </c>
      <c r="B118" s="7" t="s">
        <v>626</v>
      </c>
      <c r="C118" s="7" t="s">
        <v>7435</v>
      </c>
      <c r="D118" s="7" t="s">
        <v>7436</v>
      </c>
      <c r="E118" s="7" t="n">
        <v>2026</v>
      </c>
      <c r="F118" s="7" t="s">
        <v>6763</v>
      </c>
      <c r="G118" s="7" t="s">
        <v>7437</v>
      </c>
      <c r="H118" s="7" t="s">
        <v>7438</v>
      </c>
      <c r="I118" s="7" t="s">
        <v>7293</v>
      </c>
      <c r="J118" s="7" t="s">
        <v>7439</v>
      </c>
      <c r="K118" s="7" t="s">
        <v>7440</v>
      </c>
      <c r="L118" s="7" t="s">
        <v>7430</v>
      </c>
      <c r="M118" s="7" t="s">
        <v>7441</v>
      </c>
      <c r="N118" s="7"/>
      <c r="O118" s="7" t="s">
        <v>6303</v>
      </c>
      <c r="P118" s="7" t="s">
        <v>7442</v>
      </c>
      <c r="Q118" s="7" t="s">
        <v>6305</v>
      </c>
      <c r="R118" s="7" t="s">
        <v>7443</v>
      </c>
      <c r="S118" s="7" t="s">
        <v>7444</v>
      </c>
      <c r="T118" s="7"/>
    </row>
    <row r="119" customFormat="false" ht="57.45" hidden="false" customHeight="false" outlineLevel="0" collapsed="false">
      <c r="A119" s="7" t="n">
        <v>52</v>
      </c>
      <c r="B119" s="7" t="s">
        <v>626</v>
      </c>
      <c r="C119" s="7" t="s">
        <v>7445</v>
      </c>
      <c r="D119" s="7" t="s">
        <v>7446</v>
      </c>
      <c r="E119" s="7" t="n">
        <v>2024</v>
      </c>
      <c r="F119" s="7" t="s">
        <v>7447</v>
      </c>
      <c r="G119" s="7" t="s">
        <v>7448</v>
      </c>
      <c r="H119" s="7" t="s">
        <v>7449</v>
      </c>
      <c r="I119" s="7" t="s">
        <v>7450</v>
      </c>
      <c r="J119" s="7" t="s">
        <v>7451</v>
      </c>
      <c r="K119" s="7" t="s">
        <v>7452</v>
      </c>
      <c r="L119" s="7" t="s">
        <v>7453</v>
      </c>
      <c r="M119" s="7" t="s">
        <v>7454</v>
      </c>
      <c r="N119" s="7"/>
      <c r="O119" s="7" t="s">
        <v>6303</v>
      </c>
      <c r="P119" s="7" t="s">
        <v>6395</v>
      </c>
      <c r="Q119" s="7" t="s">
        <v>6305</v>
      </c>
      <c r="R119" s="7" t="s">
        <v>7455</v>
      </c>
      <c r="S119" s="7" t="s">
        <v>7455</v>
      </c>
      <c r="T119" s="7" t="s">
        <v>7456</v>
      </c>
    </row>
    <row r="120" customFormat="false" ht="68.65" hidden="false" customHeight="false" outlineLevel="0" collapsed="false">
      <c r="A120" s="7" t="n">
        <v>52</v>
      </c>
      <c r="B120" s="7" t="s">
        <v>626</v>
      </c>
      <c r="C120" s="7" t="s">
        <v>7457</v>
      </c>
      <c r="D120" s="7" t="s">
        <v>7458</v>
      </c>
      <c r="E120" s="7" t="n">
        <v>2024</v>
      </c>
      <c r="F120" s="7" t="s">
        <v>6676</v>
      </c>
      <c r="G120" s="7" t="s">
        <v>7459</v>
      </c>
      <c r="H120" s="7" t="s">
        <v>7460</v>
      </c>
      <c r="I120" s="7" t="s">
        <v>7461</v>
      </c>
      <c r="J120" s="7" t="s">
        <v>7462</v>
      </c>
      <c r="K120" s="7" t="s">
        <v>7463</v>
      </c>
      <c r="L120" s="7" t="s">
        <v>7464</v>
      </c>
      <c r="M120" s="7" t="s">
        <v>7193</v>
      </c>
      <c r="N120" s="7"/>
      <c r="O120" s="7" t="s">
        <v>6303</v>
      </c>
      <c r="P120" s="7" t="s">
        <v>6643</v>
      </c>
      <c r="Q120" s="7" t="s">
        <v>6305</v>
      </c>
      <c r="R120" s="7" t="s">
        <v>7465</v>
      </c>
      <c r="S120" s="7"/>
      <c r="T120" s="7"/>
    </row>
    <row r="121" customFormat="false" ht="46.25" hidden="false" customHeight="false" outlineLevel="0" collapsed="false">
      <c r="A121" s="7" t="n">
        <v>52</v>
      </c>
      <c r="B121" s="7" t="s">
        <v>626</v>
      </c>
      <c r="C121" s="7" t="s">
        <v>7466</v>
      </c>
      <c r="D121" s="7" t="s">
        <v>7467</v>
      </c>
      <c r="E121" s="7" t="n">
        <v>2023</v>
      </c>
      <c r="F121" s="7" t="s">
        <v>6676</v>
      </c>
      <c r="G121" s="7" t="s">
        <v>7468</v>
      </c>
      <c r="H121" s="7" t="s">
        <v>7469</v>
      </c>
      <c r="I121" s="7" t="s">
        <v>7470</v>
      </c>
      <c r="J121" s="7" t="s">
        <v>7471</v>
      </c>
      <c r="K121" s="7" t="s">
        <v>7472</v>
      </c>
      <c r="L121" s="7" t="s">
        <v>6620</v>
      </c>
      <c r="M121" s="7" t="s">
        <v>7193</v>
      </c>
      <c r="N121" s="7"/>
      <c r="O121" s="7" t="s">
        <v>6303</v>
      </c>
      <c r="P121" s="7" t="s">
        <v>6328</v>
      </c>
      <c r="Q121" s="7" t="s">
        <v>6305</v>
      </c>
      <c r="R121" s="7" t="s">
        <v>7473</v>
      </c>
      <c r="S121" s="7"/>
      <c r="T121" s="7"/>
    </row>
    <row r="122" customFormat="false" ht="57.45" hidden="false" customHeight="false" outlineLevel="0" collapsed="false">
      <c r="A122" s="7" t="n">
        <v>52</v>
      </c>
      <c r="B122" s="7" t="s">
        <v>626</v>
      </c>
      <c r="C122" s="7" t="s">
        <v>7474</v>
      </c>
      <c r="D122" s="7" t="s">
        <v>7475</v>
      </c>
      <c r="E122" s="7" t="n">
        <v>2026</v>
      </c>
      <c r="F122" s="7" t="s">
        <v>7476</v>
      </c>
      <c r="G122" s="7" t="s">
        <v>7477</v>
      </c>
      <c r="H122" s="7" t="s">
        <v>7478</v>
      </c>
      <c r="I122" s="7" t="s">
        <v>7479</v>
      </c>
      <c r="J122" s="7" t="s">
        <v>7480</v>
      </c>
      <c r="K122" s="7" t="s">
        <v>7481</v>
      </c>
      <c r="L122" s="7" t="s">
        <v>7482</v>
      </c>
      <c r="M122" s="7" t="s">
        <v>7483</v>
      </c>
      <c r="N122" s="7"/>
      <c r="O122" s="7" t="s">
        <v>6303</v>
      </c>
      <c r="P122" s="7" t="s">
        <v>6328</v>
      </c>
      <c r="Q122" s="7" t="s">
        <v>6305</v>
      </c>
      <c r="R122" s="7" t="s">
        <v>7484</v>
      </c>
      <c r="S122" s="7" t="s">
        <v>7485</v>
      </c>
      <c r="T122" s="7"/>
    </row>
    <row r="123" customFormat="false" ht="57.45" hidden="false" customHeight="false" outlineLevel="0" collapsed="false">
      <c r="A123" s="7" t="n">
        <v>52</v>
      </c>
      <c r="B123" s="7" t="s">
        <v>626</v>
      </c>
      <c r="C123" s="7" t="s">
        <v>7486</v>
      </c>
      <c r="D123" s="7" t="s">
        <v>7487</v>
      </c>
      <c r="E123" s="7" t="n">
        <v>2022</v>
      </c>
      <c r="F123" s="7" t="s">
        <v>6388</v>
      </c>
      <c r="G123" s="7" t="s">
        <v>7488</v>
      </c>
      <c r="H123" s="7" t="s">
        <v>7489</v>
      </c>
      <c r="I123" s="7" t="s">
        <v>7427</v>
      </c>
      <c r="J123" s="7" t="s">
        <v>7490</v>
      </c>
      <c r="K123" s="7" t="s">
        <v>7491</v>
      </c>
      <c r="L123" s="7" t="s">
        <v>7492</v>
      </c>
      <c r="M123" s="7" t="s">
        <v>7493</v>
      </c>
      <c r="N123" s="7" t="s">
        <v>7494</v>
      </c>
      <c r="O123" s="7" t="s">
        <v>6463</v>
      </c>
      <c r="P123" s="7" t="s">
        <v>7495</v>
      </c>
      <c r="Q123" s="7" t="s">
        <v>6305</v>
      </c>
      <c r="R123" s="7" t="s">
        <v>7496</v>
      </c>
      <c r="S123" s="7"/>
      <c r="T123" s="7"/>
    </row>
    <row r="124" customFormat="false" ht="57.45" hidden="false" customHeight="false" outlineLevel="0" collapsed="false">
      <c r="A124" s="7" t="n">
        <v>48</v>
      </c>
      <c r="B124" s="7" t="s">
        <v>592</v>
      </c>
      <c r="C124" s="7" t="s">
        <v>7497</v>
      </c>
      <c r="D124" s="7" t="s">
        <v>7498</v>
      </c>
      <c r="E124" s="7" t="n">
        <v>2018</v>
      </c>
      <c r="F124" s="7" t="s">
        <v>6430</v>
      </c>
      <c r="G124" s="7" t="s">
        <v>7499</v>
      </c>
      <c r="H124" s="7" t="s">
        <v>7500</v>
      </c>
      <c r="I124" s="7" t="s">
        <v>6367</v>
      </c>
      <c r="J124" s="7" t="s">
        <v>7501</v>
      </c>
      <c r="K124" s="7" t="s">
        <v>7502</v>
      </c>
      <c r="L124" s="7" t="s">
        <v>7503</v>
      </c>
      <c r="M124" s="7" t="s">
        <v>7269</v>
      </c>
      <c r="N124" s="7"/>
      <c r="O124" s="7" t="s">
        <v>6303</v>
      </c>
      <c r="P124" s="7" t="s">
        <v>7504</v>
      </c>
      <c r="Q124" s="7" t="s">
        <v>6305</v>
      </c>
      <c r="R124" s="7" t="s">
        <v>7505</v>
      </c>
      <c r="S124" s="7"/>
      <c r="T124" s="7"/>
    </row>
    <row r="125" customFormat="false" ht="68.65" hidden="false" customHeight="false" outlineLevel="0" collapsed="false">
      <c r="A125" s="7" t="n">
        <v>48</v>
      </c>
      <c r="B125" s="7" t="s">
        <v>592</v>
      </c>
      <c r="C125" s="7" t="s">
        <v>7506</v>
      </c>
      <c r="D125" s="7" t="s">
        <v>7507</v>
      </c>
      <c r="E125" s="7" t="n">
        <v>2024</v>
      </c>
      <c r="F125" s="7" t="s">
        <v>6295</v>
      </c>
      <c r="G125" s="7" t="s">
        <v>7508</v>
      </c>
      <c r="H125" s="7" t="s">
        <v>7509</v>
      </c>
      <c r="I125" s="7" t="s">
        <v>6379</v>
      </c>
      <c r="J125" s="7" t="s">
        <v>7510</v>
      </c>
      <c r="K125" s="7" t="s">
        <v>7511</v>
      </c>
      <c r="L125" s="7" t="s">
        <v>7512</v>
      </c>
      <c r="M125" s="7" t="s">
        <v>7513</v>
      </c>
      <c r="N125" s="7"/>
      <c r="O125" s="7" t="s">
        <v>6303</v>
      </c>
      <c r="P125" s="7" t="s">
        <v>7514</v>
      </c>
      <c r="Q125" s="7" t="s">
        <v>6305</v>
      </c>
      <c r="R125" s="7" t="s">
        <v>7515</v>
      </c>
      <c r="S125" s="7"/>
      <c r="T125" s="7"/>
    </row>
    <row r="126" customFormat="false" ht="46.25" hidden="false" customHeight="false" outlineLevel="0" collapsed="false">
      <c r="A126" s="7" t="n">
        <v>48</v>
      </c>
      <c r="B126" s="7" t="s">
        <v>592</v>
      </c>
      <c r="C126" s="7" t="s">
        <v>7516</v>
      </c>
      <c r="D126" s="7" t="s">
        <v>7517</v>
      </c>
      <c r="E126" s="7" t="n">
        <v>2025</v>
      </c>
      <c r="F126" s="7" t="s">
        <v>6295</v>
      </c>
      <c r="G126" s="7" t="s">
        <v>7518</v>
      </c>
      <c r="H126" s="7" t="s">
        <v>7519</v>
      </c>
      <c r="I126" s="7" t="s">
        <v>7427</v>
      </c>
      <c r="J126" s="7" t="s">
        <v>7520</v>
      </c>
      <c r="K126" s="7" t="s">
        <v>7521</v>
      </c>
      <c r="L126" s="7" t="s">
        <v>7522</v>
      </c>
      <c r="M126" s="7" t="s">
        <v>7523</v>
      </c>
      <c r="N126" s="7"/>
      <c r="O126" s="7" t="s">
        <v>6303</v>
      </c>
      <c r="P126" s="7" t="s">
        <v>7524</v>
      </c>
      <c r="Q126" s="7" t="s">
        <v>6305</v>
      </c>
      <c r="R126" s="7" t="s">
        <v>7525</v>
      </c>
      <c r="S126" s="7"/>
      <c r="T126" s="7"/>
    </row>
    <row r="127" customFormat="false" ht="68.65" hidden="false" customHeight="false" outlineLevel="0" collapsed="false">
      <c r="A127" s="7" t="n">
        <v>48</v>
      </c>
      <c r="B127" s="7" t="s">
        <v>592</v>
      </c>
      <c r="C127" s="7" t="s">
        <v>7526</v>
      </c>
      <c r="D127" s="7" t="s">
        <v>7527</v>
      </c>
      <c r="E127" s="7" t="n">
        <v>2024</v>
      </c>
      <c r="F127" s="7" t="s">
        <v>6388</v>
      </c>
      <c r="G127" s="7" t="s">
        <v>7528</v>
      </c>
      <c r="H127" s="7" t="s">
        <v>7529</v>
      </c>
      <c r="I127" s="7" t="s">
        <v>6379</v>
      </c>
      <c r="J127" s="7" t="s">
        <v>7530</v>
      </c>
      <c r="K127" s="7" t="s">
        <v>7531</v>
      </c>
      <c r="L127" s="7" t="s">
        <v>7532</v>
      </c>
      <c r="M127" s="7" t="s">
        <v>7533</v>
      </c>
      <c r="N127" s="7"/>
      <c r="O127" s="7" t="s">
        <v>6463</v>
      </c>
      <c r="P127" s="7" t="s">
        <v>6395</v>
      </c>
      <c r="Q127" s="7" t="s">
        <v>6305</v>
      </c>
      <c r="R127" s="7" t="s">
        <v>7534</v>
      </c>
      <c r="S127" s="7" t="s">
        <v>7535</v>
      </c>
      <c r="T127" s="7"/>
    </row>
    <row r="128" customFormat="false" ht="46.25" hidden="false" customHeight="false" outlineLevel="0" collapsed="false">
      <c r="A128" s="7" t="n">
        <v>48</v>
      </c>
      <c r="B128" s="7" t="s">
        <v>592</v>
      </c>
      <c r="C128" s="7" t="s">
        <v>7536</v>
      </c>
      <c r="D128" s="7" t="s">
        <v>7537</v>
      </c>
      <c r="E128" s="7" t="n">
        <v>2023</v>
      </c>
      <c r="F128" s="7" t="s">
        <v>7538</v>
      </c>
      <c r="G128" s="7" t="s">
        <v>7539</v>
      </c>
      <c r="H128" s="7" t="s">
        <v>7540</v>
      </c>
      <c r="I128" s="7" t="s">
        <v>6379</v>
      </c>
      <c r="J128" s="7" t="s">
        <v>7541</v>
      </c>
      <c r="K128" s="7" t="s">
        <v>7542</v>
      </c>
      <c r="L128" s="7" t="s">
        <v>7543</v>
      </c>
      <c r="M128" s="7" t="s">
        <v>7544</v>
      </c>
      <c r="N128" s="7" t="s">
        <v>7545</v>
      </c>
      <c r="O128" s="7" t="s">
        <v>6303</v>
      </c>
      <c r="P128" s="7" t="s">
        <v>6328</v>
      </c>
      <c r="Q128" s="7" t="s">
        <v>6305</v>
      </c>
      <c r="R128" s="7" t="s">
        <v>7546</v>
      </c>
      <c r="S128" s="7"/>
      <c r="T128" s="7"/>
    </row>
    <row r="129" customFormat="false" ht="46.25" hidden="false" customHeight="false" outlineLevel="0" collapsed="false">
      <c r="A129" s="7" t="n">
        <v>48</v>
      </c>
      <c r="B129" s="7" t="s">
        <v>592</v>
      </c>
      <c r="C129" s="7" t="s">
        <v>7547</v>
      </c>
      <c r="D129" s="7" t="s">
        <v>7548</v>
      </c>
      <c r="E129" s="7" t="n">
        <v>2023</v>
      </c>
      <c r="F129" s="7" t="s">
        <v>6539</v>
      </c>
      <c r="G129" s="7" t="s">
        <v>7549</v>
      </c>
      <c r="H129" s="7" t="s">
        <v>7550</v>
      </c>
      <c r="I129" s="7" t="s">
        <v>6324</v>
      </c>
      <c r="J129" s="7" t="s">
        <v>7551</v>
      </c>
      <c r="K129" s="7" t="s">
        <v>7552</v>
      </c>
      <c r="L129" s="7" t="s">
        <v>7553</v>
      </c>
      <c r="M129" s="7" t="s">
        <v>7554</v>
      </c>
      <c r="N129" s="7"/>
      <c r="O129" s="7" t="s">
        <v>6303</v>
      </c>
      <c r="P129" s="7" t="s">
        <v>6328</v>
      </c>
      <c r="Q129" s="7" t="s">
        <v>6305</v>
      </c>
      <c r="R129" s="7" t="s">
        <v>7555</v>
      </c>
      <c r="S129" s="7" t="s">
        <v>7555</v>
      </c>
      <c r="T129" s="7"/>
    </row>
    <row r="130" customFormat="false" ht="46.25" hidden="false" customHeight="false" outlineLevel="0" collapsed="false">
      <c r="A130" s="7" t="n">
        <v>61</v>
      </c>
      <c r="B130" s="7" t="s">
        <v>724</v>
      </c>
      <c r="C130" s="7" t="s">
        <v>7556</v>
      </c>
      <c r="D130" s="7" t="s">
        <v>7557</v>
      </c>
      <c r="E130" s="7" t="n">
        <v>2020</v>
      </c>
      <c r="F130" s="7" t="s">
        <v>6430</v>
      </c>
      <c r="G130" s="7" t="s">
        <v>7558</v>
      </c>
      <c r="H130" s="7" t="s">
        <v>7559</v>
      </c>
      <c r="I130" s="7" t="s">
        <v>6367</v>
      </c>
      <c r="J130" s="7" t="s">
        <v>7560</v>
      </c>
      <c r="K130" s="7" t="s">
        <v>7561</v>
      </c>
      <c r="L130" s="7" t="s">
        <v>7562</v>
      </c>
      <c r="M130" s="7" t="s">
        <v>7563</v>
      </c>
      <c r="N130" s="7"/>
      <c r="O130" s="7" t="s">
        <v>6303</v>
      </c>
      <c r="P130" s="7" t="s">
        <v>6340</v>
      </c>
      <c r="Q130" s="7" t="s">
        <v>6305</v>
      </c>
      <c r="R130" s="7" t="s">
        <v>7564</v>
      </c>
      <c r="S130" s="7"/>
      <c r="T130" s="7" t="s">
        <v>7565</v>
      </c>
    </row>
    <row r="131" customFormat="false" ht="46.25" hidden="false" customHeight="false" outlineLevel="0" collapsed="false">
      <c r="A131" s="7" t="n">
        <v>61</v>
      </c>
      <c r="B131" s="7" t="s">
        <v>724</v>
      </c>
      <c r="C131" s="7" t="s">
        <v>7566</v>
      </c>
      <c r="D131" s="7" t="s">
        <v>7567</v>
      </c>
      <c r="E131" s="7" t="n">
        <v>2020</v>
      </c>
      <c r="F131" s="7" t="s">
        <v>6295</v>
      </c>
      <c r="G131" s="7" t="s">
        <v>7568</v>
      </c>
      <c r="H131" s="7" t="s">
        <v>7569</v>
      </c>
      <c r="I131" s="7" t="s">
        <v>6324</v>
      </c>
      <c r="J131" s="7" t="s">
        <v>7570</v>
      </c>
      <c r="K131" s="7" t="s">
        <v>7571</v>
      </c>
      <c r="L131" s="7" t="s">
        <v>7572</v>
      </c>
      <c r="M131" s="7" t="s">
        <v>7573</v>
      </c>
      <c r="N131" s="7"/>
      <c r="O131" s="7" t="s">
        <v>6303</v>
      </c>
      <c r="P131" s="7" t="s">
        <v>6340</v>
      </c>
      <c r="Q131" s="7" t="s">
        <v>6305</v>
      </c>
      <c r="R131" s="7" t="s">
        <v>7574</v>
      </c>
      <c r="S131" s="7"/>
      <c r="T131" s="7"/>
    </row>
    <row r="132" customFormat="false" ht="46.25" hidden="false" customHeight="false" outlineLevel="0" collapsed="false">
      <c r="A132" s="7" t="n">
        <v>61</v>
      </c>
      <c r="B132" s="7" t="s">
        <v>724</v>
      </c>
      <c r="C132" s="7" t="s">
        <v>7575</v>
      </c>
      <c r="D132" s="7" t="s">
        <v>7576</v>
      </c>
      <c r="E132" s="7" t="n">
        <v>2021</v>
      </c>
      <c r="F132" s="7" t="s">
        <v>7577</v>
      </c>
      <c r="G132" s="7" t="s">
        <v>7578</v>
      </c>
      <c r="H132" s="7" t="s">
        <v>7579</v>
      </c>
      <c r="I132" s="7" t="s">
        <v>6324</v>
      </c>
      <c r="J132" s="7" t="s">
        <v>7580</v>
      </c>
      <c r="K132" s="7" t="s">
        <v>7581</v>
      </c>
      <c r="L132" s="7" t="s">
        <v>7582</v>
      </c>
      <c r="M132" s="7" t="s">
        <v>7583</v>
      </c>
      <c r="N132" s="7" t="s">
        <v>7584</v>
      </c>
      <c r="O132" s="7" t="s">
        <v>6303</v>
      </c>
      <c r="P132" s="7" t="s">
        <v>6328</v>
      </c>
      <c r="Q132" s="7" t="s">
        <v>6305</v>
      </c>
      <c r="R132" s="7" t="s">
        <v>7585</v>
      </c>
      <c r="S132" s="7"/>
      <c r="T132" s="7"/>
    </row>
    <row r="133" customFormat="false" ht="35.05" hidden="false" customHeight="false" outlineLevel="0" collapsed="false">
      <c r="A133" s="7" t="n">
        <v>61</v>
      </c>
      <c r="B133" s="7" t="s">
        <v>724</v>
      </c>
      <c r="C133" s="7" t="s">
        <v>7586</v>
      </c>
      <c r="D133" s="7" t="s">
        <v>7587</v>
      </c>
      <c r="E133" s="7" t="n">
        <v>2020</v>
      </c>
      <c r="F133" s="7" t="s">
        <v>7588</v>
      </c>
      <c r="G133" s="7" t="s">
        <v>7589</v>
      </c>
      <c r="H133" s="7" t="s">
        <v>7590</v>
      </c>
      <c r="I133" s="7" t="s">
        <v>7591</v>
      </c>
      <c r="J133" s="7" t="s">
        <v>7592</v>
      </c>
      <c r="K133" s="7" t="s">
        <v>7593</v>
      </c>
      <c r="L133" s="7" t="s">
        <v>7594</v>
      </c>
      <c r="M133" s="7" t="s">
        <v>7595</v>
      </c>
      <c r="N133" s="7"/>
      <c r="O133" s="7" t="s">
        <v>6303</v>
      </c>
      <c r="P133" s="7" t="s">
        <v>6328</v>
      </c>
      <c r="Q133" s="7" t="s">
        <v>6305</v>
      </c>
      <c r="R133" s="7" t="s">
        <v>7596</v>
      </c>
      <c r="S133" s="7"/>
      <c r="T133" s="7"/>
    </row>
    <row r="134" customFormat="false" ht="46.25" hidden="false" customHeight="false" outlineLevel="0" collapsed="false">
      <c r="A134" s="7" t="n">
        <v>61</v>
      </c>
      <c r="B134" s="7" t="s">
        <v>724</v>
      </c>
      <c r="C134" s="7" t="s">
        <v>7597</v>
      </c>
      <c r="D134" s="7" t="s">
        <v>7598</v>
      </c>
      <c r="E134" s="7" t="n">
        <v>2024</v>
      </c>
      <c r="F134" s="7" t="s">
        <v>7588</v>
      </c>
      <c r="G134" s="7" t="s">
        <v>7599</v>
      </c>
      <c r="H134" s="7" t="s">
        <v>7600</v>
      </c>
      <c r="I134" s="7" t="s">
        <v>6324</v>
      </c>
      <c r="J134" s="7" t="s">
        <v>7601</v>
      </c>
      <c r="K134" s="7" t="s">
        <v>7602</v>
      </c>
      <c r="L134" s="7" t="s">
        <v>7603</v>
      </c>
      <c r="M134" s="7" t="s">
        <v>7604</v>
      </c>
      <c r="N134" s="7"/>
      <c r="O134" s="7" t="s">
        <v>6303</v>
      </c>
      <c r="P134" s="7" t="s">
        <v>6340</v>
      </c>
      <c r="Q134" s="7" t="s">
        <v>6305</v>
      </c>
      <c r="R134" s="7" t="s">
        <v>7605</v>
      </c>
      <c r="S134" s="7" t="s">
        <v>7606</v>
      </c>
      <c r="T134" s="7"/>
    </row>
    <row r="135" customFormat="false" ht="46.25" hidden="false" customHeight="false" outlineLevel="0" collapsed="false">
      <c r="A135" s="7" t="n">
        <v>61</v>
      </c>
      <c r="B135" s="7" t="s">
        <v>724</v>
      </c>
      <c r="C135" s="7" t="s">
        <v>7607</v>
      </c>
      <c r="D135" s="7" t="s">
        <v>7608</v>
      </c>
      <c r="E135" s="7" t="n">
        <v>2025</v>
      </c>
      <c r="F135" s="7" t="s">
        <v>7588</v>
      </c>
      <c r="G135" s="7" t="s">
        <v>7609</v>
      </c>
      <c r="H135" s="7" t="s">
        <v>7610</v>
      </c>
      <c r="I135" s="7" t="s">
        <v>6324</v>
      </c>
      <c r="J135" s="7" t="s">
        <v>7611</v>
      </c>
      <c r="K135" s="7" t="s">
        <v>7612</v>
      </c>
      <c r="L135" s="7" t="s">
        <v>7613</v>
      </c>
      <c r="M135" s="7" t="s">
        <v>7614</v>
      </c>
      <c r="N135" s="7"/>
      <c r="O135" s="7" t="s">
        <v>6303</v>
      </c>
      <c r="P135" s="7" t="s">
        <v>6340</v>
      </c>
      <c r="Q135" s="7" t="s">
        <v>6305</v>
      </c>
      <c r="R135" s="7" t="s">
        <v>7615</v>
      </c>
      <c r="S135" s="7" t="s">
        <v>7616</v>
      </c>
      <c r="T135" s="7" t="s">
        <v>7617</v>
      </c>
    </row>
    <row r="136" customFormat="false" ht="35.05" hidden="false" customHeight="false" outlineLevel="0" collapsed="false">
      <c r="A136" s="7" t="n">
        <v>61</v>
      </c>
      <c r="B136" s="7" t="s">
        <v>724</v>
      </c>
      <c r="C136" s="7" t="s">
        <v>7618</v>
      </c>
      <c r="D136" s="7" t="s">
        <v>7619</v>
      </c>
      <c r="E136" s="7" t="n">
        <v>2024</v>
      </c>
      <c r="F136" s="7" t="s">
        <v>7620</v>
      </c>
      <c r="G136" s="7" t="s">
        <v>7621</v>
      </c>
      <c r="H136" s="7" t="s">
        <v>7622</v>
      </c>
      <c r="I136" s="7" t="s">
        <v>7623</v>
      </c>
      <c r="J136" s="7" t="s">
        <v>7624</v>
      </c>
      <c r="K136" s="7" t="s">
        <v>7625</v>
      </c>
      <c r="L136" s="7" t="s">
        <v>6566</v>
      </c>
      <c r="M136" s="7" t="s">
        <v>6653</v>
      </c>
      <c r="N136" s="7"/>
      <c r="O136" s="7" t="s">
        <v>6303</v>
      </c>
      <c r="P136" s="7" t="s">
        <v>6328</v>
      </c>
      <c r="Q136" s="7" t="s">
        <v>6305</v>
      </c>
      <c r="R136" s="7" t="s">
        <v>7626</v>
      </c>
      <c r="S136" s="7"/>
      <c r="T136" s="7"/>
    </row>
    <row r="137" customFormat="false" ht="35.05" hidden="false" customHeight="false" outlineLevel="0" collapsed="false">
      <c r="A137" s="7" t="n">
        <v>61</v>
      </c>
      <c r="B137" s="7" t="s">
        <v>724</v>
      </c>
      <c r="C137" s="7" t="s">
        <v>7627</v>
      </c>
      <c r="D137" s="7" t="s">
        <v>7628</v>
      </c>
      <c r="E137" s="7" t="n">
        <v>2026</v>
      </c>
      <c r="F137" s="7" t="s">
        <v>7102</v>
      </c>
      <c r="G137" s="7" t="s">
        <v>6625</v>
      </c>
      <c r="H137" s="7" t="s">
        <v>7103</v>
      </c>
      <c r="I137" s="7" t="s">
        <v>6563</v>
      </c>
      <c r="J137" s="7" t="s">
        <v>7629</v>
      </c>
      <c r="K137" s="7" t="s">
        <v>7630</v>
      </c>
      <c r="L137" s="7" t="s">
        <v>7106</v>
      </c>
      <c r="M137" s="7" t="s">
        <v>7107</v>
      </c>
      <c r="N137" s="7"/>
      <c r="O137" s="7" t="s">
        <v>6303</v>
      </c>
      <c r="P137" s="7" t="s">
        <v>6340</v>
      </c>
      <c r="Q137" s="7" t="s">
        <v>6305</v>
      </c>
      <c r="R137" s="7" t="s">
        <v>7631</v>
      </c>
      <c r="S137" s="7"/>
      <c r="T137" s="7" t="s">
        <v>7632</v>
      </c>
    </row>
    <row r="138" customFormat="false" ht="46.25" hidden="false" customHeight="false" outlineLevel="0" collapsed="false">
      <c r="A138" s="7" t="n">
        <v>63</v>
      </c>
      <c r="B138" s="7" t="s">
        <v>743</v>
      </c>
      <c r="C138" s="7" t="s">
        <v>7633</v>
      </c>
      <c r="D138" s="7" t="s">
        <v>7634</v>
      </c>
      <c r="E138" s="7" t="n">
        <v>2021</v>
      </c>
      <c r="F138" s="7" t="s">
        <v>6430</v>
      </c>
      <c r="G138" s="7" t="s">
        <v>7635</v>
      </c>
      <c r="H138" s="7" t="s">
        <v>7636</v>
      </c>
      <c r="I138" s="7" t="s">
        <v>6367</v>
      </c>
      <c r="J138" s="7" t="s">
        <v>7637</v>
      </c>
      <c r="K138" s="7" t="s">
        <v>7638</v>
      </c>
      <c r="L138" s="7" t="s">
        <v>7639</v>
      </c>
      <c r="M138" s="7" t="s">
        <v>6758</v>
      </c>
      <c r="N138" s="7"/>
      <c r="O138" s="7" t="s">
        <v>6303</v>
      </c>
      <c r="P138" s="7" t="s">
        <v>6340</v>
      </c>
      <c r="Q138" s="7" t="s">
        <v>6305</v>
      </c>
      <c r="R138" s="7" t="s">
        <v>7640</v>
      </c>
      <c r="S138" s="7"/>
      <c r="T138" s="7"/>
    </row>
    <row r="139" customFormat="false" ht="23.85" hidden="false" customHeight="false" outlineLevel="0" collapsed="false">
      <c r="A139" s="7" t="n">
        <v>63</v>
      </c>
      <c r="B139" s="7" t="s">
        <v>743</v>
      </c>
      <c r="C139" s="7" t="s">
        <v>7641</v>
      </c>
      <c r="D139" s="7" t="s">
        <v>7642</v>
      </c>
      <c r="E139" s="7" t="n">
        <v>2019</v>
      </c>
      <c r="F139" s="7" t="s">
        <v>6344</v>
      </c>
      <c r="G139" s="7" t="s">
        <v>7643</v>
      </c>
      <c r="H139" s="7" t="s">
        <v>7644</v>
      </c>
      <c r="I139" s="7" t="s">
        <v>6379</v>
      </c>
      <c r="J139" s="7" t="s">
        <v>7645</v>
      </c>
      <c r="K139" s="7" t="s">
        <v>7646</v>
      </c>
      <c r="L139" s="7" t="s">
        <v>7647</v>
      </c>
      <c r="M139" s="7" t="s">
        <v>6653</v>
      </c>
      <c r="N139" s="7"/>
      <c r="O139" s="7" t="s">
        <v>6303</v>
      </c>
      <c r="P139" s="7" t="s">
        <v>6340</v>
      </c>
      <c r="Q139" s="7" t="s">
        <v>6305</v>
      </c>
      <c r="R139" s="7" t="s">
        <v>7648</v>
      </c>
      <c r="S139" s="7"/>
      <c r="T139" s="7"/>
    </row>
    <row r="140" customFormat="false" ht="46.25" hidden="false" customHeight="false" outlineLevel="0" collapsed="false">
      <c r="A140" s="7" t="n">
        <v>63</v>
      </c>
      <c r="B140" s="7" t="s">
        <v>743</v>
      </c>
      <c r="C140" s="7" t="s">
        <v>7649</v>
      </c>
      <c r="D140" s="7" t="s">
        <v>7650</v>
      </c>
      <c r="E140" s="7" t="n">
        <v>2025</v>
      </c>
      <c r="F140" s="7" t="s">
        <v>6344</v>
      </c>
      <c r="G140" s="7" t="s">
        <v>7651</v>
      </c>
      <c r="H140" s="7" t="s">
        <v>7652</v>
      </c>
      <c r="I140" s="7" t="s">
        <v>7653</v>
      </c>
      <c r="J140" s="7" t="s">
        <v>7654</v>
      </c>
      <c r="K140" s="7" t="s">
        <v>7655</v>
      </c>
      <c r="L140" s="7" t="s">
        <v>7656</v>
      </c>
      <c r="M140" s="7" t="s">
        <v>6653</v>
      </c>
      <c r="N140" s="7"/>
      <c r="O140" s="7" t="s">
        <v>6303</v>
      </c>
      <c r="P140" s="7" t="s">
        <v>6340</v>
      </c>
      <c r="Q140" s="7" t="s">
        <v>6305</v>
      </c>
      <c r="R140" s="7" t="s">
        <v>7657</v>
      </c>
      <c r="S140" s="7"/>
      <c r="T140" s="7" t="s">
        <v>7658</v>
      </c>
    </row>
    <row r="141" customFormat="false" ht="35.05" hidden="false" customHeight="false" outlineLevel="0" collapsed="false">
      <c r="A141" s="7" t="n">
        <v>63</v>
      </c>
      <c r="B141" s="7" t="s">
        <v>743</v>
      </c>
      <c r="C141" s="7" t="s">
        <v>7659</v>
      </c>
      <c r="D141" s="7" t="s">
        <v>7660</v>
      </c>
      <c r="E141" s="7" t="n">
        <v>2024</v>
      </c>
      <c r="F141" s="7" t="s">
        <v>6388</v>
      </c>
      <c r="G141" s="7" t="s">
        <v>7661</v>
      </c>
      <c r="H141" s="7" t="s">
        <v>7662</v>
      </c>
      <c r="I141" s="7" t="s">
        <v>6379</v>
      </c>
      <c r="J141" s="7" t="s">
        <v>7663</v>
      </c>
      <c r="K141" s="7" t="s">
        <v>7664</v>
      </c>
      <c r="L141" s="7" t="s">
        <v>7665</v>
      </c>
      <c r="M141" s="7" t="s">
        <v>7666</v>
      </c>
      <c r="N141" s="7"/>
      <c r="O141" s="7" t="s">
        <v>6463</v>
      </c>
      <c r="P141" s="7" t="s">
        <v>6395</v>
      </c>
      <c r="Q141" s="7" t="s">
        <v>6305</v>
      </c>
      <c r="R141" s="7" t="s">
        <v>7667</v>
      </c>
      <c r="S141" s="7" t="s">
        <v>7668</v>
      </c>
      <c r="T141" s="7"/>
    </row>
    <row r="142" customFormat="false" ht="46.25" hidden="false" customHeight="false" outlineLevel="0" collapsed="false">
      <c r="A142" s="7" t="n">
        <v>63</v>
      </c>
      <c r="B142" s="7" t="s">
        <v>743</v>
      </c>
      <c r="C142" s="7" t="s">
        <v>7669</v>
      </c>
      <c r="D142" s="7" t="s">
        <v>7670</v>
      </c>
      <c r="E142" s="7" t="n">
        <v>2025</v>
      </c>
      <c r="F142" s="7" t="s">
        <v>6388</v>
      </c>
      <c r="G142" s="7" t="s">
        <v>7671</v>
      </c>
      <c r="H142" s="7" t="s">
        <v>7672</v>
      </c>
      <c r="I142" s="7" t="s">
        <v>6379</v>
      </c>
      <c r="J142" s="7" t="s">
        <v>7673</v>
      </c>
      <c r="K142" s="7" t="s">
        <v>7674</v>
      </c>
      <c r="L142" s="7" t="s">
        <v>7675</v>
      </c>
      <c r="M142" s="7" t="s">
        <v>7676</v>
      </c>
      <c r="N142" s="7"/>
      <c r="O142" s="7" t="s">
        <v>6463</v>
      </c>
      <c r="P142" s="7" t="s">
        <v>6395</v>
      </c>
      <c r="Q142" s="7" t="s">
        <v>6305</v>
      </c>
      <c r="R142" s="7" t="s">
        <v>7677</v>
      </c>
      <c r="S142" s="7" t="s">
        <v>7678</v>
      </c>
      <c r="T142" s="7"/>
    </row>
    <row r="143" customFormat="false" ht="35.05" hidden="false" customHeight="false" outlineLevel="0" collapsed="false">
      <c r="A143" s="7" t="n">
        <v>63</v>
      </c>
      <c r="B143" s="7" t="s">
        <v>743</v>
      </c>
      <c r="C143" s="7" t="s">
        <v>7679</v>
      </c>
      <c r="D143" s="7" t="s">
        <v>7680</v>
      </c>
      <c r="E143" s="7" t="n">
        <v>2023</v>
      </c>
      <c r="F143" s="7" t="s">
        <v>6388</v>
      </c>
      <c r="G143" s="7" t="s">
        <v>7681</v>
      </c>
      <c r="H143" s="7" t="s">
        <v>7682</v>
      </c>
      <c r="I143" s="7" t="s">
        <v>6324</v>
      </c>
      <c r="J143" s="7" t="s">
        <v>7683</v>
      </c>
      <c r="K143" s="7" t="s">
        <v>7684</v>
      </c>
      <c r="L143" s="7" t="s">
        <v>7685</v>
      </c>
      <c r="M143" s="7" t="s">
        <v>7676</v>
      </c>
      <c r="N143" s="7"/>
      <c r="O143" s="7" t="s">
        <v>6463</v>
      </c>
      <c r="P143" s="7" t="s">
        <v>6395</v>
      </c>
      <c r="Q143" s="7" t="s">
        <v>6305</v>
      </c>
      <c r="R143" s="7" t="s">
        <v>7686</v>
      </c>
      <c r="S143" s="7" t="s">
        <v>7687</v>
      </c>
      <c r="T143" s="7"/>
    </row>
    <row r="144" customFormat="false" ht="46.25" hidden="false" customHeight="false" outlineLevel="0" collapsed="false">
      <c r="A144" s="7" t="n">
        <v>63</v>
      </c>
      <c r="B144" s="7" t="s">
        <v>743</v>
      </c>
      <c r="C144" s="7" t="s">
        <v>7688</v>
      </c>
      <c r="D144" s="7" t="s">
        <v>7689</v>
      </c>
      <c r="E144" s="7" t="n">
        <v>2026</v>
      </c>
      <c r="F144" s="7" t="s">
        <v>6539</v>
      </c>
      <c r="G144" s="7" t="s">
        <v>7690</v>
      </c>
      <c r="H144" s="7" t="s">
        <v>7691</v>
      </c>
      <c r="I144" s="7" t="s">
        <v>6379</v>
      </c>
      <c r="J144" s="7" t="s">
        <v>7692</v>
      </c>
      <c r="K144" s="7" t="s">
        <v>7693</v>
      </c>
      <c r="L144" s="7" t="s">
        <v>7694</v>
      </c>
      <c r="M144" s="7" t="s">
        <v>7695</v>
      </c>
      <c r="N144" s="7"/>
      <c r="O144" s="7" t="s">
        <v>6303</v>
      </c>
      <c r="P144" s="7" t="s">
        <v>6395</v>
      </c>
      <c r="Q144" s="7" t="s">
        <v>6305</v>
      </c>
      <c r="R144" s="7" t="s">
        <v>7696</v>
      </c>
      <c r="S144" s="7"/>
      <c r="T144" s="7"/>
    </row>
    <row r="145" customFormat="false" ht="46.25" hidden="false" customHeight="false" outlineLevel="0" collapsed="false">
      <c r="A145" s="7" t="n">
        <v>58</v>
      </c>
      <c r="B145" s="7" t="s">
        <v>691</v>
      </c>
      <c r="C145" s="7" t="s">
        <v>7697</v>
      </c>
      <c r="D145" s="7" t="s">
        <v>7698</v>
      </c>
      <c r="E145" s="7" t="n">
        <v>2020</v>
      </c>
      <c r="F145" s="7" t="s">
        <v>6430</v>
      </c>
      <c r="G145" s="7" t="s">
        <v>6753</v>
      </c>
      <c r="H145" s="7" t="s">
        <v>7699</v>
      </c>
      <c r="I145" s="7" t="s">
        <v>6367</v>
      </c>
      <c r="J145" s="7" t="s">
        <v>7700</v>
      </c>
      <c r="K145" s="7" t="s">
        <v>7701</v>
      </c>
      <c r="L145" s="7" t="s">
        <v>6757</v>
      </c>
      <c r="M145" s="7" t="s">
        <v>6758</v>
      </c>
      <c r="N145" s="7"/>
      <c r="O145" s="7" t="s">
        <v>6303</v>
      </c>
      <c r="P145" s="7" t="s">
        <v>6643</v>
      </c>
      <c r="Q145" s="7" t="s">
        <v>6305</v>
      </c>
      <c r="R145" s="7" t="s">
        <v>7702</v>
      </c>
      <c r="S145" s="7"/>
      <c r="T145" s="7"/>
    </row>
    <row r="146" customFormat="false" ht="46.25" hidden="false" customHeight="false" outlineLevel="0" collapsed="false">
      <c r="A146" s="7" t="n">
        <v>58</v>
      </c>
      <c r="B146" s="7" t="s">
        <v>691</v>
      </c>
      <c r="C146" s="7" t="s">
        <v>7703</v>
      </c>
      <c r="D146" s="7" t="s">
        <v>7704</v>
      </c>
      <c r="E146" s="7" t="n">
        <v>2022</v>
      </c>
      <c r="F146" s="7" t="s">
        <v>6388</v>
      </c>
      <c r="G146" s="7" t="s">
        <v>7705</v>
      </c>
      <c r="H146" s="7" t="s">
        <v>7706</v>
      </c>
      <c r="I146" s="7" t="s">
        <v>7707</v>
      </c>
      <c r="J146" s="7" t="s">
        <v>7708</v>
      </c>
      <c r="K146" s="7" t="s">
        <v>7709</v>
      </c>
      <c r="L146" s="7" t="s">
        <v>7106</v>
      </c>
      <c r="M146" s="7" t="s">
        <v>7710</v>
      </c>
      <c r="N146" s="7"/>
      <c r="O146" s="7" t="s">
        <v>6463</v>
      </c>
      <c r="P146" s="7" t="s">
        <v>6395</v>
      </c>
      <c r="Q146" s="7" t="s">
        <v>6305</v>
      </c>
      <c r="R146" s="7" t="s">
        <v>7711</v>
      </c>
      <c r="S146" s="7"/>
      <c r="T146" s="7"/>
    </row>
    <row r="147" customFormat="false" ht="46.25" hidden="false" customHeight="false" outlineLevel="0" collapsed="false">
      <c r="A147" s="7" t="n">
        <v>58</v>
      </c>
      <c r="B147" s="7" t="s">
        <v>691</v>
      </c>
      <c r="C147" s="7" t="s">
        <v>7712</v>
      </c>
      <c r="D147" s="7" t="s">
        <v>7713</v>
      </c>
      <c r="E147" s="7" t="n">
        <v>2023</v>
      </c>
      <c r="F147" s="7" t="s">
        <v>6388</v>
      </c>
      <c r="G147" s="7" t="s">
        <v>7714</v>
      </c>
      <c r="H147" s="7" t="s">
        <v>7715</v>
      </c>
      <c r="I147" s="7" t="s">
        <v>7716</v>
      </c>
      <c r="J147" s="7" t="s">
        <v>7717</v>
      </c>
      <c r="K147" s="7" t="s">
        <v>7718</v>
      </c>
      <c r="L147" s="7" t="s">
        <v>7106</v>
      </c>
      <c r="M147" s="7" t="s">
        <v>7710</v>
      </c>
      <c r="N147" s="7"/>
      <c r="O147" s="7" t="s">
        <v>7719</v>
      </c>
      <c r="P147" s="7" t="s">
        <v>6395</v>
      </c>
      <c r="Q147" s="7" t="s">
        <v>6305</v>
      </c>
      <c r="R147" s="7" t="s">
        <v>7720</v>
      </c>
      <c r="S147" s="7" t="s">
        <v>7721</v>
      </c>
      <c r="T147" s="7"/>
    </row>
    <row r="148" customFormat="false" ht="35.05" hidden="false" customHeight="false" outlineLevel="0" collapsed="false">
      <c r="A148" s="7" t="n">
        <v>58</v>
      </c>
      <c r="B148" s="7" t="s">
        <v>691</v>
      </c>
      <c r="C148" s="7" t="s">
        <v>7722</v>
      </c>
      <c r="D148" s="7" t="s">
        <v>7723</v>
      </c>
      <c r="E148" s="7" t="n">
        <v>2024</v>
      </c>
      <c r="F148" s="7" t="s">
        <v>7102</v>
      </c>
      <c r="G148" s="7" t="s">
        <v>7724</v>
      </c>
      <c r="H148" s="7" t="s">
        <v>6833</v>
      </c>
      <c r="I148" s="7" t="s">
        <v>7725</v>
      </c>
      <c r="J148" s="7" t="s">
        <v>7726</v>
      </c>
      <c r="K148" s="7" t="s">
        <v>7727</v>
      </c>
      <c r="L148" s="7" t="s">
        <v>6566</v>
      </c>
      <c r="M148" s="7" t="s">
        <v>7728</v>
      </c>
      <c r="N148" s="7"/>
      <c r="O148" s="7" t="s">
        <v>6303</v>
      </c>
      <c r="P148" s="7" t="s">
        <v>6340</v>
      </c>
      <c r="Q148" s="7" t="s">
        <v>6305</v>
      </c>
      <c r="R148" s="7" t="s">
        <v>7729</v>
      </c>
      <c r="S148" s="7"/>
      <c r="T148" s="7"/>
    </row>
    <row r="149" customFormat="false" ht="35.05" hidden="false" customHeight="false" outlineLevel="0" collapsed="false">
      <c r="A149" s="7" t="n">
        <v>58</v>
      </c>
      <c r="B149" s="7" t="s">
        <v>691</v>
      </c>
      <c r="C149" s="7" t="s">
        <v>7730</v>
      </c>
      <c r="D149" s="7" t="s">
        <v>7731</v>
      </c>
      <c r="E149" s="7" t="n">
        <v>2026</v>
      </c>
      <c r="F149" s="7" t="s">
        <v>6821</v>
      </c>
      <c r="G149" s="7" t="s">
        <v>7732</v>
      </c>
      <c r="H149" s="7" t="s">
        <v>7733</v>
      </c>
      <c r="I149" s="7" t="s">
        <v>7734</v>
      </c>
      <c r="J149" s="7" t="s">
        <v>7735</v>
      </c>
      <c r="K149" s="7" t="s">
        <v>7736</v>
      </c>
      <c r="L149" s="7" t="s">
        <v>7737</v>
      </c>
      <c r="M149" s="7" t="s">
        <v>7738</v>
      </c>
      <c r="N149" s="7"/>
      <c r="O149" s="7" t="s">
        <v>6303</v>
      </c>
      <c r="P149" s="7" t="s">
        <v>6340</v>
      </c>
      <c r="Q149" s="7" t="s">
        <v>6305</v>
      </c>
      <c r="R149" s="7" t="s">
        <v>7739</v>
      </c>
      <c r="S149" s="7" t="s">
        <v>7740</v>
      </c>
      <c r="T149" s="7"/>
    </row>
    <row r="150" customFormat="false" ht="46.25" hidden="false" customHeight="false" outlineLevel="0" collapsed="false">
      <c r="A150" s="7" t="n">
        <v>58</v>
      </c>
      <c r="B150" s="7" t="s">
        <v>691</v>
      </c>
      <c r="C150" s="7" t="s">
        <v>7741</v>
      </c>
      <c r="D150" s="7" t="s">
        <v>7742</v>
      </c>
      <c r="E150" s="7" t="n">
        <v>2025</v>
      </c>
      <c r="F150" s="7" t="s">
        <v>7416</v>
      </c>
      <c r="G150" s="7" t="s">
        <v>7417</v>
      </c>
      <c r="H150" s="7" t="s">
        <v>7743</v>
      </c>
      <c r="I150" s="7" t="s">
        <v>6563</v>
      </c>
      <c r="J150" s="7" t="s">
        <v>7744</v>
      </c>
      <c r="K150" s="7" t="s">
        <v>7745</v>
      </c>
      <c r="L150" s="7" t="s">
        <v>7106</v>
      </c>
      <c r="M150" s="7" t="s">
        <v>7421</v>
      </c>
      <c r="N150" s="7"/>
      <c r="O150" s="7" t="s">
        <v>6303</v>
      </c>
      <c r="P150" s="7" t="s">
        <v>6416</v>
      </c>
      <c r="Q150" s="7" t="s">
        <v>6305</v>
      </c>
      <c r="R150" s="7" t="s">
        <v>7422</v>
      </c>
      <c r="S150" s="7"/>
      <c r="T150" s="7"/>
    </row>
    <row r="151" customFormat="false" ht="35.05" hidden="false" customHeight="false" outlineLevel="0" collapsed="false">
      <c r="A151" s="7" t="n">
        <v>59</v>
      </c>
      <c r="B151" s="7" t="s">
        <v>702</v>
      </c>
      <c r="C151" s="7" t="s">
        <v>7746</v>
      </c>
      <c r="D151" s="7" t="s">
        <v>7747</v>
      </c>
      <c r="E151" s="7" t="n">
        <v>2020</v>
      </c>
      <c r="F151" s="7" t="s">
        <v>6430</v>
      </c>
      <c r="G151" s="7" t="s">
        <v>7748</v>
      </c>
      <c r="H151" s="7" t="s">
        <v>7749</v>
      </c>
      <c r="I151" s="7" t="s">
        <v>6367</v>
      </c>
      <c r="J151" s="7" t="s">
        <v>7750</v>
      </c>
      <c r="K151" s="7" t="s">
        <v>7751</v>
      </c>
      <c r="L151" s="7" t="s">
        <v>6757</v>
      </c>
      <c r="M151" s="7" t="s">
        <v>7752</v>
      </c>
      <c r="N151" s="7"/>
      <c r="O151" s="7" t="s">
        <v>6303</v>
      </c>
      <c r="P151" s="7" t="s">
        <v>6340</v>
      </c>
      <c r="Q151" s="7" t="s">
        <v>6305</v>
      </c>
      <c r="R151" s="7" t="s">
        <v>7753</v>
      </c>
      <c r="S151" s="7"/>
      <c r="T151" s="7" t="s">
        <v>7754</v>
      </c>
    </row>
    <row r="152" customFormat="false" ht="35.05" hidden="false" customHeight="false" outlineLevel="0" collapsed="false">
      <c r="A152" s="7" t="n">
        <v>59</v>
      </c>
      <c r="B152" s="7" t="s">
        <v>702</v>
      </c>
      <c r="C152" s="7" t="s">
        <v>7755</v>
      </c>
      <c r="D152" s="7" t="s">
        <v>7756</v>
      </c>
      <c r="E152" s="7" t="n">
        <v>2026</v>
      </c>
      <c r="F152" s="7" t="s">
        <v>6295</v>
      </c>
      <c r="G152" s="7" t="s">
        <v>7757</v>
      </c>
      <c r="H152" s="7" t="s">
        <v>7758</v>
      </c>
      <c r="I152" s="7" t="s">
        <v>7759</v>
      </c>
      <c r="J152" s="7" t="s">
        <v>7760</v>
      </c>
      <c r="K152" s="7" t="s">
        <v>7761</v>
      </c>
      <c r="L152" s="7" t="s">
        <v>7762</v>
      </c>
      <c r="M152" s="7" t="s">
        <v>7763</v>
      </c>
      <c r="N152" s="7"/>
      <c r="O152" s="7" t="s">
        <v>6303</v>
      </c>
      <c r="P152" s="7" t="s">
        <v>6340</v>
      </c>
      <c r="Q152" s="7" t="s">
        <v>6305</v>
      </c>
      <c r="R152" s="7" t="s">
        <v>7764</v>
      </c>
      <c r="S152" s="7"/>
      <c r="T152" s="7" t="s">
        <v>7765</v>
      </c>
    </row>
    <row r="153" customFormat="false" ht="35.05" hidden="false" customHeight="false" outlineLevel="0" collapsed="false">
      <c r="A153" s="7" t="n">
        <v>59</v>
      </c>
      <c r="B153" s="7" t="s">
        <v>702</v>
      </c>
      <c r="C153" s="7" t="s">
        <v>7766</v>
      </c>
      <c r="D153" s="7" t="s">
        <v>7767</v>
      </c>
      <c r="E153" s="7" t="n">
        <v>2025</v>
      </c>
      <c r="F153" s="7" t="s">
        <v>7768</v>
      </c>
      <c r="G153" s="7" t="s">
        <v>6625</v>
      </c>
      <c r="H153" s="7" t="s">
        <v>7769</v>
      </c>
      <c r="I153" s="7" t="s">
        <v>6563</v>
      </c>
      <c r="J153" s="7" t="s">
        <v>7770</v>
      </c>
      <c r="K153" s="7" t="s">
        <v>7771</v>
      </c>
      <c r="L153" s="7" t="s">
        <v>7106</v>
      </c>
      <c r="M153" s="7" t="s">
        <v>7772</v>
      </c>
      <c r="N153" s="7"/>
      <c r="O153" s="7" t="s">
        <v>6303</v>
      </c>
      <c r="P153" s="7" t="s">
        <v>7773</v>
      </c>
      <c r="Q153" s="7" t="s">
        <v>6305</v>
      </c>
      <c r="R153" s="7" t="s">
        <v>7774</v>
      </c>
      <c r="S153" s="7"/>
      <c r="T153" s="7"/>
    </row>
    <row r="154" customFormat="false" ht="46.25" hidden="false" customHeight="false" outlineLevel="0" collapsed="false">
      <c r="A154" s="7" t="n">
        <v>59</v>
      </c>
      <c r="B154" s="7" t="s">
        <v>702</v>
      </c>
      <c r="C154" s="7" t="s">
        <v>7775</v>
      </c>
      <c r="D154" s="7" t="s">
        <v>7776</v>
      </c>
      <c r="E154" s="7" t="n">
        <v>2026</v>
      </c>
      <c r="F154" s="7" t="s">
        <v>7768</v>
      </c>
      <c r="G154" s="7" t="s">
        <v>6625</v>
      </c>
      <c r="H154" s="7" t="s">
        <v>7769</v>
      </c>
      <c r="I154" s="7" t="s">
        <v>6563</v>
      </c>
      <c r="J154" s="7" t="s">
        <v>7777</v>
      </c>
      <c r="K154" s="7" t="s">
        <v>7778</v>
      </c>
      <c r="L154" s="7" t="s">
        <v>7106</v>
      </c>
      <c r="M154" s="7" t="s">
        <v>7772</v>
      </c>
      <c r="N154" s="7"/>
      <c r="O154" s="7" t="s">
        <v>6303</v>
      </c>
      <c r="P154" s="7" t="s">
        <v>7773</v>
      </c>
      <c r="Q154" s="7" t="s">
        <v>6305</v>
      </c>
      <c r="R154" s="7" t="s">
        <v>7779</v>
      </c>
      <c r="S154" s="7"/>
      <c r="T154" s="7" t="s">
        <v>7780</v>
      </c>
    </row>
    <row r="155" customFormat="false" ht="57.45" hidden="false" customHeight="false" outlineLevel="0" collapsed="false">
      <c r="A155" s="7" t="n">
        <v>59</v>
      </c>
      <c r="B155" s="7" t="s">
        <v>702</v>
      </c>
      <c r="C155" s="7" t="s">
        <v>7781</v>
      </c>
      <c r="D155" s="7" t="s">
        <v>7782</v>
      </c>
      <c r="E155" s="7" t="n">
        <v>2026</v>
      </c>
      <c r="F155" s="7" t="s">
        <v>6539</v>
      </c>
      <c r="G155" s="7" t="s">
        <v>7783</v>
      </c>
      <c r="H155" s="7" t="s">
        <v>7784</v>
      </c>
      <c r="I155" s="7" t="s">
        <v>7785</v>
      </c>
      <c r="J155" s="7" t="s">
        <v>7786</v>
      </c>
      <c r="K155" s="7" t="s">
        <v>7787</v>
      </c>
      <c r="L155" s="7" t="s">
        <v>7788</v>
      </c>
      <c r="M155" s="7" t="s">
        <v>7789</v>
      </c>
      <c r="N155" s="7" t="s">
        <v>7790</v>
      </c>
      <c r="O155" s="7" t="s">
        <v>7791</v>
      </c>
      <c r="P155" s="7" t="s">
        <v>6395</v>
      </c>
      <c r="Q155" s="7" t="s">
        <v>6305</v>
      </c>
      <c r="R155" s="7" t="s">
        <v>7792</v>
      </c>
      <c r="S155" s="7" t="s">
        <v>7793</v>
      </c>
      <c r="T155" s="7" t="s">
        <v>7794</v>
      </c>
    </row>
    <row r="156" customFormat="false" ht="35.05" hidden="false" customHeight="false" outlineLevel="0" collapsed="false">
      <c r="A156" s="7" t="n">
        <v>59</v>
      </c>
      <c r="B156" s="7" t="s">
        <v>702</v>
      </c>
      <c r="C156" s="7" t="s">
        <v>7795</v>
      </c>
      <c r="D156" s="7" t="s">
        <v>7796</v>
      </c>
      <c r="E156" s="7" t="n">
        <v>2026</v>
      </c>
      <c r="F156" s="7" t="s">
        <v>7797</v>
      </c>
      <c r="G156" s="7" t="s">
        <v>7798</v>
      </c>
      <c r="H156" s="7" t="s">
        <v>7799</v>
      </c>
      <c r="I156" s="7" t="s">
        <v>7800</v>
      </c>
      <c r="J156" s="7" t="s">
        <v>7801</v>
      </c>
      <c r="K156" s="7" t="s">
        <v>7802</v>
      </c>
      <c r="L156" s="7" t="s">
        <v>7803</v>
      </c>
      <c r="M156" s="7" t="s">
        <v>7804</v>
      </c>
      <c r="N156" s="7"/>
      <c r="O156" s="7" t="s">
        <v>7805</v>
      </c>
      <c r="P156" s="7" t="s">
        <v>7806</v>
      </c>
      <c r="Q156" s="7" t="s">
        <v>6305</v>
      </c>
      <c r="R156" s="7" t="s">
        <v>7807</v>
      </c>
      <c r="S156" s="7"/>
      <c r="T156" s="7"/>
    </row>
    <row r="157" customFormat="false" ht="46.25" hidden="false" customHeight="false" outlineLevel="0" collapsed="false">
      <c r="A157" s="7" t="n">
        <v>59</v>
      </c>
      <c r="B157" s="7" t="s">
        <v>702</v>
      </c>
      <c r="C157" s="7" t="s">
        <v>7808</v>
      </c>
      <c r="D157" s="7" t="s">
        <v>7809</v>
      </c>
      <c r="E157" s="7" t="n">
        <v>2025</v>
      </c>
      <c r="F157" s="7" t="s">
        <v>6388</v>
      </c>
      <c r="G157" s="7" t="s">
        <v>7810</v>
      </c>
      <c r="H157" s="7" t="s">
        <v>7811</v>
      </c>
      <c r="I157" s="7" t="s">
        <v>6335</v>
      </c>
      <c r="J157" s="7" t="s">
        <v>7812</v>
      </c>
      <c r="K157" s="7" t="s">
        <v>7813</v>
      </c>
      <c r="L157" s="7" t="s">
        <v>7097</v>
      </c>
      <c r="M157" s="7" t="s">
        <v>7814</v>
      </c>
      <c r="N157" s="7"/>
      <c r="O157" s="7" t="s">
        <v>7815</v>
      </c>
      <c r="P157" s="7" t="s">
        <v>6482</v>
      </c>
      <c r="Q157" s="7" t="s">
        <v>6305</v>
      </c>
      <c r="R157" s="7" t="s">
        <v>7816</v>
      </c>
      <c r="S157" s="7"/>
      <c r="T157" s="7"/>
    </row>
    <row r="158" customFormat="false" ht="35.05" hidden="false" customHeight="false" outlineLevel="0" collapsed="false">
      <c r="A158" s="7" t="n">
        <v>59</v>
      </c>
      <c r="B158" s="7" t="s">
        <v>702</v>
      </c>
      <c r="C158" s="7" t="s">
        <v>7817</v>
      </c>
      <c r="D158" s="7" t="s">
        <v>7818</v>
      </c>
      <c r="E158" s="7" t="n">
        <v>2025</v>
      </c>
      <c r="F158" s="7" t="s">
        <v>6539</v>
      </c>
      <c r="G158" s="7" t="s">
        <v>7819</v>
      </c>
      <c r="H158" s="7" t="s">
        <v>7820</v>
      </c>
      <c r="I158" s="7" t="s">
        <v>7821</v>
      </c>
      <c r="J158" s="7" t="s">
        <v>7822</v>
      </c>
      <c r="K158" s="7" t="s">
        <v>7823</v>
      </c>
      <c r="L158" s="7" t="s">
        <v>7824</v>
      </c>
      <c r="M158" s="7" t="s">
        <v>7825</v>
      </c>
      <c r="N158" s="7"/>
      <c r="O158" s="7" t="s">
        <v>6303</v>
      </c>
      <c r="P158" s="7" t="s">
        <v>7826</v>
      </c>
      <c r="Q158" s="7" t="s">
        <v>6305</v>
      </c>
      <c r="R158" s="7" t="s">
        <v>7827</v>
      </c>
      <c r="S158" s="7"/>
      <c r="T158" s="7" t="s">
        <v>7828</v>
      </c>
    </row>
    <row r="159" customFormat="false" ht="46.25" hidden="false" customHeight="false" outlineLevel="0" collapsed="false">
      <c r="A159" s="7" t="n">
        <v>59</v>
      </c>
      <c r="B159" s="7" t="s">
        <v>702</v>
      </c>
      <c r="C159" s="7" t="s">
        <v>7829</v>
      </c>
      <c r="D159" s="7" t="s">
        <v>7830</v>
      </c>
      <c r="E159" s="7" t="n">
        <v>2021</v>
      </c>
      <c r="F159" s="7" t="s">
        <v>7831</v>
      </c>
      <c r="G159" s="7" t="s">
        <v>7832</v>
      </c>
      <c r="H159" s="7" t="s">
        <v>7833</v>
      </c>
      <c r="I159" s="7" t="s">
        <v>7113</v>
      </c>
      <c r="J159" s="7" t="s">
        <v>7834</v>
      </c>
      <c r="K159" s="7" t="s">
        <v>7835</v>
      </c>
      <c r="L159" s="7" t="s">
        <v>7116</v>
      </c>
      <c r="M159" s="7" t="s">
        <v>7836</v>
      </c>
      <c r="N159" s="7"/>
      <c r="O159" s="7" t="s">
        <v>6303</v>
      </c>
      <c r="P159" s="7" t="s">
        <v>7837</v>
      </c>
      <c r="Q159" s="7" t="s">
        <v>6305</v>
      </c>
      <c r="R159" s="7" t="s">
        <v>7838</v>
      </c>
      <c r="S159" s="7"/>
      <c r="T159" s="7" t="s">
        <v>7839</v>
      </c>
    </row>
    <row r="160" customFormat="false" ht="35.05" hidden="false" customHeight="false" outlineLevel="0" collapsed="false">
      <c r="A160" s="7" t="n">
        <v>59</v>
      </c>
      <c r="B160" s="7" t="s">
        <v>702</v>
      </c>
      <c r="C160" s="7" t="s">
        <v>7840</v>
      </c>
      <c r="D160" s="7" t="s">
        <v>7841</v>
      </c>
      <c r="E160" s="7" t="n">
        <v>2021</v>
      </c>
      <c r="F160" s="7" t="s">
        <v>7842</v>
      </c>
      <c r="G160" s="7" t="s">
        <v>7843</v>
      </c>
      <c r="H160" s="7" t="s">
        <v>7844</v>
      </c>
      <c r="I160" s="7" t="s">
        <v>7845</v>
      </c>
      <c r="J160" s="7" t="s">
        <v>7846</v>
      </c>
      <c r="K160" s="7" t="s">
        <v>7847</v>
      </c>
      <c r="L160" s="7" t="s">
        <v>7848</v>
      </c>
      <c r="M160" s="7" t="s">
        <v>7849</v>
      </c>
      <c r="N160" s="7" t="s">
        <v>7850</v>
      </c>
      <c r="O160" s="7" t="s">
        <v>6303</v>
      </c>
      <c r="P160" s="7" t="s">
        <v>7837</v>
      </c>
      <c r="Q160" s="7" t="s">
        <v>6305</v>
      </c>
      <c r="R160" s="7" t="s">
        <v>7851</v>
      </c>
      <c r="S160" s="7"/>
      <c r="T160" s="7"/>
    </row>
    <row r="161" customFormat="false" ht="35.05" hidden="false" customHeight="false" outlineLevel="0" collapsed="false">
      <c r="A161" s="7" t="n">
        <v>59</v>
      </c>
      <c r="B161" s="7" t="s">
        <v>702</v>
      </c>
      <c r="C161" s="7" t="s">
        <v>7852</v>
      </c>
      <c r="D161" s="7" t="s">
        <v>7853</v>
      </c>
      <c r="E161" s="7" t="n">
        <v>2025</v>
      </c>
      <c r="F161" s="7" t="s">
        <v>7854</v>
      </c>
      <c r="G161" s="7" t="s">
        <v>7855</v>
      </c>
      <c r="H161" s="7" t="s">
        <v>7856</v>
      </c>
      <c r="I161" s="7" t="s">
        <v>6563</v>
      </c>
      <c r="J161" s="7" t="s">
        <v>7857</v>
      </c>
      <c r="K161" s="7" t="s">
        <v>7858</v>
      </c>
      <c r="L161" s="7" t="s">
        <v>7106</v>
      </c>
      <c r="M161" s="7" t="s">
        <v>7859</v>
      </c>
      <c r="N161" s="7"/>
      <c r="O161" s="7" t="s">
        <v>6303</v>
      </c>
      <c r="P161" s="7" t="s">
        <v>6416</v>
      </c>
      <c r="Q161" s="7" t="s">
        <v>6305</v>
      </c>
      <c r="R161" s="7" t="s">
        <v>7860</v>
      </c>
      <c r="S161" s="7"/>
      <c r="T161" s="7" t="s">
        <v>7861</v>
      </c>
    </row>
    <row r="162" customFormat="false" ht="68.65" hidden="false" customHeight="false" outlineLevel="0" collapsed="false">
      <c r="A162" s="7" t="n">
        <v>59</v>
      </c>
      <c r="B162" s="7" t="s">
        <v>702</v>
      </c>
      <c r="C162" s="7" t="s">
        <v>7862</v>
      </c>
      <c r="D162" s="7" t="s">
        <v>7863</v>
      </c>
      <c r="E162" s="7" t="n">
        <v>2026</v>
      </c>
      <c r="F162" s="7" t="s">
        <v>6539</v>
      </c>
      <c r="G162" s="7" t="s">
        <v>7864</v>
      </c>
      <c r="H162" s="7" t="s">
        <v>7865</v>
      </c>
      <c r="I162" s="7" t="s">
        <v>7866</v>
      </c>
      <c r="J162" s="7" t="s">
        <v>7867</v>
      </c>
      <c r="K162" s="7" t="s">
        <v>7868</v>
      </c>
      <c r="L162" s="7" t="s">
        <v>7182</v>
      </c>
      <c r="M162" s="7" t="s">
        <v>7869</v>
      </c>
      <c r="N162" s="7"/>
      <c r="O162" s="7" t="s">
        <v>6303</v>
      </c>
      <c r="P162" s="7" t="s">
        <v>6340</v>
      </c>
      <c r="Q162" s="7" t="s">
        <v>6305</v>
      </c>
      <c r="R162" s="7" t="s">
        <v>7870</v>
      </c>
      <c r="S162" s="7" t="s">
        <v>7871</v>
      </c>
      <c r="T162" s="7"/>
    </row>
    <row r="163" customFormat="false" ht="46.25" hidden="false" customHeight="false" outlineLevel="0" collapsed="false">
      <c r="A163" s="7" t="n">
        <v>59</v>
      </c>
      <c r="B163" s="7" t="s">
        <v>702</v>
      </c>
      <c r="C163" s="7" t="s">
        <v>7872</v>
      </c>
      <c r="D163" s="7" t="s">
        <v>7873</v>
      </c>
      <c r="E163" s="7" t="n">
        <v>2024</v>
      </c>
      <c r="F163" s="7" t="s">
        <v>6539</v>
      </c>
      <c r="G163" s="7" t="s">
        <v>7874</v>
      </c>
      <c r="H163" s="7" t="s">
        <v>7875</v>
      </c>
      <c r="I163" s="7" t="s">
        <v>7876</v>
      </c>
      <c r="J163" s="7" t="s">
        <v>7877</v>
      </c>
      <c r="K163" s="7" t="s">
        <v>7878</v>
      </c>
      <c r="L163" s="7" t="s">
        <v>7879</v>
      </c>
      <c r="M163" s="7" t="s">
        <v>7880</v>
      </c>
      <c r="N163" s="7"/>
      <c r="O163" s="7" t="s">
        <v>7791</v>
      </c>
      <c r="P163" s="7" t="s">
        <v>6395</v>
      </c>
      <c r="Q163" s="7" t="s">
        <v>6305</v>
      </c>
      <c r="R163" s="7" t="s">
        <v>7881</v>
      </c>
      <c r="S163" s="7" t="s">
        <v>7882</v>
      </c>
      <c r="T163" s="7" t="s">
        <v>7883</v>
      </c>
    </row>
    <row r="164" customFormat="false" ht="57.45" hidden="false" customHeight="false" outlineLevel="0" collapsed="false">
      <c r="A164" s="7" t="n">
        <v>59</v>
      </c>
      <c r="B164" s="7" t="s">
        <v>702</v>
      </c>
      <c r="C164" s="7" t="s">
        <v>7884</v>
      </c>
      <c r="D164" s="7" t="s">
        <v>7885</v>
      </c>
      <c r="E164" s="7" t="n">
        <v>2023</v>
      </c>
      <c r="F164" s="7" t="s">
        <v>6388</v>
      </c>
      <c r="G164" s="7" t="s">
        <v>7886</v>
      </c>
      <c r="H164" s="7" t="s">
        <v>7875</v>
      </c>
      <c r="I164" s="7" t="s">
        <v>7887</v>
      </c>
      <c r="J164" s="7" t="s">
        <v>7888</v>
      </c>
      <c r="K164" s="7" t="s">
        <v>7889</v>
      </c>
      <c r="L164" s="7" t="s">
        <v>7890</v>
      </c>
      <c r="M164" s="7" t="s">
        <v>7891</v>
      </c>
      <c r="N164" s="7"/>
      <c r="O164" s="7" t="s">
        <v>6957</v>
      </c>
      <c r="P164" s="7" t="s">
        <v>7892</v>
      </c>
      <c r="Q164" s="7" t="s">
        <v>6305</v>
      </c>
      <c r="R164" s="7" t="s">
        <v>7893</v>
      </c>
      <c r="S164" s="7"/>
      <c r="T164" s="7"/>
    </row>
    <row r="165" customFormat="false" ht="46.25" hidden="false" customHeight="false" outlineLevel="0" collapsed="false">
      <c r="A165" s="7" t="n">
        <v>59</v>
      </c>
      <c r="B165" s="7" t="s">
        <v>702</v>
      </c>
      <c r="C165" s="7" t="s">
        <v>7894</v>
      </c>
      <c r="D165" s="7" t="s">
        <v>7895</v>
      </c>
      <c r="E165" s="7" t="n">
        <v>2023</v>
      </c>
      <c r="F165" s="7" t="s">
        <v>6388</v>
      </c>
      <c r="G165" s="7" t="s">
        <v>7182</v>
      </c>
      <c r="H165" s="7" t="s">
        <v>7896</v>
      </c>
      <c r="I165" s="7" t="s">
        <v>7897</v>
      </c>
      <c r="J165" s="7" t="s">
        <v>7898</v>
      </c>
      <c r="K165" s="7" t="s">
        <v>7899</v>
      </c>
      <c r="L165" s="7" t="s">
        <v>7182</v>
      </c>
      <c r="M165" s="7" t="s">
        <v>7900</v>
      </c>
      <c r="N165" s="7"/>
      <c r="O165" s="7" t="s">
        <v>7901</v>
      </c>
      <c r="P165" s="7" t="s">
        <v>7902</v>
      </c>
      <c r="Q165" s="7" t="s">
        <v>6305</v>
      </c>
      <c r="R165" s="7" t="s">
        <v>7903</v>
      </c>
      <c r="S165" s="7"/>
      <c r="T165" s="7"/>
    </row>
    <row r="166" customFormat="false" ht="68.65" hidden="false" customHeight="false" outlineLevel="0" collapsed="false">
      <c r="A166" s="7" t="n">
        <v>59</v>
      </c>
      <c r="B166" s="7" t="s">
        <v>702</v>
      </c>
      <c r="C166" s="7" t="s">
        <v>7904</v>
      </c>
      <c r="D166" s="7" t="s">
        <v>7905</v>
      </c>
      <c r="E166" s="7" t="n">
        <v>2020</v>
      </c>
      <c r="F166" s="7" t="s">
        <v>7906</v>
      </c>
      <c r="G166" s="7" t="s">
        <v>7832</v>
      </c>
      <c r="H166" s="7" t="s">
        <v>7907</v>
      </c>
      <c r="I166" s="7" t="s">
        <v>7908</v>
      </c>
      <c r="J166" s="7" t="s">
        <v>7909</v>
      </c>
      <c r="K166" s="7" t="s">
        <v>7910</v>
      </c>
      <c r="L166" s="7" t="s">
        <v>7116</v>
      </c>
      <c r="M166" s="7" t="s">
        <v>7911</v>
      </c>
      <c r="N166" s="7"/>
      <c r="O166" s="7" t="s">
        <v>7912</v>
      </c>
      <c r="P166" s="7" t="s">
        <v>7913</v>
      </c>
      <c r="Q166" s="7" t="s">
        <v>6305</v>
      </c>
      <c r="R166" s="7" t="s">
        <v>7914</v>
      </c>
      <c r="S166" s="7"/>
      <c r="T166" s="7"/>
    </row>
    <row r="167" customFormat="false" ht="35.05" hidden="false" customHeight="false" outlineLevel="0" collapsed="false">
      <c r="A167" s="7" t="n">
        <v>60</v>
      </c>
      <c r="B167" s="7" t="s">
        <v>714</v>
      </c>
      <c r="C167" s="7" t="s">
        <v>7915</v>
      </c>
      <c r="D167" s="7" t="s">
        <v>7916</v>
      </c>
      <c r="E167" s="7" t="n">
        <v>2020</v>
      </c>
      <c r="F167" s="7" t="s">
        <v>6430</v>
      </c>
      <c r="G167" s="7" t="s">
        <v>6753</v>
      </c>
      <c r="H167" s="7" t="s">
        <v>7917</v>
      </c>
      <c r="I167" s="7" t="s">
        <v>6367</v>
      </c>
      <c r="J167" s="7" t="s">
        <v>7918</v>
      </c>
      <c r="K167" s="7" t="s">
        <v>7919</v>
      </c>
      <c r="L167" s="7" t="s">
        <v>6757</v>
      </c>
      <c r="M167" s="7" t="s">
        <v>6758</v>
      </c>
      <c r="N167" s="7"/>
      <c r="O167" s="7" t="s">
        <v>6303</v>
      </c>
      <c r="P167" s="7" t="s">
        <v>6340</v>
      </c>
      <c r="Q167" s="7" t="s">
        <v>6305</v>
      </c>
      <c r="R167" s="7" t="s">
        <v>7920</v>
      </c>
      <c r="S167" s="7"/>
      <c r="T167" s="7" t="s">
        <v>7921</v>
      </c>
    </row>
    <row r="168" customFormat="false" ht="35.05" hidden="false" customHeight="false" outlineLevel="0" collapsed="false">
      <c r="A168" s="7" t="n">
        <v>60</v>
      </c>
      <c r="B168" s="7" t="s">
        <v>714</v>
      </c>
      <c r="C168" s="7" t="s">
        <v>7922</v>
      </c>
      <c r="D168" s="7" t="s">
        <v>7923</v>
      </c>
      <c r="E168" s="7" t="n">
        <v>2025</v>
      </c>
      <c r="F168" s="7" t="s">
        <v>7924</v>
      </c>
      <c r="G168" s="7" t="s">
        <v>6625</v>
      </c>
      <c r="H168" s="7" t="s">
        <v>7769</v>
      </c>
      <c r="I168" s="7" t="s">
        <v>6563</v>
      </c>
      <c r="J168" s="7" t="s">
        <v>7925</v>
      </c>
      <c r="K168" s="7" t="s">
        <v>7926</v>
      </c>
      <c r="L168" s="7" t="s">
        <v>7106</v>
      </c>
      <c r="M168" s="7" t="s">
        <v>7927</v>
      </c>
      <c r="N168" s="7"/>
      <c r="O168" s="7" t="s">
        <v>6303</v>
      </c>
      <c r="P168" s="7" t="s">
        <v>6328</v>
      </c>
      <c r="Q168" s="7" t="s">
        <v>6305</v>
      </c>
      <c r="R168" s="7" t="s">
        <v>7928</v>
      </c>
      <c r="S168" s="7"/>
      <c r="T168" s="7"/>
    </row>
    <row r="169" customFormat="false" ht="46.25" hidden="false" customHeight="false" outlineLevel="0" collapsed="false">
      <c r="A169" s="7" t="n">
        <v>60</v>
      </c>
      <c r="B169" s="7" t="s">
        <v>714</v>
      </c>
      <c r="C169" s="7" t="s">
        <v>7929</v>
      </c>
      <c r="D169" s="7" t="s">
        <v>7930</v>
      </c>
      <c r="E169" s="7" t="n">
        <v>2024</v>
      </c>
      <c r="F169" s="7" t="s">
        <v>6443</v>
      </c>
      <c r="G169" s="7" t="s">
        <v>7931</v>
      </c>
      <c r="H169" s="7" t="s">
        <v>7932</v>
      </c>
      <c r="I169" s="7" t="s">
        <v>6324</v>
      </c>
      <c r="J169" s="7" t="s">
        <v>7933</v>
      </c>
      <c r="K169" s="7" t="s">
        <v>7934</v>
      </c>
      <c r="L169" s="7" t="s">
        <v>7935</v>
      </c>
      <c r="M169" s="7" t="s">
        <v>7936</v>
      </c>
      <c r="N169" s="7"/>
      <c r="O169" s="7" t="s">
        <v>6303</v>
      </c>
      <c r="P169" s="7" t="s">
        <v>6395</v>
      </c>
      <c r="Q169" s="7" t="s">
        <v>6305</v>
      </c>
      <c r="R169" s="7" t="s">
        <v>7937</v>
      </c>
      <c r="S169" s="7" t="s">
        <v>7938</v>
      </c>
      <c r="T169" s="7" t="s">
        <v>7939</v>
      </c>
    </row>
    <row r="170" customFormat="false" ht="35.05" hidden="false" customHeight="false" outlineLevel="0" collapsed="false">
      <c r="A170" s="7" t="n">
        <v>60</v>
      </c>
      <c r="B170" s="7" t="s">
        <v>714</v>
      </c>
      <c r="C170" s="7" t="s">
        <v>7940</v>
      </c>
      <c r="D170" s="7" t="s">
        <v>7941</v>
      </c>
      <c r="E170" s="7" t="n">
        <v>2023</v>
      </c>
      <c r="F170" s="7" t="s">
        <v>6539</v>
      </c>
      <c r="G170" s="7" t="s">
        <v>7942</v>
      </c>
      <c r="H170" s="7" t="s">
        <v>7932</v>
      </c>
      <c r="I170" s="7" t="s">
        <v>6324</v>
      </c>
      <c r="J170" s="7" t="s">
        <v>7943</v>
      </c>
      <c r="K170" s="7" t="s">
        <v>7944</v>
      </c>
      <c r="L170" s="7" t="s">
        <v>7945</v>
      </c>
      <c r="M170" s="7" t="s">
        <v>6653</v>
      </c>
      <c r="N170" s="7"/>
      <c r="O170" s="7" t="s">
        <v>6303</v>
      </c>
      <c r="P170" s="7" t="s">
        <v>6395</v>
      </c>
      <c r="Q170" s="7" t="s">
        <v>6305</v>
      </c>
      <c r="R170" s="7" t="s">
        <v>7946</v>
      </c>
      <c r="S170" s="7" t="s">
        <v>7947</v>
      </c>
      <c r="T170" s="7"/>
    </row>
    <row r="171" customFormat="false" ht="57.45" hidden="false" customHeight="false" outlineLevel="0" collapsed="false">
      <c r="A171" s="7" t="n">
        <v>57</v>
      </c>
      <c r="B171" s="7" t="s">
        <v>681</v>
      </c>
      <c r="C171" s="7" t="s">
        <v>7948</v>
      </c>
      <c r="D171" s="7" t="s">
        <v>7949</v>
      </c>
      <c r="E171" s="7" t="n">
        <v>2020</v>
      </c>
      <c r="F171" s="7" t="s">
        <v>6430</v>
      </c>
      <c r="G171" s="7" t="s">
        <v>6753</v>
      </c>
      <c r="H171" s="7" t="s">
        <v>7950</v>
      </c>
      <c r="I171" s="7" t="s">
        <v>6367</v>
      </c>
      <c r="J171" s="7" t="s">
        <v>7951</v>
      </c>
      <c r="K171" s="7" t="s">
        <v>7952</v>
      </c>
      <c r="L171" s="7" t="s">
        <v>6757</v>
      </c>
      <c r="M171" s="7" t="s">
        <v>7953</v>
      </c>
      <c r="N171" s="7"/>
      <c r="O171" s="7" t="s">
        <v>6303</v>
      </c>
      <c r="P171" s="7" t="s">
        <v>6340</v>
      </c>
      <c r="Q171" s="7" t="s">
        <v>6305</v>
      </c>
      <c r="R171" s="7" t="s">
        <v>7954</v>
      </c>
      <c r="S171" s="7"/>
      <c r="T171" s="7"/>
    </row>
    <row r="172" customFormat="false" ht="68.65" hidden="false" customHeight="false" outlineLevel="0" collapsed="false">
      <c r="A172" s="7" t="n">
        <v>57</v>
      </c>
      <c r="B172" s="7" t="s">
        <v>681</v>
      </c>
      <c r="C172" s="7" t="s">
        <v>7955</v>
      </c>
      <c r="D172" s="7" t="s">
        <v>7956</v>
      </c>
      <c r="E172" s="7" t="n">
        <v>2024</v>
      </c>
      <c r="F172" s="7" t="s">
        <v>7620</v>
      </c>
      <c r="G172" s="7" t="s">
        <v>7957</v>
      </c>
      <c r="H172" s="7" t="s">
        <v>7958</v>
      </c>
      <c r="I172" s="7" t="s">
        <v>7623</v>
      </c>
      <c r="J172" s="7" t="s">
        <v>7959</v>
      </c>
      <c r="K172" s="7" t="s">
        <v>7960</v>
      </c>
      <c r="L172" s="7" t="s">
        <v>6566</v>
      </c>
      <c r="M172" s="7" t="s">
        <v>7961</v>
      </c>
      <c r="N172" s="7"/>
      <c r="O172" s="7" t="s">
        <v>6303</v>
      </c>
      <c r="P172" s="7" t="s">
        <v>6340</v>
      </c>
      <c r="Q172" s="7" t="s">
        <v>6305</v>
      </c>
      <c r="R172" s="7" t="s">
        <v>7962</v>
      </c>
      <c r="S172" s="7"/>
      <c r="T172" s="7" t="s">
        <v>7963</v>
      </c>
    </row>
    <row r="173" customFormat="false" ht="46.25" hidden="false" customHeight="false" outlineLevel="0" collapsed="false">
      <c r="A173" s="7" t="n">
        <v>57</v>
      </c>
      <c r="B173" s="7" t="s">
        <v>681</v>
      </c>
      <c r="C173" s="7" t="s">
        <v>7964</v>
      </c>
      <c r="D173" s="7" t="s">
        <v>7965</v>
      </c>
      <c r="E173" s="7" t="n">
        <v>2025</v>
      </c>
      <c r="F173" s="7" t="s">
        <v>7966</v>
      </c>
      <c r="G173" s="7" t="s">
        <v>7728</v>
      </c>
      <c r="H173" s="7" t="s">
        <v>7967</v>
      </c>
      <c r="I173" s="7" t="s">
        <v>6563</v>
      </c>
      <c r="J173" s="7" t="s">
        <v>7968</v>
      </c>
      <c r="K173" s="7" t="s">
        <v>7969</v>
      </c>
      <c r="L173" s="7" t="s">
        <v>7970</v>
      </c>
      <c r="M173" s="7" t="s">
        <v>7107</v>
      </c>
      <c r="N173" s="7"/>
      <c r="O173" s="7" t="s">
        <v>6303</v>
      </c>
      <c r="P173" s="7" t="s">
        <v>6340</v>
      </c>
      <c r="Q173" s="7" t="s">
        <v>6305</v>
      </c>
      <c r="R173" s="7" t="s">
        <v>7971</v>
      </c>
      <c r="S173" s="7"/>
      <c r="T173" s="7"/>
    </row>
    <row r="174" customFormat="false" ht="23.85" hidden="false" customHeight="false" outlineLevel="0" collapsed="false">
      <c r="A174" s="7" t="n">
        <v>57</v>
      </c>
      <c r="B174" s="7" t="s">
        <v>681</v>
      </c>
      <c r="C174" s="7" t="s">
        <v>7972</v>
      </c>
      <c r="D174" s="7" t="s">
        <v>7973</v>
      </c>
      <c r="E174" s="7" t="n">
        <v>2024</v>
      </c>
      <c r="F174" s="7" t="s">
        <v>7588</v>
      </c>
      <c r="G174" s="7" t="s">
        <v>7974</v>
      </c>
      <c r="H174" s="7" t="s">
        <v>7975</v>
      </c>
      <c r="I174" s="7" t="s">
        <v>6563</v>
      </c>
      <c r="J174" s="7" t="s">
        <v>7976</v>
      </c>
      <c r="K174" s="7" t="s">
        <v>7977</v>
      </c>
      <c r="L174" s="7" t="s">
        <v>7978</v>
      </c>
      <c r="M174" s="7" t="s">
        <v>7979</v>
      </c>
      <c r="N174" s="7"/>
      <c r="O174" s="7" t="s">
        <v>6303</v>
      </c>
      <c r="P174" s="7" t="s">
        <v>6340</v>
      </c>
      <c r="Q174" s="7" t="s">
        <v>6305</v>
      </c>
      <c r="R174" s="7" t="s">
        <v>7605</v>
      </c>
      <c r="S174" s="7"/>
      <c r="T174" s="7"/>
    </row>
    <row r="175" customFormat="false" ht="35.05" hidden="false" customHeight="false" outlineLevel="0" collapsed="false">
      <c r="A175" s="7" t="n">
        <v>57</v>
      </c>
      <c r="B175" s="7" t="s">
        <v>681</v>
      </c>
      <c r="C175" s="7" t="s">
        <v>7980</v>
      </c>
      <c r="D175" s="7" t="s">
        <v>7981</v>
      </c>
      <c r="E175" s="7" t="n">
        <v>2025</v>
      </c>
      <c r="F175" s="7" t="s">
        <v>7982</v>
      </c>
      <c r="G175" s="7" t="s">
        <v>7983</v>
      </c>
      <c r="H175" s="7" t="s">
        <v>7984</v>
      </c>
      <c r="I175" s="7" t="s">
        <v>7985</v>
      </c>
      <c r="J175" s="7" t="s">
        <v>7986</v>
      </c>
      <c r="K175" s="7" t="s">
        <v>7987</v>
      </c>
      <c r="L175" s="7" t="s">
        <v>7988</v>
      </c>
      <c r="M175" s="7" t="s">
        <v>7989</v>
      </c>
      <c r="N175" s="7" t="s">
        <v>7990</v>
      </c>
      <c r="O175" s="7" t="s">
        <v>6303</v>
      </c>
      <c r="P175" s="7" t="s">
        <v>6328</v>
      </c>
      <c r="Q175" s="7" t="s">
        <v>6305</v>
      </c>
      <c r="R175" s="7" t="s">
        <v>7991</v>
      </c>
      <c r="S175" s="7"/>
      <c r="T175" s="7" t="s">
        <v>7992</v>
      </c>
    </row>
    <row r="176" customFormat="false" ht="46.25" hidden="false" customHeight="false" outlineLevel="0" collapsed="false">
      <c r="A176" s="7" t="n">
        <v>57</v>
      </c>
      <c r="B176" s="7" t="s">
        <v>681</v>
      </c>
      <c r="C176" s="7" t="s">
        <v>7993</v>
      </c>
      <c r="D176" s="7" t="s">
        <v>7994</v>
      </c>
      <c r="E176" s="7" t="n">
        <v>2025</v>
      </c>
      <c r="F176" s="7" t="s">
        <v>7982</v>
      </c>
      <c r="G176" s="7" t="s">
        <v>7995</v>
      </c>
      <c r="H176" s="7" t="s">
        <v>7996</v>
      </c>
      <c r="I176" s="7" t="s">
        <v>6324</v>
      </c>
      <c r="J176" s="7" t="s">
        <v>7997</v>
      </c>
      <c r="K176" s="7" t="s">
        <v>7998</v>
      </c>
      <c r="L176" s="7" t="s">
        <v>7999</v>
      </c>
      <c r="M176" s="7" t="s">
        <v>8000</v>
      </c>
      <c r="N176" s="7" t="s">
        <v>8001</v>
      </c>
      <c r="O176" s="7" t="s">
        <v>6303</v>
      </c>
      <c r="P176" s="7" t="s">
        <v>6328</v>
      </c>
      <c r="Q176" s="7" t="s">
        <v>6305</v>
      </c>
      <c r="R176" s="7" t="s">
        <v>8002</v>
      </c>
      <c r="S176" s="7"/>
      <c r="T176" s="7" t="s">
        <v>8003</v>
      </c>
    </row>
    <row r="177" customFormat="false" ht="46.25" hidden="false" customHeight="false" outlineLevel="0" collapsed="false">
      <c r="A177" s="7" t="n">
        <v>56</v>
      </c>
      <c r="B177" s="7" t="s">
        <v>669</v>
      </c>
      <c r="C177" s="7" t="s">
        <v>8004</v>
      </c>
      <c r="D177" s="7" t="s">
        <v>8005</v>
      </c>
      <c r="E177" s="7" t="n">
        <v>2020</v>
      </c>
      <c r="F177" s="7" t="s">
        <v>6430</v>
      </c>
      <c r="G177" s="7" t="s">
        <v>6753</v>
      </c>
      <c r="H177" s="7" t="s">
        <v>8006</v>
      </c>
      <c r="I177" s="7" t="s">
        <v>6367</v>
      </c>
      <c r="J177" s="7" t="s">
        <v>8007</v>
      </c>
      <c r="K177" s="7" t="s">
        <v>8008</v>
      </c>
      <c r="L177" s="7" t="s">
        <v>6757</v>
      </c>
      <c r="M177" s="7" t="s">
        <v>6758</v>
      </c>
      <c r="N177" s="7"/>
      <c r="O177" s="7" t="s">
        <v>6303</v>
      </c>
      <c r="P177" s="7" t="s">
        <v>6340</v>
      </c>
      <c r="Q177" s="7" t="s">
        <v>6305</v>
      </c>
      <c r="R177" s="7" t="s">
        <v>8009</v>
      </c>
      <c r="S177" s="7"/>
      <c r="T177" s="7"/>
    </row>
    <row r="178" customFormat="false" ht="35.05" hidden="false" customHeight="false" outlineLevel="0" collapsed="false">
      <c r="A178" s="7" t="n">
        <v>56</v>
      </c>
      <c r="B178" s="7" t="s">
        <v>669</v>
      </c>
      <c r="C178" s="7" t="s">
        <v>8010</v>
      </c>
      <c r="D178" s="7" t="s">
        <v>8011</v>
      </c>
      <c r="E178" s="7" t="n">
        <v>2026</v>
      </c>
      <c r="F178" s="7" t="s">
        <v>6821</v>
      </c>
      <c r="G178" s="7" t="s">
        <v>8012</v>
      </c>
      <c r="H178" s="7" t="s">
        <v>8013</v>
      </c>
      <c r="I178" s="7" t="s">
        <v>6563</v>
      </c>
      <c r="J178" s="7" t="s">
        <v>8014</v>
      </c>
      <c r="K178" s="7" t="s">
        <v>8015</v>
      </c>
      <c r="L178" s="7" t="s">
        <v>8016</v>
      </c>
      <c r="M178" s="7" t="s">
        <v>8017</v>
      </c>
      <c r="N178" s="7"/>
      <c r="O178" s="7" t="s">
        <v>6303</v>
      </c>
      <c r="P178" s="7" t="s">
        <v>6340</v>
      </c>
      <c r="Q178" s="7" t="s">
        <v>6305</v>
      </c>
      <c r="R178" s="7" t="s">
        <v>8018</v>
      </c>
      <c r="S178" s="7"/>
      <c r="T178" s="7"/>
    </row>
    <row r="179" customFormat="false" ht="46.25" hidden="false" customHeight="false" outlineLevel="0" collapsed="false">
      <c r="A179" s="7" t="n">
        <v>56</v>
      </c>
      <c r="B179" s="7" t="s">
        <v>669</v>
      </c>
      <c r="C179" s="7" t="s">
        <v>8019</v>
      </c>
      <c r="D179" s="7" t="s">
        <v>8020</v>
      </c>
      <c r="E179" s="7" t="n">
        <v>2024</v>
      </c>
      <c r="F179" s="7" t="s">
        <v>7620</v>
      </c>
      <c r="G179" s="7" t="s">
        <v>8021</v>
      </c>
      <c r="H179" s="7" t="s">
        <v>8022</v>
      </c>
      <c r="I179" s="7" t="s">
        <v>7623</v>
      </c>
      <c r="J179" s="7" t="s">
        <v>8023</v>
      </c>
      <c r="K179" s="7" t="s">
        <v>8024</v>
      </c>
      <c r="L179" s="7" t="s">
        <v>8025</v>
      </c>
      <c r="M179" s="7" t="s">
        <v>6653</v>
      </c>
      <c r="N179" s="7"/>
      <c r="O179" s="7" t="s">
        <v>6303</v>
      </c>
      <c r="P179" s="7" t="s">
        <v>6340</v>
      </c>
      <c r="Q179" s="7" t="s">
        <v>6305</v>
      </c>
      <c r="R179" s="7" t="s">
        <v>8026</v>
      </c>
      <c r="S179" s="7"/>
      <c r="T179" s="7"/>
    </row>
    <row r="180" customFormat="false" ht="46.25" hidden="false" customHeight="false" outlineLevel="0" collapsed="false">
      <c r="A180" s="7" t="n">
        <v>56</v>
      </c>
      <c r="B180" s="7" t="s">
        <v>669</v>
      </c>
      <c r="C180" s="7" t="s">
        <v>8027</v>
      </c>
      <c r="D180" s="7" t="s">
        <v>8028</v>
      </c>
      <c r="E180" s="7" t="n">
        <v>2026</v>
      </c>
      <c r="F180" s="7" t="s">
        <v>6539</v>
      </c>
      <c r="G180" s="7" t="s">
        <v>8029</v>
      </c>
      <c r="H180" s="7" t="s">
        <v>8030</v>
      </c>
      <c r="I180" s="7" t="s">
        <v>6324</v>
      </c>
      <c r="J180" s="7" t="s">
        <v>8031</v>
      </c>
      <c r="K180" s="7" t="s">
        <v>8032</v>
      </c>
      <c r="L180" s="7" t="s">
        <v>8033</v>
      </c>
      <c r="M180" s="7" t="s">
        <v>8034</v>
      </c>
      <c r="N180" s="7"/>
      <c r="O180" s="7" t="s">
        <v>6303</v>
      </c>
      <c r="P180" s="7" t="s">
        <v>6395</v>
      </c>
      <c r="Q180" s="7" t="s">
        <v>6305</v>
      </c>
      <c r="R180" s="7" t="s">
        <v>8035</v>
      </c>
      <c r="S180" s="7" t="s">
        <v>8036</v>
      </c>
      <c r="T180" s="7"/>
    </row>
    <row r="181" customFormat="false" ht="46.25" hidden="false" customHeight="false" outlineLevel="0" collapsed="false">
      <c r="A181" s="7" t="n">
        <v>56</v>
      </c>
      <c r="B181" s="7" t="s">
        <v>669</v>
      </c>
      <c r="C181" s="7" t="s">
        <v>8037</v>
      </c>
      <c r="D181" s="7" t="s">
        <v>8038</v>
      </c>
      <c r="E181" s="7" t="n">
        <v>2025</v>
      </c>
      <c r="F181" s="7" t="s">
        <v>8039</v>
      </c>
      <c r="G181" s="7" t="s">
        <v>8040</v>
      </c>
      <c r="H181" s="7" t="s">
        <v>8041</v>
      </c>
      <c r="I181" s="7" t="s">
        <v>8042</v>
      </c>
      <c r="J181" s="7" t="s">
        <v>8043</v>
      </c>
      <c r="K181" s="7" t="s">
        <v>8044</v>
      </c>
      <c r="L181" s="7" t="s">
        <v>8045</v>
      </c>
      <c r="M181" s="7" t="s">
        <v>8046</v>
      </c>
      <c r="N181" s="7"/>
      <c r="O181" s="7" t="s">
        <v>6303</v>
      </c>
      <c r="P181" s="7" t="s">
        <v>6340</v>
      </c>
      <c r="Q181" s="7" t="s">
        <v>6305</v>
      </c>
      <c r="R181" s="7" t="s">
        <v>8047</v>
      </c>
      <c r="S181" s="7"/>
      <c r="T181" s="7" t="s">
        <v>8048</v>
      </c>
    </row>
    <row r="182" customFormat="false" ht="35.05" hidden="false" customHeight="false" outlineLevel="0" collapsed="false">
      <c r="A182" s="7" t="n">
        <v>56</v>
      </c>
      <c r="B182" s="7" t="s">
        <v>669</v>
      </c>
      <c r="C182" s="7" t="s">
        <v>8049</v>
      </c>
      <c r="D182" s="7" t="s">
        <v>8050</v>
      </c>
      <c r="E182" s="7" t="n">
        <v>2026</v>
      </c>
      <c r="F182" s="7" t="s">
        <v>8051</v>
      </c>
      <c r="G182" s="7" t="s">
        <v>8052</v>
      </c>
      <c r="H182" s="7" t="s">
        <v>8053</v>
      </c>
      <c r="I182" s="7" t="s">
        <v>8054</v>
      </c>
      <c r="J182" s="7" t="s">
        <v>8055</v>
      </c>
      <c r="K182" s="7" t="s">
        <v>8056</v>
      </c>
      <c r="L182" s="7" t="s">
        <v>8057</v>
      </c>
      <c r="M182" s="7" t="s">
        <v>7039</v>
      </c>
      <c r="N182" s="7" t="s">
        <v>8058</v>
      </c>
      <c r="O182" s="7" t="s">
        <v>6303</v>
      </c>
      <c r="P182" s="7" t="s">
        <v>6340</v>
      </c>
      <c r="Q182" s="7" t="s">
        <v>6305</v>
      </c>
      <c r="R182" s="7" t="s">
        <v>8059</v>
      </c>
      <c r="S182" s="7"/>
      <c r="T182" s="7"/>
    </row>
    <row r="183" customFormat="false" ht="57.45" hidden="false" customHeight="false" outlineLevel="0" collapsed="false">
      <c r="A183" s="7" t="n">
        <v>76</v>
      </c>
      <c r="B183" s="7" t="s">
        <v>868</v>
      </c>
      <c r="C183" s="7" t="s">
        <v>8060</v>
      </c>
      <c r="D183" s="7" t="s">
        <v>8061</v>
      </c>
      <c r="E183" s="7" t="n">
        <v>2022</v>
      </c>
      <c r="F183" s="7" t="s">
        <v>6430</v>
      </c>
      <c r="G183" s="7" t="s">
        <v>8062</v>
      </c>
      <c r="H183" s="7" t="s">
        <v>8063</v>
      </c>
      <c r="I183" s="7" t="s">
        <v>6367</v>
      </c>
      <c r="J183" s="7" t="s">
        <v>8064</v>
      </c>
      <c r="K183" s="7" t="s">
        <v>8065</v>
      </c>
      <c r="L183" s="7" t="s">
        <v>8066</v>
      </c>
      <c r="M183" s="7" t="s">
        <v>8067</v>
      </c>
      <c r="N183" s="7"/>
      <c r="O183" s="7" t="s">
        <v>6303</v>
      </c>
      <c r="P183" s="7" t="s">
        <v>6643</v>
      </c>
      <c r="Q183" s="7" t="s">
        <v>6305</v>
      </c>
      <c r="R183" s="7" t="s">
        <v>8068</v>
      </c>
      <c r="S183" s="7"/>
      <c r="T183" s="7"/>
    </row>
    <row r="184" customFormat="false" ht="35.05" hidden="false" customHeight="false" outlineLevel="0" collapsed="false">
      <c r="A184" s="7" t="n">
        <v>76</v>
      </c>
      <c r="B184" s="7" t="s">
        <v>868</v>
      </c>
      <c r="C184" s="7" t="s">
        <v>8069</v>
      </c>
      <c r="D184" s="7" t="s">
        <v>8070</v>
      </c>
      <c r="E184" s="7" t="n">
        <v>2022</v>
      </c>
      <c r="F184" s="7" t="s">
        <v>8071</v>
      </c>
      <c r="G184" s="7" t="s">
        <v>8072</v>
      </c>
      <c r="H184" s="7" t="s">
        <v>6366</v>
      </c>
      <c r="I184" s="7" t="s">
        <v>6367</v>
      </c>
      <c r="J184" s="7" t="s">
        <v>8073</v>
      </c>
      <c r="K184" s="7" t="s">
        <v>8074</v>
      </c>
      <c r="L184" s="7" t="s">
        <v>6757</v>
      </c>
      <c r="M184" s="7" t="s">
        <v>6758</v>
      </c>
      <c r="N184" s="7"/>
      <c r="O184" s="7" t="s">
        <v>6303</v>
      </c>
      <c r="P184" s="7" t="s">
        <v>6340</v>
      </c>
      <c r="Q184" s="7" t="s">
        <v>6305</v>
      </c>
      <c r="R184" s="7" t="s">
        <v>8075</v>
      </c>
      <c r="S184" s="7"/>
      <c r="T184" s="7"/>
    </row>
    <row r="185" customFormat="false" ht="46.25" hidden="false" customHeight="false" outlineLevel="0" collapsed="false">
      <c r="A185" s="7" t="n">
        <v>76</v>
      </c>
      <c r="B185" s="7" t="s">
        <v>868</v>
      </c>
      <c r="C185" s="7" t="s">
        <v>8076</v>
      </c>
      <c r="D185" s="7" t="s">
        <v>8077</v>
      </c>
      <c r="E185" s="7" t="n">
        <v>2023</v>
      </c>
      <c r="F185" s="7" t="s">
        <v>6388</v>
      </c>
      <c r="G185" s="7" t="s">
        <v>8078</v>
      </c>
      <c r="H185" s="7" t="s">
        <v>8079</v>
      </c>
      <c r="I185" s="7" t="s">
        <v>7716</v>
      </c>
      <c r="J185" s="7" t="s">
        <v>8080</v>
      </c>
      <c r="K185" s="7" t="s">
        <v>8081</v>
      </c>
      <c r="L185" s="7" t="s">
        <v>8082</v>
      </c>
      <c r="M185" s="7" t="s">
        <v>8083</v>
      </c>
      <c r="N185" s="7"/>
      <c r="O185" s="7" t="s">
        <v>6303</v>
      </c>
      <c r="P185" s="7" t="s">
        <v>6328</v>
      </c>
      <c r="Q185" s="7" t="s">
        <v>6305</v>
      </c>
      <c r="R185" s="7" t="s">
        <v>8084</v>
      </c>
      <c r="S185" s="7"/>
      <c r="T185" s="7"/>
    </row>
    <row r="186" customFormat="false" ht="46.25" hidden="false" customHeight="false" outlineLevel="0" collapsed="false">
      <c r="A186" s="7" t="n">
        <v>76</v>
      </c>
      <c r="B186" s="7" t="s">
        <v>868</v>
      </c>
      <c r="C186" s="7" t="s">
        <v>8085</v>
      </c>
      <c r="D186" s="7" t="s">
        <v>8086</v>
      </c>
      <c r="E186" s="7" t="n">
        <v>2023</v>
      </c>
      <c r="F186" s="7" t="s">
        <v>8087</v>
      </c>
      <c r="G186" s="7" t="s">
        <v>8088</v>
      </c>
      <c r="H186" s="7" t="s">
        <v>8089</v>
      </c>
      <c r="I186" s="7" t="s">
        <v>8090</v>
      </c>
      <c r="J186" s="7" t="s">
        <v>8091</v>
      </c>
      <c r="K186" s="7" t="s">
        <v>8092</v>
      </c>
      <c r="L186" s="7" t="s">
        <v>8082</v>
      </c>
      <c r="M186" s="7" t="s">
        <v>8083</v>
      </c>
      <c r="N186" s="7"/>
      <c r="O186" s="7" t="s">
        <v>6303</v>
      </c>
      <c r="P186" s="7" t="s">
        <v>6328</v>
      </c>
      <c r="Q186" s="7" t="s">
        <v>6305</v>
      </c>
      <c r="R186" s="7" t="s">
        <v>8093</v>
      </c>
      <c r="S186" s="7" t="s">
        <v>8094</v>
      </c>
      <c r="T186" s="7"/>
    </row>
    <row r="187" customFormat="false" ht="35.05" hidden="false" customHeight="false" outlineLevel="0" collapsed="false">
      <c r="A187" s="7" t="n">
        <v>76</v>
      </c>
      <c r="B187" s="7" t="s">
        <v>868</v>
      </c>
      <c r="C187" s="7" t="s">
        <v>8095</v>
      </c>
      <c r="D187" s="7" t="s">
        <v>8096</v>
      </c>
      <c r="E187" s="7" t="n">
        <v>2023</v>
      </c>
      <c r="F187" s="7" t="s">
        <v>8097</v>
      </c>
      <c r="G187" s="7" t="s">
        <v>8098</v>
      </c>
      <c r="H187" s="7" t="s">
        <v>8099</v>
      </c>
      <c r="I187" s="7" t="s">
        <v>8090</v>
      </c>
      <c r="J187" s="7" t="s">
        <v>8100</v>
      </c>
      <c r="K187" s="7" t="s">
        <v>8101</v>
      </c>
      <c r="L187" s="7" t="s">
        <v>8082</v>
      </c>
      <c r="M187" s="7" t="s">
        <v>7710</v>
      </c>
      <c r="N187" s="7" t="s">
        <v>8102</v>
      </c>
      <c r="O187" s="7" t="s">
        <v>6303</v>
      </c>
      <c r="P187" s="7" t="s">
        <v>6328</v>
      </c>
      <c r="Q187" s="7" t="s">
        <v>6305</v>
      </c>
      <c r="R187" s="7" t="s">
        <v>8103</v>
      </c>
      <c r="S187" s="7"/>
      <c r="T187" s="7"/>
    </row>
    <row r="188" customFormat="false" ht="35.05" hidden="false" customHeight="false" outlineLevel="0" collapsed="false">
      <c r="A188" s="7" t="n">
        <v>76</v>
      </c>
      <c r="B188" s="7" t="s">
        <v>868</v>
      </c>
      <c r="C188" s="7" t="s">
        <v>8104</v>
      </c>
      <c r="D188" s="7" t="s">
        <v>8105</v>
      </c>
      <c r="E188" s="7" t="n">
        <v>2025</v>
      </c>
      <c r="F188" s="7" t="s">
        <v>7982</v>
      </c>
      <c r="G188" s="7" t="s">
        <v>8106</v>
      </c>
      <c r="H188" s="7" t="s">
        <v>8107</v>
      </c>
      <c r="I188" s="7" t="s">
        <v>8108</v>
      </c>
      <c r="J188" s="7" t="s">
        <v>8109</v>
      </c>
      <c r="K188" s="7" t="s">
        <v>8110</v>
      </c>
      <c r="L188" s="7" t="s">
        <v>8111</v>
      </c>
      <c r="M188" s="7" t="s">
        <v>8112</v>
      </c>
      <c r="N188" s="7" t="s">
        <v>8113</v>
      </c>
      <c r="O188" s="7" t="s">
        <v>6303</v>
      </c>
      <c r="P188" s="7" t="s">
        <v>6328</v>
      </c>
      <c r="Q188" s="7" t="s">
        <v>6305</v>
      </c>
      <c r="R188" s="7" t="s">
        <v>8114</v>
      </c>
      <c r="S188" s="7"/>
      <c r="T188" s="7"/>
    </row>
    <row r="189" customFormat="false" ht="46.25" hidden="false" customHeight="false" outlineLevel="0" collapsed="false">
      <c r="A189" s="7" t="n">
        <v>76</v>
      </c>
      <c r="B189" s="7" t="s">
        <v>868</v>
      </c>
      <c r="C189" s="7" t="s">
        <v>8115</v>
      </c>
      <c r="D189" s="7" t="s">
        <v>8116</v>
      </c>
      <c r="E189" s="7" t="n">
        <v>2025</v>
      </c>
      <c r="F189" s="7" t="s">
        <v>7416</v>
      </c>
      <c r="G189" s="7" t="s">
        <v>7417</v>
      </c>
      <c r="H189" s="7" t="s">
        <v>8117</v>
      </c>
      <c r="I189" s="7" t="s">
        <v>6563</v>
      </c>
      <c r="J189" s="7" t="s">
        <v>8118</v>
      </c>
      <c r="K189" s="7" t="s">
        <v>8119</v>
      </c>
      <c r="L189" s="7" t="s">
        <v>7106</v>
      </c>
      <c r="M189" s="7" t="s">
        <v>8120</v>
      </c>
      <c r="N189" s="7"/>
      <c r="O189" s="7" t="s">
        <v>6303</v>
      </c>
      <c r="P189" s="7" t="s">
        <v>6416</v>
      </c>
      <c r="Q189" s="7" t="s">
        <v>6305</v>
      </c>
      <c r="R189" s="7" t="s">
        <v>7422</v>
      </c>
      <c r="S189" s="7"/>
      <c r="T189" s="7"/>
    </row>
    <row r="190" customFormat="false" ht="57.45" hidden="false" customHeight="false" outlineLevel="0" collapsed="false">
      <c r="A190" s="7" t="n">
        <v>68</v>
      </c>
      <c r="B190" s="7" t="s">
        <v>794</v>
      </c>
      <c r="C190" s="7" t="s">
        <v>8121</v>
      </c>
      <c r="D190" s="7" t="s">
        <v>8122</v>
      </c>
      <c r="E190" s="7" t="n">
        <v>2021</v>
      </c>
      <c r="F190" s="7" t="s">
        <v>6430</v>
      </c>
      <c r="G190" s="7" t="s">
        <v>8123</v>
      </c>
      <c r="H190" s="7" t="s">
        <v>8124</v>
      </c>
      <c r="I190" s="7" t="s">
        <v>6367</v>
      </c>
      <c r="J190" s="7" t="s">
        <v>8125</v>
      </c>
      <c r="K190" s="7" t="s">
        <v>8126</v>
      </c>
      <c r="L190" s="7" t="s">
        <v>6757</v>
      </c>
      <c r="M190" s="7" t="s">
        <v>8127</v>
      </c>
      <c r="N190" s="7"/>
      <c r="O190" s="7" t="s">
        <v>6303</v>
      </c>
      <c r="P190" s="7" t="s">
        <v>8128</v>
      </c>
      <c r="Q190" s="7" t="s">
        <v>6305</v>
      </c>
      <c r="R190" s="7" t="s">
        <v>8129</v>
      </c>
      <c r="S190" s="7" t="s">
        <v>8130</v>
      </c>
      <c r="T190" s="7"/>
    </row>
    <row r="191" customFormat="false" ht="35.05" hidden="false" customHeight="false" outlineLevel="0" collapsed="false">
      <c r="A191" s="7" t="n">
        <v>68</v>
      </c>
      <c r="B191" s="7" t="s">
        <v>794</v>
      </c>
      <c r="C191" s="7" t="s">
        <v>8131</v>
      </c>
      <c r="D191" s="7" t="s">
        <v>8132</v>
      </c>
      <c r="E191" s="7" t="n">
        <v>2020</v>
      </c>
      <c r="F191" s="7" t="s">
        <v>6388</v>
      </c>
      <c r="G191" s="7" t="s">
        <v>8133</v>
      </c>
      <c r="H191" s="7" t="s">
        <v>8134</v>
      </c>
      <c r="I191" s="7" t="s">
        <v>6335</v>
      </c>
      <c r="J191" s="7" t="s">
        <v>8135</v>
      </c>
      <c r="K191" s="7" t="s">
        <v>8136</v>
      </c>
      <c r="L191" s="7" t="s">
        <v>8137</v>
      </c>
      <c r="M191" s="7" t="s">
        <v>8138</v>
      </c>
      <c r="N191" s="7"/>
      <c r="O191" s="7" t="s">
        <v>6303</v>
      </c>
      <c r="P191" s="7" t="s">
        <v>6395</v>
      </c>
      <c r="Q191" s="7" t="s">
        <v>6305</v>
      </c>
      <c r="R191" s="7" t="s">
        <v>8139</v>
      </c>
      <c r="S191" s="7" t="s">
        <v>8140</v>
      </c>
      <c r="T191" s="7"/>
    </row>
    <row r="192" customFormat="false" ht="46.25" hidden="false" customHeight="false" outlineLevel="0" collapsed="false">
      <c r="A192" s="7" t="n">
        <v>68</v>
      </c>
      <c r="B192" s="7" t="s">
        <v>794</v>
      </c>
      <c r="C192" s="7" t="s">
        <v>8141</v>
      </c>
      <c r="D192" s="7" t="s">
        <v>8142</v>
      </c>
      <c r="E192" s="7" t="n">
        <v>2026</v>
      </c>
      <c r="F192" s="7" t="s">
        <v>6388</v>
      </c>
      <c r="G192" s="7" t="s">
        <v>8143</v>
      </c>
      <c r="H192" s="7" t="s">
        <v>8144</v>
      </c>
      <c r="I192" s="7" t="s">
        <v>8145</v>
      </c>
      <c r="J192" s="7" t="s">
        <v>8146</v>
      </c>
      <c r="K192" s="7" t="s">
        <v>8147</v>
      </c>
      <c r="L192" s="7" t="s">
        <v>8148</v>
      </c>
      <c r="M192" s="7" t="s">
        <v>8149</v>
      </c>
      <c r="N192" s="7"/>
      <c r="O192" s="7" t="s">
        <v>6463</v>
      </c>
      <c r="P192" s="7" t="s">
        <v>6328</v>
      </c>
      <c r="Q192" s="7" t="s">
        <v>6305</v>
      </c>
      <c r="R192" s="7" t="s">
        <v>8150</v>
      </c>
      <c r="S192" s="7" t="s">
        <v>8151</v>
      </c>
      <c r="T192" s="7"/>
    </row>
    <row r="193" customFormat="false" ht="46.25" hidden="false" customHeight="false" outlineLevel="0" collapsed="false">
      <c r="A193" s="7" t="n">
        <v>68</v>
      </c>
      <c r="B193" s="7" t="s">
        <v>794</v>
      </c>
      <c r="C193" s="7" t="s">
        <v>8152</v>
      </c>
      <c r="D193" s="7" t="s">
        <v>8153</v>
      </c>
      <c r="E193" s="7" t="n">
        <v>2022</v>
      </c>
      <c r="F193" s="7" t="s">
        <v>8154</v>
      </c>
      <c r="G193" s="7" t="s">
        <v>8155</v>
      </c>
      <c r="H193" s="7" t="s">
        <v>8156</v>
      </c>
      <c r="I193" s="7" t="s">
        <v>8145</v>
      </c>
      <c r="J193" s="7" t="s">
        <v>8157</v>
      </c>
      <c r="K193" s="7" t="s">
        <v>8158</v>
      </c>
      <c r="L193" s="7" t="s">
        <v>8159</v>
      </c>
      <c r="M193" s="7" t="s">
        <v>8160</v>
      </c>
      <c r="N193" s="7"/>
      <c r="O193" s="7" t="s">
        <v>6303</v>
      </c>
      <c r="P193" s="7" t="s">
        <v>6340</v>
      </c>
      <c r="Q193" s="7" t="s">
        <v>6305</v>
      </c>
      <c r="R193" s="7" t="s">
        <v>8161</v>
      </c>
      <c r="S193" s="7"/>
      <c r="T193" s="7" t="s">
        <v>8162</v>
      </c>
    </row>
    <row r="194" customFormat="false" ht="46.25" hidden="false" customHeight="false" outlineLevel="0" collapsed="false">
      <c r="A194" s="7" t="n">
        <v>68</v>
      </c>
      <c r="B194" s="7" t="s">
        <v>794</v>
      </c>
      <c r="C194" s="7" t="s">
        <v>8163</v>
      </c>
      <c r="D194" s="7" t="s">
        <v>8164</v>
      </c>
      <c r="E194" s="7" t="n">
        <v>2020</v>
      </c>
      <c r="F194" s="7" t="s">
        <v>7447</v>
      </c>
      <c r="G194" s="7" t="s">
        <v>8165</v>
      </c>
      <c r="H194" s="7" t="s">
        <v>8166</v>
      </c>
      <c r="I194" s="7" t="s">
        <v>8145</v>
      </c>
      <c r="J194" s="7" t="s">
        <v>8167</v>
      </c>
      <c r="K194" s="7" t="s">
        <v>8168</v>
      </c>
      <c r="L194" s="7" t="s">
        <v>8169</v>
      </c>
      <c r="M194" s="7" t="s">
        <v>8170</v>
      </c>
      <c r="N194" s="7"/>
      <c r="O194" s="7" t="s">
        <v>6303</v>
      </c>
      <c r="P194" s="7" t="s">
        <v>6328</v>
      </c>
      <c r="Q194" s="7" t="s">
        <v>6305</v>
      </c>
      <c r="R194" s="7" t="s">
        <v>8171</v>
      </c>
      <c r="S194" s="7" t="s">
        <v>8172</v>
      </c>
      <c r="T194" s="7"/>
    </row>
    <row r="195" customFormat="false" ht="35.05" hidden="false" customHeight="false" outlineLevel="0" collapsed="false">
      <c r="A195" s="7" t="n">
        <v>68</v>
      </c>
      <c r="B195" s="7" t="s">
        <v>794</v>
      </c>
      <c r="C195" s="7" t="s">
        <v>8173</v>
      </c>
      <c r="D195" s="7" t="s">
        <v>8174</v>
      </c>
      <c r="E195" s="7" t="n">
        <v>2021</v>
      </c>
      <c r="F195" s="7" t="s">
        <v>6676</v>
      </c>
      <c r="G195" s="7" t="s">
        <v>7468</v>
      </c>
      <c r="H195" s="7" t="s">
        <v>8175</v>
      </c>
      <c r="I195" s="7" t="s">
        <v>8176</v>
      </c>
      <c r="J195" s="7" t="s">
        <v>8177</v>
      </c>
      <c r="K195" s="7" t="s">
        <v>8178</v>
      </c>
      <c r="L195" s="7" t="s">
        <v>8179</v>
      </c>
      <c r="M195" s="7" t="s">
        <v>8180</v>
      </c>
      <c r="N195" s="7"/>
      <c r="O195" s="7" t="s">
        <v>6303</v>
      </c>
      <c r="P195" s="7" t="s">
        <v>6328</v>
      </c>
      <c r="Q195" s="7" t="s">
        <v>6305</v>
      </c>
      <c r="R195" s="7" t="s">
        <v>8181</v>
      </c>
      <c r="S195" s="7"/>
      <c r="T195" s="7"/>
    </row>
    <row r="196" customFormat="false" ht="46.25" hidden="false" customHeight="false" outlineLevel="0" collapsed="false">
      <c r="A196" s="7" t="n">
        <v>68</v>
      </c>
      <c r="B196" s="7" t="s">
        <v>794</v>
      </c>
      <c r="C196" s="7" t="s">
        <v>8182</v>
      </c>
      <c r="D196" s="7" t="s">
        <v>8183</v>
      </c>
      <c r="E196" s="7" t="n">
        <v>2017</v>
      </c>
      <c r="F196" s="7" t="s">
        <v>8154</v>
      </c>
      <c r="G196" s="7" t="s">
        <v>8184</v>
      </c>
      <c r="H196" s="7" t="s">
        <v>8185</v>
      </c>
      <c r="I196" s="7" t="s">
        <v>8176</v>
      </c>
      <c r="J196" s="7" t="s">
        <v>8186</v>
      </c>
      <c r="K196" s="7" t="s">
        <v>8187</v>
      </c>
      <c r="L196" s="7" t="s">
        <v>8188</v>
      </c>
      <c r="M196" s="7" t="s">
        <v>8189</v>
      </c>
      <c r="N196" s="7"/>
      <c r="O196" s="7" t="s">
        <v>6303</v>
      </c>
      <c r="P196" s="7" t="s">
        <v>6328</v>
      </c>
      <c r="Q196" s="7" t="s">
        <v>6305</v>
      </c>
      <c r="R196" s="7" t="s">
        <v>8190</v>
      </c>
      <c r="S196" s="7"/>
      <c r="T196" s="7"/>
    </row>
    <row r="197" customFormat="false" ht="35.05" hidden="false" customHeight="false" outlineLevel="0" collapsed="false">
      <c r="A197" s="7" t="n">
        <v>64</v>
      </c>
      <c r="B197" s="7" t="s">
        <v>755</v>
      </c>
      <c r="C197" s="7" t="s">
        <v>8191</v>
      </c>
      <c r="D197" s="7" t="s">
        <v>8192</v>
      </c>
      <c r="E197" s="7" t="n">
        <v>2021</v>
      </c>
      <c r="F197" s="7" t="s">
        <v>6430</v>
      </c>
      <c r="G197" s="7" t="s">
        <v>6753</v>
      </c>
      <c r="H197" s="7" t="s">
        <v>8193</v>
      </c>
      <c r="I197" s="7" t="s">
        <v>6367</v>
      </c>
      <c r="J197" s="7" t="s">
        <v>8194</v>
      </c>
      <c r="K197" s="7" t="s">
        <v>8195</v>
      </c>
      <c r="L197" s="7" t="s">
        <v>6757</v>
      </c>
      <c r="M197" s="7" t="s">
        <v>6758</v>
      </c>
      <c r="N197" s="7"/>
      <c r="O197" s="7" t="s">
        <v>6303</v>
      </c>
      <c r="P197" s="7" t="s">
        <v>6340</v>
      </c>
      <c r="Q197" s="7" t="s">
        <v>6305</v>
      </c>
      <c r="R197" s="7" t="s">
        <v>8196</v>
      </c>
      <c r="S197" s="7"/>
      <c r="T197" s="7" t="s">
        <v>8197</v>
      </c>
    </row>
    <row r="198" customFormat="false" ht="35.05" hidden="false" customHeight="false" outlineLevel="0" collapsed="false">
      <c r="A198" s="7" t="n">
        <v>64</v>
      </c>
      <c r="B198" s="7" t="s">
        <v>755</v>
      </c>
      <c r="C198" s="7" t="s">
        <v>8198</v>
      </c>
      <c r="D198" s="7" t="s">
        <v>8199</v>
      </c>
      <c r="E198" s="7" t="n">
        <v>2025</v>
      </c>
      <c r="F198" s="7" t="s">
        <v>8200</v>
      </c>
      <c r="G198" s="7" t="s">
        <v>6653</v>
      </c>
      <c r="H198" s="7" t="s">
        <v>8201</v>
      </c>
      <c r="I198" s="7" t="s">
        <v>8202</v>
      </c>
      <c r="J198" s="7" t="s">
        <v>8203</v>
      </c>
      <c r="K198" s="7" t="s">
        <v>8204</v>
      </c>
      <c r="L198" s="7" t="s">
        <v>8205</v>
      </c>
      <c r="M198" s="7" t="s">
        <v>8206</v>
      </c>
      <c r="N198" s="7"/>
      <c r="O198" s="7" t="s">
        <v>6303</v>
      </c>
      <c r="P198" s="7" t="s">
        <v>8207</v>
      </c>
      <c r="Q198" s="7" t="s">
        <v>6305</v>
      </c>
      <c r="R198" s="7" t="s">
        <v>8208</v>
      </c>
      <c r="S198" s="7"/>
      <c r="T198" s="7"/>
    </row>
    <row r="199" customFormat="false" ht="57.45" hidden="false" customHeight="false" outlineLevel="0" collapsed="false">
      <c r="A199" s="7" t="n">
        <v>64</v>
      </c>
      <c r="B199" s="7" t="s">
        <v>755</v>
      </c>
      <c r="C199" s="7" t="s">
        <v>8209</v>
      </c>
      <c r="D199" s="7" t="s">
        <v>8210</v>
      </c>
      <c r="E199" s="7" t="n">
        <v>2026</v>
      </c>
      <c r="F199" s="7" t="s">
        <v>8211</v>
      </c>
      <c r="G199" s="7" t="s">
        <v>8212</v>
      </c>
      <c r="H199" s="7" t="s">
        <v>6833</v>
      </c>
      <c r="I199" s="7" t="s">
        <v>6563</v>
      </c>
      <c r="J199" s="7" t="s">
        <v>8213</v>
      </c>
      <c r="K199" s="7" t="s">
        <v>8214</v>
      </c>
      <c r="L199" s="7" t="s">
        <v>7106</v>
      </c>
      <c r="M199" s="7" t="s">
        <v>8215</v>
      </c>
      <c r="N199" s="7"/>
      <c r="O199" s="7" t="s">
        <v>6303</v>
      </c>
      <c r="P199" s="7" t="s">
        <v>8216</v>
      </c>
      <c r="Q199" s="7" t="s">
        <v>6305</v>
      </c>
      <c r="R199" s="7" t="s">
        <v>8217</v>
      </c>
      <c r="S199" s="7"/>
      <c r="T199" s="7" t="s">
        <v>8218</v>
      </c>
    </row>
    <row r="200" customFormat="false" ht="46.25" hidden="false" customHeight="false" outlineLevel="0" collapsed="false">
      <c r="A200" s="7" t="n">
        <v>64</v>
      </c>
      <c r="B200" s="7" t="s">
        <v>755</v>
      </c>
      <c r="C200" s="7" t="s">
        <v>8219</v>
      </c>
      <c r="D200" s="7" t="s">
        <v>8220</v>
      </c>
      <c r="E200" s="7" t="n">
        <v>2022</v>
      </c>
      <c r="F200" s="7" t="s">
        <v>8221</v>
      </c>
      <c r="G200" s="7" t="s">
        <v>8222</v>
      </c>
      <c r="H200" s="7" t="s">
        <v>8223</v>
      </c>
      <c r="I200" s="7" t="s">
        <v>7716</v>
      </c>
      <c r="J200" s="7" t="s">
        <v>8224</v>
      </c>
      <c r="K200" s="7" t="s">
        <v>8225</v>
      </c>
      <c r="L200" s="7" t="s">
        <v>8226</v>
      </c>
      <c r="M200" s="7" t="s">
        <v>8227</v>
      </c>
      <c r="N200" s="7" t="s">
        <v>8228</v>
      </c>
      <c r="O200" s="7" t="s">
        <v>6303</v>
      </c>
      <c r="P200" s="7" t="s">
        <v>8216</v>
      </c>
      <c r="Q200" s="7" t="s">
        <v>6305</v>
      </c>
      <c r="R200" s="7" t="s">
        <v>8229</v>
      </c>
      <c r="S200" s="7"/>
      <c r="T200" s="7" t="s">
        <v>8230</v>
      </c>
    </row>
  </sheetData>
  <autoFilter ref="A1:T20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8231</v>
      </c>
    </row>
    <row r="2" customFormat="false" ht="15" hidden="false" customHeight="false" outlineLevel="0" collapsed="false">
      <c r="A2" s="9"/>
    </row>
    <row r="3" customFormat="false" ht="15" hidden="false" customHeight="false" outlineLevel="0" collapsed="false">
      <c r="A3" s="8" t="s">
        <v>8232</v>
      </c>
    </row>
    <row r="4" customFormat="false" ht="15" hidden="false" customHeight="false" outlineLevel="0" collapsed="false">
      <c r="A4" s="9" t="s">
        <v>8233</v>
      </c>
    </row>
    <row r="5" customFormat="false" ht="57.45" hidden="false" customHeight="false" outlineLevel="0" collapsed="false">
      <c r="A5" s="9" t="s">
        <v>8234</v>
      </c>
    </row>
    <row r="6" customFormat="false" ht="15" hidden="false" customHeight="false" outlineLevel="0" collapsed="false">
      <c r="A6" s="9" t="s">
        <v>8235</v>
      </c>
    </row>
    <row r="7" customFormat="false" ht="15" hidden="false" customHeight="false" outlineLevel="0" collapsed="false">
      <c r="A7" s="9" t="s">
        <v>8236</v>
      </c>
    </row>
    <row r="8" customFormat="false" ht="15" hidden="false" customHeight="false" outlineLevel="0" collapsed="false">
      <c r="A8" s="9"/>
    </row>
    <row r="9" customFormat="false" ht="15" hidden="false" customHeight="false" outlineLevel="0" collapsed="false">
      <c r="A9" s="8" t="s">
        <v>8237</v>
      </c>
    </row>
    <row r="10" customFormat="false" ht="23.85" hidden="false" customHeight="false" outlineLevel="0" collapsed="false">
      <c r="A10" s="9" t="s">
        <v>8238</v>
      </c>
    </row>
    <row r="11" customFormat="false" ht="15" hidden="false" customHeight="false" outlineLevel="0" collapsed="false">
      <c r="A11" s="9"/>
    </row>
    <row r="12" customFormat="false" ht="15" hidden="false" customHeight="false" outlineLevel="0" collapsed="false">
      <c r="A12" s="8" t="s">
        <v>8239</v>
      </c>
    </row>
    <row r="13" customFormat="false" ht="15" hidden="false" customHeight="false" outlineLevel="0" collapsed="false">
      <c r="A13" s="9" t="s">
        <v>8240</v>
      </c>
    </row>
    <row r="14" customFormat="false" ht="23.85" hidden="false" customHeight="false" outlineLevel="0" collapsed="false">
      <c r="A14" s="9" t="s">
        <v>8241</v>
      </c>
    </row>
    <row r="15" customFormat="false" ht="15" hidden="false" customHeight="false" outlineLevel="0" collapsed="false">
      <c r="A15" s="9" t="s">
        <v>8242</v>
      </c>
    </row>
    <row r="16" customFormat="false" ht="15" hidden="false" customHeight="false" outlineLevel="0" collapsed="false">
      <c r="A16" s="9" t="s">
        <v>8243</v>
      </c>
    </row>
    <row r="17" customFormat="false" ht="15" hidden="false" customHeight="false" outlineLevel="0" collapsed="false">
      <c r="A17" s="9"/>
    </row>
    <row r="18" customFormat="false" ht="15" hidden="false" customHeight="false" outlineLevel="0" collapsed="false">
      <c r="A18" s="8" t="s">
        <v>8244</v>
      </c>
    </row>
    <row r="19" customFormat="false" ht="15" hidden="false" customHeight="false" outlineLevel="0" collapsed="false">
      <c r="A19" s="9" t="s">
        <v>8245</v>
      </c>
    </row>
    <row r="20" customFormat="false" ht="15" hidden="false" customHeight="false" outlineLevel="0" collapsed="false">
      <c r="A20" s="9"/>
    </row>
    <row r="21" customFormat="false" ht="15" hidden="false" customHeight="false" outlineLevel="0" collapsed="false">
      <c r="A21" s="9" t="s">
        <v>8246</v>
      </c>
    </row>
    <row r="22" customFormat="false" ht="15" hidden="false" customHeight="false" outlineLevel="0" collapsed="false">
      <c r="A22" s="9" t="s">
        <v>8247</v>
      </c>
    </row>
    <row r="23" customFormat="false" ht="15" hidden="false" customHeight="false" outlineLevel="0" collapsed="false">
      <c r="A23" s="9" t="s">
        <v>8248</v>
      </c>
    </row>
    <row r="24" customFormat="false" ht="15" hidden="false" customHeight="false" outlineLevel="0" collapsed="false">
      <c r="A24" s="9" t="s">
        <v>8249</v>
      </c>
    </row>
    <row r="25" customFormat="false" ht="15" hidden="false" customHeight="false" outlineLevel="0" collapsed="false">
      <c r="A25" s="9" t="s">
        <v>8250</v>
      </c>
    </row>
    <row r="26" customFormat="false" ht="15" hidden="false" customHeight="false" outlineLevel="0" collapsed="false">
      <c r="A26" s="9" t="s">
        <v>8251</v>
      </c>
    </row>
    <row r="27" customFormat="false" ht="15" hidden="false" customHeight="false" outlineLevel="0" collapsed="false">
      <c r="A27" s="9" t="s">
        <v>8252</v>
      </c>
    </row>
    <row r="28" customFormat="false" ht="15" hidden="false" customHeight="false" outlineLevel="0" collapsed="false">
      <c r="A28" s="9"/>
    </row>
    <row r="29" customFormat="false" ht="15" hidden="false" customHeight="false" outlineLevel="0" collapsed="false">
      <c r="A29" s="9" t="s">
        <v>8253</v>
      </c>
    </row>
    <row r="30" customFormat="false" ht="15" hidden="false" customHeight="false" outlineLevel="0" collapsed="false">
      <c r="A30" s="9" t="s">
        <v>8254</v>
      </c>
    </row>
    <row r="31" customFormat="false" ht="15" hidden="false" customHeight="false" outlineLevel="0" collapsed="false">
      <c r="A31" s="9" t="s">
        <v>8255</v>
      </c>
    </row>
    <row r="32" customFormat="false" ht="15" hidden="false" customHeight="false" outlineLevel="0" collapsed="false">
      <c r="A32" s="9" t="s">
        <v>8256</v>
      </c>
    </row>
    <row r="33" customFormat="false" ht="15" hidden="false" customHeight="false" outlineLevel="0" collapsed="false">
      <c r="A33" s="9" t="s">
        <v>8257</v>
      </c>
    </row>
    <row r="34" customFormat="false" ht="15" hidden="false" customHeight="false" outlineLevel="0" collapsed="false">
      <c r="A34" s="9" t="s">
        <v>8258</v>
      </c>
    </row>
    <row r="35" customFormat="false" ht="35.05" hidden="false" customHeight="false" outlineLevel="0" collapsed="false">
      <c r="A35" s="9" t="s">
        <v>8259</v>
      </c>
    </row>
    <row r="36" customFormat="false" ht="15" hidden="false" customHeight="false" outlineLevel="0" collapsed="false">
      <c r="A36" s="9"/>
    </row>
    <row r="37" customFormat="false" ht="23.85" hidden="false" customHeight="false" outlineLevel="0" collapsed="false">
      <c r="A37" s="9" t="s">
        <v>8260</v>
      </c>
    </row>
    <row r="38" customFormat="false" ht="15" hidden="false" customHeight="false" outlineLevel="0" collapsed="false">
      <c r="A38" s="9"/>
    </row>
    <row r="39" customFormat="false" ht="15" hidden="false" customHeight="false" outlineLevel="0" collapsed="false">
      <c r="A39" s="8" t="s">
        <v>8261</v>
      </c>
    </row>
    <row r="40" customFormat="false" ht="23.85" hidden="false" customHeight="false" outlineLevel="0" collapsed="false">
      <c r="A40" s="9" t="s">
        <v>8262</v>
      </c>
    </row>
    <row r="41" customFormat="false" ht="15" hidden="false" customHeight="false" outlineLevel="0" collapsed="false">
      <c r="A41" s="9" t="s">
        <v>8263</v>
      </c>
    </row>
    <row r="42" customFormat="false" ht="15" hidden="false" customHeight="false" outlineLevel="0" collapsed="false">
      <c r="A42" s="9" t="s">
        <v>8264</v>
      </c>
    </row>
    <row r="43" customFormat="false" ht="23.85" hidden="false" customHeight="false" outlineLevel="0" collapsed="false">
      <c r="A43" s="9" t="s">
        <v>8265</v>
      </c>
    </row>
    <row r="44" customFormat="false" ht="15" hidden="false" customHeight="false" outlineLevel="0" collapsed="false">
      <c r="A44" s="9" t="s">
        <v>8266</v>
      </c>
    </row>
    <row r="45" customFormat="false" ht="15" hidden="false" customHeight="false" outlineLevel="0" collapsed="false">
      <c r="A45" s="9"/>
    </row>
    <row r="46" customFormat="false" ht="15" hidden="false" customHeight="false" outlineLevel="0" collapsed="false">
      <c r="A46" s="9" t="s">
        <v>8267</v>
      </c>
    </row>
    <row r="47" customFormat="false" ht="15" hidden="false" customHeight="false" outlineLevel="0" collapsed="false">
      <c r="A47" s="9"/>
    </row>
    <row r="48" customFormat="false" ht="15" hidden="false" customHeight="false" outlineLevel="0" collapsed="false">
      <c r="A48" s="8" t="s">
        <v>8268</v>
      </c>
    </row>
    <row r="49" customFormat="false" ht="23.85" hidden="false" customHeight="false" outlineLevel="0" collapsed="false">
      <c r="A49" s="9" t="s">
        <v>8269</v>
      </c>
    </row>
    <row r="50" customFormat="false" ht="15" hidden="false" customHeight="false" outlineLevel="0" collapsed="false">
      <c r="A50" s="9"/>
    </row>
    <row r="51" customFormat="false" ht="15" hidden="false" customHeight="false" outlineLevel="0" collapsed="false">
      <c r="A51" s="8" t="s">
        <v>8270</v>
      </c>
    </row>
    <row r="52" customFormat="false" ht="15" hidden="false" customHeight="false" outlineLevel="0" collapsed="false">
      <c r="A52" s="9" t="s">
        <v>8271</v>
      </c>
    </row>
    <row r="53" customFormat="false" ht="23.85" hidden="false" customHeight="false" outlineLevel="0" collapsed="false">
      <c r="A53" s="9" t="s">
        <v>8272</v>
      </c>
    </row>
    <row r="54" customFormat="false" ht="23.85" hidden="false" customHeight="false" outlineLevel="0" collapsed="false">
      <c r="A54" s="9" t="s">
        <v>8273</v>
      </c>
    </row>
    <row r="55" customFormat="false" ht="15" hidden="false" customHeight="false" outlineLevel="0" collapsed="false">
      <c r="A55" s="9" t="s">
        <v>8274</v>
      </c>
    </row>
    <row r="56" customFormat="false" ht="15" hidden="false" customHeight="false" outlineLevel="0" collapsed="false">
      <c r="A56" s="9" t="s">
        <v>8275</v>
      </c>
    </row>
    <row r="57" customFormat="false" ht="15" hidden="false" customHeight="false" outlineLevel="0" collapsed="false">
      <c r="A57" s="9" t="s">
        <v>8276</v>
      </c>
    </row>
    <row r="58" customFormat="false" ht="23.85" hidden="false" customHeight="false" outlineLevel="0" collapsed="false">
      <c r="A58" s="9" t="s">
        <v>8277</v>
      </c>
    </row>
    <row r="59" customFormat="false" ht="15" hidden="false" customHeight="false" outlineLevel="0" collapsed="false">
      <c r="A59" s="9"/>
    </row>
    <row r="60" customFormat="false" ht="15" hidden="false" customHeight="false" outlineLevel="0" collapsed="false">
      <c r="A60" s="8" t="s">
        <v>8278</v>
      </c>
    </row>
    <row r="61" customFormat="false" ht="23.85" hidden="false" customHeight="false" outlineLevel="0" collapsed="false">
      <c r="A61" s="9" t="s">
        <v>8279</v>
      </c>
    </row>
    <row r="62" customFormat="false" ht="15" hidden="false" customHeight="false" outlineLevel="0" collapsed="false">
      <c r="A62" s="9"/>
    </row>
    <row r="63" customFormat="false" ht="15" hidden="false" customHeight="false" outlineLevel="0" collapsed="false">
      <c r="A63" s="8" t="s">
        <v>8280</v>
      </c>
    </row>
    <row r="64" customFormat="false" ht="23.85" hidden="false" customHeight="false" outlineLevel="0" collapsed="false">
      <c r="A64" s="9" t="s">
        <v>8281</v>
      </c>
    </row>
    <row r="65" customFormat="false" ht="23.85" hidden="false" customHeight="false" outlineLevel="0" collapsed="false">
      <c r="A65" s="9" t="s">
        <v>8282</v>
      </c>
    </row>
    <row r="66" customFormat="false" ht="15" hidden="false" customHeight="false" outlineLevel="0" collapsed="false">
      <c r="A66" s="9"/>
    </row>
    <row r="67" customFormat="false" ht="15" hidden="false" customHeight="false" outlineLevel="0" collapsed="false">
      <c r="A67" s="8" t="s">
        <v>8283</v>
      </c>
    </row>
    <row r="68" customFormat="false" ht="15" hidden="false" customHeight="false" outlineLevel="0" collapsed="false">
      <c r="A68" s="9" t="s">
        <v>8284</v>
      </c>
    </row>
    <row r="69" customFormat="false" ht="23.85" hidden="false" customHeight="false" outlineLevel="0" collapsed="false">
      <c r="A69" s="9" t="s">
        <v>8285</v>
      </c>
    </row>
    <row r="70" customFormat="false" ht="23.85" hidden="false" customHeight="false" outlineLevel="0" collapsed="false">
      <c r="A70" s="9" t="s">
        <v>8286</v>
      </c>
    </row>
    <row r="71" customFormat="false" ht="35.05" hidden="false" customHeight="false" outlineLevel="0" collapsed="false">
      <c r="A71" s="9" t="s">
        <v>8287</v>
      </c>
    </row>
    <row r="72" customFormat="false" ht="15" hidden="false" customHeight="false" outlineLevel="0" collapsed="false">
      <c r="A72" s="9" t="s">
        <v>8288</v>
      </c>
    </row>
    <row r="73" customFormat="false" ht="15" hidden="false" customHeight="false" outlineLevel="0" collapsed="false">
      <c r="A73" s="9"/>
    </row>
    <row r="74" customFormat="false" ht="15" hidden="false" customHeight="false" outlineLevel="0" collapsed="false">
      <c r="A74" s="8" t="s">
        <v>8289</v>
      </c>
    </row>
    <row r="75" customFormat="false" ht="15" hidden="false" customHeight="false" outlineLevel="0" collapsed="false">
      <c r="A75" s="9" t="s">
        <v>8290</v>
      </c>
    </row>
    <row r="76" customFormat="false" ht="35.05" hidden="false" customHeight="false" outlineLevel="0" collapsed="false">
      <c r="A76" s="9" t="s">
        <v>8291</v>
      </c>
    </row>
    <row r="77" customFormat="false" ht="35.05" hidden="false" customHeight="false" outlineLevel="0" collapsed="false">
      <c r="A77" s="9" t="s">
        <v>8292</v>
      </c>
    </row>
    <row r="78" customFormat="false" ht="23.85" hidden="false" customHeight="false" outlineLevel="0" collapsed="false">
      <c r="A78" s="9" t="s">
        <v>8293</v>
      </c>
    </row>
    <row r="79" customFormat="false" ht="15" hidden="false" customHeight="false" outlineLevel="0" collapsed="false">
      <c r="A79" s="9" t="s">
        <v>8294</v>
      </c>
    </row>
    <row r="80" customFormat="false" ht="23.85" hidden="false" customHeight="false" outlineLevel="0" collapsed="false">
      <c r="A80" s="9" t="s">
        <v>8295</v>
      </c>
    </row>
    <row r="81" customFormat="false" ht="15" hidden="false" customHeight="false" outlineLevel="0" collapsed="false">
      <c r="A81" s="9" t="s">
        <v>8296</v>
      </c>
    </row>
    <row r="82" customFormat="false" ht="15" hidden="false" customHeight="false" outlineLevel="0" collapsed="false">
      <c r="A82" s="9"/>
    </row>
    <row r="83" customFormat="false" ht="15" hidden="false" customHeight="false" outlineLevel="0" collapsed="false">
      <c r="A83" s="8" t="s">
        <v>8297</v>
      </c>
    </row>
    <row r="84" customFormat="false" ht="23.85" hidden="false" customHeight="false" outlineLevel="0" collapsed="false">
      <c r="A84" s="9" t="s">
        <v>8298</v>
      </c>
    </row>
    <row r="85" customFormat="false" ht="15" hidden="false" customHeight="false" outlineLevel="0" collapsed="false">
      <c r="A85" s="9"/>
    </row>
    <row r="86" customFormat="false" ht="15" hidden="false" customHeight="false" outlineLevel="0" collapsed="false">
      <c r="A86" s="8" t="s">
        <v>8299</v>
      </c>
    </row>
    <row r="87" customFormat="false" ht="15" hidden="false" customHeight="false" outlineLevel="0" collapsed="false">
      <c r="A87" s="9" t="s">
        <v>8300</v>
      </c>
    </row>
    <row r="88" customFormat="false" ht="15" hidden="false" customHeight="false" outlineLevel="0" collapsed="false">
      <c r="A88" s="9" t="s">
        <v>8301</v>
      </c>
    </row>
    <row r="89" customFormat="false" ht="15" hidden="false" customHeight="false" outlineLevel="0" collapsed="false">
      <c r="A89" s="9" t="s">
        <v>8302</v>
      </c>
    </row>
    <row r="90" customFormat="false" ht="15" hidden="false" customHeight="false" outlineLevel="0" collapsed="false">
      <c r="A90" s="9" t="s">
        <v>8303</v>
      </c>
    </row>
    <row r="91" customFormat="false" ht="15" hidden="false" customHeight="false" outlineLevel="0" collapsed="false">
      <c r="A91" s="9" t="s">
        <v>8304</v>
      </c>
    </row>
    <row r="92" customFormat="false" ht="46.25" hidden="false" customHeight="false" outlineLevel="0" collapsed="false">
      <c r="A92" s="9" t="s">
        <v>8305</v>
      </c>
    </row>
    <row r="93" customFormat="false" ht="15" hidden="false" customHeight="false" outlineLevel="0" collapsed="false">
      <c r="A93" s="9"/>
    </row>
    <row r="94" customFormat="false" ht="15" hidden="false" customHeight="false" outlineLevel="0" collapsed="false">
      <c r="A94" s="8" t="s">
        <v>8306</v>
      </c>
    </row>
    <row r="95" customFormat="false" ht="15" hidden="false" customHeight="false" outlineLevel="0" collapsed="false">
      <c r="A95" s="9" t="s">
        <v>8307</v>
      </c>
    </row>
    <row r="96" customFormat="false" ht="15" hidden="false" customHeight="false" outlineLevel="0" collapsed="false">
      <c r="A96" s="9" t="s">
        <v>8308</v>
      </c>
    </row>
    <row r="97" customFormat="false" ht="15" hidden="false" customHeight="false" outlineLevel="0" collapsed="false">
      <c r="A97" s="9" t="s">
        <v>8309</v>
      </c>
    </row>
    <row r="98" customFormat="false" ht="15" hidden="false" customHeight="false" outlineLevel="0" collapsed="false">
      <c r="A98" s="9" t="s">
        <v>8310</v>
      </c>
    </row>
    <row r="99" customFormat="false" ht="15" hidden="false" customHeight="false" outlineLevel="0" collapsed="false">
      <c r="A99" s="9"/>
    </row>
    <row r="100" customFormat="false" ht="15" hidden="false" customHeight="false" outlineLevel="0" collapsed="false">
      <c r="A100" s="8" t="s">
        <v>8311</v>
      </c>
    </row>
    <row r="101" customFormat="false" ht="23.85" hidden="false" customHeight="false" outlineLevel="0" collapsed="false">
      <c r="A101" s="9" t="s">
        <v>8312</v>
      </c>
    </row>
    <row r="102" customFormat="false" ht="15" hidden="false" customHeight="false" outlineLevel="0" collapsed="false">
      <c r="A102" s="9" t="s">
        <v>8313</v>
      </c>
    </row>
    <row r="103" customFormat="false" ht="35.05" hidden="false" customHeight="false" outlineLevel="0" collapsed="false">
      <c r="A103" s="9" t="s">
        <v>8314</v>
      </c>
    </row>
    <row r="104" customFormat="false" ht="23.85" hidden="false" customHeight="false" outlineLevel="0" collapsed="false">
      <c r="A104" s="9" t="s">
        <v>8315</v>
      </c>
    </row>
    <row r="105" customFormat="false" ht="15" hidden="false" customHeight="false" outlineLevel="0" collapsed="false">
      <c r="A105" s="9" t="s">
        <v>8316</v>
      </c>
    </row>
    <row r="106" customFormat="false" ht="15" hidden="false" customHeight="false" outlineLevel="0" collapsed="false">
      <c r="A106" s="9"/>
    </row>
    <row r="107" customFormat="false" ht="15" hidden="false" customHeight="false" outlineLevel="0" collapsed="false">
      <c r="A107" s="8" t="s">
        <v>8317</v>
      </c>
    </row>
    <row r="108" customFormat="false" ht="35.05" hidden="false" customHeight="false" outlineLevel="0" collapsed="false">
      <c r="A108" s="9" t="s">
        <v>8318</v>
      </c>
    </row>
    <row r="109" customFormat="false" ht="35.05" hidden="false" customHeight="false" outlineLevel="0" collapsed="false">
      <c r="A109" s="9" t="s">
        <v>8319</v>
      </c>
    </row>
    <row r="110" customFormat="false" ht="23.85" hidden="false" customHeight="false" outlineLevel="0" collapsed="false">
      <c r="A110" s="9" t="s">
        <v>8320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8321</v>
      </c>
      <c r="B1" s="1" t="s">
        <v>8322</v>
      </c>
      <c r="C1" s="1" t="s">
        <v>8323</v>
      </c>
      <c r="D1" s="1" t="s">
        <v>8324</v>
      </c>
      <c r="E1" s="1" t="s">
        <v>8325</v>
      </c>
      <c r="F1" s="1" t="s">
        <v>8326</v>
      </c>
      <c r="G1" s="1" t="s">
        <v>8327</v>
      </c>
      <c r="H1" s="1" t="s">
        <v>8328</v>
      </c>
      <c r="I1" s="1" t="s">
        <v>8329</v>
      </c>
    </row>
    <row r="2" customFormat="false" ht="15" hidden="false" customHeight="false" outlineLevel="0" collapsed="false">
      <c r="A2" s="2" t="s">
        <v>8330</v>
      </c>
      <c r="B2" s="2" t="n">
        <v>78</v>
      </c>
      <c r="C2" s="2" t="n">
        <v>6</v>
      </c>
      <c r="D2" s="2" t="n">
        <v>0</v>
      </c>
      <c r="E2" s="2" t="n">
        <v>16</v>
      </c>
      <c r="F2" s="2" t="n">
        <v>0.929</v>
      </c>
      <c r="G2" s="2" t="n">
        <v>1</v>
      </c>
      <c r="H2" s="2" t="n">
        <v>0.705</v>
      </c>
      <c r="I2" s="2" t="n">
        <v>78</v>
      </c>
    </row>
    <row r="3" customFormat="false" ht="15" hidden="false" customHeight="false" outlineLevel="0" collapsed="false">
      <c r="A3" s="2" t="s">
        <v>8331</v>
      </c>
      <c r="B3" s="2" t="n">
        <v>69</v>
      </c>
      <c r="C3" s="2" t="n">
        <v>9</v>
      </c>
      <c r="D3" s="2" t="n">
        <v>0</v>
      </c>
      <c r="E3" s="2" t="n">
        <v>13</v>
      </c>
      <c r="F3" s="2" t="n">
        <v>0.885</v>
      </c>
      <c r="G3" s="2" t="n">
        <v>1</v>
      </c>
      <c r="H3" s="2" t="n">
        <v>0.652</v>
      </c>
      <c r="I3" s="2" t="n">
        <v>69</v>
      </c>
    </row>
    <row r="4" customFormat="false" ht="15" hidden="false" customHeight="false" outlineLevel="0" collapsed="false">
      <c r="A4" s="2" t="s">
        <v>8332</v>
      </c>
      <c r="B4" s="2" t="s">
        <v>8333</v>
      </c>
      <c r="C4" s="2"/>
      <c r="D4" s="2"/>
      <c r="E4" s="2"/>
      <c r="F4" s="2"/>
      <c r="G4" s="2"/>
      <c r="H4" s="2"/>
      <c r="I4" s="2"/>
    </row>
    <row r="5" customFormat="false" ht="15" hidden="false" customHeight="false" outlineLevel="0" collapsed="false">
      <c r="A5" s="2" t="s">
        <v>8334</v>
      </c>
      <c r="B5" s="2" t="n">
        <v>84</v>
      </c>
      <c r="C5" s="2" t="n">
        <v>16</v>
      </c>
      <c r="D5" s="2"/>
      <c r="E5" s="2"/>
      <c r="F5" s="2" t="n">
        <v>0.84</v>
      </c>
      <c r="G5" s="2"/>
      <c r="H5" s="2" t="n">
        <v>0.738</v>
      </c>
      <c r="I5" s="2" t="n">
        <v>84</v>
      </c>
    </row>
    <row r="6" customFormat="false" ht="15" hidden="false" customHeight="false" outlineLevel="0" collapsed="false">
      <c r="A6" s="2" t="s">
        <v>67</v>
      </c>
      <c r="B6" s="2" t="s">
        <v>8335</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2026-10-10T12:04:43Z</dcterms:created>
  <dc:creator>openpyxl</dc:creator>
  <dc:description/>
  <dc:language>en-US</dc:language>
  <cp:lastModifiedBy/>
  <dcterms:modified xsi:type="dcterms:W3CDTF">2026-10-10T12:04:45Z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